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127" codeName="{DD97A8EA-9A9A-E61F-A557-7D5A7D7259CE}"/>
  <workbookPr filterPrivacy="1" updateLinks="never" codeName="ThisWorkbook"/>
  <xr:revisionPtr revIDLastSave="0" documentId="13_ncr:1_{E640E432-CDB7-44E4-9EA0-8BF345FBCFBB}" xr6:coauthVersionLast="47" xr6:coauthVersionMax="47" xr10:uidLastSave="{00000000-0000-0000-0000-000000000000}"/>
  <bookViews>
    <workbookView xWindow="0" yWindow="300" windowWidth="38640" windowHeight="21240" tabRatio="727" activeTab="5" xr2:uid="{00000000-000D-0000-FFFF-FFFF00000000}"/>
  </bookViews>
  <sheets>
    <sheet name="Details and Instructions" sheetId="9" r:id="rId1"/>
    <sheet name="Amendments history" sheetId="7" r:id="rId2"/>
    <sheet name="Points Table A" sheetId="5" r:id="rId3"/>
    <sheet name="Points Table C" sheetId="6" r:id="rId4"/>
    <sheet name="Lookups" sheetId="2" r:id="rId5"/>
    <sheet name="HSR Calculator" sheetId="4" r:id="rId6"/>
    <sheet name="Non-Dairy Beverages ONLY Calc." sheetId="8" r:id="rId7"/>
  </sheets>
  <externalReferences>
    <externalReference r:id="rId8"/>
    <externalReference r:id="rId9"/>
    <externalReference r:id="rId10"/>
    <externalReference r:id="rId11"/>
  </externalReferences>
  <definedNames>
    <definedName name="_xlnm._FilterDatabase" localSheetId="5" hidden="1">'HSR Calculator'!$B$1:$AH$1000</definedName>
    <definedName name="_xlnm._FilterDatabase" localSheetId="6" hidden="1">'Non-Dairy Beverages ONLY Calc.'!$A$1:$V$1001</definedName>
    <definedName name="cfv">'HSR Calculator'!$L$2</definedName>
    <definedName name="Drop_down_list_Food_type_for_profiling">Lookups!$A$131:$A$133</definedName>
    <definedName name="energy">'HSR Calculator'!$F$2</definedName>
    <definedName name="Food_type_for_profiling">Lookups!$A$131:$A$133</definedName>
    <definedName name="Food_type_for_Star_conversion" localSheetId="0">[1]Lookups!$A$126:$A$135</definedName>
    <definedName name="Food_type_for_Star_conversion" localSheetId="6">[2]Lookups!$A$126:$A$135</definedName>
    <definedName name="Food_type_for_Star_conversion">Lookups!$A$136:$A$144</definedName>
    <definedName name="Food_type_for_Star_conversion2" localSheetId="6">[3]Lookups!$A$126:$A$135</definedName>
    <definedName name="Food_type_for_Star_conversion2">[4]Lookups!$A$126:$A$135</definedName>
    <definedName name="fvnl">'HSR Calculator'!$M$2</definedName>
    <definedName name="NPSC_food_types">Lookups!$A$131:$A$133</definedName>
    <definedName name="_xlnm.Print_Titles" localSheetId="5">'HSR Calculator'!$1:$1</definedName>
    <definedName name="solver_adj" localSheetId="5" hidden="1">'HSR Calculator'!#REF!,'HSR Calculator'!#REF!</definedName>
    <definedName name="solver_cvg" localSheetId="5" hidden="1">0.0001</definedName>
    <definedName name="solver_drv" localSheetId="5" hidden="1">1</definedName>
    <definedName name="solver_est" localSheetId="5" hidden="1">1</definedName>
    <definedName name="solver_itr" localSheetId="5" hidden="1">100</definedName>
    <definedName name="solver_lin" localSheetId="5" hidden="1">2</definedName>
    <definedName name="solver_neg" localSheetId="5" hidden="1">2</definedName>
    <definedName name="solver_num" localSheetId="5" hidden="1">0</definedName>
    <definedName name="solver_nwt" localSheetId="5" hidden="1">1</definedName>
    <definedName name="solver_opt" localSheetId="5" hidden="1">'HSR Calculator'!#REF!</definedName>
    <definedName name="solver_pre" localSheetId="5" hidden="1">0.000001</definedName>
    <definedName name="solver_scl" localSheetId="5" hidden="1">2</definedName>
    <definedName name="solver_sho" localSheetId="5" hidden="1">2</definedName>
    <definedName name="solver_tim" localSheetId="5" hidden="1">100</definedName>
    <definedName name="solver_tol" localSheetId="5" hidden="1">0.05</definedName>
    <definedName name="solver_typ" localSheetId="5" hidden="1">1</definedName>
    <definedName name="solver_val" localSheetId="5" hidden="1">0</definedName>
    <definedName name="xcir0" hidden="1">-3.14159265358979+(ROW(OFFSET(#REF!,0,0,300,1))-1)*0.0210139976828749</definedName>
    <definedName name="xcir1" hidden="1">-3.14159265358979+(ROW(OFFSET(#REF!,0,0,500,1))-1)*0.0125915537218028</definedName>
    <definedName name="xdata1" hidden="1">-40+(ROW(OFFSET(#REF!,0,0,70,1))-1)*2.31884057971015</definedName>
    <definedName name="xdata11" localSheetId="0" hidden="1">1.25+[0]!xlstatbox10*-0.0007153075822604</definedName>
    <definedName name="xdata11" localSheetId="6" hidden="1">1.25+[0]!xlstatbox10*-0.0007153075822604</definedName>
    <definedName name="xdata11" hidden="1">1.25+[0]!xlstatbox10*-0.0007153075822604</definedName>
    <definedName name="xdata14" localSheetId="0" hidden="1">1.25+[0]!xlstatbox13*-0.0007153075822604</definedName>
    <definedName name="xdata14" localSheetId="6" hidden="1">1.25+[0]!xlstatbox13*-0.0007153075822604</definedName>
    <definedName name="xdata14" hidden="1">1.25+[0]!xlstatbox13*-0.0007153075822604</definedName>
    <definedName name="xdata17" localSheetId="0" hidden="1">1.25+[0]!xlstatbox16*-0.0007153075822604</definedName>
    <definedName name="xdata17" localSheetId="6" hidden="1">1.25+[0]!xlstatbox16*-0.0007153075822604</definedName>
    <definedName name="xdata17" hidden="1">1.25+[0]!xlstatbox16*-0.0007153075822604</definedName>
    <definedName name="xdata2" hidden="1">-40+(ROW(OFFSET(#REF!,0,0,70,1))-1)*2.31884057971015</definedName>
    <definedName name="xdata20" localSheetId="0" hidden="1">1.25+[0]!xlstatbox19*-0.0007153075822604</definedName>
    <definedName name="xdata20" localSheetId="6" hidden="1">1.25+[0]!xlstatbox19*-0.0007153075822604</definedName>
    <definedName name="xdata20" hidden="1">1.25+[0]!xlstatbox19*-0.0007153075822604</definedName>
    <definedName name="xdata23" localSheetId="0" hidden="1">1.25+[0]!xlstatbox22*-0.0007153075822604</definedName>
    <definedName name="xdata23" localSheetId="6" hidden="1">1.25+[0]!xlstatbox22*-0.0007153075822604</definedName>
    <definedName name="xdata23" hidden="1">1.25+[0]!xlstatbox22*-0.0007153075822604</definedName>
    <definedName name="xdata26" localSheetId="0" hidden="1">1.25+[0]!xlstatbox25*-0.0007153075822604</definedName>
    <definedName name="xdata26" localSheetId="6" hidden="1">1.25+[0]!xlstatbox25*-0.0007153075822604</definedName>
    <definedName name="xdata26" hidden="1">1.25+[0]!xlstatbox25*-0.0007153075822604</definedName>
    <definedName name="xdata29" localSheetId="0" hidden="1">1.25+[0]!xlstatbox28*-0.0007153075822604</definedName>
    <definedName name="xdata29" localSheetId="6" hidden="1">1.25+[0]!xlstatbox28*-0.0007153075822604</definedName>
    <definedName name="xdata29" hidden="1">1.25+[0]!xlstatbox28*-0.0007153075822604</definedName>
    <definedName name="xdata3" hidden="1">-40+(ROW(OFFSET(#REF!,0,0,70,1))-1)*2.02898550724638</definedName>
    <definedName name="xdata32" localSheetId="0" hidden="1">1.25+[0]!xlstatbox31*-0.0007153075822604</definedName>
    <definedName name="xdata32" localSheetId="6" hidden="1">1.25+[0]!xlstatbox31*-0.0007153075822604</definedName>
    <definedName name="xdata32" hidden="1">1.25+[0]!xlstatbox31*-0.0007153075822604</definedName>
    <definedName name="xdata35" localSheetId="0" hidden="1">1.25+[0]!xlstatbox34*-0.0007153075822604</definedName>
    <definedName name="xdata35" localSheetId="6" hidden="1">1.25+[0]!xlstatbox34*-0.0007153075822604</definedName>
    <definedName name="xdata35" hidden="1">1.25+[0]!xlstatbox34*-0.0007153075822604</definedName>
    <definedName name="xdata38" localSheetId="0" hidden="1">1.25+[0]!xlstatbox37*-0.0007153075822604</definedName>
    <definedName name="xdata38" localSheetId="6" hidden="1">1.25+[0]!xlstatbox37*-0.0007153075822604</definedName>
    <definedName name="xdata38" hidden="1">1.25+[0]!xlstatbox37*-0.0007153075822604</definedName>
    <definedName name="xdata4" hidden="1">-40+(ROW(OFFSET(#REF!,0,0,70,1))-1)*2.02898550724638</definedName>
    <definedName name="xdata41" localSheetId="0" hidden="1">1.25+[0]!xlstatbox40*-0.0007153075822604</definedName>
    <definedName name="xdata41" localSheetId="6" hidden="1">1.25+[0]!xlstatbox40*-0.0007153075822604</definedName>
    <definedName name="xdata41" hidden="1">1.25+[0]!xlstatbox40*-0.0007153075822604</definedName>
    <definedName name="xdata44" localSheetId="0" hidden="1">1.25+[0]!xlstatbox43*-0.0007153075822604</definedName>
    <definedName name="xdata44" localSheetId="6" hidden="1">1.25+[0]!xlstatbox43*-0.0007153075822604</definedName>
    <definedName name="xdata44" hidden="1">1.25+[0]!xlstatbox43*-0.0007153075822604</definedName>
    <definedName name="xdata47" localSheetId="0" hidden="1">1.25+[0]!xlstatbox46*-0.0007153075822604</definedName>
    <definedName name="xdata47" localSheetId="6" hidden="1">1.25+[0]!xlstatbox46*-0.0007153075822604</definedName>
    <definedName name="xdata47" hidden="1">1.25+[0]!xlstatbox46*-0.0007153075822604</definedName>
    <definedName name="xdata5" hidden="1">-60+(ROW(OFFSET(#REF!,0,0,70,1))-1)*2.60869565217391</definedName>
    <definedName name="xdata50" localSheetId="0" hidden="1">1.25+[0]!xlstatbox49*-0.0007153075822604</definedName>
    <definedName name="xdata50" localSheetId="6" hidden="1">1.25+[0]!xlstatbox49*-0.0007153075822604</definedName>
    <definedName name="xdata50" hidden="1">1.25+[0]!xlstatbox49*-0.0007153075822604</definedName>
    <definedName name="xdata53" localSheetId="0" hidden="1">1.25+[0]!xlstatbox52*-0.0007153075822604</definedName>
    <definedName name="xdata53" localSheetId="6" hidden="1">1.25+[0]!xlstatbox52*-0.0007153075822604</definedName>
    <definedName name="xdata53" hidden="1">1.25+[0]!xlstatbox52*-0.0007153075822604</definedName>
    <definedName name="xdata56" localSheetId="0" hidden="1">1.25+[0]!xlstatbox55*-0.0007153075822604</definedName>
    <definedName name="xdata56" localSheetId="6" hidden="1">1.25+[0]!xlstatbox55*-0.0007153075822604</definedName>
    <definedName name="xdata56" hidden="1">1.25+[0]!xlstatbox55*-0.0007153075822604</definedName>
    <definedName name="xdata59" localSheetId="0" hidden="1">1.25+[0]!xlstatbox58*-0.0007153075822604</definedName>
    <definedName name="xdata59" localSheetId="6" hidden="1">1.25+[0]!xlstatbox58*-0.0007153075822604</definedName>
    <definedName name="xdata59" hidden="1">1.25+[0]!xlstatbox58*-0.0007153075822604</definedName>
    <definedName name="xdata6" hidden="1">-60+(ROW(OFFSET(#REF!,0,0,70,1))-1)*2.60869565217391</definedName>
    <definedName name="xdata62" localSheetId="0" hidden="1">1.25+[0]!xlstatbox61*-0.0007153075822604</definedName>
    <definedName name="xdata62" localSheetId="6" hidden="1">1.25+[0]!xlstatbox61*-0.0007153075822604</definedName>
    <definedName name="xdata62" hidden="1">1.25+[0]!xlstatbox61*-0.0007153075822604</definedName>
    <definedName name="xdata65" localSheetId="0" hidden="1">1.25+[0]!xlstatbox64*-0.0007153075822604</definedName>
    <definedName name="xdata65" localSheetId="6" hidden="1">1.25+[0]!xlstatbox64*-0.0007153075822604</definedName>
    <definedName name="xdata65" hidden="1">1.25+[0]!xlstatbox64*-0.0007153075822604</definedName>
    <definedName name="xdata68" localSheetId="0" hidden="1">1.25+[0]!xlstatbox67*-0.0007153075822604</definedName>
    <definedName name="xdata68" localSheetId="6" hidden="1">1.25+[0]!xlstatbox67*-0.0007153075822604</definedName>
    <definedName name="xdata68" hidden="1">1.25+[0]!xlstatbox67*-0.0007153075822604</definedName>
    <definedName name="xdata71" localSheetId="0" hidden="1">1.25+[0]!xlstatbox70*-0.0007153075822604</definedName>
    <definedName name="xdata71" localSheetId="6" hidden="1">1.25+[0]!xlstatbox70*-0.0007153075822604</definedName>
    <definedName name="xdata71" hidden="1">1.25+[0]!xlstatbox70*-0.0007153075822604</definedName>
    <definedName name="xdata74" localSheetId="0" hidden="1">1.25+[0]!xlstatbox73*-0.0007153075822604</definedName>
    <definedName name="xdata74" localSheetId="6" hidden="1">1.25+[0]!xlstatbox73*-0.0007153075822604</definedName>
    <definedName name="xdata74" hidden="1">1.25+[0]!xlstatbox73*-0.0007153075822604</definedName>
    <definedName name="xdata77" localSheetId="0" hidden="1">1.25+[0]!xlstatbox76*-0.0007153075822604</definedName>
    <definedName name="xdata77" localSheetId="6" hidden="1">1.25+[0]!xlstatbox76*-0.0007153075822604</definedName>
    <definedName name="xdata77" hidden="1">1.25+[0]!xlstatbox76*-0.0007153075822604</definedName>
    <definedName name="xdata8" localSheetId="0" hidden="1">1.25+[0]!xlstatbox7*-0.0007153075822604</definedName>
    <definedName name="xdata8" localSheetId="6" hidden="1">1.25+[0]!xlstatbox7*-0.0007153075822604</definedName>
    <definedName name="xdata8" hidden="1">1.25+[0]!xlstatbox7*-0.0007153075822604</definedName>
    <definedName name="xdata80" localSheetId="0" hidden="1">1.25+[0]!xlstatbox79*-0.0007153075822604</definedName>
    <definedName name="xdata80" localSheetId="6" hidden="1">1.25+[0]!xlstatbox79*-0.0007153075822604</definedName>
    <definedName name="xdata80" hidden="1">1.25+[0]!xlstatbox79*-0.0007153075822604</definedName>
    <definedName name="xdata83" localSheetId="0" hidden="1">1.25+[0]!xlstatbox82*-0.0007153075822604</definedName>
    <definedName name="xdata83" localSheetId="6" hidden="1">1.25+[0]!xlstatbox82*-0.0007153075822604</definedName>
    <definedName name="xdata83" hidden="1">1.25+[0]!xlstatbox82*-0.0007153075822604</definedName>
    <definedName name="xdata86" localSheetId="0" hidden="1">1.25+[0]!xlstatbox85*-0.0007153075822604</definedName>
    <definedName name="xdata86" localSheetId="6" hidden="1">1.25+[0]!xlstatbox85*-0.0007153075822604</definedName>
    <definedName name="xdata86" hidden="1">1.25+[0]!xlstatbox85*-0.0007153075822604</definedName>
    <definedName name="xdata89" localSheetId="0" hidden="1">1.25+[0]!xlstatbox88*-0.0007153075822604</definedName>
    <definedName name="xdata89" localSheetId="6" hidden="1">1.25+[0]!xlstatbox88*-0.0007153075822604</definedName>
    <definedName name="xdata89" hidden="1">1.25+[0]!xlstatbox88*-0.0007153075822604</definedName>
    <definedName name="xdata92" localSheetId="0" hidden="1">1.25+[0]!xlstatbox91*-0.0007153075822604</definedName>
    <definedName name="xdata92" localSheetId="6" hidden="1">1.25+[0]!xlstatbox91*-0.0007153075822604</definedName>
    <definedName name="xdata92" hidden="1">1.25+[0]!xlstatbox91*-0.0007153075822604</definedName>
    <definedName name="xdata95" localSheetId="0" hidden="1">1.25+[0]!xlstatbox94*-0.0007153075822604</definedName>
    <definedName name="xdata95" localSheetId="6" hidden="1">1.25+[0]!xlstatbox94*-0.0007153075822604</definedName>
    <definedName name="xdata95" hidden="1">1.25+[0]!xlstatbox94*-0.0007153075822604</definedName>
    <definedName name="xlstatbox1" hidden="1">(ROW(OFFSET(#REF!,0,0,700,1))-1)</definedName>
    <definedName name="xlstatbox10" hidden="1">(ROW(OFFSET(#REF!,0,0,700,1))-1)</definedName>
    <definedName name="xlstatbox13" hidden="1">(ROW(OFFSET(#REF!,0,0,700,1))-1)</definedName>
    <definedName name="xlstatbox16" hidden="1">(ROW(OFFSET(#REF!,0,0,700,1))-1)</definedName>
    <definedName name="xlstatbox19" hidden="1">(ROW(OFFSET(#REF!,0,0,700,1))-1)</definedName>
    <definedName name="xlstatbox22" hidden="1">(ROW(OFFSET(#REF!,0,0,700,1))-1)</definedName>
    <definedName name="xlstatbox25" hidden="1">(ROW(OFFSET(#REF!,0,0,700,1))-1)</definedName>
    <definedName name="xlstatbox28" hidden="1">(ROW(OFFSET(#REF!,0,0,700,1))-1)</definedName>
    <definedName name="xlstatbox31" hidden="1">(ROW(OFFSET(#REF!,0,0,700,1))-1)</definedName>
    <definedName name="xlstatbox34" hidden="1">(ROW(OFFSET(#REF!,0,0,700,1))-1)</definedName>
    <definedName name="xlstatbox37" hidden="1">(ROW(OFFSET(#REF!,0,0,700,1))-1)</definedName>
    <definedName name="xlstatbox4" hidden="1">(ROW(OFFSET(#REF!,0,0,700,1))-1)</definedName>
    <definedName name="xlstatbox40" hidden="1">(ROW(OFFSET(#REF!,0,0,700,1))-1)</definedName>
    <definedName name="xlstatbox43" hidden="1">(ROW(OFFSET(#REF!,0,0,700,1))-1)</definedName>
    <definedName name="xlstatbox46" hidden="1">(ROW(OFFSET(#REF!,0,0,700,1))-1)</definedName>
    <definedName name="xlstatbox49" hidden="1">(ROW(OFFSET(#REF!,0,0,700,1))-1)</definedName>
    <definedName name="xlstatbox52" hidden="1">(ROW(OFFSET(#REF!,0,0,700,1))-1)</definedName>
    <definedName name="xlstatbox55" hidden="1">(ROW(OFFSET(#REF!,0,0,700,1))-1)</definedName>
    <definedName name="xlstatbox58" hidden="1">(ROW(OFFSET(#REF!,0,0,700,1))-1)</definedName>
    <definedName name="xlstatbox61" hidden="1">(ROW(OFFSET(#REF!,0,0,700,1))-1)</definedName>
    <definedName name="xlstatbox64" hidden="1">(ROW(OFFSET(#REF!,0,0,700,1))-1)</definedName>
    <definedName name="xlstatbox67" hidden="1">(ROW(OFFSET(#REF!,0,0,700,1))-1)</definedName>
    <definedName name="xlstatbox7" hidden="1">(ROW(OFFSET(#REF!,0,0,700,1))-1)</definedName>
    <definedName name="xlstatbox70" hidden="1">(ROW(OFFSET(#REF!,0,0,700,1))-1)</definedName>
    <definedName name="xlstatbox73" hidden="1">(ROW(OFFSET(#REF!,0,0,700,1))-1)</definedName>
    <definedName name="xlstatbox76" hidden="1">(ROW(OFFSET(#REF!,0,0,700,1))-1)</definedName>
    <definedName name="xlstatbox79" hidden="1">(ROW(OFFSET(#REF!,0,0,700,1))-1)</definedName>
    <definedName name="xlstatbox82" hidden="1">(ROW(OFFSET(#REF!,0,0,700,1))-1)</definedName>
    <definedName name="xlstatbox85" hidden="1">(ROW(OFFSET(#REF!,0,0,700,1))-1)</definedName>
    <definedName name="xlstatbox88" hidden="1">(ROW(OFFSET(#REF!,0,0,700,1))-1)</definedName>
    <definedName name="xlstatbox91" hidden="1">(ROW(OFFSET(#REF!,0,0,700,1))-1)</definedName>
    <definedName name="xlstatbox94" hidden="1">(ROW(OFFSET(#REF!,0,0,700,1))-1)</definedName>
    <definedName name="ycir1" localSheetId="0" hidden="1">1*COS([0]!xcir1)+0</definedName>
    <definedName name="ycir1" localSheetId="6" hidden="1">1*COS([0]!xcir1)+0</definedName>
    <definedName name="ycir1" hidden="1">1*COS([0]!xcir1)+0</definedName>
    <definedName name="ycir10" localSheetId="0" hidden="1">12.4180166975342*COS([0]!xcir0)+10.8931818181818</definedName>
    <definedName name="ycir10" localSheetId="6" hidden="1">12.4180166975342*COS([0]!xcir0)+10.8931818181818</definedName>
    <definedName name="ycir10" hidden="1">12.4180166975342*COS([0]!xcir0)+10.8931818181818</definedName>
    <definedName name="ycir12" localSheetId="0" hidden="1">1.60283492792302*COS([0]!xcir0)+0.614492753623188</definedName>
    <definedName name="ycir12" localSheetId="6" hidden="1">1.60283492792302*COS([0]!xcir0)+0.614492753623188</definedName>
    <definedName name="ycir12" hidden="1">1.60283492792302*COS([0]!xcir0)+0.614492753623188</definedName>
    <definedName name="ycir14" localSheetId="0" hidden="1">53.855441126182*COS([0]!xcir0)+24.3496688741722</definedName>
    <definedName name="ycir14" localSheetId="6" hidden="1">53.855441126182*COS([0]!xcir0)+24.3496688741722</definedName>
    <definedName name="ycir14" hidden="1">53.855441126182*COS([0]!xcir0)+24.3496688741722</definedName>
    <definedName name="ycir16" localSheetId="0" hidden="1">42.7101066711188*COS([0]!xcir0)+16.1969573590096</definedName>
    <definedName name="ycir16" localSheetId="6" hidden="1">42.7101066711188*COS([0]!xcir0)+16.1969573590096</definedName>
    <definedName name="ycir16" hidden="1">42.7101066711188*COS([0]!xcir0)+16.1969573590096</definedName>
    <definedName name="ycir18" localSheetId="0" hidden="1">10.9489471515679*COS([0]!xcir0)+2.14986772486772</definedName>
    <definedName name="ycir18" localSheetId="6" hidden="1">10.9489471515679*COS([0]!xcir0)+2.14986772486772</definedName>
    <definedName name="ycir18" hidden="1">10.9489471515679*COS([0]!xcir0)+2.14986772486772</definedName>
    <definedName name="ycir2" localSheetId="0" hidden="1">5.08723930259301*COS([0]!xcir0)+9.71722488038277</definedName>
    <definedName name="ycir2" localSheetId="6" hidden="1">5.08723930259301*COS([0]!xcir0)+9.71722488038277</definedName>
    <definedName name="ycir2" hidden="1">5.08723930259301*COS([0]!xcir0)+9.71722488038277</definedName>
    <definedName name="ycir20" localSheetId="0" hidden="1">10.6917907624262*COS([0]!xcir0)+3.31094339622641</definedName>
    <definedName name="ycir20" localSheetId="6" hidden="1">10.6917907624262*COS([0]!xcir0)+3.31094339622641</definedName>
    <definedName name="ycir20" hidden="1">10.6917907624262*COS([0]!xcir0)+3.31094339622641</definedName>
    <definedName name="ycir22" localSheetId="0" hidden="1">1.00113516587442*COS([0]!xcir0)+0.189830508474576</definedName>
    <definedName name="ycir22" localSheetId="6" hidden="1">1.00113516587442*COS([0]!xcir0)+0.189830508474576</definedName>
    <definedName name="ycir22" hidden="1">1.00113516587442*COS([0]!xcir0)+0.189830508474576</definedName>
    <definedName name="ycir24" localSheetId="0" hidden="1">2.35393978397896*COS([0]!xcir0)+0.157575757575758</definedName>
    <definedName name="ycir24" localSheetId="6" hidden="1">2.35393978397896*COS([0]!xcir0)+0.157575757575758</definedName>
    <definedName name="ycir24" hidden="1">2.35393978397896*COS([0]!xcir0)+0.157575757575758</definedName>
    <definedName name="ycir26" localSheetId="0" hidden="1">0.234329948222353*COS([0]!xcir0)+0.0198412698412698</definedName>
    <definedName name="ycir26" localSheetId="6" hidden="1">0.234329948222353*COS([0]!xcir0)+0.0198412698412698</definedName>
    <definedName name="ycir26" hidden="1">0.234329948222353*COS([0]!xcir0)+0.0198412698412698</definedName>
    <definedName name="ycir28" localSheetId="0" hidden="1">11.406343032686*COS([0]!xcir0)+4.94190476190476</definedName>
    <definedName name="ycir28" localSheetId="6" hidden="1">11.406343032686*COS([0]!xcir0)+4.94190476190476</definedName>
    <definedName name="ycir28" hidden="1">11.406343032686*COS([0]!xcir0)+4.94190476190476</definedName>
    <definedName name="ycir30" localSheetId="0" hidden="1">12.5381337952702*COS([0]!xcir0)+7.4</definedName>
    <definedName name="ycir30" localSheetId="6" hidden="1">12.5381337952702*COS([0]!xcir0)+7.4</definedName>
    <definedName name="ycir30" hidden="1">12.5381337952702*COS([0]!xcir0)+7.4</definedName>
    <definedName name="ycir32" localSheetId="0" hidden="1">0.0438975946726308*COS([0]!xcir0)+0.0027777777777778</definedName>
    <definedName name="ycir32" localSheetId="6" hidden="1">0.0438975946726308*COS([0]!xcir0)+0.0027777777777778</definedName>
    <definedName name="ycir32" hidden="1">0.0438975946726308*COS([0]!xcir0)+0.0027777777777778</definedName>
    <definedName name="ycir34" localSheetId="0" hidden="1">21.3314090947103*COS([0]!xcir0)+6.33285714285714</definedName>
    <definedName name="ycir34" localSheetId="6" hidden="1">21.3314090947103*COS([0]!xcir0)+6.33285714285714</definedName>
    <definedName name="ycir34" hidden="1">21.3314090947103*COS([0]!xcir0)+6.33285714285714</definedName>
    <definedName name="ycir36" localSheetId="0" hidden="1">2.52350212943852*COS([0]!xcir0)+0.2</definedName>
    <definedName name="ycir36" localSheetId="6" hidden="1">2.52350212943852*COS([0]!xcir0)+0.2</definedName>
    <definedName name="ycir36" hidden="1">2.52350212943852*COS([0]!xcir0)+0.2</definedName>
    <definedName name="ycir38" localSheetId="0" hidden="1">4.5089960386215*COS([0]!xcir0)+2.04285714285714</definedName>
    <definedName name="ycir38" localSheetId="6" hidden="1">4.5089960386215*COS([0]!xcir0)+2.04285714285714</definedName>
    <definedName name="ycir38" hidden="1">4.5089960386215*COS([0]!xcir0)+2.04285714285714</definedName>
    <definedName name="ycir4" localSheetId="0" hidden="1">25.3919214511074*COS([0]!xcir0)+8.77875</definedName>
    <definedName name="ycir4" localSheetId="6" hidden="1">25.3919214511074*COS([0]!xcir0)+8.77875</definedName>
    <definedName name="ycir4" hidden="1">25.3919214511074*COS([0]!xcir0)+8.77875</definedName>
    <definedName name="ycir40" localSheetId="0" hidden="1">10.8884339746219*COS([0]!xcir0)+6.5</definedName>
    <definedName name="ycir40" localSheetId="6" hidden="1">10.8884339746219*COS([0]!xcir0)+6.5</definedName>
    <definedName name="ycir40" hidden="1">10.8884339746219*COS([0]!xcir0)+6.5</definedName>
    <definedName name="ycir42" localSheetId="0" hidden="1">8.07965319161568*COS([0]!xcir0)+2.91882352941176</definedName>
    <definedName name="ycir42" localSheetId="6" hidden="1">8.07965319161568*COS([0]!xcir0)+2.91882352941176</definedName>
    <definedName name="ycir42" hidden="1">8.07965319161568*COS([0]!xcir0)+2.91882352941176</definedName>
    <definedName name="ycir44" localSheetId="0" hidden="1">2.17852839877964*COS([0]!xcir0)+0.24375</definedName>
    <definedName name="ycir44" localSheetId="6" hidden="1">2.17852839877964*COS([0]!xcir0)+0.24375</definedName>
    <definedName name="ycir44" hidden="1">2.17852839877964*COS([0]!xcir0)+0.24375</definedName>
    <definedName name="ycir46" localSheetId="0" hidden="1">12.0024372376289*COS([0]!xcir0)+6.6374358974359</definedName>
    <definedName name="ycir46" localSheetId="6" hidden="1">12.0024372376289*COS([0]!xcir0)+6.6374358974359</definedName>
    <definedName name="ycir46" hidden="1">12.0024372376289*COS([0]!xcir0)+6.6374358974359</definedName>
    <definedName name="ycir48" localSheetId="0" hidden="1">0*COS([0]!xcir0)+0</definedName>
    <definedName name="ycir48" localSheetId="6" hidden="1">0*COS([0]!xcir0)+0</definedName>
    <definedName name="ycir48" hidden="1">0*COS([0]!xcir0)+0</definedName>
    <definedName name="ycir50" localSheetId="0" hidden="1">0*COS([0]!xcir0)+0</definedName>
    <definedName name="ycir50" localSheetId="6" hidden="1">0*COS([0]!xcir0)+0</definedName>
    <definedName name="ycir50" hidden="1">0*COS([0]!xcir0)+0</definedName>
    <definedName name="ycir52" localSheetId="0" hidden="1">3.18193768926371*COS([0]!xcir0)+1.31888372093023</definedName>
    <definedName name="ycir52" localSheetId="6" hidden="1">3.18193768926371*COS([0]!xcir0)+1.31888372093023</definedName>
    <definedName name="ycir52" hidden="1">3.18193768926371*COS([0]!xcir0)+1.31888372093023</definedName>
    <definedName name="ycir54" localSheetId="0" hidden="1">18.8240953297567*COS([0]!xcir0)+4.92727272727273</definedName>
    <definedName name="ycir54" localSheetId="6" hidden="1">18.8240953297567*COS([0]!xcir0)+4.92727272727273</definedName>
    <definedName name="ycir54" hidden="1">18.8240953297567*COS([0]!xcir0)+4.92727272727273</definedName>
    <definedName name="ycir56" localSheetId="0" hidden="1">49.6971830187587*COS([0]!xcir0)+4.63333333333333</definedName>
    <definedName name="ycir56" localSheetId="6" hidden="1">49.6971830187587*COS([0]!xcir0)+4.63333333333333</definedName>
    <definedName name="ycir56" hidden="1">49.6971830187587*COS([0]!xcir0)+4.63333333333333</definedName>
    <definedName name="ycir58" localSheetId="0" hidden="1">4.2512398850876*COS([0]!xcir0)+1.12800833333333</definedName>
    <definedName name="ycir58" localSheetId="6" hidden="1">4.2512398850876*COS([0]!xcir0)+1.12800833333333</definedName>
    <definedName name="ycir58" hidden="1">4.2512398850876*COS([0]!xcir0)+1.12800833333333</definedName>
    <definedName name="ycir6" localSheetId="0" hidden="1">6.46607896729365*COS([0]!xcir0)+6.88639810426541</definedName>
    <definedName name="ycir6" localSheetId="6" hidden="1">6.46607896729365*COS([0]!xcir0)+6.88639810426541</definedName>
    <definedName name="ycir6" hidden="1">6.46607896729365*COS([0]!xcir0)+6.88639810426541</definedName>
    <definedName name="ycir60" localSheetId="0" hidden="1">10.5166932318995*COS([0]!xcir0)+5.57138255033557</definedName>
    <definedName name="ycir60" localSheetId="6" hidden="1">10.5166932318995*COS([0]!xcir0)+5.57138255033557</definedName>
    <definedName name="ycir60" hidden="1">10.5166932318995*COS([0]!xcir0)+5.57138255033557</definedName>
    <definedName name="ycir62" localSheetId="0" hidden="1">1.06445655347327*COS([0]!xcir0)+0.504232804232804</definedName>
    <definedName name="ycir62" localSheetId="6" hidden="1">1.06445655347327*COS([0]!xcir0)+0.504232804232804</definedName>
    <definedName name="ycir62" hidden="1">1.06445655347327*COS([0]!xcir0)+0.504232804232804</definedName>
    <definedName name="ycir64" localSheetId="0" hidden="1">1.55773654434234*COS([0]!xcir0)+0.55</definedName>
    <definedName name="ycir64" localSheetId="6" hidden="1">1.55773654434234*COS([0]!xcir0)+0.55</definedName>
    <definedName name="ycir64" hidden="1">1.55773654434234*COS([0]!xcir0)+0.55</definedName>
    <definedName name="ycir66" localSheetId="0" hidden="1">5.28770065079505*COS([0]!xcir0)+1.72504201680672</definedName>
    <definedName name="ycir66" localSheetId="6" hidden="1">5.28770065079505*COS([0]!xcir0)+1.72504201680672</definedName>
    <definedName name="ycir66" hidden="1">5.28770065079505*COS([0]!xcir0)+1.72504201680672</definedName>
    <definedName name="ycir68" localSheetId="0" hidden="1">18.9179149504228*COS([0]!xcir0)+7.9578947368421</definedName>
    <definedName name="ycir68" localSheetId="6" hidden="1">18.9179149504228*COS([0]!xcir0)+7.9578947368421</definedName>
    <definedName name="ycir68" hidden="1">18.9179149504228*COS([0]!xcir0)+7.9578947368421</definedName>
    <definedName name="ycir70" localSheetId="0" hidden="1">3.34435041554017*COS([0]!xcir0)+0.78433734939759</definedName>
    <definedName name="ycir70" localSheetId="6" hidden="1">3.34435041554017*COS([0]!xcir0)+0.78433734939759</definedName>
    <definedName name="ycir70" hidden="1">3.34435041554017*COS([0]!xcir0)+0.78433734939759</definedName>
    <definedName name="ycir72" localSheetId="0" hidden="1">1.53377319559297*COS([0]!xcir0)+0.289365853658536</definedName>
    <definedName name="ycir72" localSheetId="6" hidden="1">1.53377319559297*COS([0]!xcir0)+0.289365853658536</definedName>
    <definedName name="ycir72" hidden="1">1.53377319559297*COS([0]!xcir0)+0.289365853658536</definedName>
    <definedName name="ycir74" localSheetId="0" hidden="1">0.279522510003544*COS([0]!xcir0)+0.03</definedName>
    <definedName name="ycir74" localSheetId="6" hidden="1">0.279522510003544*COS([0]!xcir0)+0.03</definedName>
    <definedName name="ycir74" hidden="1">0.279522510003544*COS([0]!xcir0)+0.03</definedName>
    <definedName name="ycir76" localSheetId="0" hidden="1">0*COS([0]!xcir0)+0.1</definedName>
    <definedName name="ycir76" localSheetId="6" hidden="1">0*COS([0]!xcir0)+0.1</definedName>
    <definedName name="ycir76" hidden="1">0*COS([0]!xcir0)+0.1</definedName>
    <definedName name="ycir8" localSheetId="0" hidden="1">3.86943563903185*COS([0]!xcir0)+0.897419354838709</definedName>
    <definedName name="ycir8" localSheetId="6" hidden="1">3.86943563903185*COS([0]!xcir0)+0.897419354838709</definedName>
    <definedName name="ycir8" hidden="1">3.86943563903185*COS([0]!xcir0)+0.897419354838709</definedName>
    <definedName name="ydata12" localSheetId="0" hidden="1">IF([0]!xlstatbox10/2-INT([0]!xlstatbox10/2)&lt;0.1,436.25,144)</definedName>
    <definedName name="ydata12" localSheetId="6" hidden="1">IF([0]!xlstatbox10/2-INT([0]!xlstatbox10/2)&lt;0.1,436.25,144)</definedName>
    <definedName name="ydata12" hidden="1">IF([0]!xlstatbox10/2-INT([0]!xlstatbox10/2)&lt;0.1,436.25,144)</definedName>
    <definedName name="ydata15" localSheetId="0" hidden="1">IF([0]!xlstatbox13/2-INT([0]!xlstatbox13/2)&lt;0.1,4.4,0.3)</definedName>
    <definedName name="ydata15" localSheetId="6" hidden="1">IF([0]!xlstatbox13/2-INT([0]!xlstatbox13/2)&lt;0.1,4.4,0.3)</definedName>
    <definedName name="ydata15" hidden="1">IF([0]!xlstatbox13/2-INT([0]!xlstatbox13/2)&lt;0.1,4.4,0.3)</definedName>
    <definedName name="ydata18" localSheetId="0" hidden="1">IF([0]!xlstatbox16/2-INT([0]!xlstatbox16/2)&lt;0.1,9.3,2.5)</definedName>
    <definedName name="ydata18" localSheetId="6" hidden="1">IF([0]!xlstatbox16/2-INT([0]!xlstatbox16/2)&lt;0.1,9.3,2.5)</definedName>
    <definedName name="ydata18" hidden="1">IF([0]!xlstatbox16/2-INT([0]!xlstatbox16/2)&lt;0.1,9.3,2.5)</definedName>
    <definedName name="ydata2" localSheetId="0" hidden="1">0+1*[0]!xdata1-3.27801752932686*(1.00016992353441+([0]!xdata1-6.38232795242142)^2/16429.6841596166)^0.5</definedName>
    <definedName name="ydata2" localSheetId="6" hidden="1">0+1*[0]!xdata1-3.27801752932686*(1.00016992353441+([0]!xdata1-6.38232795242142)^2/16429.6841596166)^0.5</definedName>
    <definedName name="ydata2" hidden="1">0+1*[0]!xdata1-3.27801752932686*(1.00016992353441+([0]!xdata1-6.38232795242142)^2/16429.6841596166)^0.5</definedName>
    <definedName name="ydata21" localSheetId="0" hidden="1">IF([0]!xlstatbox19/2-INT([0]!xlstatbox19/2)&lt;0.1,0,0)</definedName>
    <definedName name="ydata21" localSheetId="6" hidden="1">IF([0]!xlstatbox19/2-INT([0]!xlstatbox19/2)&lt;0.1,0,0)</definedName>
    <definedName name="ydata21" hidden="1">IF([0]!xlstatbox19/2-INT([0]!xlstatbox19/2)&lt;0.1,0,0)</definedName>
    <definedName name="ydata24" localSheetId="0" hidden="1">IF([0]!xlstatbox22/2-INT([0]!xlstatbox22/2)&lt;0.1,45,0)</definedName>
    <definedName name="ydata24" localSheetId="6" hidden="1">IF([0]!xlstatbox22/2-INT([0]!xlstatbox22/2)&lt;0.1,45,0)</definedName>
    <definedName name="ydata24" hidden="1">IF([0]!xlstatbox22/2-INT([0]!xlstatbox22/2)&lt;0.1,45,0)</definedName>
    <definedName name="ydata27" localSheetId="0" hidden="1">IF([0]!xlstatbox25/2-INT([0]!xlstatbox25/2)&lt;0.1,22.7,1.9)</definedName>
    <definedName name="ydata27" localSheetId="6" hidden="1">IF([0]!xlstatbox25/2-INT([0]!xlstatbox25/2)&lt;0.1,22.7,1.9)</definedName>
    <definedName name="ydata27" hidden="1">IF([0]!xlstatbox25/2-INT([0]!xlstatbox25/2)&lt;0.1,22.7,1.9)</definedName>
    <definedName name="ydata3" localSheetId="0" hidden="1">IF([0]!xlstatbox1/2-INT([0]!xlstatbox1/2)&lt;0.1,1782,316)</definedName>
    <definedName name="ydata3" localSheetId="6" hidden="1">IF([0]!xlstatbox1/2-INT([0]!xlstatbox1/2)&lt;0.1,1782,316)</definedName>
    <definedName name="ydata3" hidden="1">IF([0]!xlstatbox1/2-INT([0]!xlstatbox1/2)&lt;0.1,1782,316)</definedName>
    <definedName name="ydata30" localSheetId="0" hidden="1">IF([0]!xlstatbox28/2-INT([0]!xlstatbox28/2)&lt;0.1,8.7,4.4)</definedName>
    <definedName name="ydata30" localSheetId="6" hidden="1">IF([0]!xlstatbox28/2-INT([0]!xlstatbox28/2)&lt;0.1,8.7,4.4)</definedName>
    <definedName name="ydata30" hidden="1">IF([0]!xlstatbox28/2-INT([0]!xlstatbox28/2)&lt;0.1,8.7,4.4)</definedName>
    <definedName name="ydata33" localSheetId="0" hidden="1">IF([0]!xlstatbox31/2-INT([0]!xlstatbox31/2)&lt;0.1,9.8,9.8)</definedName>
    <definedName name="ydata33" localSheetId="6" hidden="1">IF([0]!xlstatbox31/2-INT([0]!xlstatbox31/2)&lt;0.1,9.8,9.8)</definedName>
    <definedName name="ydata33" hidden="1">IF([0]!xlstatbox31/2-INT([0]!xlstatbox31/2)&lt;0.1,9.8,9.8)</definedName>
    <definedName name="ydata36" localSheetId="0" hidden="1">IF([0]!xlstatbox34/2-INT([0]!xlstatbox34/2)&lt;0.1,21.8,2)</definedName>
    <definedName name="ydata36" localSheetId="6" hidden="1">IF([0]!xlstatbox34/2-INT([0]!xlstatbox34/2)&lt;0.1,21.8,2)</definedName>
    <definedName name="ydata36" hidden="1">IF([0]!xlstatbox34/2-INT([0]!xlstatbox34/2)&lt;0.1,21.8,2)</definedName>
    <definedName name="ydata39" localSheetId="0" hidden="1">IF([0]!xlstatbox37/2-INT([0]!xlstatbox37/2)&lt;0.1,450.5,148.5)</definedName>
    <definedName name="ydata39" localSheetId="6" hidden="1">IF([0]!xlstatbox37/2-INT([0]!xlstatbox37/2)&lt;0.1,450.5,148.5)</definedName>
    <definedName name="ydata39" hidden="1">IF([0]!xlstatbox37/2-INT([0]!xlstatbox37/2)&lt;0.1,450.5,148.5)</definedName>
    <definedName name="ydata4" localSheetId="0" hidden="1">0+1*[0]!xdata3+3.27801752932686*(1.00016992353441+([0]!xdata3-6.38232795242142)^2/16429.6841596166)^0.5</definedName>
    <definedName name="ydata4" localSheetId="6" hidden="1">0+1*[0]!xdata3+3.27801752932686*(1.00016992353441+([0]!xdata3-6.38232795242142)^2/16429.6841596166)^0.5</definedName>
    <definedName name="ydata4" hidden="1">0+1*[0]!xdata3+3.27801752932686*(1.00016992353441+([0]!xdata3-6.38232795242142)^2/16429.6841596166)^0.5</definedName>
    <definedName name="ydata42" localSheetId="0" hidden="1">IF([0]!xlstatbox40/2-INT([0]!xlstatbox40/2)&lt;0.1,327,90)</definedName>
    <definedName name="ydata42" localSheetId="6" hidden="1">IF([0]!xlstatbox40/2-INT([0]!xlstatbox40/2)&lt;0.1,327,90)</definedName>
    <definedName name="ydata42" hidden="1">IF([0]!xlstatbox40/2-INT([0]!xlstatbox40/2)&lt;0.1,327,90)</definedName>
    <definedName name="ydata45" localSheetId="0" hidden="1">IF([0]!xlstatbox43/2-INT([0]!xlstatbox43/2)&lt;0.1,11,11)</definedName>
    <definedName name="ydata45" localSheetId="6" hidden="1">IF([0]!xlstatbox43/2-INT([0]!xlstatbox43/2)&lt;0.1,11,11)</definedName>
    <definedName name="ydata45" hidden="1">IF([0]!xlstatbox43/2-INT([0]!xlstatbox43/2)&lt;0.1,11,11)</definedName>
    <definedName name="ydata48" localSheetId="0" hidden="1">IF([0]!xlstatbox46/2-INT([0]!xlstatbox46/2)&lt;0.1,421.25,148.5)</definedName>
    <definedName name="ydata48" localSheetId="6" hidden="1">IF([0]!xlstatbox46/2-INT([0]!xlstatbox46/2)&lt;0.1,421.25,148.5)</definedName>
    <definedName name="ydata48" hidden="1">IF([0]!xlstatbox46/2-INT([0]!xlstatbox46/2)&lt;0.1,421.25,148.5)</definedName>
    <definedName name="ydata51" localSheetId="0" hidden="1">IF([0]!xlstatbox49/2-INT([0]!xlstatbox49/2)&lt;0.1,4.1,0)</definedName>
    <definedName name="ydata51" localSheetId="6" hidden="1">IF([0]!xlstatbox49/2-INT([0]!xlstatbox49/2)&lt;0.1,4.1,0)</definedName>
    <definedName name="ydata51" hidden="1">IF([0]!xlstatbox49/2-INT([0]!xlstatbox49/2)&lt;0.1,4.1,0)</definedName>
    <definedName name="ydata54" localSheetId="0" hidden="1">IF([0]!xlstatbox52/2-INT([0]!xlstatbox52/2)&lt;0.1,4.05,0.55)</definedName>
    <definedName name="ydata54" localSheetId="6" hidden="1">IF([0]!xlstatbox52/2-INT([0]!xlstatbox52/2)&lt;0.1,4.05,0.55)</definedName>
    <definedName name="ydata54" hidden="1">IF([0]!xlstatbox52/2-INT([0]!xlstatbox52/2)&lt;0.1,4.05,0.55)</definedName>
    <definedName name="ydata57" localSheetId="0" hidden="1">IF([0]!xlstatbox55/2-INT([0]!xlstatbox55/2)&lt;0.1,0,0)</definedName>
    <definedName name="ydata57" localSheetId="6" hidden="1">IF([0]!xlstatbox55/2-INT([0]!xlstatbox55/2)&lt;0.1,0,0)</definedName>
    <definedName name="ydata57" hidden="1">IF([0]!xlstatbox55/2-INT([0]!xlstatbox55/2)&lt;0.1,0,0)</definedName>
    <definedName name="ydata6" localSheetId="0" hidden="1">IF([0]!xlstatbox4/2-INT([0]!xlstatbox4/2)&lt;0.1,5.2,0.2)</definedName>
    <definedName name="ydata6" localSheetId="6" hidden="1">IF([0]!xlstatbox4/2-INT([0]!xlstatbox4/2)&lt;0.1,5.2,0.2)</definedName>
    <definedName name="ydata6" hidden="1">IF([0]!xlstatbox4/2-INT([0]!xlstatbox4/2)&lt;0.1,5.2,0.2)</definedName>
    <definedName name="ydata60" localSheetId="0" hidden="1">IF([0]!xlstatbox58/2-INT([0]!xlstatbox58/2)&lt;0.1,4.6,0.8)</definedName>
    <definedName name="ydata60" localSheetId="6" hidden="1">IF([0]!xlstatbox58/2-INT([0]!xlstatbox58/2)&lt;0.1,4.6,0.8)</definedName>
    <definedName name="ydata60" hidden="1">IF([0]!xlstatbox58/2-INT([0]!xlstatbox58/2)&lt;0.1,4.6,0.8)</definedName>
    <definedName name="ydata63" localSheetId="0" hidden="1">IF([0]!xlstatbox61/2-INT([0]!xlstatbox61/2)&lt;0.1,9.55,2.575)</definedName>
    <definedName name="ydata63" localSheetId="6" hidden="1">IF([0]!xlstatbox61/2-INT([0]!xlstatbox61/2)&lt;0.1,9.55,2.575)</definedName>
    <definedName name="ydata63" hidden="1">IF([0]!xlstatbox61/2-INT([0]!xlstatbox61/2)&lt;0.1,9.55,2.575)</definedName>
    <definedName name="ydata66" localSheetId="0" hidden="1">IF([0]!xlstatbox64/2-INT([0]!xlstatbox64/2)&lt;0.1,14.2,0.55)</definedName>
    <definedName name="ydata66" localSheetId="6" hidden="1">IF([0]!xlstatbox64/2-INT([0]!xlstatbox64/2)&lt;0.1,14.2,0.55)</definedName>
    <definedName name="ydata66" hidden="1">IF([0]!xlstatbox64/2-INT([0]!xlstatbox64/2)&lt;0.1,14.2,0.55)</definedName>
    <definedName name="ydata69" localSheetId="0" hidden="1">IF([0]!xlstatbox67/2-INT([0]!xlstatbox67/2)&lt;0.1,0,0)</definedName>
    <definedName name="ydata69" localSheetId="6" hidden="1">IF([0]!xlstatbox67/2-INT([0]!xlstatbox67/2)&lt;0.1,0,0)</definedName>
    <definedName name="ydata69" hidden="1">IF([0]!xlstatbox67/2-INT([0]!xlstatbox67/2)&lt;0.1,0,0)</definedName>
    <definedName name="ydata72" localSheetId="0" hidden="1">IF([0]!xlstatbox70/2-INT([0]!xlstatbox70/2)&lt;0.1,9.2,2.5)</definedName>
    <definedName name="ydata72" localSheetId="6" hidden="1">IF([0]!xlstatbox70/2-INT([0]!xlstatbox70/2)&lt;0.1,9.2,2.5)</definedName>
    <definedName name="ydata72" hidden="1">IF([0]!xlstatbox70/2-INT([0]!xlstatbox70/2)&lt;0.1,9.2,2.5)</definedName>
    <definedName name="ydata75" localSheetId="0" hidden="1">IF([0]!xlstatbox73/2-INT([0]!xlstatbox73/2)&lt;0.1,0,0)</definedName>
    <definedName name="ydata75" localSheetId="6" hidden="1">IF([0]!xlstatbox73/2-INT([0]!xlstatbox73/2)&lt;0.1,0,0)</definedName>
    <definedName name="ydata75" hidden="1">IF([0]!xlstatbox73/2-INT([0]!xlstatbox73/2)&lt;0.1,0,0)</definedName>
    <definedName name="ydata78" localSheetId="0" hidden="1">IF([0]!xlstatbox76/2-INT([0]!xlstatbox76/2)&lt;0.1,0,0)</definedName>
    <definedName name="ydata78" localSheetId="6" hidden="1">IF([0]!xlstatbox76/2-INT([0]!xlstatbox76/2)&lt;0.1,0,0)</definedName>
    <definedName name="ydata78" hidden="1">IF([0]!xlstatbox76/2-INT([0]!xlstatbox76/2)&lt;0.1,0,0)</definedName>
    <definedName name="ydata81" localSheetId="0" hidden="1">IF([0]!xlstatbox79/2-INT([0]!xlstatbox79/2)&lt;0.1,0,0)</definedName>
    <definedName name="ydata81" localSheetId="6" hidden="1">IF([0]!xlstatbox79/2-INT([0]!xlstatbox79/2)&lt;0.1,0,0)</definedName>
    <definedName name="ydata81" hidden="1">IF([0]!xlstatbox79/2-INT([0]!xlstatbox79/2)&lt;0.1,0,0)</definedName>
    <definedName name="ydata84" localSheetId="0" hidden="1">IF([0]!xlstatbox82/2-INT([0]!xlstatbox82/2)&lt;0.1,0,0)</definedName>
    <definedName name="ydata84" localSheetId="6" hidden="1">IF([0]!xlstatbox82/2-INT([0]!xlstatbox82/2)&lt;0.1,0,0)</definedName>
    <definedName name="ydata84" hidden="1">IF([0]!xlstatbox82/2-INT([0]!xlstatbox82/2)&lt;0.1,0,0)</definedName>
    <definedName name="ydata87" localSheetId="0" hidden="1">IF([0]!xlstatbox85/2-INT([0]!xlstatbox85/2)&lt;0.1,45,0)</definedName>
    <definedName name="ydata87" localSheetId="6" hidden="1">IF([0]!xlstatbox85/2-INT([0]!xlstatbox85/2)&lt;0.1,45,0)</definedName>
    <definedName name="ydata87" hidden="1">IF([0]!xlstatbox85/2-INT([0]!xlstatbox85/2)&lt;0.1,45,0)</definedName>
    <definedName name="ydata9" localSheetId="0" hidden="1">IF([0]!xlstatbox7/2-INT([0]!xlstatbox7/2)&lt;0.1,22.1,2)</definedName>
    <definedName name="ydata9" localSheetId="6" hidden="1">IF([0]!xlstatbox7/2-INT([0]!xlstatbox7/2)&lt;0.1,22.1,2)</definedName>
    <definedName name="ydata9" hidden="1">IF([0]!xlstatbox7/2-INT([0]!xlstatbox7/2)&lt;0.1,22.1,2)</definedName>
    <definedName name="ydata90" localSheetId="0" hidden="1">IF([0]!xlstatbox88/2-INT([0]!xlstatbox88/2)&lt;0.1,98.15,61)</definedName>
    <definedName name="ydata90" localSheetId="6" hidden="1">IF([0]!xlstatbox88/2-INT([0]!xlstatbox88/2)&lt;0.1,98.15,61)</definedName>
    <definedName name="ydata90" hidden="1">IF([0]!xlstatbox88/2-INT([0]!xlstatbox88/2)&lt;0.1,98.15,61)</definedName>
    <definedName name="ydata93" localSheetId="0" hidden="1">IF([0]!xlstatbox91/2-INT([0]!xlstatbox91/2)&lt;0.1,0,0)</definedName>
    <definedName name="ydata93" localSheetId="6" hidden="1">IF([0]!xlstatbox91/2-INT([0]!xlstatbox91/2)&lt;0.1,0,0)</definedName>
    <definedName name="ydata93" hidden="1">IF([0]!xlstatbox91/2-INT([0]!xlstatbox91/2)&lt;0.1,0,0)</definedName>
    <definedName name="ydata96" localSheetId="0" hidden="1">IF([0]!xlstatbox94/2-INT([0]!xlstatbox94/2)&lt;0.1,43,0)</definedName>
    <definedName name="ydata96" localSheetId="6" hidden="1">IF([0]!xlstatbox94/2-INT([0]!xlstatbox94/2)&lt;0.1,43,0)</definedName>
    <definedName name="ydata96" hidden="1">IF([0]!xlstatbox94/2-INT([0]!xlstatbox94/2)&lt;0.1,43,0)</definedName>
    <definedName name="yycir1" localSheetId="0" hidden="1">1*SIN([0]!xcir1)+0+0*COS([0]!xcir1)</definedName>
    <definedName name="yycir1" localSheetId="6" hidden="1">1*SIN([0]!xcir1)+0+0*COS([0]!xcir1)</definedName>
    <definedName name="yycir1" hidden="1">1*SIN([0]!xcir1)+0+0*COS([0]!xcir1)</definedName>
    <definedName name="yycir11" localSheetId="0" hidden="1">0.277156016562353*SIN([0]!xcir0)+0.473657843409121+0.383868678458101*COS([0]!xcir0)</definedName>
    <definedName name="yycir11" localSheetId="6" hidden="1">0.277156016562353*SIN([0]!xcir0)+0.473657843409121+0.383868678458101*COS([0]!xcir0)</definedName>
    <definedName name="yycir11" hidden="1">0.277156016562353*SIN([0]!xcir0)+0.473657843409121+0.383868678458101*COS([0]!xcir0)</definedName>
    <definedName name="yycir13" localSheetId="0" hidden="1">0.0073946001033498*SIN([0]!xcir0)+0.00561365571382+0.0165037651982758*COS([0]!xcir0)</definedName>
    <definedName name="yycir13" localSheetId="6" hidden="1">0.0073946001033498*SIN([0]!xcir0)+0.00561365571382+0.0165037651982758*COS([0]!xcir0)</definedName>
    <definedName name="yycir13" hidden="1">0.0073946001033498*SIN([0]!xcir0)+0.00561365571382+0.0165037651982758*COS([0]!xcir0)</definedName>
    <definedName name="yycir15" localSheetId="0" hidden="1">0.419579636264736*SIN([0]!xcir0)+0.786591696844317+0.113707270666011*COS([0]!xcir0)</definedName>
    <definedName name="yycir15" localSheetId="6" hidden="1">0.419579636264736*SIN([0]!xcir0)+0.786591696844317+0.113707270666011*COS([0]!xcir0)</definedName>
    <definedName name="yycir15" hidden="1">0.419579636264736*SIN([0]!xcir0)+0.786591696844317+0.113707270666011*COS([0]!xcir0)</definedName>
    <definedName name="yycir17" localSheetId="0" hidden="1">0.495675299149827*SIN([0]!xcir0)+0.301830311953195+0.408883335241121*COS([0]!xcir0)</definedName>
    <definedName name="yycir17" localSheetId="6" hidden="1">0.495675299149827*SIN([0]!xcir0)+0.301830311953195+0.408883335241121*COS([0]!xcir0)</definedName>
    <definedName name="yycir17" hidden="1">0.495675299149827*SIN([0]!xcir0)+0.301830311953195+0.408883335241121*COS([0]!xcir0)</definedName>
    <definedName name="yycir19" localSheetId="0" hidden="1">0.108467275310354*SIN([0]!xcir0)+0.0469532929470363+0.0942532084314928*COS([0]!xcir0)</definedName>
    <definedName name="yycir19" localSheetId="6" hidden="1">0.108467275310354*SIN([0]!xcir0)+0.0469532929470363+0.0942532084314928*COS([0]!xcir0)</definedName>
    <definedName name="yycir19" hidden="1">0.108467275310354*SIN([0]!xcir0)+0.0469532929470363+0.0942532084314928*COS([0]!xcir0)</definedName>
    <definedName name="yycir21" localSheetId="0" hidden="1">0.424602826679135*SIN([0]!xcir0)+0.294783569953151+0.35633311594068*COS([0]!xcir0)</definedName>
    <definedName name="yycir21" localSheetId="6" hidden="1">0.424602826679135*SIN([0]!xcir0)+0.294783569953151+0.35633311594068*COS([0]!xcir0)</definedName>
    <definedName name="yycir21" hidden="1">0.424602826679135*SIN([0]!xcir0)+0.294783569953151+0.35633311594068*COS([0]!xcir0)</definedName>
    <definedName name="yycir23" localSheetId="0" hidden="1">73.1527326765938*SIN([0]!xcir0)+52.5008474576271+-0.0704338937984535*COS([0]!xcir0)</definedName>
    <definedName name="yycir23" localSheetId="6" hidden="1">73.1527326765938*SIN([0]!xcir0)+52.5008474576271+-0.0704338937984535*COS([0]!xcir0)</definedName>
    <definedName name="yycir23" hidden="1">73.1527326765938*SIN([0]!xcir0)+52.5008474576271+-0.0704338937984535*COS([0]!xcir0)</definedName>
    <definedName name="yycir25" localSheetId="0" hidden="1">2.30758191532499*SIN([0]!xcir0)+99.8484848484848+0.0735942309990778*COS([0]!xcir0)</definedName>
    <definedName name="yycir25" localSheetId="6" hidden="1">2.30758191532499*SIN([0]!xcir0)+99.8484848484848+0.0735942309990778*COS([0]!xcir0)</definedName>
    <definedName name="yycir25" hidden="1">2.30758191532499*SIN([0]!xcir0)+99.8484848484848+0.0735942309990778*COS([0]!xcir0)</definedName>
    <definedName name="yycir27" localSheetId="0" hidden="1">3.16853052977869*SIN([0]!xcir0)+95.4674603174603+0.602936956569236*COS([0]!xcir0)</definedName>
    <definedName name="yycir27" localSheetId="6" hidden="1">3.16853052977869*SIN([0]!xcir0)+95.4674603174603+0.602936956569236*COS([0]!xcir0)</definedName>
    <definedName name="yycir27" hidden="1">3.16853052977869*SIN([0]!xcir0)+95.4674603174603+0.602936956569236*COS([0]!xcir0)</definedName>
    <definedName name="yycir29" localSheetId="0" hidden="1">23.2932250051558*SIN([0]!xcir0)+2.8+-0.928926952681332*COS([0]!xcir0)</definedName>
    <definedName name="yycir29" localSheetId="6" hidden="1">23.2932250051558*SIN([0]!xcir0)+2.8+-0.928926952681332*COS([0]!xcir0)</definedName>
    <definedName name="yycir29" hidden="1">23.2932250051558*SIN([0]!xcir0)+2.8+-0.928926952681332*COS([0]!xcir0)</definedName>
    <definedName name="yycir3" localSheetId="0" hidden="1">0.19169817100046*SIN([0]!xcir0)+0.90519722916274+0.23239243121596*COS([0]!xcir0)</definedName>
    <definedName name="yycir3" localSheetId="6" hidden="1">0.19169817100046*SIN([0]!xcir0)+0.90519722916274+0.23239243121596*COS([0]!xcir0)</definedName>
    <definedName name="yycir3" hidden="1">0.19169817100046*SIN([0]!xcir0)+0.90519722916274+0.23239243121596*COS([0]!xcir0)</definedName>
    <definedName name="yycir31" localSheetId="0" hidden="1">0.0000000000000006*SIN([0]!xcir0)+0+0*COS([0]!xcir0)</definedName>
    <definedName name="yycir31" localSheetId="6" hidden="1">0.0000000000000006*SIN([0]!xcir0)+0+0*COS([0]!xcir0)</definedName>
    <definedName name="yycir31" hidden="1">0.0000000000000006*SIN([0]!xcir0)+0+0*COS([0]!xcir0)</definedName>
    <definedName name="yycir33" localSheetId="0" hidden="1">0.0000000000000006*SIN([0]!xcir0)+0+0*COS([0]!xcir0)</definedName>
    <definedName name="yycir33" localSheetId="6" hidden="1">0.0000000000000006*SIN([0]!xcir0)+0+0*COS([0]!xcir0)</definedName>
    <definedName name="yycir33" hidden="1">0.0000000000000006*SIN([0]!xcir0)+0+0*COS([0]!xcir0)</definedName>
    <definedName name="yycir35" localSheetId="0" hidden="1">25.1378998528056*SIN([0]!xcir0)+2.01428571428572+2.87436047582697*COS([0]!xcir0)</definedName>
    <definedName name="yycir35" localSheetId="6" hidden="1">25.1378998528056*SIN([0]!xcir0)+2.01428571428572+2.87436047582697*COS([0]!xcir0)</definedName>
    <definedName name="yycir35" hidden="1">25.1378998528056*SIN([0]!xcir0)+2.01428571428572+2.87436047582697*COS([0]!xcir0)</definedName>
    <definedName name="yycir37" localSheetId="0" hidden="1">12.2168521517929*SIN([0]!xcir0)+1+-3.15437766179816*COS([0]!xcir0)</definedName>
    <definedName name="yycir37" localSheetId="6" hidden="1">12.2168521517929*SIN([0]!xcir0)+1+-3.15437766179816*COS([0]!xcir0)</definedName>
    <definedName name="yycir37" hidden="1">12.2168521517929*SIN([0]!xcir0)+1+-3.15437766179816*COS([0]!xcir0)</definedName>
    <definedName name="yycir39" localSheetId="0" hidden="1">0.0000000000000007*SIN([0]!xcir0)+0+0*COS([0]!xcir0)</definedName>
    <definedName name="yycir39" localSheetId="6" hidden="1">0.0000000000000007*SIN([0]!xcir0)+0+0*COS([0]!xcir0)</definedName>
    <definedName name="yycir39" hidden="1">0.0000000000000007*SIN([0]!xcir0)+0+0*COS([0]!xcir0)</definedName>
    <definedName name="yycir41" localSheetId="0" hidden="1">66.02377095532*SIN([0]!xcir0)+12.54+-45.4819680949459*COS([0]!xcir0)</definedName>
    <definedName name="yycir41" localSheetId="6" hidden="1">66.02377095532*SIN([0]!xcir0)+12.54+-45.4819680949459*COS([0]!xcir0)</definedName>
    <definedName name="yycir41" hidden="1">66.02377095532*SIN([0]!xcir0)+12.54+-45.4819680949459*COS([0]!xcir0)</definedName>
    <definedName name="yycir43" localSheetId="0" hidden="1">0.136112826187709*SIN([0]!xcir0)+0.0058823529411765+-0.0136819819827951*COS([0]!xcir0)</definedName>
    <definedName name="yycir43" localSheetId="6" hidden="1">0.136112826187709*SIN([0]!xcir0)+0.0058823529411765+-0.0136819819827951*COS([0]!xcir0)</definedName>
    <definedName name="yycir43" hidden="1">0.136112826187709*SIN([0]!xcir0)+0.0058823529411765+-0.0136819819827951*COS([0]!xcir0)</definedName>
    <definedName name="yycir45" localSheetId="0" hidden="1">39.8559357739512*SIN([0]!xcir0)+3.878125+-0.922722452695444*COS([0]!xcir0)</definedName>
    <definedName name="yycir45" localSheetId="6" hidden="1">39.8559357739512*SIN([0]!xcir0)+3.878125+-0.922722452695444*COS([0]!xcir0)</definedName>
    <definedName name="yycir45" hidden="1">39.8559357739512*SIN([0]!xcir0)+3.878125+-0.922722452695444*COS([0]!xcir0)</definedName>
    <definedName name="yycir47" localSheetId="0" hidden="1">3.77954211643745*SIN([0]!xcir0)+0.497948717948718+-0.069988369878025*COS([0]!xcir0)</definedName>
    <definedName name="yycir47" localSheetId="6" hidden="1">3.77954211643745*SIN([0]!xcir0)+0.497948717948718+-0.069988369878025*COS([0]!xcir0)</definedName>
    <definedName name="yycir47" hidden="1">3.77954211643745*SIN([0]!xcir0)+0.497948717948718+-0.069988369878025*COS([0]!xcir0)</definedName>
    <definedName name="yycir49" localSheetId="0" hidden="1">7.60666490376287*SIN([0]!xcir0)+0.714285714285714+0*COS([0]!xcir0)</definedName>
    <definedName name="yycir49" localSheetId="6" hidden="1">7.60666490376287*SIN([0]!xcir0)+0.714285714285714+0*COS([0]!xcir0)</definedName>
    <definedName name="yycir49" hidden="1">7.60666490376287*SIN([0]!xcir0)+0.714285714285714+0*COS([0]!xcir0)</definedName>
    <definedName name="yycir5" localSheetId="0" hidden="1">0.061767879882533*SIN([0]!xcir0)+0.103285814640795+0.267990705495457*COS([0]!xcir0)</definedName>
    <definedName name="yycir5" localSheetId="6" hidden="1">0.061767879882533*SIN([0]!xcir0)+0.103285814640795+0.267990705495457*COS([0]!xcir0)</definedName>
    <definedName name="yycir5" hidden="1">0.061767879882533*SIN([0]!xcir0)+0.103285814640795+0.267990705495457*COS([0]!xcir0)</definedName>
    <definedName name="yycir51" localSheetId="0" hidden="1">0.0000000000000077*SIN([0]!xcir0)+0+0*COS([0]!xcir0)</definedName>
    <definedName name="yycir51" localSheetId="6" hidden="1">0.0000000000000077*SIN([0]!xcir0)+0+0*COS([0]!xcir0)</definedName>
    <definedName name="yycir51" hidden="1">0.0000000000000077*SIN([0]!xcir0)+0+0*COS([0]!xcir0)</definedName>
    <definedName name="yycir53" localSheetId="0" hidden="1">44.2715667309059*SIN([0]!xcir0)+7.28549302325581+-8.8605945636726*COS([0]!xcir0)</definedName>
    <definedName name="yycir53" localSheetId="6" hidden="1">44.2715667309059*SIN([0]!xcir0)+7.28549302325581+-8.8605945636726*COS([0]!xcir0)</definedName>
    <definedName name="yycir53" hidden="1">44.2715667309059*SIN([0]!xcir0)+7.28549302325581+-8.8605945636726*COS([0]!xcir0)</definedName>
    <definedName name="yycir55" localSheetId="0" hidden="1">25.0780678429057*SIN([0]!xcir0)+8.18181818181818+53.0928549226705*COS([0]!xcir0)</definedName>
    <definedName name="yycir55" localSheetId="6" hidden="1">25.0780678429057*SIN([0]!xcir0)+8.18181818181818+53.0928549226705*COS([0]!xcir0)</definedName>
    <definedName name="yycir55" hidden="1">25.0780678429057*SIN([0]!xcir0)+8.18181818181818+53.0928549226705*COS([0]!xcir0)</definedName>
    <definedName name="yycir57" localSheetId="0" hidden="1">397.015866360734*SIN([0]!xcir0)+11+-39.7416891668587*COS([0]!xcir0)</definedName>
    <definedName name="yycir57" localSheetId="6" hidden="1">397.015866360734*SIN([0]!xcir0)+11+-39.7416891668587*COS([0]!xcir0)</definedName>
    <definedName name="yycir57" hidden="1">397.015866360734*SIN([0]!xcir0)+11+-39.7416891668587*COS([0]!xcir0)</definedName>
    <definedName name="yycir59" localSheetId="0" hidden="1">95.6936957319371*SIN([0]!xcir0)+27.82125+-36.7625744225147*COS([0]!xcir0)</definedName>
    <definedName name="yycir59" localSheetId="6" hidden="1">95.6936957319371*SIN([0]!xcir0)+27.82125+-36.7625744225147*COS([0]!xcir0)</definedName>
    <definedName name="yycir59" hidden="1">95.6936957319371*SIN([0]!xcir0)+27.82125+-36.7625744225147*COS([0]!xcir0)</definedName>
    <definedName name="yycir61" localSheetId="0" hidden="1">32.1875943043255*SIN([0]!xcir0)+3.90738255033557+3.49835707538877*COS([0]!xcir0)</definedName>
    <definedName name="yycir61" localSheetId="6" hidden="1">32.1875943043255*SIN([0]!xcir0)+3.90738255033557+3.49835707538877*COS([0]!xcir0)</definedName>
    <definedName name="yycir61" hidden="1">32.1875943043255*SIN([0]!xcir0)+3.90738255033557+3.49835707538877*COS([0]!xcir0)</definedName>
    <definedName name="yycir63" localSheetId="0" hidden="1">53.3256663445467*SIN([0]!xcir0)+10.6772486772487+-1.4588293975609*COS([0]!xcir0)</definedName>
    <definedName name="yycir63" localSheetId="6" hidden="1">53.3256663445467*SIN([0]!xcir0)+10.6772486772487+-1.4588293975609*COS([0]!xcir0)</definedName>
    <definedName name="yycir63" hidden="1">53.3256663445467*SIN([0]!xcir0)+10.6772486772487+-1.4588293975609*COS([0]!xcir0)</definedName>
    <definedName name="yycir65" localSheetId="0" hidden="1">0.0000000000000005*SIN([0]!xcir0)+0+0*COS([0]!xcir0)</definedName>
    <definedName name="yycir65" localSheetId="6" hidden="1">0.0000000000000005*SIN([0]!xcir0)+0+0*COS([0]!xcir0)</definedName>
    <definedName name="yycir65" hidden="1">0.0000000000000005*SIN([0]!xcir0)+0+0*COS([0]!xcir0)</definedName>
    <definedName name="yycir67" localSheetId="0" hidden="1">4.07877294268454*SIN([0]!xcir0)+0.201680672268908+-0.0249143251557305*COS([0]!xcir0)</definedName>
    <definedName name="yycir67" localSheetId="6" hidden="1">4.07877294268454*SIN([0]!xcir0)+0.201680672268908+-0.0249143251557305*COS([0]!xcir0)</definedName>
    <definedName name="yycir67" hidden="1">4.07877294268454*SIN([0]!xcir0)+0.201680672268908+-0.0249143251557305*COS([0]!xcir0)</definedName>
    <definedName name="yycir69" localSheetId="0" hidden="1">44.8218925259147*SIN([0]!xcir0)+93.2105263157895+-0.675549961121197*COS([0]!xcir0)</definedName>
    <definedName name="yycir69" localSheetId="6" hidden="1">44.8218925259147*SIN([0]!xcir0)+93.2105263157895+-0.675549961121197*COS([0]!xcir0)</definedName>
    <definedName name="yycir69" hidden="1">44.8218925259147*SIN([0]!xcir0)+93.2105263157895+-0.675549961121197*COS([0]!xcir0)</definedName>
    <definedName name="yycir7" localSheetId="0" hidden="1">0.22445694558045*SIN([0]!xcir0)+0.447060714056432+0.217182625975099*COS([0]!xcir0)</definedName>
    <definedName name="yycir7" localSheetId="6" hidden="1">0.22445694558045*SIN([0]!xcir0)+0.447060714056432+0.217182625975099*COS([0]!xcir0)</definedName>
    <definedName name="yycir7" hidden="1">0.22445694558045*SIN([0]!xcir0)+0.447060714056432+0.217182625975099*COS([0]!xcir0)</definedName>
    <definedName name="yycir71" localSheetId="0" hidden="1">85.6897175938158*SIN([0]!xcir0)+39.289156626506+-25.6484669350411*COS([0]!xcir0)</definedName>
    <definedName name="yycir71" localSheetId="6" hidden="1">85.6897175938158*SIN([0]!xcir0)+39.289156626506+-25.6484669350411*COS([0]!xcir0)</definedName>
    <definedName name="yycir71" hidden="1">85.6897175938158*SIN([0]!xcir0)+39.289156626506+-25.6484669350411*COS([0]!xcir0)</definedName>
    <definedName name="yycir73" localSheetId="0" hidden="1">75.9098391464674*SIN([0]!xcir0)+81.4253658536585+-3.05243202854239*COS([0]!xcir0)</definedName>
    <definedName name="yycir73" localSheetId="6" hidden="1">75.9098391464674*SIN([0]!xcir0)+81.4253658536585+-3.05243202854239*COS([0]!xcir0)</definedName>
    <definedName name="yycir73" hidden="1">75.9098391464674*SIN([0]!xcir0)+81.4253658536585+-3.05243202854239*COS([0]!xcir0)</definedName>
    <definedName name="yycir75" localSheetId="0" hidden="1">32.2947351710589*SIN([0]!xcir0)+98.3333333333333+-6.73071199725249*COS([0]!xcir0)</definedName>
    <definedName name="yycir75" localSheetId="6" hidden="1">32.2947351710589*SIN([0]!xcir0)+98.3333333333333+-6.73071199725249*COS([0]!xcir0)</definedName>
    <definedName name="yycir75" hidden="1">32.2947351710589*SIN([0]!xcir0)+98.3333333333333+-6.73071199725249*COS([0]!xcir0)</definedName>
    <definedName name="yycir77" localSheetId="0" hidden="1">19.9749843554382*SIN([0]!xcir0)+95.3333333333333+0*COS([0]!xcir0)</definedName>
    <definedName name="yycir77" localSheetId="6" hidden="1">19.9749843554382*SIN([0]!xcir0)+95.3333333333333+0*COS([0]!xcir0)</definedName>
    <definedName name="yycir77" hidden="1">19.9749843554382*SIN([0]!xcir0)+95.3333333333333+0*COS([0]!xcir0)</definedName>
    <definedName name="yycir9" localSheetId="0" hidden="1">0.0201416771191745*SIN([0]!xcir0)+0.0126456774452615+0.0627764134150444*COS([0]!xcir0)</definedName>
    <definedName name="yycir9" localSheetId="6" hidden="1">0.0201416771191745*SIN([0]!xcir0)+0.0126456774452615+0.0627764134150444*COS([0]!xcir0)</definedName>
    <definedName name="yycir9" hidden="1">0.0201416771191745*SIN([0]!xcir0)+0.0126456774452615+0.0627764134150444*COS([0]!xcir0)</definedName>
  </definedNames>
  <calcPr calcId="191029"/>
</workbook>
</file>

<file path=xl/calcChain.xml><?xml version="1.0" encoding="utf-8"?>
<calcChain xmlns="http://schemas.openxmlformats.org/spreadsheetml/2006/main">
  <c r="C56" i="5" l="1"/>
  <c r="C55" i="5"/>
  <c r="C54" i="5"/>
  <c r="C53" i="5"/>
  <c r="C52" i="5"/>
  <c r="C51" i="5"/>
  <c r="C50" i="5"/>
  <c r="C49" i="5"/>
  <c r="C48" i="5"/>
  <c r="C47" i="5"/>
  <c r="C46" i="5"/>
  <c r="C45" i="5"/>
  <c r="C44" i="5"/>
  <c r="C43" i="5"/>
  <c r="C42" i="5"/>
  <c r="C41" i="5"/>
  <c r="C40" i="5"/>
  <c r="K57" i="5"/>
  <c r="I57" i="5"/>
  <c r="K56" i="5"/>
  <c r="I56" i="5"/>
  <c r="K55" i="5"/>
  <c r="I55" i="5"/>
  <c r="K54" i="5"/>
  <c r="I54" i="5"/>
  <c r="K53" i="5"/>
  <c r="I53" i="5"/>
  <c r="K52" i="5"/>
  <c r="I52" i="5"/>
  <c r="K51" i="5"/>
  <c r="I51" i="5"/>
  <c r="K50" i="5"/>
  <c r="I50" i="5"/>
  <c r="H50" i="5"/>
  <c r="K49" i="5"/>
  <c r="J49" i="5"/>
  <c r="I49" i="5"/>
  <c r="H49" i="5"/>
  <c r="K48" i="5"/>
  <c r="J48" i="5"/>
  <c r="I48" i="5"/>
  <c r="H48" i="5"/>
  <c r="K47" i="5"/>
  <c r="J47" i="5"/>
  <c r="I47" i="5"/>
  <c r="H47" i="5"/>
  <c r="K46" i="5"/>
  <c r="J46" i="5"/>
  <c r="I46" i="5"/>
  <c r="H46" i="5"/>
  <c r="K45" i="5"/>
  <c r="J45" i="5"/>
  <c r="I45" i="5"/>
  <c r="H45" i="5"/>
  <c r="K44" i="5"/>
  <c r="J44" i="5"/>
  <c r="I44" i="5"/>
  <c r="H44" i="5"/>
  <c r="K43" i="5"/>
  <c r="J43" i="5"/>
  <c r="I43" i="5"/>
  <c r="H43" i="5"/>
  <c r="K42" i="5"/>
  <c r="J42" i="5"/>
  <c r="I42" i="5"/>
  <c r="H42" i="5"/>
  <c r="K41" i="5"/>
  <c r="J41" i="5"/>
  <c r="I41" i="5"/>
  <c r="H41" i="5"/>
  <c r="I40" i="5"/>
  <c r="K40" i="5"/>
  <c r="J40" i="5"/>
  <c r="H40" i="5"/>
  <c r="E56" i="5"/>
  <c r="D56" i="5"/>
  <c r="E55" i="5"/>
  <c r="D55" i="5"/>
  <c r="E54" i="5"/>
  <c r="D54" i="5"/>
  <c r="E53" i="5"/>
  <c r="D53" i="5"/>
  <c r="E52" i="5"/>
  <c r="D52" i="5"/>
  <c r="E51" i="5"/>
  <c r="D51" i="5"/>
  <c r="E50" i="5"/>
  <c r="D50" i="5"/>
  <c r="E49" i="5"/>
  <c r="D49" i="5"/>
  <c r="E48" i="5"/>
  <c r="D48" i="5"/>
  <c r="E47" i="5"/>
  <c r="D47" i="5"/>
  <c r="E46" i="5"/>
  <c r="D46" i="5"/>
  <c r="E45" i="5"/>
  <c r="D45" i="5"/>
  <c r="E44" i="5"/>
  <c r="D44" i="5"/>
  <c r="E43" i="5"/>
  <c r="D43" i="5"/>
  <c r="E42" i="5"/>
  <c r="D42" i="5"/>
  <c r="E41" i="5"/>
  <c r="D41" i="5"/>
  <c r="E40" i="5"/>
  <c r="D40" i="5"/>
  <c r="B52" i="5"/>
  <c r="B51" i="5"/>
  <c r="B50" i="5"/>
  <c r="B49" i="5"/>
  <c r="B48" i="5"/>
  <c r="B47" i="5"/>
  <c r="B46" i="5"/>
  <c r="B45" i="5"/>
  <c r="B44" i="5"/>
  <c r="B43" i="5"/>
  <c r="B42" i="5"/>
  <c r="B41" i="5"/>
  <c r="B40" i="5"/>
  <c r="I1001" i="8"/>
  <c r="G1001" i="8"/>
  <c r="H1001" i="8" s="1"/>
  <c r="I1000" i="8"/>
  <c r="H1000" i="8"/>
  <c r="G1000" i="8"/>
  <c r="I999" i="8"/>
  <c r="G999" i="8"/>
  <c r="H999" i="8" s="1"/>
  <c r="I998" i="8"/>
  <c r="H998" i="8"/>
  <c r="G998" i="8"/>
  <c r="I997" i="8"/>
  <c r="G997" i="8"/>
  <c r="H997" i="8" s="1"/>
  <c r="I996" i="8"/>
  <c r="G996" i="8"/>
  <c r="H996" i="8" s="1"/>
  <c r="I995" i="8"/>
  <c r="G995" i="8"/>
  <c r="H995" i="8" s="1"/>
  <c r="I994" i="8"/>
  <c r="G994" i="8"/>
  <c r="H994" i="8" s="1"/>
  <c r="I993" i="8"/>
  <c r="H993" i="8"/>
  <c r="G993" i="8"/>
  <c r="I992" i="8"/>
  <c r="G992" i="8"/>
  <c r="H992" i="8" s="1"/>
  <c r="I991" i="8"/>
  <c r="G991" i="8"/>
  <c r="H991" i="8" s="1"/>
  <c r="I990" i="8"/>
  <c r="H990" i="8"/>
  <c r="G990" i="8"/>
  <c r="I989" i="8"/>
  <c r="H989" i="8"/>
  <c r="G989" i="8"/>
  <c r="I988" i="8"/>
  <c r="G988" i="8"/>
  <c r="H988" i="8" s="1"/>
  <c r="I987" i="8"/>
  <c r="G987" i="8"/>
  <c r="H987" i="8" s="1"/>
  <c r="I986" i="8"/>
  <c r="G986" i="8"/>
  <c r="H986" i="8" s="1"/>
  <c r="I985" i="8"/>
  <c r="H985" i="8"/>
  <c r="G985" i="8"/>
  <c r="I984" i="8"/>
  <c r="G984" i="8"/>
  <c r="H984" i="8" s="1"/>
  <c r="I983" i="8"/>
  <c r="G983" i="8"/>
  <c r="H983" i="8" s="1"/>
  <c r="I982" i="8"/>
  <c r="H982" i="8"/>
  <c r="G982" i="8"/>
  <c r="I981" i="8"/>
  <c r="H981" i="8"/>
  <c r="G981" i="8"/>
  <c r="I980" i="8"/>
  <c r="G980" i="8"/>
  <c r="H980" i="8" s="1"/>
  <c r="I979" i="8"/>
  <c r="G979" i="8"/>
  <c r="H979" i="8" s="1"/>
  <c r="I978" i="8"/>
  <c r="G978" i="8"/>
  <c r="H978" i="8" s="1"/>
  <c r="I977" i="8"/>
  <c r="H977" i="8"/>
  <c r="G977" i="8"/>
  <c r="I976" i="8"/>
  <c r="G976" i="8"/>
  <c r="H976" i="8" s="1"/>
  <c r="I975" i="8"/>
  <c r="G975" i="8"/>
  <c r="H975" i="8" s="1"/>
  <c r="I974" i="8"/>
  <c r="H974" i="8"/>
  <c r="G974" i="8"/>
  <c r="I973" i="8"/>
  <c r="H973" i="8"/>
  <c r="G973" i="8"/>
  <c r="I972" i="8"/>
  <c r="G972" i="8"/>
  <c r="H972" i="8" s="1"/>
  <c r="I971" i="8"/>
  <c r="G971" i="8"/>
  <c r="H971" i="8" s="1"/>
  <c r="I970" i="8"/>
  <c r="G970" i="8"/>
  <c r="H970" i="8" s="1"/>
  <c r="I969" i="8"/>
  <c r="H969" i="8"/>
  <c r="G969" i="8"/>
  <c r="I968" i="8"/>
  <c r="G968" i="8"/>
  <c r="H968" i="8" s="1"/>
  <c r="I967" i="8"/>
  <c r="G967" i="8"/>
  <c r="H967" i="8" s="1"/>
  <c r="I966" i="8"/>
  <c r="H966" i="8"/>
  <c r="G966" i="8"/>
  <c r="I965" i="8"/>
  <c r="H965" i="8"/>
  <c r="G965" i="8"/>
  <c r="I964" i="8"/>
  <c r="G964" i="8"/>
  <c r="H964" i="8" s="1"/>
  <c r="I963" i="8"/>
  <c r="G963" i="8"/>
  <c r="H963" i="8" s="1"/>
  <c r="I962" i="8"/>
  <c r="G962" i="8"/>
  <c r="H962" i="8" s="1"/>
  <c r="I961" i="8"/>
  <c r="H961" i="8"/>
  <c r="G961" i="8"/>
  <c r="I960" i="8"/>
  <c r="G960" i="8"/>
  <c r="H960" i="8" s="1"/>
  <c r="I959" i="8"/>
  <c r="G959" i="8"/>
  <c r="H959" i="8" s="1"/>
  <c r="I958" i="8"/>
  <c r="H958" i="8"/>
  <c r="G958" i="8"/>
  <c r="I957" i="8"/>
  <c r="H957" i="8"/>
  <c r="G957" i="8"/>
  <c r="I956" i="8"/>
  <c r="G956" i="8"/>
  <c r="H956" i="8" s="1"/>
  <c r="I955" i="8"/>
  <c r="H955" i="8"/>
  <c r="G955" i="8"/>
  <c r="I954" i="8"/>
  <c r="G954" i="8"/>
  <c r="H954" i="8" s="1"/>
  <c r="I953" i="8"/>
  <c r="H953" i="8"/>
  <c r="G953" i="8"/>
  <c r="I952" i="8"/>
  <c r="G952" i="8"/>
  <c r="H952" i="8" s="1"/>
  <c r="I951" i="8"/>
  <c r="G951" i="8"/>
  <c r="H951" i="8" s="1"/>
  <c r="I950" i="8"/>
  <c r="H950" i="8"/>
  <c r="G950" i="8"/>
  <c r="I949" i="8"/>
  <c r="H949" i="8"/>
  <c r="G949" i="8"/>
  <c r="I948" i="8"/>
  <c r="G948" i="8"/>
  <c r="H948" i="8" s="1"/>
  <c r="I947" i="8"/>
  <c r="H947" i="8"/>
  <c r="G947" i="8"/>
  <c r="I946" i="8"/>
  <c r="G946" i="8"/>
  <c r="H946" i="8" s="1"/>
  <c r="I945" i="8"/>
  <c r="H945" i="8"/>
  <c r="G945" i="8"/>
  <c r="I944" i="8"/>
  <c r="G944" i="8"/>
  <c r="H944" i="8" s="1"/>
  <c r="I943" i="8"/>
  <c r="G943" i="8"/>
  <c r="H943" i="8" s="1"/>
  <c r="I942" i="8"/>
  <c r="H942" i="8"/>
  <c r="G942" i="8"/>
  <c r="I941" i="8"/>
  <c r="H941" i="8"/>
  <c r="G941" i="8"/>
  <c r="I940" i="8"/>
  <c r="G940" i="8"/>
  <c r="H940" i="8" s="1"/>
  <c r="I939" i="8"/>
  <c r="H939" i="8"/>
  <c r="G939" i="8"/>
  <c r="I938" i="8"/>
  <c r="G938" i="8"/>
  <c r="H938" i="8" s="1"/>
  <c r="I937" i="8"/>
  <c r="H937" i="8"/>
  <c r="G937" i="8"/>
  <c r="I936" i="8"/>
  <c r="G936" i="8"/>
  <c r="H936" i="8" s="1"/>
  <c r="I935" i="8"/>
  <c r="G935" i="8"/>
  <c r="H935" i="8" s="1"/>
  <c r="I934" i="8"/>
  <c r="H934" i="8"/>
  <c r="G934" i="8"/>
  <c r="I933" i="8"/>
  <c r="H933" i="8"/>
  <c r="G933" i="8"/>
  <c r="I932" i="8"/>
  <c r="G932" i="8"/>
  <c r="H932" i="8" s="1"/>
  <c r="I931" i="8"/>
  <c r="H931" i="8"/>
  <c r="G931" i="8"/>
  <c r="I930" i="8"/>
  <c r="G930" i="8"/>
  <c r="H930" i="8" s="1"/>
  <c r="I929" i="8"/>
  <c r="H929" i="8"/>
  <c r="G929" i="8"/>
  <c r="I928" i="8"/>
  <c r="G928" i="8"/>
  <c r="H928" i="8" s="1"/>
  <c r="I927" i="8"/>
  <c r="G927" i="8"/>
  <c r="H927" i="8" s="1"/>
  <c r="I926" i="8"/>
  <c r="H926" i="8"/>
  <c r="G926" i="8"/>
  <c r="I925" i="8"/>
  <c r="H925" i="8"/>
  <c r="G925" i="8"/>
  <c r="I924" i="8"/>
  <c r="G924" i="8"/>
  <c r="H924" i="8" s="1"/>
  <c r="I923" i="8"/>
  <c r="H923" i="8"/>
  <c r="G923" i="8"/>
  <c r="I922" i="8"/>
  <c r="G922" i="8"/>
  <c r="H922" i="8" s="1"/>
  <c r="I921" i="8"/>
  <c r="H921" i="8"/>
  <c r="G921" i="8"/>
  <c r="I920" i="8"/>
  <c r="G920" i="8"/>
  <c r="H920" i="8" s="1"/>
  <c r="I919" i="8"/>
  <c r="G919" i="8"/>
  <c r="H919" i="8" s="1"/>
  <c r="I918" i="8"/>
  <c r="H918" i="8"/>
  <c r="G918" i="8"/>
  <c r="I917" i="8"/>
  <c r="H917" i="8"/>
  <c r="G917" i="8"/>
  <c r="I916" i="8"/>
  <c r="G916" i="8"/>
  <c r="H916" i="8" s="1"/>
  <c r="I915" i="8"/>
  <c r="H915" i="8"/>
  <c r="G915" i="8"/>
  <c r="I914" i="8"/>
  <c r="G914" i="8"/>
  <c r="H914" i="8" s="1"/>
  <c r="I913" i="8"/>
  <c r="H913" i="8"/>
  <c r="G913" i="8"/>
  <c r="I912" i="8"/>
  <c r="G912" i="8"/>
  <c r="H912" i="8" s="1"/>
  <c r="I911" i="8"/>
  <c r="G911" i="8"/>
  <c r="H911" i="8" s="1"/>
  <c r="I910" i="8"/>
  <c r="H910" i="8"/>
  <c r="G910" i="8"/>
  <c r="I909" i="8"/>
  <c r="H909" i="8"/>
  <c r="G909" i="8"/>
  <c r="I908" i="8"/>
  <c r="G908" i="8"/>
  <c r="H908" i="8" s="1"/>
  <c r="I907" i="8"/>
  <c r="H907" i="8"/>
  <c r="G907" i="8"/>
  <c r="I906" i="8"/>
  <c r="G906" i="8"/>
  <c r="H906" i="8" s="1"/>
  <c r="I905" i="8"/>
  <c r="H905" i="8"/>
  <c r="G905" i="8"/>
  <c r="I904" i="8"/>
  <c r="G904" i="8"/>
  <c r="H904" i="8" s="1"/>
  <c r="I903" i="8"/>
  <c r="G903" i="8"/>
  <c r="H903" i="8" s="1"/>
  <c r="I902" i="8"/>
  <c r="H902" i="8"/>
  <c r="G902" i="8"/>
  <c r="I901" i="8"/>
  <c r="H901" i="8"/>
  <c r="G901" i="8"/>
  <c r="I900" i="8"/>
  <c r="G900" i="8"/>
  <c r="H900" i="8" s="1"/>
  <c r="I899" i="8"/>
  <c r="H899" i="8"/>
  <c r="G899" i="8"/>
  <c r="I898" i="8"/>
  <c r="G898" i="8"/>
  <c r="H898" i="8" s="1"/>
  <c r="I897" i="8"/>
  <c r="H897" i="8"/>
  <c r="G897" i="8"/>
  <c r="I896" i="8"/>
  <c r="G896" i="8"/>
  <c r="H896" i="8" s="1"/>
  <c r="I895" i="8"/>
  <c r="G895" i="8"/>
  <c r="H895" i="8" s="1"/>
  <c r="I894" i="8"/>
  <c r="H894" i="8"/>
  <c r="G894" i="8"/>
  <c r="I893" i="8"/>
  <c r="H893" i="8"/>
  <c r="G893" i="8"/>
  <c r="I892" i="8"/>
  <c r="G892" i="8"/>
  <c r="H892" i="8" s="1"/>
  <c r="I891" i="8"/>
  <c r="H891" i="8"/>
  <c r="G891" i="8"/>
  <c r="I890" i="8"/>
  <c r="G890" i="8"/>
  <c r="H890" i="8" s="1"/>
  <c r="I889" i="8"/>
  <c r="H889" i="8"/>
  <c r="G889" i="8"/>
  <c r="I888" i="8"/>
  <c r="G888" i="8"/>
  <c r="H888" i="8" s="1"/>
  <c r="I887" i="8"/>
  <c r="G887" i="8"/>
  <c r="H887" i="8" s="1"/>
  <c r="I886" i="8"/>
  <c r="H886" i="8"/>
  <c r="G886" i="8"/>
  <c r="I885" i="8"/>
  <c r="H885" i="8"/>
  <c r="G885" i="8"/>
  <c r="I884" i="8"/>
  <c r="G884" i="8"/>
  <c r="H884" i="8" s="1"/>
  <c r="I883" i="8"/>
  <c r="H883" i="8"/>
  <c r="G883" i="8"/>
  <c r="I882" i="8"/>
  <c r="G882" i="8"/>
  <c r="H882" i="8" s="1"/>
  <c r="I881" i="8"/>
  <c r="H881" i="8"/>
  <c r="G881" i="8"/>
  <c r="I880" i="8"/>
  <c r="G880" i="8"/>
  <c r="H880" i="8" s="1"/>
  <c r="I879" i="8"/>
  <c r="G879" i="8"/>
  <c r="H879" i="8" s="1"/>
  <c r="I878" i="8"/>
  <c r="H878" i="8"/>
  <c r="G878" i="8"/>
  <c r="I877" i="8"/>
  <c r="H877" i="8"/>
  <c r="G877" i="8"/>
  <c r="I876" i="8"/>
  <c r="G876" i="8"/>
  <c r="H876" i="8" s="1"/>
  <c r="I875" i="8"/>
  <c r="H875" i="8"/>
  <c r="G875" i="8"/>
  <c r="I874" i="8"/>
  <c r="G874" i="8"/>
  <c r="H874" i="8" s="1"/>
  <c r="I873" i="8"/>
  <c r="H873" i="8"/>
  <c r="G873" i="8"/>
  <c r="I872" i="8"/>
  <c r="G872" i="8"/>
  <c r="H872" i="8" s="1"/>
  <c r="I871" i="8"/>
  <c r="G871" i="8"/>
  <c r="H871" i="8" s="1"/>
  <c r="I870" i="8"/>
  <c r="H870" i="8"/>
  <c r="G870" i="8"/>
  <c r="I869" i="8"/>
  <c r="H869" i="8"/>
  <c r="G869" i="8"/>
  <c r="I868" i="8"/>
  <c r="G868" i="8"/>
  <c r="H868" i="8" s="1"/>
  <c r="I867" i="8"/>
  <c r="H867" i="8"/>
  <c r="G867" i="8"/>
  <c r="I866" i="8"/>
  <c r="G866" i="8"/>
  <c r="H866" i="8" s="1"/>
  <c r="I865" i="8"/>
  <c r="H865" i="8"/>
  <c r="G865" i="8"/>
  <c r="I864" i="8"/>
  <c r="G864" i="8"/>
  <c r="H864" i="8" s="1"/>
  <c r="I863" i="8"/>
  <c r="G863" i="8"/>
  <c r="H863" i="8" s="1"/>
  <c r="I862" i="8"/>
  <c r="H862" i="8"/>
  <c r="G862" i="8"/>
  <c r="I861" i="8"/>
  <c r="H861" i="8"/>
  <c r="G861" i="8"/>
  <c r="I860" i="8"/>
  <c r="G860" i="8"/>
  <c r="H860" i="8" s="1"/>
  <c r="I859" i="8"/>
  <c r="H859" i="8"/>
  <c r="G859" i="8"/>
  <c r="I858" i="8"/>
  <c r="G858" i="8"/>
  <c r="H858" i="8" s="1"/>
  <c r="I857" i="8"/>
  <c r="H857" i="8"/>
  <c r="G857" i="8"/>
  <c r="I856" i="8"/>
  <c r="G856" i="8"/>
  <c r="H856" i="8" s="1"/>
  <c r="I855" i="8"/>
  <c r="G855" i="8"/>
  <c r="H855" i="8" s="1"/>
  <c r="I854" i="8"/>
  <c r="H854" i="8"/>
  <c r="G854" i="8"/>
  <c r="I853" i="8"/>
  <c r="H853" i="8"/>
  <c r="G853" i="8"/>
  <c r="I852" i="8"/>
  <c r="G852" i="8"/>
  <c r="H852" i="8" s="1"/>
  <c r="I851" i="8"/>
  <c r="H851" i="8"/>
  <c r="G851" i="8"/>
  <c r="I850" i="8"/>
  <c r="G850" i="8"/>
  <c r="H850" i="8" s="1"/>
  <c r="I849" i="8"/>
  <c r="H849" i="8"/>
  <c r="G849" i="8"/>
  <c r="I848" i="8"/>
  <c r="G848" i="8"/>
  <c r="H848" i="8" s="1"/>
  <c r="I847" i="8"/>
  <c r="G847" i="8"/>
  <c r="H847" i="8" s="1"/>
  <c r="I846" i="8"/>
  <c r="H846" i="8"/>
  <c r="G846" i="8"/>
  <c r="I845" i="8"/>
  <c r="H845" i="8"/>
  <c r="G845" i="8"/>
  <c r="I844" i="8"/>
  <c r="G844" i="8"/>
  <c r="H844" i="8" s="1"/>
  <c r="I843" i="8"/>
  <c r="H843" i="8"/>
  <c r="G843" i="8"/>
  <c r="I842" i="8"/>
  <c r="G842" i="8"/>
  <c r="H842" i="8" s="1"/>
  <c r="I841" i="8"/>
  <c r="H841" i="8"/>
  <c r="G841" i="8"/>
  <c r="I840" i="8"/>
  <c r="G840" i="8"/>
  <c r="H840" i="8" s="1"/>
  <c r="I839" i="8"/>
  <c r="G839" i="8"/>
  <c r="H839" i="8" s="1"/>
  <c r="I838" i="8"/>
  <c r="H838" i="8"/>
  <c r="G838" i="8"/>
  <c r="I837" i="8"/>
  <c r="H837" i="8"/>
  <c r="G837" i="8"/>
  <c r="I836" i="8"/>
  <c r="G836" i="8"/>
  <c r="H836" i="8" s="1"/>
  <c r="I835" i="8"/>
  <c r="H835" i="8"/>
  <c r="G835" i="8"/>
  <c r="I834" i="8"/>
  <c r="G834" i="8"/>
  <c r="H834" i="8" s="1"/>
  <c r="I833" i="8"/>
  <c r="H833" i="8"/>
  <c r="G833" i="8"/>
  <c r="I832" i="8"/>
  <c r="G832" i="8"/>
  <c r="H832" i="8" s="1"/>
  <c r="I831" i="8"/>
  <c r="G831" i="8"/>
  <c r="H831" i="8" s="1"/>
  <c r="I830" i="8"/>
  <c r="H830" i="8"/>
  <c r="G830" i="8"/>
  <c r="I829" i="8"/>
  <c r="H829" i="8"/>
  <c r="G829" i="8"/>
  <c r="I828" i="8"/>
  <c r="G828" i="8"/>
  <c r="H828" i="8" s="1"/>
  <c r="I827" i="8"/>
  <c r="H827" i="8"/>
  <c r="G827" i="8"/>
  <c r="I826" i="8"/>
  <c r="G826" i="8"/>
  <c r="H826" i="8" s="1"/>
  <c r="I825" i="8"/>
  <c r="H825" i="8"/>
  <c r="G825" i="8"/>
  <c r="I824" i="8"/>
  <c r="G824" i="8"/>
  <c r="H824" i="8" s="1"/>
  <c r="I823" i="8"/>
  <c r="G823" i="8"/>
  <c r="H823" i="8" s="1"/>
  <c r="I822" i="8"/>
  <c r="H822" i="8"/>
  <c r="G822" i="8"/>
  <c r="I821" i="8"/>
  <c r="H821" i="8"/>
  <c r="G821" i="8"/>
  <c r="I820" i="8"/>
  <c r="G820" i="8"/>
  <c r="H820" i="8" s="1"/>
  <c r="I819" i="8"/>
  <c r="H819" i="8"/>
  <c r="G819" i="8"/>
  <c r="I818" i="8"/>
  <c r="G818" i="8"/>
  <c r="H818" i="8" s="1"/>
  <c r="I817" i="8"/>
  <c r="G817" i="8"/>
  <c r="H817" i="8" s="1"/>
  <c r="I816" i="8"/>
  <c r="G816" i="8"/>
  <c r="H816" i="8" s="1"/>
  <c r="I815" i="8"/>
  <c r="G815" i="8"/>
  <c r="H815" i="8" s="1"/>
  <c r="I814" i="8"/>
  <c r="H814" i="8"/>
  <c r="G814" i="8"/>
  <c r="I813" i="8"/>
  <c r="H813" i="8"/>
  <c r="G813" i="8"/>
  <c r="I812" i="8"/>
  <c r="G812" i="8"/>
  <c r="H812" i="8" s="1"/>
  <c r="I811" i="8"/>
  <c r="H811" i="8"/>
  <c r="G811" i="8"/>
  <c r="I810" i="8"/>
  <c r="G810" i="8"/>
  <c r="H810" i="8" s="1"/>
  <c r="I809" i="8"/>
  <c r="G809" i="8"/>
  <c r="H809" i="8" s="1"/>
  <c r="I808" i="8"/>
  <c r="G808" i="8"/>
  <c r="H808" i="8" s="1"/>
  <c r="I807" i="8"/>
  <c r="G807" i="8"/>
  <c r="H807" i="8" s="1"/>
  <c r="I806" i="8"/>
  <c r="H806" i="8"/>
  <c r="G806" i="8"/>
  <c r="I805" i="8"/>
  <c r="H805" i="8"/>
  <c r="G805" i="8"/>
  <c r="I804" i="8"/>
  <c r="G804" i="8"/>
  <c r="H804" i="8" s="1"/>
  <c r="I803" i="8"/>
  <c r="H803" i="8"/>
  <c r="G803" i="8"/>
  <c r="I802" i="8"/>
  <c r="G802" i="8"/>
  <c r="H802" i="8" s="1"/>
  <c r="I801" i="8"/>
  <c r="G801" i="8"/>
  <c r="H801" i="8" s="1"/>
  <c r="I800" i="8"/>
  <c r="G800" i="8"/>
  <c r="H800" i="8" s="1"/>
  <c r="I799" i="8"/>
  <c r="G799" i="8"/>
  <c r="H799" i="8" s="1"/>
  <c r="I798" i="8"/>
  <c r="H798" i="8"/>
  <c r="G798" i="8"/>
  <c r="I797" i="8"/>
  <c r="H797" i="8"/>
  <c r="G797" i="8"/>
  <c r="I796" i="8"/>
  <c r="G796" i="8"/>
  <c r="H796" i="8" s="1"/>
  <c r="I795" i="8"/>
  <c r="H795" i="8"/>
  <c r="G795" i="8"/>
  <c r="I794" i="8"/>
  <c r="G794" i="8"/>
  <c r="H794" i="8" s="1"/>
  <c r="I793" i="8"/>
  <c r="G793" i="8"/>
  <c r="H793" i="8" s="1"/>
  <c r="I792" i="8"/>
  <c r="G792" i="8"/>
  <c r="H792" i="8" s="1"/>
  <c r="I791" i="8"/>
  <c r="G791" i="8"/>
  <c r="H791" i="8" s="1"/>
  <c r="I790" i="8"/>
  <c r="H790" i="8"/>
  <c r="G790" i="8"/>
  <c r="I789" i="8"/>
  <c r="H789" i="8"/>
  <c r="G789" i="8"/>
  <c r="I788" i="8"/>
  <c r="G788" i="8"/>
  <c r="H788" i="8" s="1"/>
  <c r="I787" i="8"/>
  <c r="H787" i="8"/>
  <c r="G787" i="8"/>
  <c r="I786" i="8"/>
  <c r="G786" i="8"/>
  <c r="H786" i="8" s="1"/>
  <c r="I785" i="8"/>
  <c r="G785" i="8"/>
  <c r="H785" i="8" s="1"/>
  <c r="I784" i="8"/>
  <c r="G784" i="8"/>
  <c r="H784" i="8" s="1"/>
  <c r="I783" i="8"/>
  <c r="G783" i="8"/>
  <c r="H783" i="8" s="1"/>
  <c r="I782" i="8"/>
  <c r="H782" i="8"/>
  <c r="G782" i="8"/>
  <c r="I781" i="8"/>
  <c r="H781" i="8"/>
  <c r="G781" i="8"/>
  <c r="I780" i="8"/>
  <c r="G780" i="8"/>
  <c r="H780" i="8" s="1"/>
  <c r="I779" i="8"/>
  <c r="H779" i="8"/>
  <c r="G779" i="8"/>
  <c r="I778" i="8"/>
  <c r="G778" i="8"/>
  <c r="H778" i="8" s="1"/>
  <c r="I777" i="8"/>
  <c r="G777" i="8"/>
  <c r="H777" i="8" s="1"/>
  <c r="I776" i="8"/>
  <c r="G776" i="8"/>
  <c r="H776" i="8" s="1"/>
  <c r="I775" i="8"/>
  <c r="G775" i="8"/>
  <c r="H775" i="8" s="1"/>
  <c r="I774" i="8"/>
  <c r="H774" i="8"/>
  <c r="G774" i="8"/>
  <c r="I773" i="8"/>
  <c r="H773" i="8"/>
  <c r="G773" i="8"/>
  <c r="I772" i="8"/>
  <c r="G772" i="8"/>
  <c r="H772" i="8" s="1"/>
  <c r="I771" i="8"/>
  <c r="H771" i="8"/>
  <c r="G771" i="8"/>
  <c r="I770" i="8"/>
  <c r="G770" i="8"/>
  <c r="H770" i="8" s="1"/>
  <c r="I769" i="8"/>
  <c r="G769" i="8"/>
  <c r="H769" i="8" s="1"/>
  <c r="I768" i="8"/>
  <c r="G768" i="8"/>
  <c r="H768" i="8" s="1"/>
  <c r="I767" i="8"/>
  <c r="G767" i="8"/>
  <c r="H767" i="8" s="1"/>
  <c r="I766" i="8"/>
  <c r="H766" i="8"/>
  <c r="G766" i="8"/>
  <c r="I765" i="8"/>
  <c r="H765" i="8"/>
  <c r="G765" i="8"/>
  <c r="I764" i="8"/>
  <c r="G764" i="8"/>
  <c r="H764" i="8" s="1"/>
  <c r="I763" i="8"/>
  <c r="H763" i="8"/>
  <c r="G763" i="8"/>
  <c r="I762" i="8"/>
  <c r="G762" i="8"/>
  <c r="H762" i="8" s="1"/>
  <c r="I761" i="8"/>
  <c r="G761" i="8"/>
  <c r="H761" i="8" s="1"/>
  <c r="I760" i="8"/>
  <c r="G760" i="8"/>
  <c r="H760" i="8" s="1"/>
  <c r="I759" i="8"/>
  <c r="G759" i="8"/>
  <c r="H759" i="8" s="1"/>
  <c r="I758" i="8"/>
  <c r="H758" i="8"/>
  <c r="G758" i="8"/>
  <c r="I757" i="8"/>
  <c r="H757" i="8"/>
  <c r="G757" i="8"/>
  <c r="I756" i="8"/>
  <c r="G756" i="8"/>
  <c r="H756" i="8" s="1"/>
  <c r="I755" i="8"/>
  <c r="H755" i="8"/>
  <c r="G755" i="8"/>
  <c r="I754" i="8"/>
  <c r="G754" i="8"/>
  <c r="H754" i="8" s="1"/>
  <c r="I753" i="8"/>
  <c r="G753" i="8"/>
  <c r="H753" i="8" s="1"/>
  <c r="I752" i="8"/>
  <c r="G752" i="8"/>
  <c r="H752" i="8" s="1"/>
  <c r="I751" i="8"/>
  <c r="G751" i="8"/>
  <c r="H751" i="8" s="1"/>
  <c r="I750" i="8"/>
  <c r="H750" i="8"/>
  <c r="G750" i="8"/>
  <c r="I749" i="8"/>
  <c r="H749" i="8"/>
  <c r="G749" i="8"/>
  <c r="I748" i="8"/>
  <c r="G748" i="8"/>
  <c r="H748" i="8" s="1"/>
  <c r="I747" i="8"/>
  <c r="H747" i="8"/>
  <c r="G747" i="8"/>
  <c r="I746" i="8"/>
  <c r="G746" i="8"/>
  <c r="H746" i="8" s="1"/>
  <c r="I745" i="8"/>
  <c r="G745" i="8"/>
  <c r="H745" i="8" s="1"/>
  <c r="I744" i="8"/>
  <c r="G744" i="8"/>
  <c r="H744" i="8" s="1"/>
  <c r="I743" i="8"/>
  <c r="G743" i="8"/>
  <c r="H743" i="8" s="1"/>
  <c r="I742" i="8"/>
  <c r="H742" i="8"/>
  <c r="G742" i="8"/>
  <c r="I741" i="8"/>
  <c r="H741" i="8"/>
  <c r="G741" i="8"/>
  <c r="I740" i="8"/>
  <c r="G740" i="8"/>
  <c r="H740" i="8" s="1"/>
  <c r="I739" i="8"/>
  <c r="H739" i="8"/>
  <c r="G739" i="8"/>
  <c r="I738" i="8"/>
  <c r="G738" i="8"/>
  <c r="H738" i="8" s="1"/>
  <c r="I737" i="8"/>
  <c r="G737" i="8"/>
  <c r="H737" i="8" s="1"/>
  <c r="I736" i="8"/>
  <c r="G736" i="8"/>
  <c r="H736" i="8" s="1"/>
  <c r="I735" i="8"/>
  <c r="G735" i="8"/>
  <c r="H735" i="8" s="1"/>
  <c r="I734" i="8"/>
  <c r="H734" i="8"/>
  <c r="G734" i="8"/>
  <c r="I733" i="8"/>
  <c r="H733" i="8"/>
  <c r="G733" i="8"/>
  <c r="I732" i="8"/>
  <c r="G732" i="8"/>
  <c r="H732" i="8" s="1"/>
  <c r="I731" i="8"/>
  <c r="H731" i="8"/>
  <c r="G731" i="8"/>
  <c r="I730" i="8"/>
  <c r="G730" i="8"/>
  <c r="H730" i="8" s="1"/>
  <c r="I729" i="8"/>
  <c r="G729" i="8"/>
  <c r="H729" i="8" s="1"/>
  <c r="I728" i="8"/>
  <c r="G728" i="8"/>
  <c r="H728" i="8" s="1"/>
  <c r="I727" i="8"/>
  <c r="G727" i="8"/>
  <c r="H727" i="8" s="1"/>
  <c r="I726" i="8"/>
  <c r="H726" i="8"/>
  <c r="G726" i="8"/>
  <c r="I725" i="8"/>
  <c r="H725" i="8"/>
  <c r="G725" i="8"/>
  <c r="I724" i="8"/>
  <c r="G724" i="8"/>
  <c r="H724" i="8" s="1"/>
  <c r="I723" i="8"/>
  <c r="H723" i="8"/>
  <c r="G723" i="8"/>
  <c r="I722" i="8"/>
  <c r="G722" i="8"/>
  <c r="H722" i="8" s="1"/>
  <c r="I721" i="8"/>
  <c r="G721" i="8"/>
  <c r="H721" i="8" s="1"/>
  <c r="I720" i="8"/>
  <c r="G720" i="8"/>
  <c r="H720" i="8" s="1"/>
  <c r="I719" i="8"/>
  <c r="G719" i="8"/>
  <c r="H719" i="8" s="1"/>
  <c r="I718" i="8"/>
  <c r="H718" i="8"/>
  <c r="G718" i="8"/>
  <c r="I717" i="8"/>
  <c r="H717" i="8"/>
  <c r="G717" i="8"/>
  <c r="I716" i="8"/>
  <c r="G716" i="8"/>
  <c r="H716" i="8" s="1"/>
  <c r="I715" i="8"/>
  <c r="H715" i="8"/>
  <c r="G715" i="8"/>
  <c r="I714" i="8"/>
  <c r="G714" i="8"/>
  <c r="H714" i="8" s="1"/>
  <c r="I713" i="8"/>
  <c r="G713" i="8"/>
  <c r="H713" i="8" s="1"/>
  <c r="I712" i="8"/>
  <c r="G712" i="8"/>
  <c r="H712" i="8" s="1"/>
  <c r="I711" i="8"/>
  <c r="G711" i="8"/>
  <c r="H711" i="8" s="1"/>
  <c r="I710" i="8"/>
  <c r="H710" i="8"/>
  <c r="G710" i="8"/>
  <c r="I709" i="8"/>
  <c r="H709" i="8"/>
  <c r="G709" i="8"/>
  <c r="I708" i="8"/>
  <c r="G708" i="8"/>
  <c r="H708" i="8" s="1"/>
  <c r="I707" i="8"/>
  <c r="H707" i="8"/>
  <c r="G707" i="8"/>
  <c r="I706" i="8"/>
  <c r="G706" i="8"/>
  <c r="H706" i="8" s="1"/>
  <c r="I705" i="8"/>
  <c r="G705" i="8"/>
  <c r="H705" i="8" s="1"/>
  <c r="I704" i="8"/>
  <c r="G704" i="8"/>
  <c r="H704" i="8" s="1"/>
  <c r="I703" i="8"/>
  <c r="G703" i="8"/>
  <c r="H703" i="8" s="1"/>
  <c r="I702" i="8"/>
  <c r="H702" i="8"/>
  <c r="G702" i="8"/>
  <c r="I701" i="8"/>
  <c r="H701" i="8"/>
  <c r="G701" i="8"/>
  <c r="I700" i="8"/>
  <c r="G700" i="8"/>
  <c r="H700" i="8" s="1"/>
  <c r="I699" i="8"/>
  <c r="H699" i="8"/>
  <c r="G699" i="8"/>
  <c r="I698" i="8"/>
  <c r="G698" i="8"/>
  <c r="H698" i="8" s="1"/>
  <c r="I697" i="8"/>
  <c r="G697" i="8"/>
  <c r="H697" i="8" s="1"/>
  <c r="I696" i="8"/>
  <c r="G696" i="8"/>
  <c r="H696" i="8" s="1"/>
  <c r="I695" i="8"/>
  <c r="G695" i="8"/>
  <c r="H695" i="8" s="1"/>
  <c r="I694" i="8"/>
  <c r="H694" i="8"/>
  <c r="G694" i="8"/>
  <c r="I693" i="8"/>
  <c r="H693" i="8"/>
  <c r="G693" i="8"/>
  <c r="I692" i="8"/>
  <c r="G692" i="8"/>
  <c r="H692" i="8" s="1"/>
  <c r="I691" i="8"/>
  <c r="H691" i="8"/>
  <c r="G691" i="8"/>
  <c r="I690" i="8"/>
  <c r="G690" i="8"/>
  <c r="H690" i="8" s="1"/>
  <c r="I689" i="8"/>
  <c r="G689" i="8"/>
  <c r="H689" i="8" s="1"/>
  <c r="I688" i="8"/>
  <c r="G688" i="8"/>
  <c r="H688" i="8" s="1"/>
  <c r="I687" i="8"/>
  <c r="G687" i="8"/>
  <c r="H687" i="8" s="1"/>
  <c r="I686" i="8"/>
  <c r="H686" i="8"/>
  <c r="G686" i="8"/>
  <c r="I685" i="8"/>
  <c r="H685" i="8"/>
  <c r="G685" i="8"/>
  <c r="I684" i="8"/>
  <c r="G684" i="8"/>
  <c r="H684" i="8" s="1"/>
  <c r="I683" i="8"/>
  <c r="H683" i="8"/>
  <c r="G683" i="8"/>
  <c r="I682" i="8"/>
  <c r="G682" i="8"/>
  <c r="H682" i="8" s="1"/>
  <c r="I681" i="8"/>
  <c r="G681" i="8"/>
  <c r="H681" i="8" s="1"/>
  <c r="I680" i="8"/>
  <c r="G680" i="8"/>
  <c r="H680" i="8" s="1"/>
  <c r="I679" i="8"/>
  <c r="G679" i="8"/>
  <c r="H679" i="8" s="1"/>
  <c r="I678" i="8"/>
  <c r="H678" i="8"/>
  <c r="G678" i="8"/>
  <c r="I677" i="8"/>
  <c r="H677" i="8"/>
  <c r="G677" i="8"/>
  <c r="I676" i="8"/>
  <c r="G676" i="8"/>
  <c r="H676" i="8" s="1"/>
  <c r="I675" i="8"/>
  <c r="H675" i="8"/>
  <c r="G675" i="8"/>
  <c r="I674" i="8"/>
  <c r="G674" i="8"/>
  <c r="H674" i="8" s="1"/>
  <c r="I673" i="8"/>
  <c r="G673" i="8"/>
  <c r="H673" i="8" s="1"/>
  <c r="I672" i="8"/>
  <c r="G672" i="8"/>
  <c r="H672" i="8" s="1"/>
  <c r="I671" i="8"/>
  <c r="G671" i="8"/>
  <c r="H671" i="8" s="1"/>
  <c r="I670" i="8"/>
  <c r="H670" i="8"/>
  <c r="G670" i="8"/>
  <c r="I669" i="8"/>
  <c r="H669" i="8"/>
  <c r="G669" i="8"/>
  <c r="I668" i="8"/>
  <c r="G668" i="8"/>
  <c r="H668" i="8" s="1"/>
  <c r="I667" i="8"/>
  <c r="H667" i="8"/>
  <c r="G667" i="8"/>
  <c r="I666" i="8"/>
  <c r="G666" i="8"/>
  <c r="H666" i="8" s="1"/>
  <c r="I665" i="8"/>
  <c r="G665" i="8"/>
  <c r="H665" i="8" s="1"/>
  <c r="I664" i="8"/>
  <c r="G664" i="8"/>
  <c r="H664" i="8" s="1"/>
  <c r="I663" i="8"/>
  <c r="G663" i="8"/>
  <c r="H663" i="8" s="1"/>
  <c r="I662" i="8"/>
  <c r="H662" i="8"/>
  <c r="G662" i="8"/>
  <c r="I661" i="8"/>
  <c r="H661" i="8"/>
  <c r="G661" i="8"/>
  <c r="I660" i="8"/>
  <c r="G660" i="8"/>
  <c r="H660" i="8" s="1"/>
  <c r="I659" i="8"/>
  <c r="H659" i="8"/>
  <c r="G659" i="8"/>
  <c r="I658" i="8"/>
  <c r="G658" i="8"/>
  <c r="H658" i="8" s="1"/>
  <c r="I657" i="8"/>
  <c r="G657" i="8"/>
  <c r="H657" i="8" s="1"/>
  <c r="I656" i="8"/>
  <c r="G656" i="8"/>
  <c r="H656" i="8" s="1"/>
  <c r="I655" i="8"/>
  <c r="G655" i="8"/>
  <c r="H655" i="8" s="1"/>
  <c r="I654" i="8"/>
  <c r="H654" i="8"/>
  <c r="G654" i="8"/>
  <c r="I653" i="8"/>
  <c r="H653" i="8"/>
  <c r="G653" i="8"/>
  <c r="I652" i="8"/>
  <c r="G652" i="8"/>
  <c r="H652" i="8" s="1"/>
  <c r="I651" i="8"/>
  <c r="H651" i="8"/>
  <c r="G651" i="8"/>
  <c r="I650" i="8"/>
  <c r="G650" i="8"/>
  <c r="H650" i="8" s="1"/>
  <c r="I649" i="8"/>
  <c r="G649" i="8"/>
  <c r="H649" i="8" s="1"/>
  <c r="I648" i="8"/>
  <c r="G648" i="8"/>
  <c r="H648" i="8" s="1"/>
  <c r="I647" i="8"/>
  <c r="G647" i="8"/>
  <c r="H647" i="8" s="1"/>
  <c r="I646" i="8"/>
  <c r="H646" i="8"/>
  <c r="G646" i="8"/>
  <c r="I645" i="8"/>
  <c r="H645" i="8"/>
  <c r="G645" i="8"/>
  <c r="I644" i="8"/>
  <c r="G644" i="8"/>
  <c r="H644" i="8" s="1"/>
  <c r="I643" i="8"/>
  <c r="H643" i="8"/>
  <c r="G643" i="8"/>
  <c r="I642" i="8"/>
  <c r="G642" i="8"/>
  <c r="H642" i="8" s="1"/>
  <c r="I641" i="8"/>
  <c r="G641" i="8"/>
  <c r="H641" i="8" s="1"/>
  <c r="I640" i="8"/>
  <c r="G640" i="8"/>
  <c r="H640" i="8" s="1"/>
  <c r="I639" i="8"/>
  <c r="G639" i="8"/>
  <c r="H639" i="8" s="1"/>
  <c r="I638" i="8"/>
  <c r="H638" i="8"/>
  <c r="G638" i="8"/>
  <c r="I637" i="8"/>
  <c r="H637" i="8"/>
  <c r="G637" i="8"/>
  <c r="I636" i="8"/>
  <c r="G636" i="8"/>
  <c r="H636" i="8" s="1"/>
  <c r="I635" i="8"/>
  <c r="H635" i="8"/>
  <c r="G635" i="8"/>
  <c r="I634" i="8"/>
  <c r="G634" i="8"/>
  <c r="H634" i="8" s="1"/>
  <c r="I633" i="8"/>
  <c r="G633" i="8"/>
  <c r="H633" i="8" s="1"/>
  <c r="I632" i="8"/>
  <c r="G632" i="8"/>
  <c r="H632" i="8" s="1"/>
  <c r="I631" i="8"/>
  <c r="G631" i="8"/>
  <c r="H631" i="8" s="1"/>
  <c r="I630" i="8"/>
  <c r="H630" i="8"/>
  <c r="G630" i="8"/>
  <c r="I629" i="8"/>
  <c r="H629" i="8"/>
  <c r="G629" i="8"/>
  <c r="I628" i="8"/>
  <c r="G628" i="8"/>
  <c r="H628" i="8" s="1"/>
  <c r="I627" i="8"/>
  <c r="H627" i="8"/>
  <c r="G627" i="8"/>
  <c r="I626" i="8"/>
  <c r="G626" i="8"/>
  <c r="H626" i="8" s="1"/>
  <c r="I625" i="8"/>
  <c r="G625" i="8"/>
  <c r="H625" i="8" s="1"/>
  <c r="I624" i="8"/>
  <c r="G624" i="8"/>
  <c r="H624" i="8" s="1"/>
  <c r="I623" i="8"/>
  <c r="G623" i="8"/>
  <c r="H623" i="8" s="1"/>
  <c r="I622" i="8"/>
  <c r="H622" i="8"/>
  <c r="G622" i="8"/>
  <c r="I621" i="8"/>
  <c r="H621" i="8"/>
  <c r="G621" i="8"/>
  <c r="I620" i="8"/>
  <c r="G620" i="8"/>
  <c r="H620" i="8" s="1"/>
  <c r="I619" i="8"/>
  <c r="H619" i="8"/>
  <c r="G619" i="8"/>
  <c r="I618" i="8"/>
  <c r="G618" i="8"/>
  <c r="H618" i="8" s="1"/>
  <c r="I617" i="8"/>
  <c r="G617" i="8"/>
  <c r="H617" i="8" s="1"/>
  <c r="I616" i="8"/>
  <c r="G616" i="8"/>
  <c r="H616" i="8" s="1"/>
  <c r="I615" i="8"/>
  <c r="G615" i="8"/>
  <c r="H615" i="8" s="1"/>
  <c r="I614" i="8"/>
  <c r="H614" i="8"/>
  <c r="G614" i="8"/>
  <c r="I613" i="8"/>
  <c r="H613" i="8"/>
  <c r="G613" i="8"/>
  <c r="I612" i="8"/>
  <c r="G612" i="8"/>
  <c r="H612" i="8" s="1"/>
  <c r="I611" i="8"/>
  <c r="H611" i="8"/>
  <c r="G611" i="8"/>
  <c r="I610" i="8"/>
  <c r="G610" i="8"/>
  <c r="H610" i="8" s="1"/>
  <c r="I609" i="8"/>
  <c r="G609" i="8"/>
  <c r="H609" i="8" s="1"/>
  <c r="I608" i="8"/>
  <c r="G608" i="8"/>
  <c r="H608" i="8" s="1"/>
  <c r="I607" i="8"/>
  <c r="G607" i="8"/>
  <c r="H607" i="8" s="1"/>
  <c r="I606" i="8"/>
  <c r="H606" i="8"/>
  <c r="G606" i="8"/>
  <c r="I605" i="8"/>
  <c r="H605" i="8"/>
  <c r="G605" i="8"/>
  <c r="I604" i="8"/>
  <c r="G604" i="8"/>
  <c r="H604" i="8" s="1"/>
  <c r="I603" i="8"/>
  <c r="H603" i="8"/>
  <c r="G603" i="8"/>
  <c r="I602" i="8"/>
  <c r="G602" i="8"/>
  <c r="H602" i="8" s="1"/>
  <c r="I601" i="8"/>
  <c r="G601" i="8"/>
  <c r="H601" i="8" s="1"/>
  <c r="I600" i="8"/>
  <c r="G600" i="8"/>
  <c r="H600" i="8" s="1"/>
  <c r="I599" i="8"/>
  <c r="G599" i="8"/>
  <c r="H599" i="8" s="1"/>
  <c r="I598" i="8"/>
  <c r="H598" i="8"/>
  <c r="G598" i="8"/>
  <c r="I597" i="8"/>
  <c r="H597" i="8"/>
  <c r="G597" i="8"/>
  <c r="I596" i="8"/>
  <c r="G596" i="8"/>
  <c r="H596" i="8" s="1"/>
  <c r="I595" i="8"/>
  <c r="H595" i="8"/>
  <c r="G595" i="8"/>
  <c r="I594" i="8"/>
  <c r="G594" i="8"/>
  <c r="H594" i="8" s="1"/>
  <c r="I593" i="8"/>
  <c r="G593" i="8"/>
  <c r="H593" i="8" s="1"/>
  <c r="I592" i="8"/>
  <c r="G592" i="8"/>
  <c r="H592" i="8" s="1"/>
  <c r="I591" i="8"/>
  <c r="G591" i="8"/>
  <c r="H591" i="8" s="1"/>
  <c r="I590" i="8"/>
  <c r="H590" i="8"/>
  <c r="G590" i="8"/>
  <c r="I589" i="8"/>
  <c r="H589" i="8"/>
  <c r="G589" i="8"/>
  <c r="I588" i="8"/>
  <c r="G588" i="8"/>
  <c r="H588" i="8" s="1"/>
  <c r="I587" i="8"/>
  <c r="H587" i="8"/>
  <c r="G587" i="8"/>
  <c r="I586" i="8"/>
  <c r="G586" i="8"/>
  <c r="H586" i="8" s="1"/>
  <c r="I585" i="8"/>
  <c r="G585" i="8"/>
  <c r="H585" i="8" s="1"/>
  <c r="I584" i="8"/>
  <c r="G584" i="8"/>
  <c r="H584" i="8" s="1"/>
  <c r="I583" i="8"/>
  <c r="G583" i="8"/>
  <c r="H583" i="8" s="1"/>
  <c r="I582" i="8"/>
  <c r="H582" i="8"/>
  <c r="G582" i="8"/>
  <c r="I581" i="8"/>
  <c r="H581" i="8"/>
  <c r="G581" i="8"/>
  <c r="I580" i="8"/>
  <c r="G580" i="8"/>
  <c r="H580" i="8" s="1"/>
  <c r="I579" i="8"/>
  <c r="H579" i="8"/>
  <c r="G579" i="8"/>
  <c r="I578" i="8"/>
  <c r="G578" i="8"/>
  <c r="H578" i="8" s="1"/>
  <c r="I577" i="8"/>
  <c r="G577" i="8"/>
  <c r="H577" i="8" s="1"/>
  <c r="I576" i="8"/>
  <c r="G576" i="8"/>
  <c r="H576" i="8" s="1"/>
  <c r="I575" i="8"/>
  <c r="G575" i="8"/>
  <c r="H575" i="8" s="1"/>
  <c r="I574" i="8"/>
  <c r="H574" i="8"/>
  <c r="G574" i="8"/>
  <c r="I573" i="8"/>
  <c r="H573" i="8"/>
  <c r="G573" i="8"/>
  <c r="I572" i="8"/>
  <c r="G572" i="8"/>
  <c r="H572" i="8" s="1"/>
  <c r="I571" i="8"/>
  <c r="H571" i="8"/>
  <c r="G571" i="8"/>
  <c r="I570" i="8"/>
  <c r="G570" i="8"/>
  <c r="H570" i="8" s="1"/>
  <c r="I569" i="8"/>
  <c r="G569" i="8"/>
  <c r="H569" i="8" s="1"/>
  <c r="I568" i="8"/>
  <c r="G568" i="8"/>
  <c r="H568" i="8" s="1"/>
  <c r="I567" i="8"/>
  <c r="G567" i="8"/>
  <c r="H567" i="8" s="1"/>
  <c r="I566" i="8"/>
  <c r="H566" i="8"/>
  <c r="G566" i="8"/>
  <c r="I565" i="8"/>
  <c r="H565" i="8"/>
  <c r="G565" i="8"/>
  <c r="I564" i="8"/>
  <c r="G564" i="8"/>
  <c r="H564" i="8" s="1"/>
  <c r="I563" i="8"/>
  <c r="H563" i="8"/>
  <c r="G563" i="8"/>
  <c r="I562" i="8"/>
  <c r="G562" i="8"/>
  <c r="H562" i="8" s="1"/>
  <c r="I561" i="8"/>
  <c r="G561" i="8"/>
  <c r="H561" i="8" s="1"/>
  <c r="I560" i="8"/>
  <c r="G560" i="8"/>
  <c r="H560" i="8" s="1"/>
  <c r="I559" i="8"/>
  <c r="G559" i="8"/>
  <c r="H559" i="8" s="1"/>
  <c r="I558" i="8"/>
  <c r="H558" i="8"/>
  <c r="G558" i="8"/>
  <c r="I557" i="8"/>
  <c r="H557" i="8"/>
  <c r="G557" i="8"/>
  <c r="I556" i="8"/>
  <c r="G556" i="8"/>
  <c r="H556" i="8" s="1"/>
  <c r="I555" i="8"/>
  <c r="H555" i="8"/>
  <c r="G555" i="8"/>
  <c r="I554" i="8"/>
  <c r="G554" i="8"/>
  <c r="H554" i="8" s="1"/>
  <c r="I553" i="8"/>
  <c r="G553" i="8"/>
  <c r="H553" i="8" s="1"/>
  <c r="I552" i="8"/>
  <c r="G552" i="8"/>
  <c r="H552" i="8" s="1"/>
  <c r="I551" i="8"/>
  <c r="G551" i="8"/>
  <c r="H551" i="8" s="1"/>
  <c r="I550" i="8"/>
  <c r="H550" i="8"/>
  <c r="G550" i="8"/>
  <c r="I549" i="8"/>
  <c r="H549" i="8"/>
  <c r="G549" i="8"/>
  <c r="I548" i="8"/>
  <c r="H548" i="8"/>
  <c r="G548" i="8"/>
  <c r="I547" i="8"/>
  <c r="H547" i="8"/>
  <c r="G547" i="8"/>
  <c r="I546" i="8"/>
  <c r="G546" i="8"/>
  <c r="H546" i="8" s="1"/>
  <c r="I545" i="8"/>
  <c r="H545" i="8"/>
  <c r="G545" i="8"/>
  <c r="I544" i="8"/>
  <c r="G544" i="8"/>
  <c r="H544" i="8" s="1"/>
  <c r="I543" i="8"/>
  <c r="G543" i="8"/>
  <c r="H543" i="8" s="1"/>
  <c r="I542" i="8"/>
  <c r="H542" i="8"/>
  <c r="G542" i="8"/>
  <c r="I541" i="8"/>
  <c r="H541" i="8"/>
  <c r="G541" i="8"/>
  <c r="I540" i="8"/>
  <c r="H540" i="8"/>
  <c r="G540" i="8"/>
  <c r="I539" i="8"/>
  <c r="H539" i="8"/>
  <c r="G539" i="8"/>
  <c r="I538" i="8"/>
  <c r="G538" i="8"/>
  <c r="H538" i="8" s="1"/>
  <c r="I537" i="8"/>
  <c r="H537" i="8"/>
  <c r="G537" i="8"/>
  <c r="I536" i="8"/>
  <c r="G536" i="8"/>
  <c r="H536" i="8" s="1"/>
  <c r="I535" i="8"/>
  <c r="G535" i="8"/>
  <c r="H535" i="8" s="1"/>
  <c r="I534" i="8"/>
  <c r="H534" i="8"/>
  <c r="G534" i="8"/>
  <c r="I533" i="8"/>
  <c r="H533" i="8"/>
  <c r="G533" i="8"/>
  <c r="I532" i="8"/>
  <c r="H532" i="8"/>
  <c r="G532" i="8"/>
  <c r="I531" i="8"/>
  <c r="H531" i="8"/>
  <c r="G531" i="8"/>
  <c r="I530" i="8"/>
  <c r="G530" i="8"/>
  <c r="H530" i="8" s="1"/>
  <c r="I529" i="8"/>
  <c r="H529" i="8"/>
  <c r="G529" i="8"/>
  <c r="I528" i="8"/>
  <c r="G528" i="8"/>
  <c r="H528" i="8" s="1"/>
  <c r="I527" i="8"/>
  <c r="G527" i="8"/>
  <c r="H527" i="8" s="1"/>
  <c r="I526" i="8"/>
  <c r="H526" i="8"/>
  <c r="G526" i="8"/>
  <c r="I525" i="8"/>
  <c r="H525" i="8"/>
  <c r="G525" i="8"/>
  <c r="I524" i="8"/>
  <c r="G524" i="8"/>
  <c r="H524" i="8" s="1"/>
  <c r="I523" i="8"/>
  <c r="H523" i="8"/>
  <c r="G523" i="8"/>
  <c r="I522" i="8"/>
  <c r="G522" i="8"/>
  <c r="H522" i="8" s="1"/>
  <c r="I521" i="8"/>
  <c r="G521" i="8"/>
  <c r="H521" i="8" s="1"/>
  <c r="I520" i="8"/>
  <c r="G520" i="8"/>
  <c r="H520" i="8" s="1"/>
  <c r="I519" i="8"/>
  <c r="G519" i="8"/>
  <c r="H519" i="8" s="1"/>
  <c r="I518" i="8"/>
  <c r="H518" i="8"/>
  <c r="G518" i="8"/>
  <c r="I517" i="8"/>
  <c r="H517" i="8"/>
  <c r="G517" i="8"/>
  <c r="I516" i="8"/>
  <c r="G516" i="8"/>
  <c r="H516" i="8" s="1"/>
  <c r="I515" i="8"/>
  <c r="H515" i="8"/>
  <c r="G515" i="8"/>
  <c r="I514" i="8"/>
  <c r="G514" i="8"/>
  <c r="H514" i="8" s="1"/>
  <c r="I513" i="8"/>
  <c r="G513" i="8"/>
  <c r="H513" i="8" s="1"/>
  <c r="I512" i="8"/>
  <c r="G512" i="8"/>
  <c r="H512" i="8" s="1"/>
  <c r="I511" i="8"/>
  <c r="G511" i="8"/>
  <c r="H511" i="8" s="1"/>
  <c r="I510" i="8"/>
  <c r="H510" i="8"/>
  <c r="G510" i="8"/>
  <c r="I509" i="8"/>
  <c r="H509" i="8"/>
  <c r="G509" i="8"/>
  <c r="I508" i="8"/>
  <c r="H508" i="8"/>
  <c r="G508" i="8"/>
  <c r="I507" i="8"/>
  <c r="H507" i="8"/>
  <c r="G507" i="8"/>
  <c r="I506" i="8"/>
  <c r="G506" i="8"/>
  <c r="H506" i="8" s="1"/>
  <c r="I505" i="8"/>
  <c r="H505" i="8"/>
  <c r="G505" i="8"/>
  <c r="I504" i="8"/>
  <c r="G504" i="8"/>
  <c r="H504" i="8" s="1"/>
  <c r="I503" i="8"/>
  <c r="G503" i="8"/>
  <c r="H503" i="8" s="1"/>
  <c r="I502" i="8"/>
  <c r="H502" i="8"/>
  <c r="G502" i="8"/>
  <c r="I501" i="8"/>
  <c r="H501" i="8"/>
  <c r="G501" i="8"/>
  <c r="I500" i="8"/>
  <c r="H500" i="8"/>
  <c r="G500" i="8"/>
  <c r="I499" i="8"/>
  <c r="H499" i="8"/>
  <c r="G499" i="8"/>
  <c r="I498" i="8"/>
  <c r="G498" i="8"/>
  <c r="H498" i="8" s="1"/>
  <c r="I497" i="8"/>
  <c r="H497" i="8"/>
  <c r="G497" i="8"/>
  <c r="I496" i="8"/>
  <c r="G496" i="8"/>
  <c r="H496" i="8" s="1"/>
  <c r="I495" i="8"/>
  <c r="G495" i="8"/>
  <c r="H495" i="8" s="1"/>
  <c r="I494" i="8"/>
  <c r="H494" i="8"/>
  <c r="G494" i="8"/>
  <c r="I493" i="8"/>
  <c r="H493" i="8"/>
  <c r="G493" i="8"/>
  <c r="I492" i="8"/>
  <c r="G492" i="8"/>
  <c r="H492" i="8" s="1"/>
  <c r="I491" i="8"/>
  <c r="H491" i="8"/>
  <c r="G491" i="8"/>
  <c r="I490" i="8"/>
  <c r="G490" i="8"/>
  <c r="H490" i="8" s="1"/>
  <c r="I489" i="8"/>
  <c r="G489" i="8"/>
  <c r="H489" i="8" s="1"/>
  <c r="I488" i="8"/>
  <c r="G488" i="8"/>
  <c r="H488" i="8" s="1"/>
  <c r="I487" i="8"/>
  <c r="G487" i="8"/>
  <c r="H487" i="8" s="1"/>
  <c r="I486" i="8"/>
  <c r="H486" i="8"/>
  <c r="G486" i="8"/>
  <c r="I485" i="8"/>
  <c r="H485" i="8"/>
  <c r="G485" i="8"/>
  <c r="I484" i="8"/>
  <c r="H484" i="8"/>
  <c r="G484" i="8"/>
  <c r="I483" i="8"/>
  <c r="H483" i="8"/>
  <c r="G483" i="8"/>
  <c r="I482" i="8"/>
  <c r="G482" i="8"/>
  <c r="H482" i="8" s="1"/>
  <c r="I481" i="8"/>
  <c r="H481" i="8"/>
  <c r="G481" i="8"/>
  <c r="I480" i="8"/>
  <c r="G480" i="8"/>
  <c r="H480" i="8" s="1"/>
  <c r="I479" i="8"/>
  <c r="G479" i="8"/>
  <c r="H479" i="8" s="1"/>
  <c r="I478" i="8"/>
  <c r="H478" i="8"/>
  <c r="G478" i="8"/>
  <c r="I477" i="8"/>
  <c r="H477" i="8"/>
  <c r="G477" i="8"/>
  <c r="I476" i="8"/>
  <c r="H476" i="8"/>
  <c r="G476" i="8"/>
  <c r="I475" i="8"/>
  <c r="H475" i="8"/>
  <c r="G475" i="8"/>
  <c r="I474" i="8"/>
  <c r="G474" i="8"/>
  <c r="H474" i="8" s="1"/>
  <c r="I473" i="8"/>
  <c r="H473" i="8"/>
  <c r="G473" i="8"/>
  <c r="I472" i="8"/>
  <c r="G472" i="8"/>
  <c r="H472" i="8" s="1"/>
  <c r="I471" i="8"/>
  <c r="G471" i="8"/>
  <c r="H471" i="8" s="1"/>
  <c r="I470" i="8"/>
  <c r="H470" i="8"/>
  <c r="G470" i="8"/>
  <c r="I469" i="8"/>
  <c r="H469" i="8"/>
  <c r="G469" i="8"/>
  <c r="I468" i="8"/>
  <c r="H468" i="8"/>
  <c r="G468" i="8"/>
  <c r="I467" i="8"/>
  <c r="H467" i="8"/>
  <c r="G467" i="8"/>
  <c r="I466" i="8"/>
  <c r="G466" i="8"/>
  <c r="H466" i="8" s="1"/>
  <c r="I465" i="8"/>
  <c r="H465" i="8"/>
  <c r="G465" i="8"/>
  <c r="I464" i="8"/>
  <c r="G464" i="8"/>
  <c r="H464" i="8" s="1"/>
  <c r="I463" i="8"/>
  <c r="G463" i="8"/>
  <c r="H463" i="8" s="1"/>
  <c r="I462" i="8"/>
  <c r="H462" i="8"/>
  <c r="G462" i="8"/>
  <c r="I461" i="8"/>
  <c r="H461" i="8"/>
  <c r="G461" i="8"/>
  <c r="I460" i="8"/>
  <c r="G460" i="8"/>
  <c r="H460" i="8" s="1"/>
  <c r="I459" i="8"/>
  <c r="H459" i="8"/>
  <c r="G459" i="8"/>
  <c r="I458" i="8"/>
  <c r="G458" i="8"/>
  <c r="H458" i="8" s="1"/>
  <c r="I457" i="8"/>
  <c r="G457" i="8"/>
  <c r="H457" i="8" s="1"/>
  <c r="I456" i="8"/>
  <c r="G456" i="8"/>
  <c r="H456" i="8" s="1"/>
  <c r="I455" i="8"/>
  <c r="G455" i="8"/>
  <c r="H455" i="8" s="1"/>
  <c r="I454" i="8"/>
  <c r="H454" i="8"/>
  <c r="G454" i="8"/>
  <c r="I453" i="8"/>
  <c r="H453" i="8"/>
  <c r="G453" i="8"/>
  <c r="I452" i="8"/>
  <c r="G452" i="8"/>
  <c r="H452" i="8" s="1"/>
  <c r="I451" i="8"/>
  <c r="H451" i="8"/>
  <c r="G451" i="8"/>
  <c r="I450" i="8"/>
  <c r="G450" i="8"/>
  <c r="H450" i="8" s="1"/>
  <c r="I449" i="8"/>
  <c r="G449" i="8"/>
  <c r="H449" i="8" s="1"/>
  <c r="I448" i="8"/>
  <c r="G448" i="8"/>
  <c r="H448" i="8" s="1"/>
  <c r="I447" i="8"/>
  <c r="G447" i="8"/>
  <c r="H447" i="8" s="1"/>
  <c r="I446" i="8"/>
  <c r="H446" i="8"/>
  <c r="G446" i="8"/>
  <c r="I445" i="8"/>
  <c r="H445" i="8"/>
  <c r="G445" i="8"/>
  <c r="I444" i="8"/>
  <c r="H444" i="8"/>
  <c r="G444" i="8"/>
  <c r="I443" i="8"/>
  <c r="H443" i="8"/>
  <c r="G443" i="8"/>
  <c r="I442" i="8"/>
  <c r="G442" i="8"/>
  <c r="H442" i="8" s="1"/>
  <c r="I441" i="8"/>
  <c r="H441" i="8"/>
  <c r="G441" i="8"/>
  <c r="I440" i="8"/>
  <c r="G440" i="8"/>
  <c r="H440" i="8" s="1"/>
  <c r="I439" i="8"/>
  <c r="G439" i="8"/>
  <c r="H439" i="8" s="1"/>
  <c r="I438" i="8"/>
  <c r="H438" i="8"/>
  <c r="G438" i="8"/>
  <c r="I437" i="8"/>
  <c r="H437" i="8"/>
  <c r="G437" i="8"/>
  <c r="I436" i="8"/>
  <c r="H436" i="8"/>
  <c r="G436" i="8"/>
  <c r="I435" i="8"/>
  <c r="H435" i="8"/>
  <c r="G435" i="8"/>
  <c r="I434" i="8"/>
  <c r="G434" i="8"/>
  <c r="H434" i="8" s="1"/>
  <c r="I433" i="8"/>
  <c r="H433" i="8"/>
  <c r="G433" i="8"/>
  <c r="I432" i="8"/>
  <c r="G432" i="8"/>
  <c r="H432" i="8" s="1"/>
  <c r="I431" i="8"/>
  <c r="G431" i="8"/>
  <c r="H431" i="8" s="1"/>
  <c r="I430" i="8"/>
  <c r="H430" i="8"/>
  <c r="G430" i="8"/>
  <c r="I429" i="8"/>
  <c r="H429" i="8"/>
  <c r="G429" i="8"/>
  <c r="I428" i="8"/>
  <c r="G428" i="8"/>
  <c r="H428" i="8" s="1"/>
  <c r="I427" i="8"/>
  <c r="H427" i="8"/>
  <c r="G427" i="8"/>
  <c r="I426" i="8"/>
  <c r="G426" i="8"/>
  <c r="H426" i="8" s="1"/>
  <c r="I425" i="8"/>
  <c r="G425" i="8"/>
  <c r="H425" i="8" s="1"/>
  <c r="I424" i="8"/>
  <c r="G424" i="8"/>
  <c r="H424" i="8" s="1"/>
  <c r="I423" i="8"/>
  <c r="G423" i="8"/>
  <c r="H423" i="8" s="1"/>
  <c r="I422" i="8"/>
  <c r="H422" i="8"/>
  <c r="G422" i="8"/>
  <c r="I421" i="8"/>
  <c r="H421" i="8"/>
  <c r="G421" i="8"/>
  <c r="I420" i="8"/>
  <c r="H420" i="8"/>
  <c r="G420" i="8"/>
  <c r="I419" i="8"/>
  <c r="H419" i="8"/>
  <c r="G419" i="8"/>
  <c r="I418" i="8"/>
  <c r="G418" i="8"/>
  <c r="H418" i="8" s="1"/>
  <c r="I417" i="8"/>
  <c r="H417" i="8"/>
  <c r="G417" i="8"/>
  <c r="I416" i="8"/>
  <c r="G416" i="8"/>
  <c r="H416" i="8" s="1"/>
  <c r="I415" i="8"/>
  <c r="H415" i="8"/>
  <c r="G415" i="8"/>
  <c r="I414" i="8"/>
  <c r="H414" i="8"/>
  <c r="G414" i="8"/>
  <c r="I413" i="8"/>
  <c r="H413" i="8"/>
  <c r="G413" i="8"/>
  <c r="I412" i="8"/>
  <c r="H412" i="8"/>
  <c r="G412" i="8"/>
  <c r="I411" i="8"/>
  <c r="H411" i="8"/>
  <c r="G411" i="8"/>
  <c r="I410" i="8"/>
  <c r="G410" i="8"/>
  <c r="H410" i="8" s="1"/>
  <c r="I409" i="8"/>
  <c r="H409" i="8"/>
  <c r="G409" i="8"/>
  <c r="I408" i="8"/>
  <c r="G408" i="8"/>
  <c r="H408" i="8" s="1"/>
  <c r="I407" i="8"/>
  <c r="G407" i="8"/>
  <c r="H407" i="8" s="1"/>
  <c r="I406" i="8"/>
  <c r="H406" i="8"/>
  <c r="G406" i="8"/>
  <c r="I405" i="8"/>
  <c r="H405" i="8"/>
  <c r="G405" i="8"/>
  <c r="I404" i="8"/>
  <c r="H404" i="8"/>
  <c r="G404" i="8"/>
  <c r="I403" i="8"/>
  <c r="H403" i="8"/>
  <c r="G403" i="8"/>
  <c r="I402" i="8"/>
  <c r="G402" i="8"/>
  <c r="H402" i="8" s="1"/>
  <c r="I401" i="8"/>
  <c r="G401" i="8"/>
  <c r="H401" i="8" s="1"/>
  <c r="I400" i="8"/>
  <c r="G400" i="8"/>
  <c r="H400" i="8" s="1"/>
  <c r="I399" i="8"/>
  <c r="H399" i="8"/>
  <c r="G399" i="8"/>
  <c r="I398" i="8"/>
  <c r="H398" i="8"/>
  <c r="G398" i="8"/>
  <c r="I397" i="8"/>
  <c r="H397" i="8"/>
  <c r="G397" i="8"/>
  <c r="I396" i="8"/>
  <c r="H396" i="8"/>
  <c r="G396" i="8"/>
  <c r="I395" i="8"/>
  <c r="H395" i="8"/>
  <c r="G395" i="8"/>
  <c r="I394" i="8"/>
  <c r="G394" i="8"/>
  <c r="H394" i="8" s="1"/>
  <c r="I393" i="8"/>
  <c r="H393" i="8"/>
  <c r="G393" i="8"/>
  <c r="I392" i="8"/>
  <c r="G392" i="8"/>
  <c r="H392" i="8" s="1"/>
  <c r="I391" i="8"/>
  <c r="G391" i="8"/>
  <c r="H391" i="8" s="1"/>
  <c r="I390" i="8"/>
  <c r="H390" i="8"/>
  <c r="G390" i="8"/>
  <c r="I389" i="8"/>
  <c r="H389" i="8"/>
  <c r="G389" i="8"/>
  <c r="I388" i="8"/>
  <c r="H388" i="8"/>
  <c r="G388" i="8"/>
  <c r="I387" i="8"/>
  <c r="H387" i="8"/>
  <c r="G387" i="8"/>
  <c r="I386" i="8"/>
  <c r="G386" i="8"/>
  <c r="H386" i="8" s="1"/>
  <c r="I385" i="8"/>
  <c r="H385" i="8"/>
  <c r="G385" i="8"/>
  <c r="I384" i="8"/>
  <c r="G384" i="8"/>
  <c r="H384" i="8" s="1"/>
  <c r="I383" i="8"/>
  <c r="H383" i="8"/>
  <c r="G383" i="8"/>
  <c r="I382" i="8"/>
  <c r="H382" i="8"/>
  <c r="G382" i="8"/>
  <c r="I381" i="8"/>
  <c r="H381" i="8"/>
  <c r="G381" i="8"/>
  <c r="I380" i="8"/>
  <c r="H380" i="8"/>
  <c r="G380" i="8"/>
  <c r="I379" i="8"/>
  <c r="H379" i="8"/>
  <c r="G379" i="8"/>
  <c r="I378" i="8"/>
  <c r="G378" i="8"/>
  <c r="H378" i="8" s="1"/>
  <c r="I377" i="8"/>
  <c r="H377" i="8"/>
  <c r="G377" i="8"/>
  <c r="I376" i="8"/>
  <c r="G376" i="8"/>
  <c r="H376" i="8" s="1"/>
  <c r="I375" i="8"/>
  <c r="G375" i="8"/>
  <c r="H375" i="8" s="1"/>
  <c r="I374" i="8"/>
  <c r="H374" i="8"/>
  <c r="G374" i="8"/>
  <c r="I373" i="8"/>
  <c r="H373" i="8"/>
  <c r="G373" i="8"/>
  <c r="I372" i="8"/>
  <c r="G372" i="8"/>
  <c r="H372" i="8" s="1"/>
  <c r="I371" i="8"/>
  <c r="H371" i="8"/>
  <c r="G371" i="8"/>
  <c r="I370" i="8"/>
  <c r="G370" i="8"/>
  <c r="H370" i="8" s="1"/>
  <c r="I369" i="8"/>
  <c r="G369" i="8"/>
  <c r="H369" i="8" s="1"/>
  <c r="I368" i="8"/>
  <c r="G368" i="8"/>
  <c r="H368" i="8" s="1"/>
  <c r="I367" i="8"/>
  <c r="H367" i="8"/>
  <c r="G367" i="8"/>
  <c r="I366" i="8"/>
  <c r="H366" i="8"/>
  <c r="G366" i="8"/>
  <c r="I365" i="8"/>
  <c r="H365" i="8"/>
  <c r="G365" i="8"/>
  <c r="I364" i="8"/>
  <c r="H364" i="8"/>
  <c r="G364" i="8"/>
  <c r="I363" i="8"/>
  <c r="H363" i="8"/>
  <c r="G363" i="8"/>
  <c r="I362" i="8"/>
  <c r="G362" i="8"/>
  <c r="H362" i="8" s="1"/>
  <c r="I361" i="8"/>
  <c r="H361" i="8"/>
  <c r="G361" i="8"/>
  <c r="I360" i="8"/>
  <c r="G360" i="8"/>
  <c r="H360" i="8" s="1"/>
  <c r="I359" i="8"/>
  <c r="G359" i="8"/>
  <c r="H359" i="8" s="1"/>
  <c r="I358" i="8"/>
  <c r="H358" i="8"/>
  <c r="G358" i="8"/>
  <c r="I357" i="8"/>
  <c r="H357" i="8"/>
  <c r="G357" i="8"/>
  <c r="I356" i="8"/>
  <c r="H356" i="8"/>
  <c r="G356" i="8"/>
  <c r="I355" i="8"/>
  <c r="H355" i="8"/>
  <c r="G355" i="8"/>
  <c r="I354" i="8"/>
  <c r="G354" i="8"/>
  <c r="H354" i="8" s="1"/>
  <c r="I353" i="8"/>
  <c r="H353" i="8"/>
  <c r="G353" i="8"/>
  <c r="I352" i="8"/>
  <c r="G352" i="8"/>
  <c r="H352" i="8" s="1"/>
  <c r="I351" i="8"/>
  <c r="H351" i="8"/>
  <c r="G351" i="8"/>
  <c r="I350" i="8"/>
  <c r="H350" i="8"/>
  <c r="G350" i="8"/>
  <c r="I349" i="8"/>
  <c r="H349" i="8"/>
  <c r="G349" i="8"/>
  <c r="I348" i="8"/>
  <c r="H348" i="8"/>
  <c r="G348" i="8"/>
  <c r="I347" i="8"/>
  <c r="H347" i="8"/>
  <c r="G347" i="8"/>
  <c r="I346" i="8"/>
  <c r="G346" i="8"/>
  <c r="H346" i="8" s="1"/>
  <c r="I345" i="8"/>
  <c r="H345" i="8"/>
  <c r="G345" i="8"/>
  <c r="I344" i="8"/>
  <c r="G344" i="8"/>
  <c r="H344" i="8" s="1"/>
  <c r="I343" i="8"/>
  <c r="G343" i="8"/>
  <c r="H343" i="8" s="1"/>
  <c r="I342" i="8"/>
  <c r="H342" i="8"/>
  <c r="G342" i="8"/>
  <c r="I341" i="8"/>
  <c r="H341" i="8"/>
  <c r="G341" i="8"/>
  <c r="I340" i="8"/>
  <c r="G340" i="8"/>
  <c r="H340" i="8" s="1"/>
  <c r="I339" i="8"/>
  <c r="H339" i="8"/>
  <c r="G339" i="8"/>
  <c r="I338" i="8"/>
  <c r="G338" i="8"/>
  <c r="H338" i="8" s="1"/>
  <c r="I337" i="8"/>
  <c r="G337" i="8"/>
  <c r="H337" i="8" s="1"/>
  <c r="I336" i="8"/>
  <c r="G336" i="8"/>
  <c r="H336" i="8" s="1"/>
  <c r="I335" i="8"/>
  <c r="H335" i="8"/>
  <c r="G335" i="8"/>
  <c r="I334" i="8"/>
  <c r="H334" i="8"/>
  <c r="G334" i="8"/>
  <c r="I333" i="8"/>
  <c r="H333" i="8"/>
  <c r="G333" i="8"/>
  <c r="I332" i="8"/>
  <c r="H332" i="8"/>
  <c r="G332" i="8"/>
  <c r="I331" i="8"/>
  <c r="H331" i="8"/>
  <c r="G331" i="8"/>
  <c r="I330" i="8"/>
  <c r="H330" i="8"/>
  <c r="G330" i="8"/>
  <c r="I329" i="8"/>
  <c r="G329" i="8"/>
  <c r="H329" i="8" s="1"/>
  <c r="I328" i="8"/>
  <c r="G328" i="8"/>
  <c r="H328" i="8" s="1"/>
  <c r="I327" i="8"/>
  <c r="H327" i="8"/>
  <c r="G327" i="8"/>
  <c r="I326" i="8"/>
  <c r="H326" i="8"/>
  <c r="G326" i="8"/>
  <c r="I325" i="8"/>
  <c r="H325" i="8"/>
  <c r="G325" i="8"/>
  <c r="I324" i="8"/>
  <c r="H324" i="8"/>
  <c r="G324" i="8"/>
  <c r="I323" i="8"/>
  <c r="H323" i="8"/>
  <c r="G323" i="8"/>
  <c r="I322" i="8"/>
  <c r="G322" i="8"/>
  <c r="H322" i="8" s="1"/>
  <c r="I321" i="8"/>
  <c r="H321" i="8"/>
  <c r="G321" i="8"/>
  <c r="I320" i="8"/>
  <c r="G320" i="8"/>
  <c r="H320" i="8" s="1"/>
  <c r="I319" i="8"/>
  <c r="G319" i="8"/>
  <c r="H319" i="8" s="1"/>
  <c r="I318" i="8"/>
  <c r="H318" i="8"/>
  <c r="G318" i="8"/>
  <c r="I317" i="8"/>
  <c r="H317" i="8"/>
  <c r="G317" i="8"/>
  <c r="I316" i="8"/>
  <c r="H316" i="8"/>
  <c r="G316" i="8"/>
  <c r="I315" i="8"/>
  <c r="G315" i="8"/>
  <c r="H315" i="8" s="1"/>
  <c r="I314" i="8"/>
  <c r="H314" i="8"/>
  <c r="G314" i="8"/>
  <c r="I313" i="8"/>
  <c r="H313" i="8"/>
  <c r="G313" i="8"/>
  <c r="I312" i="8"/>
  <c r="G312" i="8"/>
  <c r="H312" i="8" s="1"/>
  <c r="I311" i="8"/>
  <c r="G311" i="8"/>
  <c r="H311" i="8" s="1"/>
  <c r="I310" i="8"/>
  <c r="H310" i="8"/>
  <c r="G310" i="8"/>
  <c r="I309" i="8"/>
  <c r="H309" i="8"/>
  <c r="G309" i="8"/>
  <c r="I308" i="8"/>
  <c r="H308" i="8"/>
  <c r="G308" i="8"/>
  <c r="I307" i="8"/>
  <c r="G307" i="8"/>
  <c r="H307" i="8" s="1"/>
  <c r="I306" i="8"/>
  <c r="H306" i="8"/>
  <c r="G306" i="8"/>
  <c r="I305" i="8"/>
  <c r="H305" i="8"/>
  <c r="G305" i="8"/>
  <c r="I304" i="8"/>
  <c r="G304" i="8"/>
  <c r="H304" i="8" s="1"/>
  <c r="I303" i="8"/>
  <c r="G303" i="8"/>
  <c r="H303" i="8" s="1"/>
  <c r="I302" i="8"/>
  <c r="H302" i="8"/>
  <c r="G302" i="8"/>
  <c r="I301" i="8"/>
  <c r="H301" i="8"/>
  <c r="G301" i="8"/>
  <c r="I300" i="8"/>
  <c r="H300" i="8"/>
  <c r="G300" i="8"/>
  <c r="I299" i="8"/>
  <c r="G299" i="8"/>
  <c r="H299" i="8" s="1"/>
  <c r="I298" i="8"/>
  <c r="H298" i="8"/>
  <c r="G298" i="8"/>
  <c r="I297" i="8"/>
  <c r="H297" i="8"/>
  <c r="G297" i="8"/>
  <c r="I296" i="8"/>
  <c r="G296" i="8"/>
  <c r="H296" i="8" s="1"/>
  <c r="I295" i="8"/>
  <c r="G295" i="8"/>
  <c r="H295" i="8" s="1"/>
  <c r="I294" i="8"/>
  <c r="H294" i="8"/>
  <c r="G294" i="8"/>
  <c r="I293" i="8"/>
  <c r="H293" i="8"/>
  <c r="G293" i="8"/>
  <c r="I292" i="8"/>
  <c r="H292" i="8"/>
  <c r="G292" i="8"/>
  <c r="I291" i="8"/>
  <c r="G291" i="8"/>
  <c r="H291" i="8" s="1"/>
  <c r="I290" i="8"/>
  <c r="H290" i="8"/>
  <c r="G290" i="8"/>
  <c r="I289" i="8"/>
  <c r="H289" i="8"/>
  <c r="G289" i="8"/>
  <c r="I288" i="8"/>
  <c r="G288" i="8"/>
  <c r="H288" i="8" s="1"/>
  <c r="I287" i="8"/>
  <c r="G287" i="8"/>
  <c r="H287" i="8" s="1"/>
  <c r="I286" i="8"/>
  <c r="H286" i="8"/>
  <c r="G286" i="8"/>
  <c r="I285" i="8"/>
  <c r="H285" i="8"/>
  <c r="G285" i="8"/>
  <c r="I284" i="8"/>
  <c r="H284" i="8"/>
  <c r="G284" i="8"/>
  <c r="I283" i="8"/>
  <c r="G283" i="8"/>
  <c r="H283" i="8" s="1"/>
  <c r="I282" i="8"/>
  <c r="H282" i="8"/>
  <c r="G282" i="8"/>
  <c r="I281" i="8"/>
  <c r="H281" i="8"/>
  <c r="G281" i="8"/>
  <c r="I280" i="8"/>
  <c r="G280" i="8"/>
  <c r="H280" i="8" s="1"/>
  <c r="I279" i="8"/>
  <c r="G279" i="8"/>
  <c r="H279" i="8" s="1"/>
  <c r="I278" i="8"/>
  <c r="H278" i="8"/>
  <c r="G278" i="8"/>
  <c r="I277" i="8"/>
  <c r="H277" i="8"/>
  <c r="G277" i="8"/>
  <c r="I276" i="8"/>
  <c r="H276" i="8"/>
  <c r="G276" i="8"/>
  <c r="I275" i="8"/>
  <c r="G275" i="8"/>
  <c r="H275" i="8" s="1"/>
  <c r="I274" i="8"/>
  <c r="H274" i="8"/>
  <c r="G274" i="8"/>
  <c r="I273" i="8"/>
  <c r="H273" i="8"/>
  <c r="G273" i="8"/>
  <c r="I272" i="8"/>
  <c r="G272" i="8"/>
  <c r="H272" i="8" s="1"/>
  <c r="I271" i="8"/>
  <c r="G271" i="8"/>
  <c r="H271" i="8" s="1"/>
  <c r="I270" i="8"/>
  <c r="H270" i="8"/>
  <c r="G270" i="8"/>
  <c r="I269" i="8"/>
  <c r="H269" i="8"/>
  <c r="G269" i="8"/>
  <c r="I268" i="8"/>
  <c r="H268" i="8"/>
  <c r="G268" i="8"/>
  <c r="I267" i="8"/>
  <c r="G267" i="8"/>
  <c r="H267" i="8" s="1"/>
  <c r="I266" i="8"/>
  <c r="H266" i="8"/>
  <c r="G266" i="8"/>
  <c r="I265" i="8"/>
  <c r="H265" i="8"/>
  <c r="G265" i="8"/>
  <c r="I264" i="8"/>
  <c r="G264" i="8"/>
  <c r="H264" i="8" s="1"/>
  <c r="I263" i="8"/>
  <c r="G263" i="8"/>
  <c r="H263" i="8" s="1"/>
  <c r="I262" i="8"/>
  <c r="H262" i="8"/>
  <c r="G262" i="8"/>
  <c r="I261" i="8"/>
  <c r="H261" i="8"/>
  <c r="G261" i="8"/>
  <c r="I260" i="8"/>
  <c r="H260" i="8"/>
  <c r="G260" i="8"/>
  <c r="I259" i="8"/>
  <c r="G259" i="8"/>
  <c r="H259" i="8" s="1"/>
  <c r="I258" i="8"/>
  <c r="H258" i="8"/>
  <c r="G258" i="8"/>
  <c r="I257" i="8"/>
  <c r="H257" i="8"/>
  <c r="G257" i="8"/>
  <c r="I256" i="8"/>
  <c r="G256" i="8"/>
  <c r="H256" i="8" s="1"/>
  <c r="I255" i="8"/>
  <c r="G255" i="8"/>
  <c r="H255" i="8" s="1"/>
  <c r="I254" i="8"/>
  <c r="H254" i="8"/>
  <c r="G254" i="8"/>
  <c r="I253" i="8"/>
  <c r="H253" i="8"/>
  <c r="G253" i="8"/>
  <c r="I252" i="8"/>
  <c r="H252" i="8"/>
  <c r="G252" i="8"/>
  <c r="I251" i="8"/>
  <c r="G251" i="8"/>
  <c r="H251" i="8" s="1"/>
  <c r="I250" i="8"/>
  <c r="H250" i="8"/>
  <c r="G250" i="8"/>
  <c r="I249" i="8"/>
  <c r="H249" i="8"/>
  <c r="G249" i="8"/>
  <c r="I248" i="8"/>
  <c r="G248" i="8"/>
  <c r="H248" i="8" s="1"/>
  <c r="I247" i="8"/>
  <c r="G247" i="8"/>
  <c r="H247" i="8" s="1"/>
  <c r="I246" i="8"/>
  <c r="H246" i="8"/>
  <c r="G246" i="8"/>
  <c r="I245" i="8"/>
  <c r="H245" i="8"/>
  <c r="G245" i="8"/>
  <c r="I244" i="8"/>
  <c r="H244" i="8"/>
  <c r="G244" i="8"/>
  <c r="I243" i="8"/>
  <c r="G243" i="8"/>
  <c r="H243" i="8" s="1"/>
  <c r="I242" i="8"/>
  <c r="H242" i="8"/>
  <c r="G242" i="8"/>
  <c r="I241" i="8"/>
  <c r="H241" i="8"/>
  <c r="G241" i="8"/>
  <c r="I240" i="8"/>
  <c r="G240" i="8"/>
  <c r="H240" i="8" s="1"/>
  <c r="I239" i="8"/>
  <c r="G239" i="8"/>
  <c r="H239" i="8" s="1"/>
  <c r="I238" i="8"/>
  <c r="H238" i="8"/>
  <c r="G238" i="8"/>
  <c r="I237" i="8"/>
  <c r="H237" i="8"/>
  <c r="G237" i="8"/>
  <c r="I236" i="8"/>
  <c r="H236" i="8"/>
  <c r="G236" i="8"/>
  <c r="I235" i="8"/>
  <c r="G235" i="8"/>
  <c r="H235" i="8" s="1"/>
  <c r="I234" i="8"/>
  <c r="H234" i="8"/>
  <c r="G234" i="8"/>
  <c r="I233" i="8"/>
  <c r="H233" i="8"/>
  <c r="G233" i="8"/>
  <c r="I232" i="8"/>
  <c r="G232" i="8"/>
  <c r="H232" i="8" s="1"/>
  <c r="I231" i="8"/>
  <c r="G231" i="8"/>
  <c r="H231" i="8" s="1"/>
  <c r="I230" i="8"/>
  <c r="H230" i="8"/>
  <c r="G230" i="8"/>
  <c r="I229" i="8"/>
  <c r="H229" i="8"/>
  <c r="G229" i="8"/>
  <c r="I228" i="8"/>
  <c r="H228" i="8"/>
  <c r="G228" i="8"/>
  <c r="I227" i="8"/>
  <c r="G227" i="8"/>
  <c r="H227" i="8" s="1"/>
  <c r="I226" i="8"/>
  <c r="H226" i="8"/>
  <c r="G226" i="8"/>
  <c r="I225" i="8"/>
  <c r="H225" i="8"/>
  <c r="G225" i="8"/>
  <c r="I224" i="8"/>
  <c r="G224" i="8"/>
  <c r="H224" i="8" s="1"/>
  <c r="I223" i="8"/>
  <c r="G223" i="8"/>
  <c r="H223" i="8" s="1"/>
  <c r="I222" i="8"/>
  <c r="H222" i="8"/>
  <c r="G222" i="8"/>
  <c r="I221" i="8"/>
  <c r="H221" i="8"/>
  <c r="G221" i="8"/>
  <c r="I220" i="8"/>
  <c r="H220" i="8"/>
  <c r="G220" i="8"/>
  <c r="I219" i="8"/>
  <c r="G219" i="8"/>
  <c r="H219" i="8" s="1"/>
  <c r="I218" i="8"/>
  <c r="H218" i="8"/>
  <c r="G218" i="8"/>
  <c r="I217" i="8"/>
  <c r="H217" i="8"/>
  <c r="G217" i="8"/>
  <c r="I216" i="8"/>
  <c r="G216" i="8"/>
  <c r="H216" i="8" s="1"/>
  <c r="I215" i="8"/>
  <c r="G215" i="8"/>
  <c r="H215" i="8" s="1"/>
  <c r="I214" i="8"/>
  <c r="H214" i="8"/>
  <c r="G214" i="8"/>
  <c r="I213" i="8"/>
  <c r="H213" i="8"/>
  <c r="G213" i="8"/>
  <c r="I212" i="8"/>
  <c r="H212" i="8"/>
  <c r="G212" i="8"/>
  <c r="I211" i="8"/>
  <c r="G211" i="8"/>
  <c r="H211" i="8" s="1"/>
  <c r="I210" i="8"/>
  <c r="H210" i="8"/>
  <c r="G210" i="8"/>
  <c r="I209" i="8"/>
  <c r="H209" i="8"/>
  <c r="G209" i="8"/>
  <c r="I208" i="8"/>
  <c r="G208" i="8"/>
  <c r="H208" i="8" s="1"/>
  <c r="I207" i="8"/>
  <c r="G207" i="8"/>
  <c r="H207" i="8" s="1"/>
  <c r="I206" i="8"/>
  <c r="H206" i="8"/>
  <c r="G206" i="8"/>
  <c r="I205" i="8"/>
  <c r="H205" i="8"/>
  <c r="G205" i="8"/>
  <c r="I204" i="8"/>
  <c r="H204" i="8"/>
  <c r="G204" i="8"/>
  <c r="I203" i="8"/>
  <c r="G203" i="8"/>
  <c r="H203" i="8" s="1"/>
  <c r="I202" i="8"/>
  <c r="H202" i="8"/>
  <c r="G202" i="8"/>
  <c r="I201" i="8"/>
  <c r="H201" i="8"/>
  <c r="G201" i="8"/>
  <c r="I200" i="8"/>
  <c r="G200" i="8"/>
  <c r="H200" i="8" s="1"/>
  <c r="I199" i="8"/>
  <c r="G199" i="8"/>
  <c r="H199" i="8" s="1"/>
  <c r="I198" i="8"/>
  <c r="H198" i="8"/>
  <c r="G198" i="8"/>
  <c r="I197" i="8"/>
  <c r="H197" i="8"/>
  <c r="G197" i="8"/>
  <c r="I196" i="8"/>
  <c r="H196" i="8"/>
  <c r="G196" i="8"/>
  <c r="I195" i="8"/>
  <c r="G195" i="8"/>
  <c r="H195" i="8" s="1"/>
  <c r="I194" i="8"/>
  <c r="H194" i="8"/>
  <c r="G194" i="8"/>
  <c r="I193" i="8"/>
  <c r="H193" i="8"/>
  <c r="G193" i="8"/>
  <c r="I192" i="8"/>
  <c r="G192" i="8"/>
  <c r="H192" i="8" s="1"/>
  <c r="I191" i="8"/>
  <c r="G191" i="8"/>
  <c r="H191" i="8" s="1"/>
  <c r="I190" i="8"/>
  <c r="H190" i="8"/>
  <c r="G190" i="8"/>
  <c r="I189" i="8"/>
  <c r="H189" i="8"/>
  <c r="G189" i="8"/>
  <c r="I188" i="8"/>
  <c r="H188" i="8"/>
  <c r="G188" i="8"/>
  <c r="I187" i="8"/>
  <c r="G187" i="8"/>
  <c r="H187" i="8" s="1"/>
  <c r="I186" i="8"/>
  <c r="H186" i="8"/>
  <c r="G186" i="8"/>
  <c r="I185" i="8"/>
  <c r="H185" i="8"/>
  <c r="G185" i="8"/>
  <c r="I184" i="8"/>
  <c r="G184" i="8"/>
  <c r="H184" i="8" s="1"/>
  <c r="I183" i="8"/>
  <c r="G183" i="8"/>
  <c r="H183" i="8" s="1"/>
  <c r="I182" i="8"/>
  <c r="H182" i="8"/>
  <c r="G182" i="8"/>
  <c r="I181" i="8"/>
  <c r="H181" i="8"/>
  <c r="G181" i="8"/>
  <c r="I180" i="8"/>
  <c r="H180" i="8"/>
  <c r="G180" i="8"/>
  <c r="I179" i="8"/>
  <c r="G179" i="8"/>
  <c r="H179" i="8" s="1"/>
  <c r="I178" i="8"/>
  <c r="H178" i="8"/>
  <c r="G178" i="8"/>
  <c r="I177" i="8"/>
  <c r="H177" i="8"/>
  <c r="G177" i="8"/>
  <c r="I176" i="8"/>
  <c r="G176" i="8"/>
  <c r="H176" i="8" s="1"/>
  <c r="I175" i="8"/>
  <c r="G175" i="8"/>
  <c r="H175" i="8" s="1"/>
  <c r="I174" i="8"/>
  <c r="H174" i="8"/>
  <c r="G174" i="8"/>
  <c r="I173" i="8"/>
  <c r="H173" i="8"/>
  <c r="G173" i="8"/>
  <c r="I172" i="8"/>
  <c r="H172" i="8"/>
  <c r="G172" i="8"/>
  <c r="I171" i="8"/>
  <c r="G171" i="8"/>
  <c r="H171" i="8" s="1"/>
  <c r="I170" i="8"/>
  <c r="H170" i="8"/>
  <c r="G170" i="8"/>
  <c r="I169" i="8"/>
  <c r="H169" i="8"/>
  <c r="G169" i="8"/>
  <c r="I168" i="8"/>
  <c r="G168" i="8"/>
  <c r="H168" i="8" s="1"/>
  <c r="I167" i="8"/>
  <c r="G167" i="8"/>
  <c r="H167" i="8" s="1"/>
  <c r="I166" i="8"/>
  <c r="H166" i="8"/>
  <c r="G166" i="8"/>
  <c r="I165" i="8"/>
  <c r="H165" i="8"/>
  <c r="G165" i="8"/>
  <c r="I164" i="8"/>
  <c r="H164" i="8"/>
  <c r="G164" i="8"/>
  <c r="I163" i="8"/>
  <c r="G163" i="8"/>
  <c r="H163" i="8" s="1"/>
  <c r="I162" i="8"/>
  <c r="H162" i="8"/>
  <c r="G162" i="8"/>
  <c r="I161" i="8"/>
  <c r="H161" i="8"/>
  <c r="G161" i="8"/>
  <c r="I160" i="8"/>
  <c r="G160" i="8"/>
  <c r="H160" i="8" s="1"/>
  <c r="I159" i="8"/>
  <c r="G159" i="8"/>
  <c r="H159" i="8" s="1"/>
  <c r="I158" i="8"/>
  <c r="H158" i="8"/>
  <c r="G158" i="8"/>
  <c r="I157" i="8"/>
  <c r="H157" i="8"/>
  <c r="G157" i="8"/>
  <c r="I156" i="8"/>
  <c r="H156" i="8"/>
  <c r="G156" i="8"/>
  <c r="I155" i="8"/>
  <c r="G155" i="8"/>
  <c r="H155" i="8" s="1"/>
  <c r="I154" i="8"/>
  <c r="H154" i="8"/>
  <c r="G154" i="8"/>
  <c r="I153" i="8"/>
  <c r="H153" i="8"/>
  <c r="G153" i="8"/>
  <c r="I152" i="8"/>
  <c r="G152" i="8"/>
  <c r="H152" i="8" s="1"/>
  <c r="I151" i="8"/>
  <c r="G151" i="8"/>
  <c r="H151" i="8" s="1"/>
  <c r="I150" i="8"/>
  <c r="H150" i="8"/>
  <c r="G150" i="8"/>
  <c r="I149" i="8"/>
  <c r="H149" i="8"/>
  <c r="G149" i="8"/>
  <c r="I148" i="8"/>
  <c r="H148" i="8"/>
  <c r="G148" i="8"/>
  <c r="I147" i="8"/>
  <c r="G147" i="8"/>
  <c r="H147" i="8" s="1"/>
  <c r="I146" i="8"/>
  <c r="H146" i="8"/>
  <c r="G146" i="8"/>
  <c r="I145" i="8"/>
  <c r="H145" i="8"/>
  <c r="G145" i="8"/>
  <c r="I144" i="8"/>
  <c r="G144" i="8"/>
  <c r="H144" i="8" s="1"/>
  <c r="I143" i="8"/>
  <c r="G143" i="8"/>
  <c r="H143" i="8" s="1"/>
  <c r="I142" i="8"/>
  <c r="H142" i="8"/>
  <c r="G142" i="8"/>
  <c r="I141" i="8"/>
  <c r="H141" i="8"/>
  <c r="G141" i="8"/>
  <c r="I140" i="8"/>
  <c r="H140" i="8"/>
  <c r="G140" i="8"/>
  <c r="I139" i="8"/>
  <c r="G139" i="8"/>
  <c r="H139" i="8" s="1"/>
  <c r="I138" i="8"/>
  <c r="H138" i="8"/>
  <c r="G138" i="8"/>
  <c r="I137" i="8"/>
  <c r="H137" i="8"/>
  <c r="G137" i="8"/>
  <c r="I136" i="8"/>
  <c r="G136" i="8"/>
  <c r="H136" i="8" s="1"/>
  <c r="I135" i="8"/>
  <c r="G135" i="8"/>
  <c r="H135" i="8" s="1"/>
  <c r="I134" i="8"/>
  <c r="H134" i="8"/>
  <c r="G134" i="8"/>
  <c r="I133" i="8"/>
  <c r="H133" i="8"/>
  <c r="G133" i="8"/>
  <c r="I132" i="8"/>
  <c r="H132" i="8"/>
  <c r="G132" i="8"/>
  <c r="I131" i="8"/>
  <c r="G131" i="8"/>
  <c r="H131" i="8" s="1"/>
  <c r="I130" i="8"/>
  <c r="H130" i="8"/>
  <c r="G130" i="8"/>
  <c r="I129" i="8"/>
  <c r="H129" i="8"/>
  <c r="G129" i="8"/>
  <c r="I128" i="8"/>
  <c r="G128" i="8"/>
  <c r="H128" i="8" s="1"/>
  <c r="I127" i="8"/>
  <c r="G127" i="8"/>
  <c r="H127" i="8" s="1"/>
  <c r="I126" i="8"/>
  <c r="H126" i="8"/>
  <c r="G126" i="8"/>
  <c r="I125" i="8"/>
  <c r="H125" i="8"/>
  <c r="G125" i="8"/>
  <c r="I124" i="8"/>
  <c r="H124" i="8"/>
  <c r="G124" i="8"/>
  <c r="I123" i="8"/>
  <c r="G123" i="8"/>
  <c r="H123" i="8" s="1"/>
  <c r="I122" i="8"/>
  <c r="H122" i="8"/>
  <c r="G122" i="8"/>
  <c r="I121" i="8"/>
  <c r="H121" i="8"/>
  <c r="G121" i="8"/>
  <c r="I120" i="8"/>
  <c r="G120" i="8"/>
  <c r="H120" i="8" s="1"/>
  <c r="I119" i="8"/>
  <c r="G119" i="8"/>
  <c r="H119" i="8" s="1"/>
  <c r="I118" i="8"/>
  <c r="H118" i="8"/>
  <c r="G118" i="8"/>
  <c r="I117" i="8"/>
  <c r="H117" i="8"/>
  <c r="G117" i="8"/>
  <c r="I116" i="8"/>
  <c r="H116" i="8"/>
  <c r="G116" i="8"/>
  <c r="I115" i="8"/>
  <c r="G115" i="8"/>
  <c r="H115" i="8" s="1"/>
  <c r="I114" i="8"/>
  <c r="H114" i="8"/>
  <c r="G114" i="8"/>
  <c r="I113" i="8"/>
  <c r="H113" i="8"/>
  <c r="G113" i="8"/>
  <c r="I112" i="8"/>
  <c r="G112" i="8"/>
  <c r="H112" i="8" s="1"/>
  <c r="I111" i="8"/>
  <c r="G111" i="8"/>
  <c r="H111" i="8" s="1"/>
  <c r="I110" i="8"/>
  <c r="H110" i="8"/>
  <c r="G110" i="8"/>
  <c r="I109" i="8"/>
  <c r="H109" i="8"/>
  <c r="G109" i="8"/>
  <c r="I108" i="8"/>
  <c r="H108" i="8"/>
  <c r="G108" i="8"/>
  <c r="I107" i="8"/>
  <c r="G107" i="8"/>
  <c r="H107" i="8" s="1"/>
  <c r="I106" i="8"/>
  <c r="H106" i="8"/>
  <c r="G106" i="8"/>
  <c r="I105" i="8"/>
  <c r="H105" i="8"/>
  <c r="G105" i="8"/>
  <c r="I104" i="8"/>
  <c r="G104" i="8"/>
  <c r="H104" i="8" s="1"/>
  <c r="I103" i="8"/>
  <c r="G103" i="8"/>
  <c r="H103" i="8" s="1"/>
  <c r="I102" i="8"/>
  <c r="H102" i="8"/>
  <c r="G102" i="8"/>
  <c r="I101" i="8"/>
  <c r="H101" i="8"/>
  <c r="G101" i="8"/>
  <c r="I100" i="8"/>
  <c r="H100" i="8"/>
  <c r="G100" i="8"/>
  <c r="I99" i="8"/>
  <c r="G99" i="8"/>
  <c r="H99" i="8" s="1"/>
  <c r="I98" i="8"/>
  <c r="H98" i="8"/>
  <c r="G98" i="8"/>
  <c r="I97" i="8"/>
  <c r="H97" i="8"/>
  <c r="G97" i="8"/>
  <c r="I96" i="8"/>
  <c r="G96" i="8"/>
  <c r="H96" i="8" s="1"/>
  <c r="I95" i="8"/>
  <c r="G95" i="8"/>
  <c r="H95" i="8" s="1"/>
  <c r="I94" i="8"/>
  <c r="H94" i="8"/>
  <c r="G94" i="8"/>
  <c r="I93" i="8"/>
  <c r="H93" i="8"/>
  <c r="G93" i="8"/>
  <c r="I92" i="8"/>
  <c r="H92" i="8"/>
  <c r="G92" i="8"/>
  <c r="I91" i="8"/>
  <c r="G91" i="8"/>
  <c r="H91" i="8" s="1"/>
  <c r="I90" i="8"/>
  <c r="H90" i="8"/>
  <c r="G90" i="8"/>
  <c r="I89" i="8"/>
  <c r="H89" i="8"/>
  <c r="G89" i="8"/>
  <c r="I88" i="8"/>
  <c r="G88" i="8"/>
  <c r="H88" i="8" s="1"/>
  <c r="I87" i="8"/>
  <c r="G87" i="8"/>
  <c r="H87" i="8" s="1"/>
  <c r="I86" i="8"/>
  <c r="H86" i="8"/>
  <c r="G86" i="8"/>
  <c r="I85" i="8"/>
  <c r="H85" i="8"/>
  <c r="G85" i="8"/>
  <c r="I84" i="8"/>
  <c r="H84" i="8"/>
  <c r="G84" i="8"/>
  <c r="I83" i="8"/>
  <c r="G83" i="8"/>
  <c r="H83" i="8" s="1"/>
  <c r="I82" i="8"/>
  <c r="H82" i="8"/>
  <c r="G82" i="8"/>
  <c r="I81" i="8"/>
  <c r="H81" i="8"/>
  <c r="G81" i="8"/>
  <c r="I80" i="8"/>
  <c r="G80" i="8"/>
  <c r="H80" i="8" s="1"/>
  <c r="I79" i="8"/>
  <c r="G79" i="8"/>
  <c r="H79" i="8" s="1"/>
  <c r="I78" i="8"/>
  <c r="H78" i="8"/>
  <c r="G78" i="8"/>
  <c r="I77" i="8"/>
  <c r="H77" i="8"/>
  <c r="G77" i="8"/>
  <c r="I76" i="8"/>
  <c r="H76" i="8"/>
  <c r="G76" i="8"/>
  <c r="I75" i="8"/>
  <c r="G75" i="8"/>
  <c r="H75" i="8" s="1"/>
  <c r="I74" i="8"/>
  <c r="H74" i="8"/>
  <c r="G74" i="8"/>
  <c r="I73" i="8"/>
  <c r="H73" i="8"/>
  <c r="G73" i="8"/>
  <c r="I72" i="8"/>
  <c r="G72" i="8"/>
  <c r="H72" i="8" s="1"/>
  <c r="I71" i="8"/>
  <c r="G71" i="8"/>
  <c r="H71" i="8" s="1"/>
  <c r="I70" i="8"/>
  <c r="H70" i="8"/>
  <c r="G70" i="8"/>
  <c r="I69" i="8"/>
  <c r="H69" i="8"/>
  <c r="G69" i="8"/>
  <c r="I68" i="8"/>
  <c r="H68" i="8"/>
  <c r="G68" i="8"/>
  <c r="I67" i="8"/>
  <c r="G67" i="8"/>
  <c r="H67" i="8" s="1"/>
  <c r="I66" i="8"/>
  <c r="H66" i="8"/>
  <c r="G66" i="8"/>
  <c r="I65" i="8"/>
  <c r="H65" i="8"/>
  <c r="G65" i="8"/>
  <c r="I64" i="8"/>
  <c r="G64" i="8"/>
  <c r="H64" i="8" s="1"/>
  <c r="I63" i="8"/>
  <c r="G63" i="8"/>
  <c r="H63" i="8" s="1"/>
  <c r="I62" i="8"/>
  <c r="H62" i="8"/>
  <c r="G62" i="8"/>
  <c r="I61" i="8"/>
  <c r="H61" i="8"/>
  <c r="G61" i="8"/>
  <c r="I60" i="8"/>
  <c r="H60" i="8"/>
  <c r="G60" i="8"/>
  <c r="I59" i="8"/>
  <c r="G59" i="8"/>
  <c r="H59" i="8" s="1"/>
  <c r="I58" i="8"/>
  <c r="H58" i="8"/>
  <c r="G58" i="8"/>
  <c r="I57" i="8"/>
  <c r="H57" i="8"/>
  <c r="G57" i="8"/>
  <c r="I56" i="8"/>
  <c r="G56" i="8"/>
  <c r="H56" i="8" s="1"/>
  <c r="I55" i="8"/>
  <c r="G55" i="8"/>
  <c r="H55" i="8" s="1"/>
  <c r="I54" i="8"/>
  <c r="H54" i="8"/>
  <c r="G54" i="8"/>
  <c r="I53" i="8"/>
  <c r="H53" i="8"/>
  <c r="G53" i="8"/>
  <c r="I52" i="8"/>
  <c r="H52" i="8"/>
  <c r="G52" i="8"/>
  <c r="I51" i="8"/>
  <c r="G51" i="8"/>
  <c r="H51" i="8" s="1"/>
  <c r="I50" i="8"/>
  <c r="H50" i="8"/>
  <c r="G50" i="8"/>
  <c r="I49" i="8"/>
  <c r="H49" i="8"/>
  <c r="G49" i="8"/>
  <c r="I48" i="8"/>
  <c r="G48" i="8"/>
  <c r="H48" i="8" s="1"/>
  <c r="I47" i="8"/>
  <c r="G47" i="8"/>
  <c r="H47" i="8" s="1"/>
  <c r="I46" i="8"/>
  <c r="H46" i="8"/>
  <c r="G46" i="8"/>
  <c r="I45" i="8"/>
  <c r="H45" i="8"/>
  <c r="G45" i="8"/>
  <c r="I44" i="8"/>
  <c r="H44" i="8"/>
  <c r="G44" i="8"/>
  <c r="I43" i="8"/>
  <c r="G43" i="8"/>
  <c r="H43" i="8" s="1"/>
  <c r="I42" i="8"/>
  <c r="H42" i="8"/>
  <c r="G42" i="8"/>
  <c r="I41" i="8"/>
  <c r="H41" i="8"/>
  <c r="G41" i="8"/>
  <c r="I40" i="8"/>
  <c r="G40" i="8"/>
  <c r="H40" i="8" s="1"/>
  <c r="I39" i="8"/>
  <c r="G39" i="8"/>
  <c r="H39" i="8" s="1"/>
  <c r="I38" i="8"/>
  <c r="H38" i="8"/>
  <c r="G38" i="8"/>
  <c r="I37" i="8"/>
  <c r="H37" i="8"/>
  <c r="G37" i="8"/>
  <c r="I36" i="8"/>
  <c r="H36" i="8"/>
  <c r="G36" i="8"/>
  <c r="I35" i="8"/>
  <c r="G35" i="8"/>
  <c r="H35" i="8" s="1"/>
  <c r="I34" i="8"/>
  <c r="H34" i="8"/>
  <c r="G34" i="8"/>
  <c r="I33" i="8"/>
  <c r="H33" i="8"/>
  <c r="G33" i="8"/>
  <c r="I32" i="8"/>
  <c r="G32" i="8"/>
  <c r="H32" i="8" s="1"/>
  <c r="I31" i="8"/>
  <c r="G31" i="8"/>
  <c r="H31" i="8" s="1"/>
  <c r="I30" i="8"/>
  <c r="H30" i="8"/>
  <c r="G30" i="8"/>
  <c r="I29" i="8"/>
  <c r="H29" i="8"/>
  <c r="G29" i="8"/>
  <c r="I28" i="8"/>
  <c r="H28" i="8"/>
  <c r="G28" i="8"/>
  <c r="I27" i="8"/>
  <c r="G27" i="8"/>
  <c r="H27" i="8" s="1"/>
  <c r="I26" i="8"/>
  <c r="H26" i="8"/>
  <c r="G26" i="8"/>
  <c r="I25" i="8"/>
  <c r="H25" i="8"/>
  <c r="G25" i="8"/>
  <c r="I24" i="8"/>
  <c r="G24" i="8"/>
  <c r="H24" i="8" s="1"/>
  <c r="I23" i="8"/>
  <c r="G23" i="8"/>
  <c r="H23" i="8" s="1"/>
  <c r="I22" i="8"/>
  <c r="H22" i="8"/>
  <c r="G22" i="8"/>
  <c r="I21" i="8"/>
  <c r="H21" i="8"/>
  <c r="G21" i="8"/>
  <c r="I20" i="8"/>
  <c r="H20" i="8"/>
  <c r="G20" i="8"/>
  <c r="I19" i="8"/>
  <c r="G19" i="8"/>
  <c r="H19" i="8" s="1"/>
  <c r="I18" i="8"/>
  <c r="H18" i="8"/>
  <c r="G18" i="8"/>
  <c r="I17" i="8"/>
  <c r="H17" i="8"/>
  <c r="G17" i="8"/>
  <c r="I16" i="8"/>
  <c r="G16" i="8"/>
  <c r="H16" i="8" s="1"/>
  <c r="I15" i="8"/>
  <c r="G15" i="8"/>
  <c r="H15" i="8" s="1"/>
  <c r="I14" i="8"/>
  <c r="H14" i="8"/>
  <c r="G14" i="8"/>
  <c r="I13" i="8"/>
  <c r="H13" i="8"/>
  <c r="G13" i="8"/>
  <c r="I12" i="8"/>
  <c r="G12" i="8"/>
  <c r="H12" i="8" s="1"/>
  <c r="I11" i="8"/>
  <c r="G11" i="8"/>
  <c r="H11" i="8" s="1"/>
  <c r="I10" i="8"/>
  <c r="H10" i="8"/>
  <c r="G10" i="8"/>
  <c r="I9" i="8"/>
  <c r="H9" i="8"/>
  <c r="G9" i="8"/>
  <c r="I8" i="8"/>
  <c r="G8" i="8"/>
  <c r="H8" i="8" s="1"/>
  <c r="I7" i="8"/>
  <c r="G7" i="8"/>
  <c r="H7" i="8" s="1"/>
  <c r="I6" i="8"/>
  <c r="H6" i="8"/>
  <c r="G6" i="8"/>
  <c r="I5" i="8"/>
  <c r="H5" i="8"/>
  <c r="G5" i="8"/>
  <c r="I4" i="8"/>
  <c r="H4" i="8"/>
  <c r="G4" i="8"/>
  <c r="I3" i="8"/>
  <c r="G3" i="8"/>
  <c r="H3" i="8" s="1"/>
  <c r="I2" i="8"/>
  <c r="H2" i="8"/>
  <c r="G2" i="8"/>
  <c r="AC1000" i="4"/>
  <c r="U1000" i="4"/>
  <c r="T1000" i="4"/>
  <c r="S1000" i="4"/>
  <c r="AA1000" i="4" s="1"/>
  <c r="R1000" i="4"/>
  <c r="Q1000" i="4"/>
  <c r="Y1000" i="4" s="1"/>
  <c r="P1000" i="4"/>
  <c r="AC999" i="4"/>
  <c r="W999" i="4"/>
  <c r="V999" i="4"/>
  <c r="Z999" i="4" s="1"/>
  <c r="U999" i="4"/>
  <c r="T999" i="4"/>
  <c r="S999" i="4"/>
  <c r="AA999" i="4" s="1"/>
  <c r="R999" i="4"/>
  <c r="Q999" i="4"/>
  <c r="AB999" i="4" s="1"/>
  <c r="P999" i="4"/>
  <c r="AC998" i="4"/>
  <c r="AB998" i="4"/>
  <c r="AA998" i="4"/>
  <c r="X998" i="4"/>
  <c r="W998" i="4"/>
  <c r="V998" i="4"/>
  <c r="Z998" i="4" s="1"/>
  <c r="AD998" i="4" s="1"/>
  <c r="U998" i="4"/>
  <c r="T998" i="4"/>
  <c r="S998" i="4"/>
  <c r="R998" i="4"/>
  <c r="Q998" i="4"/>
  <c r="Y998" i="4" s="1"/>
  <c r="P998" i="4"/>
  <c r="AC997" i="4"/>
  <c r="AB997" i="4"/>
  <c r="X997" i="4"/>
  <c r="U997" i="4"/>
  <c r="T997" i="4"/>
  <c r="S997" i="4"/>
  <c r="R997" i="4"/>
  <c r="Q997" i="4"/>
  <c r="Y997" i="4" s="1"/>
  <c r="P997" i="4"/>
  <c r="AC996" i="4"/>
  <c r="Y996" i="4"/>
  <c r="V996" i="4"/>
  <c r="Z996" i="4" s="1"/>
  <c r="AD996" i="4" s="1"/>
  <c r="U996" i="4"/>
  <c r="T996" i="4"/>
  <c r="S996" i="4"/>
  <c r="R996" i="4"/>
  <c r="Q996" i="4"/>
  <c r="P996" i="4"/>
  <c r="AC995" i="4"/>
  <c r="W995" i="4"/>
  <c r="V995" i="4"/>
  <c r="Z995" i="4" s="1"/>
  <c r="U995" i="4"/>
  <c r="T995" i="4"/>
  <c r="S995" i="4"/>
  <c r="AA995" i="4" s="1"/>
  <c r="R995" i="4"/>
  <c r="Q995" i="4"/>
  <c r="Y995" i="4" s="1"/>
  <c r="P995" i="4"/>
  <c r="AC994" i="4"/>
  <c r="AB994" i="4"/>
  <c r="AA994" i="4"/>
  <c r="X994" i="4"/>
  <c r="W994" i="4"/>
  <c r="V994" i="4"/>
  <c r="Z994" i="4" s="1"/>
  <c r="AD994" i="4" s="1"/>
  <c r="N994" i="4" s="1"/>
  <c r="U994" i="4"/>
  <c r="T994" i="4"/>
  <c r="S994" i="4"/>
  <c r="R994" i="4"/>
  <c r="Q994" i="4"/>
  <c r="Y994" i="4" s="1"/>
  <c r="P994" i="4"/>
  <c r="AC993" i="4"/>
  <c r="W993" i="4"/>
  <c r="U993" i="4"/>
  <c r="T993" i="4"/>
  <c r="S993" i="4"/>
  <c r="AA993" i="4" s="1"/>
  <c r="R993" i="4"/>
  <c r="Q993" i="4"/>
  <c r="V993" i="4" s="1"/>
  <c r="Z993" i="4" s="1"/>
  <c r="P993" i="4"/>
  <c r="AC992" i="4"/>
  <c r="V992" i="4"/>
  <c r="Z992" i="4" s="1"/>
  <c r="U992" i="4"/>
  <c r="T992" i="4"/>
  <c r="S992" i="4"/>
  <c r="AA992" i="4" s="1"/>
  <c r="R992" i="4"/>
  <c r="Q992" i="4"/>
  <c r="Y992" i="4" s="1"/>
  <c r="P992" i="4"/>
  <c r="AC991" i="4"/>
  <c r="AA991" i="4"/>
  <c r="U991" i="4"/>
  <c r="T991" i="4"/>
  <c r="S991" i="4"/>
  <c r="R991" i="4"/>
  <c r="Q991" i="4"/>
  <c r="P991" i="4"/>
  <c r="AC990" i="4"/>
  <c r="AB990" i="4"/>
  <c r="X990" i="4"/>
  <c r="W990" i="4"/>
  <c r="V990" i="4"/>
  <c r="Z990" i="4" s="1"/>
  <c r="U990" i="4"/>
  <c r="T990" i="4"/>
  <c r="S990" i="4"/>
  <c r="AA990" i="4" s="1"/>
  <c r="R990" i="4"/>
  <c r="Q990" i="4"/>
  <c r="Y990" i="4" s="1"/>
  <c r="P990" i="4"/>
  <c r="AC989" i="4"/>
  <c r="Y989" i="4"/>
  <c r="U989" i="4"/>
  <c r="AA989" i="4" s="1"/>
  <c r="T989" i="4"/>
  <c r="S989" i="4"/>
  <c r="R989" i="4"/>
  <c r="Q989" i="4"/>
  <c r="X989" i="4" s="1"/>
  <c r="P989" i="4"/>
  <c r="AC988" i="4"/>
  <c r="U988" i="4"/>
  <c r="T988" i="4"/>
  <c r="S988" i="4"/>
  <c r="AA988" i="4" s="1"/>
  <c r="R988" i="4"/>
  <c r="Q988" i="4"/>
  <c r="P988" i="4"/>
  <c r="AC987" i="4"/>
  <c r="X987" i="4"/>
  <c r="W987" i="4"/>
  <c r="V987" i="4"/>
  <c r="Z987" i="4" s="1"/>
  <c r="U987" i="4"/>
  <c r="T987" i="4"/>
  <c r="S987" i="4"/>
  <c r="AA987" i="4" s="1"/>
  <c r="R987" i="4"/>
  <c r="Q987" i="4"/>
  <c r="Y987" i="4" s="1"/>
  <c r="P987" i="4"/>
  <c r="AC986" i="4"/>
  <c r="V986" i="4"/>
  <c r="Z986" i="4" s="1"/>
  <c r="AD986" i="4" s="1"/>
  <c r="N986" i="4" s="1"/>
  <c r="U986" i="4"/>
  <c r="T986" i="4"/>
  <c r="S986" i="4"/>
  <c r="AA986" i="4" s="1"/>
  <c r="R986" i="4"/>
  <c r="Q986" i="4"/>
  <c r="AB986" i="4" s="1"/>
  <c r="P986" i="4"/>
  <c r="AC985" i="4"/>
  <c r="X985" i="4"/>
  <c r="U985" i="4"/>
  <c r="T985" i="4"/>
  <c r="S985" i="4"/>
  <c r="R985" i="4"/>
  <c r="Q985" i="4"/>
  <c r="V985" i="4" s="1"/>
  <c r="Z985" i="4" s="1"/>
  <c r="P985" i="4"/>
  <c r="AC984" i="4"/>
  <c r="AB984" i="4"/>
  <c r="Y984" i="4"/>
  <c r="X984" i="4"/>
  <c r="V984" i="4"/>
  <c r="Z984" i="4" s="1"/>
  <c r="U984" i="4"/>
  <c r="T984" i="4"/>
  <c r="S984" i="4"/>
  <c r="AA984" i="4" s="1"/>
  <c r="R984" i="4"/>
  <c r="Q984" i="4"/>
  <c r="W984" i="4" s="1"/>
  <c r="P984" i="4"/>
  <c r="AC983" i="4"/>
  <c r="AB983" i="4"/>
  <c r="U983" i="4"/>
  <c r="T983" i="4"/>
  <c r="S983" i="4"/>
  <c r="AA983" i="4" s="1"/>
  <c r="R983" i="4"/>
  <c r="Q983" i="4"/>
  <c r="Y983" i="4" s="1"/>
  <c r="P983" i="4"/>
  <c r="AC982" i="4"/>
  <c r="X982" i="4"/>
  <c r="U982" i="4"/>
  <c r="T982" i="4"/>
  <c r="S982" i="4"/>
  <c r="AA982" i="4" s="1"/>
  <c r="R982" i="4"/>
  <c r="Q982" i="4"/>
  <c r="AB982" i="4" s="1"/>
  <c r="P982" i="4"/>
  <c r="AC981" i="4"/>
  <c r="V981" i="4"/>
  <c r="Z981" i="4" s="1"/>
  <c r="U981" i="4"/>
  <c r="T981" i="4"/>
  <c r="S981" i="4"/>
  <c r="AA981" i="4" s="1"/>
  <c r="R981" i="4"/>
  <c r="Q981" i="4"/>
  <c r="AB981" i="4" s="1"/>
  <c r="P981" i="4"/>
  <c r="AC980" i="4"/>
  <c r="AB980" i="4"/>
  <c r="X980" i="4"/>
  <c r="W980" i="4"/>
  <c r="V980" i="4"/>
  <c r="Z980" i="4" s="1"/>
  <c r="AD980" i="4" s="1"/>
  <c r="U980" i="4"/>
  <c r="T980" i="4"/>
  <c r="S980" i="4"/>
  <c r="AA980" i="4" s="1"/>
  <c r="R980" i="4"/>
  <c r="Q980" i="4"/>
  <c r="Y980" i="4" s="1"/>
  <c r="P980" i="4"/>
  <c r="AC979" i="4"/>
  <c r="X979" i="4"/>
  <c r="U979" i="4"/>
  <c r="T979" i="4"/>
  <c r="S979" i="4"/>
  <c r="AA979" i="4" s="1"/>
  <c r="R979" i="4"/>
  <c r="Q979" i="4"/>
  <c r="W979" i="4" s="1"/>
  <c r="P979" i="4"/>
  <c r="AC978" i="4"/>
  <c r="U978" i="4"/>
  <c r="T978" i="4"/>
  <c r="S978" i="4"/>
  <c r="AA978" i="4" s="1"/>
  <c r="R978" i="4"/>
  <c r="Q978" i="4"/>
  <c r="X978" i="4" s="1"/>
  <c r="P978" i="4"/>
  <c r="AC977" i="4"/>
  <c r="X977" i="4"/>
  <c r="W977" i="4"/>
  <c r="V977" i="4"/>
  <c r="Z977" i="4" s="1"/>
  <c r="AD977" i="4" s="1"/>
  <c r="U977" i="4"/>
  <c r="T977" i="4"/>
  <c r="S977" i="4"/>
  <c r="AA977" i="4" s="1"/>
  <c r="R977" i="4"/>
  <c r="Q977" i="4"/>
  <c r="Y977" i="4" s="1"/>
  <c r="P977" i="4"/>
  <c r="AC976" i="4"/>
  <c r="AB976" i="4"/>
  <c r="X976" i="4"/>
  <c r="W976" i="4"/>
  <c r="V976" i="4"/>
  <c r="Z976" i="4" s="1"/>
  <c r="U976" i="4"/>
  <c r="T976" i="4"/>
  <c r="S976" i="4"/>
  <c r="AA976" i="4" s="1"/>
  <c r="R976" i="4"/>
  <c r="Q976" i="4"/>
  <c r="Y976" i="4" s="1"/>
  <c r="P976" i="4"/>
  <c r="AC975" i="4"/>
  <c r="AB975" i="4"/>
  <c r="U975" i="4"/>
  <c r="T975" i="4"/>
  <c r="S975" i="4"/>
  <c r="AA975" i="4" s="1"/>
  <c r="R975" i="4"/>
  <c r="Q975" i="4"/>
  <c r="Y975" i="4" s="1"/>
  <c r="P975" i="4"/>
  <c r="AC974" i="4"/>
  <c r="X974" i="4"/>
  <c r="U974" i="4"/>
  <c r="T974" i="4"/>
  <c r="S974" i="4"/>
  <c r="AA974" i="4" s="1"/>
  <c r="R974" i="4"/>
  <c r="Q974" i="4"/>
  <c r="AB974" i="4" s="1"/>
  <c r="P974" i="4"/>
  <c r="AC973" i="4"/>
  <c r="V973" i="4"/>
  <c r="Z973" i="4" s="1"/>
  <c r="U973" i="4"/>
  <c r="T973" i="4"/>
  <c r="S973" i="4"/>
  <c r="AA973" i="4" s="1"/>
  <c r="R973" i="4"/>
  <c r="Q973" i="4"/>
  <c r="AB973" i="4" s="1"/>
  <c r="P973" i="4"/>
  <c r="AC972" i="4"/>
  <c r="AB972" i="4"/>
  <c r="X972" i="4"/>
  <c r="W972" i="4"/>
  <c r="V972" i="4"/>
  <c r="Z972" i="4" s="1"/>
  <c r="AD972" i="4" s="1"/>
  <c r="U972" i="4"/>
  <c r="T972" i="4"/>
  <c r="S972" i="4"/>
  <c r="AA972" i="4" s="1"/>
  <c r="R972" i="4"/>
  <c r="Q972" i="4"/>
  <c r="Y972" i="4" s="1"/>
  <c r="P972" i="4"/>
  <c r="AC971" i="4"/>
  <c r="AB971" i="4"/>
  <c r="X971" i="4"/>
  <c r="U971" i="4"/>
  <c r="T971" i="4"/>
  <c r="S971" i="4"/>
  <c r="AA971" i="4" s="1"/>
  <c r="R971" i="4"/>
  <c r="Q971" i="4"/>
  <c r="W971" i="4" s="1"/>
  <c r="P971" i="4"/>
  <c r="AC970" i="4"/>
  <c r="U970" i="4"/>
  <c r="T970" i="4"/>
  <c r="S970" i="4"/>
  <c r="AA970" i="4" s="1"/>
  <c r="R970" i="4"/>
  <c r="Q970" i="4"/>
  <c r="X970" i="4" s="1"/>
  <c r="P970" i="4"/>
  <c r="AC969" i="4"/>
  <c r="X969" i="4"/>
  <c r="W969" i="4"/>
  <c r="V969" i="4"/>
  <c r="Z969" i="4" s="1"/>
  <c r="AD969" i="4" s="1"/>
  <c r="U969" i="4"/>
  <c r="T969" i="4"/>
  <c r="S969" i="4"/>
  <c r="AA969" i="4" s="1"/>
  <c r="R969" i="4"/>
  <c r="Q969" i="4"/>
  <c r="Y969" i="4" s="1"/>
  <c r="P969" i="4"/>
  <c r="AC968" i="4"/>
  <c r="AB968" i="4"/>
  <c r="X968" i="4"/>
  <c r="W968" i="4"/>
  <c r="V968" i="4"/>
  <c r="Z968" i="4" s="1"/>
  <c r="U968" i="4"/>
  <c r="T968" i="4"/>
  <c r="S968" i="4"/>
  <c r="AA968" i="4" s="1"/>
  <c r="R968" i="4"/>
  <c r="Q968" i="4"/>
  <c r="Y968" i="4" s="1"/>
  <c r="P968" i="4"/>
  <c r="AC967" i="4"/>
  <c r="AB967" i="4"/>
  <c r="U967" i="4"/>
  <c r="T967" i="4"/>
  <c r="S967" i="4"/>
  <c r="AA967" i="4" s="1"/>
  <c r="R967" i="4"/>
  <c r="Q967" i="4"/>
  <c r="Y967" i="4" s="1"/>
  <c r="P967" i="4"/>
  <c r="AC966" i="4"/>
  <c r="X966" i="4"/>
  <c r="U966" i="4"/>
  <c r="T966" i="4"/>
  <c r="S966" i="4"/>
  <c r="AA966" i="4" s="1"/>
  <c r="R966" i="4"/>
  <c r="Q966" i="4"/>
  <c r="AB966" i="4" s="1"/>
  <c r="P966" i="4"/>
  <c r="AC965" i="4"/>
  <c r="V965" i="4"/>
  <c r="Z965" i="4" s="1"/>
  <c r="U965" i="4"/>
  <c r="T965" i="4"/>
  <c r="S965" i="4"/>
  <c r="AA965" i="4" s="1"/>
  <c r="R965" i="4"/>
  <c r="Q965" i="4"/>
  <c r="AB965" i="4" s="1"/>
  <c r="P965" i="4"/>
  <c r="AC964" i="4"/>
  <c r="AB964" i="4"/>
  <c r="X964" i="4"/>
  <c r="W964" i="4"/>
  <c r="V964" i="4"/>
  <c r="Z964" i="4" s="1"/>
  <c r="AD964" i="4" s="1"/>
  <c r="U964" i="4"/>
  <c r="T964" i="4"/>
  <c r="S964" i="4"/>
  <c r="AA964" i="4" s="1"/>
  <c r="R964" i="4"/>
  <c r="Q964" i="4"/>
  <c r="Y964" i="4" s="1"/>
  <c r="P964" i="4"/>
  <c r="AC963" i="4"/>
  <c r="AB963" i="4"/>
  <c r="X963" i="4"/>
  <c r="U963" i="4"/>
  <c r="T963" i="4"/>
  <c r="S963" i="4"/>
  <c r="AA963" i="4" s="1"/>
  <c r="R963" i="4"/>
  <c r="Q963" i="4"/>
  <c r="W963" i="4" s="1"/>
  <c r="P963" i="4"/>
  <c r="AC962" i="4"/>
  <c r="U962" i="4"/>
  <c r="T962" i="4"/>
  <c r="S962" i="4"/>
  <c r="AA962" i="4" s="1"/>
  <c r="R962" i="4"/>
  <c r="Q962" i="4"/>
  <c r="X962" i="4" s="1"/>
  <c r="P962" i="4"/>
  <c r="AC961" i="4"/>
  <c r="W961" i="4"/>
  <c r="V961" i="4"/>
  <c r="Z961" i="4" s="1"/>
  <c r="AD961" i="4" s="1"/>
  <c r="U961" i="4"/>
  <c r="T961" i="4"/>
  <c r="S961" i="4"/>
  <c r="AA961" i="4" s="1"/>
  <c r="R961" i="4"/>
  <c r="Q961" i="4"/>
  <c r="Y961" i="4" s="1"/>
  <c r="P961" i="4"/>
  <c r="AC960" i="4"/>
  <c r="AB960" i="4"/>
  <c r="X960" i="4"/>
  <c r="W960" i="4"/>
  <c r="V960" i="4"/>
  <c r="Z960" i="4" s="1"/>
  <c r="U960" i="4"/>
  <c r="T960" i="4"/>
  <c r="S960" i="4"/>
  <c r="AA960" i="4" s="1"/>
  <c r="R960" i="4"/>
  <c r="Q960" i="4"/>
  <c r="Y960" i="4" s="1"/>
  <c r="P960" i="4"/>
  <c r="AC959" i="4"/>
  <c r="AB959" i="4"/>
  <c r="U959" i="4"/>
  <c r="T959" i="4"/>
  <c r="S959" i="4"/>
  <c r="AA959" i="4" s="1"/>
  <c r="R959" i="4"/>
  <c r="Q959" i="4"/>
  <c r="Y959" i="4" s="1"/>
  <c r="P959" i="4"/>
  <c r="AC958" i="4"/>
  <c r="X958" i="4"/>
  <c r="U958" i="4"/>
  <c r="T958" i="4"/>
  <c r="S958" i="4"/>
  <c r="AA958" i="4" s="1"/>
  <c r="R958" i="4"/>
  <c r="Q958" i="4"/>
  <c r="AB958" i="4" s="1"/>
  <c r="P958" i="4"/>
  <c r="AC957" i="4"/>
  <c r="V957" i="4"/>
  <c r="Z957" i="4" s="1"/>
  <c r="U957" i="4"/>
  <c r="T957" i="4"/>
  <c r="S957" i="4"/>
  <c r="AA957" i="4" s="1"/>
  <c r="R957" i="4"/>
  <c r="Q957" i="4"/>
  <c r="AB957" i="4" s="1"/>
  <c r="P957" i="4"/>
  <c r="AC956" i="4"/>
  <c r="AB956" i="4"/>
  <c r="X956" i="4"/>
  <c r="W956" i="4"/>
  <c r="V956" i="4"/>
  <c r="Z956" i="4" s="1"/>
  <c r="AD956" i="4" s="1"/>
  <c r="U956" i="4"/>
  <c r="T956" i="4"/>
  <c r="S956" i="4"/>
  <c r="AA956" i="4" s="1"/>
  <c r="R956" i="4"/>
  <c r="Q956" i="4"/>
  <c r="Y956" i="4" s="1"/>
  <c r="P956" i="4"/>
  <c r="AC955" i="4"/>
  <c r="AB955" i="4"/>
  <c r="X955" i="4"/>
  <c r="U955" i="4"/>
  <c r="T955" i="4"/>
  <c r="S955" i="4"/>
  <c r="AA955" i="4" s="1"/>
  <c r="R955" i="4"/>
  <c r="Q955" i="4"/>
  <c r="W955" i="4" s="1"/>
  <c r="P955" i="4"/>
  <c r="AC954" i="4"/>
  <c r="U954" i="4"/>
  <c r="T954" i="4"/>
  <c r="S954" i="4"/>
  <c r="AA954" i="4" s="1"/>
  <c r="R954" i="4"/>
  <c r="Q954" i="4"/>
  <c r="X954" i="4" s="1"/>
  <c r="P954" i="4"/>
  <c r="AC953" i="4"/>
  <c r="W953" i="4"/>
  <c r="V953" i="4"/>
  <c r="Z953" i="4" s="1"/>
  <c r="U953" i="4"/>
  <c r="T953" i="4"/>
  <c r="S953" i="4"/>
  <c r="AA953" i="4" s="1"/>
  <c r="R953" i="4"/>
  <c r="Q953" i="4"/>
  <c r="Y953" i="4" s="1"/>
  <c r="P953" i="4"/>
  <c r="AC952" i="4"/>
  <c r="AB952" i="4"/>
  <c r="X952" i="4"/>
  <c r="W952" i="4"/>
  <c r="V952" i="4"/>
  <c r="Z952" i="4" s="1"/>
  <c r="U952" i="4"/>
  <c r="T952" i="4"/>
  <c r="S952" i="4"/>
  <c r="AA952" i="4" s="1"/>
  <c r="R952" i="4"/>
  <c r="Q952" i="4"/>
  <c r="Y952" i="4" s="1"/>
  <c r="P952" i="4"/>
  <c r="AC951" i="4"/>
  <c r="AB951" i="4"/>
  <c r="U951" i="4"/>
  <c r="T951" i="4"/>
  <c r="S951" i="4"/>
  <c r="AA951" i="4" s="1"/>
  <c r="R951" i="4"/>
  <c r="Q951" i="4"/>
  <c r="Y951" i="4" s="1"/>
  <c r="P951" i="4"/>
  <c r="AC950" i="4"/>
  <c r="X950" i="4"/>
  <c r="U950" i="4"/>
  <c r="T950" i="4"/>
  <c r="S950" i="4"/>
  <c r="AA950" i="4" s="1"/>
  <c r="R950" i="4"/>
  <c r="Q950" i="4"/>
  <c r="AB950" i="4" s="1"/>
  <c r="P950" i="4"/>
  <c r="AC949" i="4"/>
  <c r="V949" i="4"/>
  <c r="Z949" i="4" s="1"/>
  <c r="AD949" i="4" s="1"/>
  <c r="N949" i="4" s="1"/>
  <c r="U949" i="4"/>
  <c r="T949" i="4"/>
  <c r="S949" i="4"/>
  <c r="AA949" i="4" s="1"/>
  <c r="R949" i="4"/>
  <c r="Q949" i="4"/>
  <c r="AB949" i="4" s="1"/>
  <c r="P949" i="4"/>
  <c r="AC948" i="4"/>
  <c r="AB948" i="4"/>
  <c r="X948" i="4"/>
  <c r="W948" i="4"/>
  <c r="V948" i="4"/>
  <c r="Z948" i="4" s="1"/>
  <c r="AD948" i="4" s="1"/>
  <c r="U948" i="4"/>
  <c r="T948" i="4"/>
  <c r="S948" i="4"/>
  <c r="AA948" i="4" s="1"/>
  <c r="R948" i="4"/>
  <c r="Q948" i="4"/>
  <c r="Y948" i="4" s="1"/>
  <c r="P948" i="4"/>
  <c r="AC947" i="4"/>
  <c r="AB947" i="4"/>
  <c r="X947" i="4"/>
  <c r="U947" i="4"/>
  <c r="T947" i="4"/>
  <c r="S947" i="4"/>
  <c r="AA947" i="4" s="1"/>
  <c r="R947" i="4"/>
  <c r="Q947" i="4"/>
  <c r="W947" i="4" s="1"/>
  <c r="P947" i="4"/>
  <c r="AC946" i="4"/>
  <c r="Y946" i="4"/>
  <c r="U946" i="4"/>
  <c r="T946" i="4"/>
  <c r="S946" i="4"/>
  <c r="AA946" i="4" s="1"/>
  <c r="R946" i="4"/>
  <c r="Q946" i="4"/>
  <c r="P946" i="4"/>
  <c r="AC945" i="4"/>
  <c r="W945" i="4"/>
  <c r="V945" i="4"/>
  <c r="Z945" i="4" s="1"/>
  <c r="U945" i="4"/>
  <c r="T945" i="4"/>
  <c r="S945" i="4"/>
  <c r="AA945" i="4" s="1"/>
  <c r="R945" i="4"/>
  <c r="Q945" i="4"/>
  <c r="Y945" i="4" s="1"/>
  <c r="P945" i="4"/>
  <c r="AC944" i="4"/>
  <c r="AB944" i="4"/>
  <c r="AA944" i="4"/>
  <c r="X944" i="4"/>
  <c r="W944" i="4"/>
  <c r="V944" i="4"/>
  <c r="Z944" i="4" s="1"/>
  <c r="U944" i="4"/>
  <c r="T944" i="4"/>
  <c r="S944" i="4"/>
  <c r="R944" i="4"/>
  <c r="Q944" i="4"/>
  <c r="Y944" i="4" s="1"/>
  <c r="P944" i="4"/>
  <c r="AC943" i="4"/>
  <c r="AB943" i="4"/>
  <c r="U943" i="4"/>
  <c r="T943" i="4"/>
  <c r="S943" i="4"/>
  <c r="AA943" i="4" s="1"/>
  <c r="R943" i="4"/>
  <c r="Q943" i="4"/>
  <c r="Y943" i="4" s="1"/>
  <c r="P943" i="4"/>
  <c r="AC942" i="4"/>
  <c r="X942" i="4"/>
  <c r="U942" i="4"/>
  <c r="T942" i="4"/>
  <c r="S942" i="4"/>
  <c r="AA942" i="4" s="1"/>
  <c r="R942" i="4"/>
  <c r="Q942" i="4"/>
  <c r="AB942" i="4" s="1"/>
  <c r="P942" i="4"/>
  <c r="AC941" i="4"/>
  <c r="AA941" i="4"/>
  <c r="V941" i="4"/>
  <c r="Z941" i="4" s="1"/>
  <c r="U941" i="4"/>
  <c r="T941" i="4"/>
  <c r="S941" i="4"/>
  <c r="R941" i="4"/>
  <c r="Q941" i="4"/>
  <c r="Y941" i="4" s="1"/>
  <c r="P941" i="4"/>
  <c r="AC940" i="4"/>
  <c r="AB940" i="4"/>
  <c r="X940" i="4"/>
  <c r="W940" i="4"/>
  <c r="V940" i="4"/>
  <c r="Z940" i="4" s="1"/>
  <c r="U940" i="4"/>
  <c r="T940" i="4"/>
  <c r="S940" i="4"/>
  <c r="AA940" i="4" s="1"/>
  <c r="R940" i="4"/>
  <c r="Q940" i="4"/>
  <c r="Y940" i="4" s="1"/>
  <c r="P940" i="4"/>
  <c r="AC939" i="4"/>
  <c r="AB939" i="4"/>
  <c r="X939" i="4"/>
  <c r="U939" i="4"/>
  <c r="T939" i="4"/>
  <c r="S939" i="4"/>
  <c r="AA939" i="4" s="1"/>
  <c r="R939" i="4"/>
  <c r="Q939" i="4"/>
  <c r="W939" i="4" s="1"/>
  <c r="P939" i="4"/>
  <c r="AC938" i="4"/>
  <c r="U938" i="4"/>
  <c r="T938" i="4"/>
  <c r="S938" i="4"/>
  <c r="AA938" i="4" s="1"/>
  <c r="R938" i="4"/>
  <c r="Q938" i="4"/>
  <c r="P938" i="4"/>
  <c r="AC937" i="4"/>
  <c r="W937" i="4"/>
  <c r="V937" i="4"/>
  <c r="Z937" i="4" s="1"/>
  <c r="AD937" i="4" s="1"/>
  <c r="U937" i="4"/>
  <c r="T937" i="4"/>
  <c r="S937" i="4"/>
  <c r="R937" i="4"/>
  <c r="Q937" i="4"/>
  <c r="Y937" i="4" s="1"/>
  <c r="P937" i="4"/>
  <c r="AC936" i="4"/>
  <c r="AB936" i="4"/>
  <c r="X936" i="4"/>
  <c r="W936" i="4"/>
  <c r="V936" i="4"/>
  <c r="Z936" i="4" s="1"/>
  <c r="AD936" i="4" s="1"/>
  <c r="N936" i="4" s="1"/>
  <c r="U936" i="4"/>
  <c r="T936" i="4"/>
  <c r="S936" i="4"/>
  <c r="AA936" i="4" s="1"/>
  <c r="R936" i="4"/>
  <c r="Q936" i="4"/>
  <c r="Y936" i="4" s="1"/>
  <c r="P936" i="4"/>
  <c r="AC935" i="4"/>
  <c r="AB935" i="4"/>
  <c r="U935" i="4"/>
  <c r="T935" i="4"/>
  <c r="S935" i="4"/>
  <c r="AA935" i="4" s="1"/>
  <c r="R935" i="4"/>
  <c r="Q935" i="4"/>
  <c r="P935" i="4"/>
  <c r="AC934" i="4"/>
  <c r="V934" i="4"/>
  <c r="Z934" i="4" s="1"/>
  <c r="U934" i="4"/>
  <c r="T934" i="4"/>
  <c r="S934" i="4"/>
  <c r="R934" i="4"/>
  <c r="Q934" i="4"/>
  <c r="Y934" i="4" s="1"/>
  <c r="P934" i="4"/>
  <c r="AC933" i="4"/>
  <c r="W933" i="4"/>
  <c r="V933" i="4"/>
  <c r="Z933" i="4" s="1"/>
  <c r="U933" i="4"/>
  <c r="T933" i="4"/>
  <c r="S933" i="4"/>
  <c r="AA933" i="4" s="1"/>
  <c r="R933" i="4"/>
  <c r="Q933" i="4"/>
  <c r="Y933" i="4" s="1"/>
  <c r="P933" i="4"/>
  <c r="AC932" i="4"/>
  <c r="AB932" i="4"/>
  <c r="X932" i="4"/>
  <c r="W932" i="4"/>
  <c r="V932" i="4"/>
  <c r="Z932" i="4" s="1"/>
  <c r="U932" i="4"/>
  <c r="T932" i="4"/>
  <c r="S932" i="4"/>
  <c r="AA932" i="4" s="1"/>
  <c r="R932" i="4"/>
  <c r="Q932" i="4"/>
  <c r="Y932" i="4" s="1"/>
  <c r="P932" i="4"/>
  <c r="AC931" i="4"/>
  <c r="AB931" i="4"/>
  <c r="AA931" i="4"/>
  <c r="U931" i="4"/>
  <c r="T931" i="4"/>
  <c r="S931" i="4"/>
  <c r="R931" i="4"/>
  <c r="Q931" i="4"/>
  <c r="V931" i="4" s="1"/>
  <c r="Z931" i="4" s="1"/>
  <c r="P931" i="4"/>
  <c r="AC930" i="4"/>
  <c r="AB930" i="4"/>
  <c r="Y930" i="4"/>
  <c r="X930" i="4"/>
  <c r="U930" i="4"/>
  <c r="T930" i="4"/>
  <c r="S930" i="4"/>
  <c r="AA930" i="4" s="1"/>
  <c r="R930" i="4"/>
  <c r="Q930" i="4"/>
  <c r="W930" i="4" s="1"/>
  <c r="P930" i="4"/>
  <c r="AC929" i="4"/>
  <c r="V929" i="4"/>
  <c r="Z929" i="4" s="1"/>
  <c r="AD929" i="4" s="1"/>
  <c r="U929" i="4"/>
  <c r="T929" i="4"/>
  <c r="S929" i="4"/>
  <c r="AA929" i="4" s="1"/>
  <c r="R929" i="4"/>
  <c r="Q929" i="4"/>
  <c r="Y929" i="4" s="1"/>
  <c r="P929" i="4"/>
  <c r="AC928" i="4"/>
  <c r="W928" i="4"/>
  <c r="V928" i="4"/>
  <c r="Z928" i="4" s="1"/>
  <c r="U928" i="4"/>
  <c r="T928" i="4"/>
  <c r="S928" i="4"/>
  <c r="AA928" i="4" s="1"/>
  <c r="R928" i="4"/>
  <c r="Q928" i="4"/>
  <c r="AB928" i="4" s="1"/>
  <c r="P928" i="4"/>
  <c r="AC927" i="4"/>
  <c r="W927" i="4"/>
  <c r="U927" i="4"/>
  <c r="T927" i="4"/>
  <c r="S927" i="4"/>
  <c r="AA927" i="4" s="1"/>
  <c r="R927" i="4"/>
  <c r="Q927" i="4"/>
  <c r="V927" i="4" s="1"/>
  <c r="Z927" i="4" s="1"/>
  <c r="P927" i="4"/>
  <c r="AC926" i="4"/>
  <c r="Y926" i="4"/>
  <c r="X926" i="4"/>
  <c r="U926" i="4"/>
  <c r="AA926" i="4" s="1"/>
  <c r="T926" i="4"/>
  <c r="S926" i="4"/>
  <c r="R926" i="4"/>
  <c r="Q926" i="4"/>
  <c r="W926" i="4" s="1"/>
  <c r="P926" i="4"/>
  <c r="AC925" i="4"/>
  <c r="AB925" i="4"/>
  <c r="W925" i="4"/>
  <c r="V925" i="4"/>
  <c r="Z925" i="4" s="1"/>
  <c r="U925" i="4"/>
  <c r="T925" i="4"/>
  <c r="S925" i="4"/>
  <c r="AA925" i="4" s="1"/>
  <c r="R925" i="4"/>
  <c r="Q925" i="4"/>
  <c r="X925" i="4" s="1"/>
  <c r="P925" i="4"/>
  <c r="AC924" i="4"/>
  <c r="AB924" i="4"/>
  <c r="X924" i="4"/>
  <c r="W924" i="4"/>
  <c r="V924" i="4"/>
  <c r="Z924" i="4" s="1"/>
  <c r="U924" i="4"/>
  <c r="T924" i="4"/>
  <c r="S924" i="4"/>
  <c r="AA924" i="4" s="1"/>
  <c r="R924" i="4"/>
  <c r="Q924" i="4"/>
  <c r="Y924" i="4" s="1"/>
  <c r="P924" i="4"/>
  <c r="AC923" i="4"/>
  <c r="AB923" i="4"/>
  <c r="W923" i="4"/>
  <c r="V923" i="4"/>
  <c r="Z923" i="4" s="1"/>
  <c r="AD923" i="4" s="1"/>
  <c r="N923" i="4" s="1"/>
  <c r="U923" i="4"/>
  <c r="T923" i="4"/>
  <c r="S923" i="4"/>
  <c r="AA923" i="4" s="1"/>
  <c r="R923" i="4"/>
  <c r="Q923" i="4"/>
  <c r="Y923" i="4" s="1"/>
  <c r="P923" i="4"/>
  <c r="AC922" i="4"/>
  <c r="AB922" i="4"/>
  <c r="X922" i="4"/>
  <c r="W922" i="4"/>
  <c r="U922" i="4"/>
  <c r="T922" i="4"/>
  <c r="S922" i="4"/>
  <c r="AA922" i="4" s="1"/>
  <c r="R922" i="4"/>
  <c r="Q922" i="4"/>
  <c r="Y922" i="4" s="1"/>
  <c r="P922" i="4"/>
  <c r="AC921" i="4"/>
  <c r="V921" i="4"/>
  <c r="Z921" i="4" s="1"/>
  <c r="AD921" i="4" s="1"/>
  <c r="U921" i="4"/>
  <c r="T921" i="4"/>
  <c r="S921" i="4"/>
  <c r="AA921" i="4" s="1"/>
  <c r="R921" i="4"/>
  <c r="Q921" i="4"/>
  <c r="AB921" i="4" s="1"/>
  <c r="P921" i="4"/>
  <c r="AC920" i="4"/>
  <c r="W920" i="4"/>
  <c r="V920" i="4"/>
  <c r="Z920" i="4" s="1"/>
  <c r="AD920" i="4" s="1"/>
  <c r="U920" i="4"/>
  <c r="T920" i="4"/>
  <c r="S920" i="4"/>
  <c r="AA920" i="4" s="1"/>
  <c r="R920" i="4"/>
  <c r="Q920" i="4"/>
  <c r="AB920" i="4" s="1"/>
  <c r="P920" i="4"/>
  <c r="AC919" i="4"/>
  <c r="AB919" i="4"/>
  <c r="X919" i="4"/>
  <c r="W919" i="4"/>
  <c r="U919" i="4"/>
  <c r="T919" i="4"/>
  <c r="S919" i="4"/>
  <c r="AA919" i="4" s="1"/>
  <c r="R919" i="4"/>
  <c r="Q919" i="4"/>
  <c r="V919" i="4" s="1"/>
  <c r="Z919" i="4" s="1"/>
  <c r="P919" i="4"/>
  <c r="AC918" i="4"/>
  <c r="U918" i="4"/>
  <c r="T918" i="4"/>
  <c r="S918" i="4"/>
  <c r="AA918" i="4" s="1"/>
  <c r="R918" i="4"/>
  <c r="Q918" i="4"/>
  <c r="P918" i="4"/>
  <c r="AC917" i="4"/>
  <c r="W917" i="4"/>
  <c r="U917" i="4"/>
  <c r="T917" i="4"/>
  <c r="S917" i="4"/>
  <c r="AA917" i="4" s="1"/>
  <c r="R917" i="4"/>
  <c r="Q917" i="4"/>
  <c r="Y917" i="4" s="1"/>
  <c r="P917" i="4"/>
  <c r="AC916" i="4"/>
  <c r="AB916" i="4"/>
  <c r="AA916" i="4"/>
  <c r="X916" i="4"/>
  <c r="W916" i="4"/>
  <c r="V916" i="4"/>
  <c r="Z916" i="4" s="1"/>
  <c r="U916" i="4"/>
  <c r="T916" i="4"/>
  <c r="S916" i="4"/>
  <c r="R916" i="4"/>
  <c r="Q916" i="4"/>
  <c r="Y916" i="4" s="1"/>
  <c r="P916" i="4"/>
  <c r="AC915" i="4"/>
  <c r="U915" i="4"/>
  <c r="T915" i="4"/>
  <c r="S915" i="4"/>
  <c r="AA915" i="4" s="1"/>
  <c r="R915" i="4"/>
  <c r="Q915" i="4"/>
  <c r="P915" i="4"/>
  <c r="AC914" i="4"/>
  <c r="AB914" i="4"/>
  <c r="X914" i="4"/>
  <c r="W914" i="4"/>
  <c r="U914" i="4"/>
  <c r="T914" i="4"/>
  <c r="S914" i="4"/>
  <c r="R914" i="4"/>
  <c r="Q914" i="4"/>
  <c r="Y914" i="4" s="1"/>
  <c r="P914" i="4"/>
  <c r="AC913" i="4"/>
  <c r="AA913" i="4"/>
  <c r="Y913" i="4"/>
  <c r="U913" i="4"/>
  <c r="T913" i="4"/>
  <c r="S913" i="4"/>
  <c r="R913" i="4"/>
  <c r="Q913" i="4"/>
  <c r="P913" i="4"/>
  <c r="AC912" i="4"/>
  <c r="AB912" i="4"/>
  <c r="W912" i="4"/>
  <c r="V912" i="4"/>
  <c r="Z912" i="4" s="1"/>
  <c r="U912" i="4"/>
  <c r="T912" i="4"/>
  <c r="S912" i="4"/>
  <c r="AA912" i="4" s="1"/>
  <c r="R912" i="4"/>
  <c r="Q912" i="4"/>
  <c r="Y912" i="4" s="1"/>
  <c r="P912" i="4"/>
  <c r="AC911" i="4"/>
  <c r="AB911" i="4"/>
  <c r="X911" i="4"/>
  <c r="W911" i="4"/>
  <c r="U911" i="4"/>
  <c r="T911" i="4"/>
  <c r="S911" i="4"/>
  <c r="AA911" i="4" s="1"/>
  <c r="R911" i="4"/>
  <c r="Q911" i="4"/>
  <c r="V911" i="4" s="1"/>
  <c r="Z911" i="4" s="1"/>
  <c r="P911" i="4"/>
  <c r="AC910" i="4"/>
  <c r="Y910" i="4"/>
  <c r="X910" i="4"/>
  <c r="V910" i="4"/>
  <c r="Z910" i="4" s="1"/>
  <c r="U910" i="4"/>
  <c r="T910" i="4"/>
  <c r="S910" i="4"/>
  <c r="AA910" i="4" s="1"/>
  <c r="R910" i="4"/>
  <c r="Q910" i="4"/>
  <c r="W910" i="4" s="1"/>
  <c r="P910" i="4"/>
  <c r="AC909" i="4"/>
  <c r="U909" i="4"/>
  <c r="T909" i="4"/>
  <c r="S909" i="4"/>
  <c r="AA909" i="4" s="1"/>
  <c r="R909" i="4"/>
  <c r="Q909" i="4"/>
  <c r="P909" i="4"/>
  <c r="AC908" i="4"/>
  <c r="AB908" i="4"/>
  <c r="AA908" i="4"/>
  <c r="X908" i="4"/>
  <c r="W908" i="4"/>
  <c r="V908" i="4"/>
  <c r="Z908" i="4" s="1"/>
  <c r="U908" i="4"/>
  <c r="T908" i="4"/>
  <c r="S908" i="4"/>
  <c r="R908" i="4"/>
  <c r="Q908" i="4"/>
  <c r="Y908" i="4" s="1"/>
  <c r="P908" i="4"/>
  <c r="AC907" i="4"/>
  <c r="Y907" i="4"/>
  <c r="W907" i="4"/>
  <c r="U907" i="4"/>
  <c r="T907" i="4"/>
  <c r="S907" i="4"/>
  <c r="AA907" i="4" s="1"/>
  <c r="R907" i="4"/>
  <c r="Q907" i="4"/>
  <c r="P907" i="4"/>
  <c r="AC906" i="4"/>
  <c r="AB906" i="4"/>
  <c r="X906" i="4"/>
  <c r="W906" i="4"/>
  <c r="U906" i="4"/>
  <c r="T906" i="4"/>
  <c r="S906" i="4"/>
  <c r="AA906" i="4" s="1"/>
  <c r="R906" i="4"/>
  <c r="Q906" i="4"/>
  <c r="Y906" i="4" s="1"/>
  <c r="P906" i="4"/>
  <c r="AC905" i="4"/>
  <c r="Y905" i="4"/>
  <c r="V905" i="4"/>
  <c r="Z905" i="4" s="1"/>
  <c r="AD905" i="4" s="1"/>
  <c r="U905" i="4"/>
  <c r="T905" i="4"/>
  <c r="S905" i="4"/>
  <c r="AA905" i="4" s="1"/>
  <c r="R905" i="4"/>
  <c r="Q905" i="4"/>
  <c r="P905" i="4"/>
  <c r="AC904" i="4"/>
  <c r="AB904" i="4"/>
  <c r="W904" i="4"/>
  <c r="V904" i="4"/>
  <c r="Z904" i="4" s="1"/>
  <c r="U904" i="4"/>
  <c r="T904" i="4"/>
  <c r="S904" i="4"/>
  <c r="AA904" i="4" s="1"/>
  <c r="R904" i="4"/>
  <c r="Q904" i="4"/>
  <c r="Y904" i="4" s="1"/>
  <c r="P904" i="4"/>
  <c r="AC903" i="4"/>
  <c r="AB903" i="4"/>
  <c r="X903" i="4"/>
  <c r="W903" i="4"/>
  <c r="U903" i="4"/>
  <c r="AA903" i="4" s="1"/>
  <c r="T903" i="4"/>
  <c r="S903" i="4"/>
  <c r="R903" i="4"/>
  <c r="Q903" i="4"/>
  <c r="V903" i="4" s="1"/>
  <c r="Z903" i="4" s="1"/>
  <c r="P903" i="4"/>
  <c r="AC902" i="4"/>
  <c r="U902" i="4"/>
  <c r="T902" i="4"/>
  <c r="S902" i="4"/>
  <c r="AA902" i="4" s="1"/>
  <c r="R902" i="4"/>
  <c r="Q902" i="4"/>
  <c r="W902" i="4" s="1"/>
  <c r="P902" i="4"/>
  <c r="AC901" i="4"/>
  <c r="Y901" i="4"/>
  <c r="W901" i="4"/>
  <c r="U901" i="4"/>
  <c r="T901" i="4"/>
  <c r="S901" i="4"/>
  <c r="R901" i="4"/>
  <c r="Q901" i="4"/>
  <c r="P901" i="4"/>
  <c r="AC900" i="4"/>
  <c r="AB900" i="4"/>
  <c r="X900" i="4"/>
  <c r="W900" i="4"/>
  <c r="V900" i="4"/>
  <c r="Z900" i="4" s="1"/>
  <c r="U900" i="4"/>
  <c r="T900" i="4"/>
  <c r="S900" i="4"/>
  <c r="AA900" i="4" s="1"/>
  <c r="R900" i="4"/>
  <c r="Q900" i="4"/>
  <c r="Y900" i="4" s="1"/>
  <c r="P900" i="4"/>
  <c r="AC899" i="4"/>
  <c r="AA899" i="4"/>
  <c r="U899" i="4"/>
  <c r="T899" i="4"/>
  <c r="S899" i="4"/>
  <c r="R899" i="4"/>
  <c r="Q899" i="4"/>
  <c r="P899" i="4"/>
  <c r="AC898" i="4"/>
  <c r="AB898" i="4"/>
  <c r="X898" i="4"/>
  <c r="W898" i="4"/>
  <c r="U898" i="4"/>
  <c r="T898" i="4"/>
  <c r="S898" i="4"/>
  <c r="R898" i="4"/>
  <c r="Q898" i="4"/>
  <c r="Y898" i="4" s="1"/>
  <c r="P898" i="4"/>
  <c r="AC897" i="4"/>
  <c r="AA897" i="4"/>
  <c r="Y897" i="4"/>
  <c r="U897" i="4"/>
  <c r="T897" i="4"/>
  <c r="S897" i="4"/>
  <c r="R897" i="4"/>
  <c r="Q897" i="4"/>
  <c r="P897" i="4"/>
  <c r="AC896" i="4"/>
  <c r="AB896" i="4"/>
  <c r="W896" i="4"/>
  <c r="V896" i="4"/>
  <c r="Z896" i="4" s="1"/>
  <c r="U896" i="4"/>
  <c r="T896" i="4"/>
  <c r="S896" i="4"/>
  <c r="AA896" i="4" s="1"/>
  <c r="R896" i="4"/>
  <c r="Q896" i="4"/>
  <c r="Y896" i="4" s="1"/>
  <c r="P896" i="4"/>
  <c r="AC895" i="4"/>
  <c r="AB895" i="4"/>
  <c r="X895" i="4"/>
  <c r="W895" i="4"/>
  <c r="U895" i="4"/>
  <c r="T895" i="4"/>
  <c r="S895" i="4"/>
  <c r="AA895" i="4" s="1"/>
  <c r="R895" i="4"/>
  <c r="Q895" i="4"/>
  <c r="V895" i="4" s="1"/>
  <c r="Z895" i="4" s="1"/>
  <c r="P895" i="4"/>
  <c r="AC894" i="4"/>
  <c r="Y894" i="4"/>
  <c r="X894" i="4"/>
  <c r="V894" i="4"/>
  <c r="Z894" i="4" s="1"/>
  <c r="U894" i="4"/>
  <c r="T894" i="4"/>
  <c r="S894" i="4"/>
  <c r="AA894" i="4" s="1"/>
  <c r="R894" i="4"/>
  <c r="Q894" i="4"/>
  <c r="W894" i="4" s="1"/>
  <c r="P894" i="4"/>
  <c r="AC893" i="4"/>
  <c r="U893" i="4"/>
  <c r="T893" i="4"/>
  <c r="S893" i="4"/>
  <c r="AA893" i="4" s="1"/>
  <c r="R893" i="4"/>
  <c r="Q893" i="4"/>
  <c r="P893" i="4"/>
  <c r="AC892" i="4"/>
  <c r="AB892" i="4"/>
  <c r="AA892" i="4"/>
  <c r="X892" i="4"/>
  <c r="W892" i="4"/>
  <c r="V892" i="4"/>
  <c r="Z892" i="4" s="1"/>
  <c r="U892" i="4"/>
  <c r="T892" i="4"/>
  <c r="S892" i="4"/>
  <c r="R892" i="4"/>
  <c r="Q892" i="4"/>
  <c r="Y892" i="4" s="1"/>
  <c r="P892" i="4"/>
  <c r="AC891" i="4"/>
  <c r="AA891" i="4"/>
  <c r="Y891" i="4"/>
  <c r="W891" i="4"/>
  <c r="U891" i="4"/>
  <c r="T891" i="4"/>
  <c r="S891" i="4"/>
  <c r="R891" i="4"/>
  <c r="Q891" i="4"/>
  <c r="P891" i="4"/>
  <c r="AC890" i="4"/>
  <c r="AB890" i="4"/>
  <c r="X890" i="4"/>
  <c r="W890" i="4"/>
  <c r="U890" i="4"/>
  <c r="T890" i="4"/>
  <c r="S890" i="4"/>
  <c r="AA890" i="4" s="1"/>
  <c r="R890" i="4"/>
  <c r="Q890" i="4"/>
  <c r="Y890" i="4" s="1"/>
  <c r="P890" i="4"/>
  <c r="AC889" i="4"/>
  <c r="Y889" i="4"/>
  <c r="V889" i="4"/>
  <c r="Z889" i="4" s="1"/>
  <c r="AD889" i="4" s="1"/>
  <c r="N889" i="4" s="1"/>
  <c r="U889" i="4"/>
  <c r="T889" i="4"/>
  <c r="S889" i="4"/>
  <c r="AA889" i="4" s="1"/>
  <c r="R889" i="4"/>
  <c r="Q889" i="4"/>
  <c r="P889" i="4"/>
  <c r="AC888" i="4"/>
  <c r="AB888" i="4"/>
  <c r="W888" i="4"/>
  <c r="V888" i="4"/>
  <c r="Z888" i="4" s="1"/>
  <c r="U888" i="4"/>
  <c r="T888" i="4"/>
  <c r="S888" i="4"/>
  <c r="AA888" i="4" s="1"/>
  <c r="R888" i="4"/>
  <c r="Q888" i="4"/>
  <c r="Y888" i="4" s="1"/>
  <c r="P888" i="4"/>
  <c r="AC887" i="4"/>
  <c r="AB887" i="4"/>
  <c r="X887" i="4"/>
  <c r="W887" i="4"/>
  <c r="U887" i="4"/>
  <c r="AA887" i="4" s="1"/>
  <c r="T887" i="4"/>
  <c r="S887" i="4"/>
  <c r="R887" i="4"/>
  <c r="Q887" i="4"/>
  <c r="V887" i="4" s="1"/>
  <c r="Z887" i="4" s="1"/>
  <c r="P887" i="4"/>
  <c r="AC886" i="4"/>
  <c r="V886" i="4"/>
  <c r="Z886" i="4" s="1"/>
  <c r="U886" i="4"/>
  <c r="T886" i="4"/>
  <c r="S886" i="4"/>
  <c r="AA886" i="4" s="1"/>
  <c r="R886" i="4"/>
  <c r="Q886" i="4"/>
  <c r="W886" i="4" s="1"/>
  <c r="P886" i="4"/>
  <c r="AC885" i="4"/>
  <c r="Y885" i="4"/>
  <c r="W885" i="4"/>
  <c r="U885" i="4"/>
  <c r="T885" i="4"/>
  <c r="S885" i="4"/>
  <c r="R885" i="4"/>
  <c r="Q885" i="4"/>
  <c r="P885" i="4"/>
  <c r="AC884" i="4"/>
  <c r="AB884" i="4"/>
  <c r="AA884" i="4"/>
  <c r="X884" i="4"/>
  <c r="W884" i="4"/>
  <c r="V884" i="4"/>
  <c r="Z884" i="4" s="1"/>
  <c r="U884" i="4"/>
  <c r="T884" i="4"/>
  <c r="S884" i="4"/>
  <c r="R884" i="4"/>
  <c r="Q884" i="4"/>
  <c r="Y884" i="4" s="1"/>
  <c r="P884" i="4"/>
  <c r="AC883" i="4"/>
  <c r="AA883" i="4"/>
  <c r="U883" i="4"/>
  <c r="T883" i="4"/>
  <c r="S883" i="4"/>
  <c r="R883" i="4"/>
  <c r="Q883" i="4"/>
  <c r="P883" i="4"/>
  <c r="AC882" i="4"/>
  <c r="AB882" i="4"/>
  <c r="X882" i="4"/>
  <c r="W882" i="4"/>
  <c r="U882" i="4"/>
  <c r="T882" i="4"/>
  <c r="S882" i="4"/>
  <c r="R882" i="4"/>
  <c r="Q882" i="4"/>
  <c r="Y882" i="4" s="1"/>
  <c r="P882" i="4"/>
  <c r="AC881" i="4"/>
  <c r="AA881" i="4"/>
  <c r="Y881" i="4"/>
  <c r="U881" i="4"/>
  <c r="T881" i="4"/>
  <c r="S881" i="4"/>
  <c r="R881" i="4"/>
  <c r="Q881" i="4"/>
  <c r="P881" i="4"/>
  <c r="AC880" i="4"/>
  <c r="AB880" i="4"/>
  <c r="W880" i="4"/>
  <c r="V880" i="4"/>
  <c r="Z880" i="4" s="1"/>
  <c r="U880" i="4"/>
  <c r="T880" i="4"/>
  <c r="S880" i="4"/>
  <c r="AA880" i="4" s="1"/>
  <c r="R880" i="4"/>
  <c r="Q880" i="4"/>
  <c r="Y880" i="4" s="1"/>
  <c r="P880" i="4"/>
  <c r="AC879" i="4"/>
  <c r="AA879" i="4"/>
  <c r="X879" i="4"/>
  <c r="W879" i="4"/>
  <c r="U879" i="4"/>
  <c r="T879" i="4"/>
  <c r="S879" i="4"/>
  <c r="R879" i="4"/>
  <c r="Q879" i="4"/>
  <c r="V879" i="4" s="1"/>
  <c r="Z879" i="4" s="1"/>
  <c r="P879" i="4"/>
  <c r="AC878" i="4"/>
  <c r="X878" i="4"/>
  <c r="V878" i="4"/>
  <c r="Z878" i="4" s="1"/>
  <c r="AD878" i="4" s="1"/>
  <c r="N878" i="4" s="1"/>
  <c r="U878" i="4"/>
  <c r="T878" i="4"/>
  <c r="S878" i="4"/>
  <c r="AA878" i="4" s="1"/>
  <c r="R878" i="4"/>
  <c r="Q878" i="4"/>
  <c r="W878" i="4" s="1"/>
  <c r="P878" i="4"/>
  <c r="AC877" i="4"/>
  <c r="U877" i="4"/>
  <c r="T877" i="4"/>
  <c r="S877" i="4"/>
  <c r="AA877" i="4" s="1"/>
  <c r="R877" i="4"/>
  <c r="Q877" i="4"/>
  <c r="P877" i="4"/>
  <c r="AC876" i="4"/>
  <c r="AB876" i="4"/>
  <c r="AA876" i="4"/>
  <c r="X876" i="4"/>
  <c r="W876" i="4"/>
  <c r="V876" i="4"/>
  <c r="Z876" i="4" s="1"/>
  <c r="U876" i="4"/>
  <c r="T876" i="4"/>
  <c r="S876" i="4"/>
  <c r="R876" i="4"/>
  <c r="Q876" i="4"/>
  <c r="Y876" i="4" s="1"/>
  <c r="P876" i="4"/>
  <c r="AC875" i="4"/>
  <c r="AB875" i="4"/>
  <c r="AA875" i="4"/>
  <c r="Y875" i="4"/>
  <c r="W875" i="4"/>
  <c r="V875" i="4"/>
  <c r="Z875" i="4" s="1"/>
  <c r="AD875" i="4" s="1"/>
  <c r="U875" i="4"/>
  <c r="T875" i="4"/>
  <c r="S875" i="4"/>
  <c r="R875" i="4"/>
  <c r="Q875" i="4"/>
  <c r="X875" i="4" s="1"/>
  <c r="P875" i="4"/>
  <c r="AC874" i="4"/>
  <c r="X874" i="4"/>
  <c r="W874" i="4"/>
  <c r="V874" i="4"/>
  <c r="Z874" i="4" s="1"/>
  <c r="AD874" i="4" s="1"/>
  <c r="N874" i="4" s="1"/>
  <c r="U874" i="4"/>
  <c r="T874" i="4"/>
  <c r="S874" i="4"/>
  <c r="R874" i="4"/>
  <c r="Q874" i="4"/>
  <c r="AB874" i="4" s="1"/>
  <c r="P874" i="4"/>
  <c r="AC873" i="4"/>
  <c r="X873" i="4"/>
  <c r="W873" i="4"/>
  <c r="V873" i="4"/>
  <c r="Z873" i="4" s="1"/>
  <c r="U873" i="4"/>
  <c r="T873" i="4"/>
  <c r="S873" i="4"/>
  <c r="AA873" i="4" s="1"/>
  <c r="R873" i="4"/>
  <c r="Q873" i="4"/>
  <c r="AB873" i="4" s="1"/>
  <c r="P873" i="4"/>
  <c r="AC872" i="4"/>
  <c r="W872" i="4"/>
  <c r="U872" i="4"/>
  <c r="T872" i="4"/>
  <c r="S872" i="4"/>
  <c r="AA872" i="4" s="1"/>
  <c r="R872" i="4"/>
  <c r="Q872" i="4"/>
  <c r="V872" i="4" s="1"/>
  <c r="Z872" i="4" s="1"/>
  <c r="P872" i="4"/>
  <c r="AC871" i="4"/>
  <c r="AA871" i="4"/>
  <c r="Y871" i="4"/>
  <c r="X871" i="4"/>
  <c r="W871" i="4"/>
  <c r="U871" i="4"/>
  <c r="T871" i="4"/>
  <c r="S871" i="4"/>
  <c r="R871" i="4"/>
  <c r="Q871" i="4"/>
  <c r="V871" i="4" s="1"/>
  <c r="Z871" i="4" s="1"/>
  <c r="P871" i="4"/>
  <c r="AC870" i="4"/>
  <c r="X870" i="4"/>
  <c r="U870" i="4"/>
  <c r="T870" i="4"/>
  <c r="S870" i="4"/>
  <c r="R870" i="4"/>
  <c r="Q870" i="4"/>
  <c r="W870" i="4" s="1"/>
  <c r="P870" i="4"/>
  <c r="AC869" i="4"/>
  <c r="AB869" i="4"/>
  <c r="Y869" i="4"/>
  <c r="W869" i="4"/>
  <c r="V869" i="4"/>
  <c r="Z869" i="4" s="1"/>
  <c r="U869" i="4"/>
  <c r="AA869" i="4" s="1"/>
  <c r="T869" i="4"/>
  <c r="S869" i="4"/>
  <c r="R869" i="4"/>
  <c r="Q869" i="4"/>
  <c r="X869" i="4" s="1"/>
  <c r="P869" i="4"/>
  <c r="AC868" i="4"/>
  <c r="AB868" i="4"/>
  <c r="X868" i="4"/>
  <c r="W868" i="4"/>
  <c r="V868" i="4"/>
  <c r="Z868" i="4" s="1"/>
  <c r="U868" i="4"/>
  <c r="AA868" i="4" s="1"/>
  <c r="T868" i="4"/>
  <c r="S868" i="4"/>
  <c r="R868" i="4"/>
  <c r="Q868" i="4"/>
  <c r="Y868" i="4" s="1"/>
  <c r="P868" i="4"/>
  <c r="AC867" i="4"/>
  <c r="W867" i="4"/>
  <c r="U867" i="4"/>
  <c r="T867" i="4"/>
  <c r="S867" i="4"/>
  <c r="R867" i="4"/>
  <c r="Q867" i="4"/>
  <c r="AB867" i="4" s="1"/>
  <c r="P867" i="4"/>
  <c r="AC866" i="4"/>
  <c r="X866" i="4"/>
  <c r="V866" i="4"/>
  <c r="Z866" i="4" s="1"/>
  <c r="AD866" i="4" s="1"/>
  <c r="U866" i="4"/>
  <c r="T866" i="4"/>
  <c r="S866" i="4"/>
  <c r="AA866" i="4" s="1"/>
  <c r="R866" i="4"/>
  <c r="Q866" i="4"/>
  <c r="AB866" i="4" s="1"/>
  <c r="P866" i="4"/>
  <c r="AC865" i="4"/>
  <c r="W865" i="4"/>
  <c r="U865" i="4"/>
  <c r="T865" i="4"/>
  <c r="S865" i="4"/>
  <c r="AA865" i="4" s="1"/>
  <c r="R865" i="4"/>
  <c r="Q865" i="4"/>
  <c r="V865" i="4" s="1"/>
  <c r="Z865" i="4" s="1"/>
  <c r="P865" i="4"/>
  <c r="AC864" i="4"/>
  <c r="AB864" i="4"/>
  <c r="X864" i="4"/>
  <c r="U864" i="4"/>
  <c r="T864" i="4"/>
  <c r="S864" i="4"/>
  <c r="AA864" i="4" s="1"/>
  <c r="R864" i="4"/>
  <c r="Q864" i="4"/>
  <c r="W864" i="4" s="1"/>
  <c r="P864" i="4"/>
  <c r="AC863" i="4"/>
  <c r="U863" i="4"/>
  <c r="T863" i="4"/>
  <c r="S863" i="4"/>
  <c r="AA863" i="4" s="1"/>
  <c r="R863" i="4"/>
  <c r="Q863" i="4"/>
  <c r="P863" i="4"/>
  <c r="AC862" i="4"/>
  <c r="AB862" i="4"/>
  <c r="X862" i="4"/>
  <c r="V862" i="4"/>
  <c r="Z862" i="4" s="1"/>
  <c r="U862" i="4"/>
  <c r="T862" i="4"/>
  <c r="S862" i="4"/>
  <c r="AA862" i="4" s="1"/>
  <c r="R862" i="4"/>
  <c r="Q862" i="4"/>
  <c r="Y862" i="4" s="1"/>
  <c r="P862" i="4"/>
  <c r="AC861" i="4"/>
  <c r="AB861" i="4"/>
  <c r="AA861" i="4"/>
  <c r="W861" i="4"/>
  <c r="V861" i="4"/>
  <c r="Z861" i="4" s="1"/>
  <c r="U861" i="4"/>
  <c r="T861" i="4"/>
  <c r="S861" i="4"/>
  <c r="R861" i="4"/>
  <c r="Q861" i="4"/>
  <c r="Y861" i="4" s="1"/>
  <c r="P861" i="4"/>
  <c r="AC860" i="4"/>
  <c r="AB860" i="4"/>
  <c r="X860" i="4"/>
  <c r="W860" i="4"/>
  <c r="V860" i="4"/>
  <c r="Z860" i="4" s="1"/>
  <c r="U860" i="4"/>
  <c r="T860" i="4"/>
  <c r="S860" i="4"/>
  <c r="AA860" i="4" s="1"/>
  <c r="R860" i="4"/>
  <c r="Q860" i="4"/>
  <c r="Y860" i="4" s="1"/>
  <c r="P860" i="4"/>
  <c r="AC859" i="4"/>
  <c r="U859" i="4"/>
  <c r="T859" i="4"/>
  <c r="S859" i="4"/>
  <c r="AA859" i="4" s="1"/>
  <c r="R859" i="4"/>
  <c r="Q859" i="4"/>
  <c r="AB859" i="4" s="1"/>
  <c r="P859" i="4"/>
  <c r="AC858" i="4"/>
  <c r="X858" i="4"/>
  <c r="V858" i="4"/>
  <c r="Z858" i="4" s="1"/>
  <c r="AD858" i="4" s="1"/>
  <c r="N858" i="4" s="1"/>
  <c r="U858" i="4"/>
  <c r="T858" i="4"/>
  <c r="S858" i="4"/>
  <c r="AA858" i="4" s="1"/>
  <c r="R858" i="4"/>
  <c r="Q858" i="4"/>
  <c r="AB858" i="4" s="1"/>
  <c r="P858" i="4"/>
  <c r="AC857" i="4"/>
  <c r="W857" i="4"/>
  <c r="V857" i="4"/>
  <c r="Z857" i="4" s="1"/>
  <c r="AD857" i="4" s="1"/>
  <c r="U857" i="4"/>
  <c r="T857" i="4"/>
  <c r="S857" i="4"/>
  <c r="AA857" i="4" s="1"/>
  <c r="R857" i="4"/>
  <c r="Q857" i="4"/>
  <c r="AB857" i="4" s="1"/>
  <c r="P857" i="4"/>
  <c r="AC856" i="4"/>
  <c r="AB856" i="4"/>
  <c r="X856" i="4"/>
  <c r="W856" i="4"/>
  <c r="U856" i="4"/>
  <c r="T856" i="4"/>
  <c r="S856" i="4"/>
  <c r="AA856" i="4" s="1"/>
  <c r="R856" i="4"/>
  <c r="Q856" i="4"/>
  <c r="V856" i="4" s="1"/>
  <c r="Z856" i="4" s="1"/>
  <c r="P856" i="4"/>
  <c r="AC855" i="4"/>
  <c r="U855" i="4"/>
  <c r="T855" i="4"/>
  <c r="S855" i="4"/>
  <c r="AA855" i="4" s="1"/>
  <c r="R855" i="4"/>
  <c r="Q855" i="4"/>
  <c r="P855" i="4"/>
  <c r="AC854" i="4"/>
  <c r="Y854" i="4"/>
  <c r="U854" i="4"/>
  <c r="T854" i="4"/>
  <c r="S854" i="4"/>
  <c r="AA854" i="4" s="1"/>
  <c r="R854" i="4"/>
  <c r="Q854" i="4"/>
  <c r="P854" i="4"/>
  <c r="AC853" i="4"/>
  <c r="AB853" i="4"/>
  <c r="AA853" i="4"/>
  <c r="W853" i="4"/>
  <c r="V853" i="4"/>
  <c r="Z853" i="4" s="1"/>
  <c r="U853" i="4"/>
  <c r="T853" i="4"/>
  <c r="S853" i="4"/>
  <c r="R853" i="4"/>
  <c r="Q853" i="4"/>
  <c r="Y853" i="4" s="1"/>
  <c r="P853" i="4"/>
  <c r="AC852" i="4"/>
  <c r="AB852" i="4"/>
  <c r="X852" i="4"/>
  <c r="W852" i="4"/>
  <c r="V852" i="4"/>
  <c r="Z852" i="4" s="1"/>
  <c r="U852" i="4"/>
  <c r="T852" i="4"/>
  <c r="S852" i="4"/>
  <c r="AA852" i="4" s="1"/>
  <c r="R852" i="4"/>
  <c r="Q852" i="4"/>
  <c r="Y852" i="4" s="1"/>
  <c r="P852" i="4"/>
  <c r="AC851" i="4"/>
  <c r="AB851" i="4"/>
  <c r="U851" i="4"/>
  <c r="T851" i="4"/>
  <c r="S851" i="4"/>
  <c r="R851" i="4"/>
  <c r="Q851" i="4"/>
  <c r="Y851" i="4" s="1"/>
  <c r="P851" i="4"/>
  <c r="AC850" i="4"/>
  <c r="X850" i="4"/>
  <c r="V850" i="4"/>
  <c r="Z850" i="4" s="1"/>
  <c r="AD850" i="4" s="1"/>
  <c r="U850" i="4"/>
  <c r="T850" i="4"/>
  <c r="S850" i="4"/>
  <c r="R850" i="4"/>
  <c r="Q850" i="4"/>
  <c r="AB850" i="4" s="1"/>
  <c r="P850" i="4"/>
  <c r="AC849" i="4"/>
  <c r="W849" i="4"/>
  <c r="V849" i="4"/>
  <c r="Z849" i="4" s="1"/>
  <c r="AD849" i="4" s="1"/>
  <c r="N849" i="4" s="1"/>
  <c r="U849" i="4"/>
  <c r="T849" i="4"/>
  <c r="S849" i="4"/>
  <c r="AA849" i="4" s="1"/>
  <c r="R849" i="4"/>
  <c r="Q849" i="4"/>
  <c r="AB849" i="4" s="1"/>
  <c r="P849" i="4"/>
  <c r="AC848" i="4"/>
  <c r="AB848" i="4"/>
  <c r="X848" i="4"/>
  <c r="W848" i="4"/>
  <c r="U848" i="4"/>
  <c r="T848" i="4"/>
  <c r="S848" i="4"/>
  <c r="AA848" i="4" s="1"/>
  <c r="R848" i="4"/>
  <c r="Q848" i="4"/>
  <c r="V848" i="4" s="1"/>
  <c r="Z848" i="4" s="1"/>
  <c r="P848" i="4"/>
  <c r="AC847" i="4"/>
  <c r="Y847" i="4"/>
  <c r="U847" i="4"/>
  <c r="T847" i="4"/>
  <c r="S847" i="4"/>
  <c r="AA847" i="4" s="1"/>
  <c r="R847" i="4"/>
  <c r="Q847" i="4"/>
  <c r="X847" i="4" s="1"/>
  <c r="P847" i="4"/>
  <c r="AC846" i="4"/>
  <c r="Y846" i="4"/>
  <c r="U846" i="4"/>
  <c r="T846" i="4"/>
  <c r="S846" i="4"/>
  <c r="AA846" i="4" s="1"/>
  <c r="R846" i="4"/>
  <c r="Q846" i="4"/>
  <c r="P846" i="4"/>
  <c r="AC845" i="4"/>
  <c r="AB845" i="4"/>
  <c r="Z845" i="4"/>
  <c r="W845" i="4"/>
  <c r="V845" i="4"/>
  <c r="U845" i="4"/>
  <c r="T845" i="4"/>
  <c r="S845" i="4"/>
  <c r="AA845" i="4" s="1"/>
  <c r="R845" i="4"/>
  <c r="Q845" i="4"/>
  <c r="Y845" i="4" s="1"/>
  <c r="P845" i="4"/>
  <c r="AC844" i="4"/>
  <c r="AB844" i="4"/>
  <c r="AA844" i="4"/>
  <c r="X844" i="4"/>
  <c r="W844" i="4"/>
  <c r="V844" i="4"/>
  <c r="Z844" i="4" s="1"/>
  <c r="U844" i="4"/>
  <c r="T844" i="4"/>
  <c r="S844" i="4"/>
  <c r="R844" i="4"/>
  <c r="Q844" i="4"/>
  <c r="Y844" i="4" s="1"/>
  <c r="P844" i="4"/>
  <c r="AC843" i="4"/>
  <c r="AB843" i="4"/>
  <c r="U843" i="4"/>
  <c r="T843" i="4"/>
  <c r="S843" i="4"/>
  <c r="R843" i="4"/>
  <c r="Q843" i="4"/>
  <c r="Y843" i="4" s="1"/>
  <c r="P843" i="4"/>
  <c r="AC842" i="4"/>
  <c r="X842" i="4"/>
  <c r="V842" i="4"/>
  <c r="Z842" i="4" s="1"/>
  <c r="AD842" i="4" s="1"/>
  <c r="N842" i="4" s="1"/>
  <c r="U842" i="4"/>
  <c r="T842" i="4"/>
  <c r="S842" i="4"/>
  <c r="AA842" i="4" s="1"/>
  <c r="R842" i="4"/>
  <c r="Q842" i="4"/>
  <c r="AB842" i="4" s="1"/>
  <c r="P842" i="4"/>
  <c r="AC841" i="4"/>
  <c r="W841" i="4"/>
  <c r="V841" i="4"/>
  <c r="Z841" i="4" s="1"/>
  <c r="AD841" i="4" s="1"/>
  <c r="N841" i="4" s="1"/>
  <c r="U841" i="4"/>
  <c r="T841" i="4"/>
  <c r="S841" i="4"/>
  <c r="AA841" i="4" s="1"/>
  <c r="R841" i="4"/>
  <c r="Q841" i="4"/>
  <c r="AB841" i="4" s="1"/>
  <c r="P841" i="4"/>
  <c r="AC840" i="4"/>
  <c r="AB840" i="4"/>
  <c r="X840" i="4"/>
  <c r="W840" i="4"/>
  <c r="U840" i="4"/>
  <c r="T840" i="4"/>
  <c r="S840" i="4"/>
  <c r="AA840" i="4" s="1"/>
  <c r="R840" i="4"/>
  <c r="Q840" i="4"/>
  <c r="V840" i="4" s="1"/>
  <c r="Z840" i="4" s="1"/>
  <c r="P840" i="4"/>
  <c r="AC839" i="4"/>
  <c r="U839" i="4"/>
  <c r="T839" i="4"/>
  <c r="S839" i="4"/>
  <c r="AA839" i="4" s="1"/>
  <c r="R839" i="4"/>
  <c r="Q839" i="4"/>
  <c r="P839" i="4"/>
  <c r="AC838" i="4"/>
  <c r="Y838" i="4"/>
  <c r="U838" i="4"/>
  <c r="T838" i="4"/>
  <c r="S838" i="4"/>
  <c r="AA838" i="4" s="1"/>
  <c r="R838" i="4"/>
  <c r="Q838" i="4"/>
  <c r="P838" i="4"/>
  <c r="AC837" i="4"/>
  <c r="AB837" i="4"/>
  <c r="AA837" i="4"/>
  <c r="W837" i="4"/>
  <c r="V837" i="4"/>
  <c r="Z837" i="4" s="1"/>
  <c r="U837" i="4"/>
  <c r="T837" i="4"/>
  <c r="S837" i="4"/>
  <c r="R837" i="4"/>
  <c r="Q837" i="4"/>
  <c r="Y837" i="4" s="1"/>
  <c r="P837" i="4"/>
  <c r="AC836" i="4"/>
  <c r="AB836" i="4"/>
  <c r="X836" i="4"/>
  <c r="W836" i="4"/>
  <c r="V836" i="4"/>
  <c r="Z836" i="4" s="1"/>
  <c r="U836" i="4"/>
  <c r="T836" i="4"/>
  <c r="S836" i="4"/>
  <c r="AA836" i="4" s="1"/>
  <c r="R836" i="4"/>
  <c r="Q836" i="4"/>
  <c r="Y836" i="4" s="1"/>
  <c r="P836" i="4"/>
  <c r="AC835" i="4"/>
  <c r="AB835" i="4"/>
  <c r="Y835" i="4"/>
  <c r="U835" i="4"/>
  <c r="T835" i="4"/>
  <c r="S835" i="4"/>
  <c r="AA835" i="4" s="1"/>
  <c r="R835" i="4"/>
  <c r="Q835" i="4"/>
  <c r="P835" i="4"/>
  <c r="AC834" i="4"/>
  <c r="V834" i="4"/>
  <c r="Z834" i="4" s="1"/>
  <c r="AD834" i="4" s="1"/>
  <c r="N834" i="4" s="1"/>
  <c r="U834" i="4"/>
  <c r="T834" i="4"/>
  <c r="S834" i="4"/>
  <c r="R834" i="4"/>
  <c r="Q834" i="4"/>
  <c r="AB834" i="4" s="1"/>
  <c r="P834" i="4"/>
  <c r="AC833" i="4"/>
  <c r="W833" i="4"/>
  <c r="V833" i="4"/>
  <c r="Z833" i="4" s="1"/>
  <c r="AD833" i="4" s="1"/>
  <c r="N833" i="4" s="1"/>
  <c r="U833" i="4"/>
  <c r="T833" i="4"/>
  <c r="S833" i="4"/>
  <c r="AA833" i="4" s="1"/>
  <c r="R833" i="4"/>
  <c r="Q833" i="4"/>
  <c r="AB833" i="4" s="1"/>
  <c r="P833" i="4"/>
  <c r="AC832" i="4"/>
  <c r="AB832" i="4"/>
  <c r="X832" i="4"/>
  <c r="W832" i="4"/>
  <c r="U832" i="4"/>
  <c r="T832" i="4"/>
  <c r="S832" i="4"/>
  <c r="AA832" i="4" s="1"/>
  <c r="R832" i="4"/>
  <c r="Q832" i="4"/>
  <c r="V832" i="4" s="1"/>
  <c r="Z832" i="4" s="1"/>
  <c r="P832" i="4"/>
  <c r="AC831" i="4"/>
  <c r="X831" i="4"/>
  <c r="U831" i="4"/>
  <c r="T831" i="4"/>
  <c r="S831" i="4"/>
  <c r="AA831" i="4" s="1"/>
  <c r="R831" i="4"/>
  <c r="Q831" i="4"/>
  <c r="Y831" i="4" s="1"/>
  <c r="P831" i="4"/>
  <c r="AC830" i="4"/>
  <c r="V830" i="4"/>
  <c r="Z830" i="4" s="1"/>
  <c r="U830" i="4"/>
  <c r="T830" i="4"/>
  <c r="S830" i="4"/>
  <c r="R830" i="4"/>
  <c r="Q830" i="4"/>
  <c r="Y830" i="4" s="1"/>
  <c r="P830" i="4"/>
  <c r="AC829" i="4"/>
  <c r="AB829" i="4"/>
  <c r="W829" i="4"/>
  <c r="V829" i="4"/>
  <c r="Z829" i="4" s="1"/>
  <c r="AD829" i="4" s="1"/>
  <c r="U829" i="4"/>
  <c r="T829" i="4"/>
  <c r="S829" i="4"/>
  <c r="AA829" i="4" s="1"/>
  <c r="R829" i="4"/>
  <c r="Q829" i="4"/>
  <c r="Y829" i="4" s="1"/>
  <c r="P829" i="4"/>
  <c r="AC828" i="4"/>
  <c r="AB828" i="4"/>
  <c r="X828" i="4"/>
  <c r="W828" i="4"/>
  <c r="V828" i="4"/>
  <c r="Z828" i="4" s="1"/>
  <c r="AD828" i="4" s="1"/>
  <c r="N828" i="4" s="1"/>
  <c r="U828" i="4"/>
  <c r="T828" i="4"/>
  <c r="S828" i="4"/>
  <c r="AA828" i="4" s="1"/>
  <c r="R828" i="4"/>
  <c r="Q828" i="4"/>
  <c r="Y828" i="4" s="1"/>
  <c r="P828" i="4"/>
  <c r="AC827" i="4"/>
  <c r="AB827" i="4"/>
  <c r="V827" i="4"/>
  <c r="Z827" i="4" s="1"/>
  <c r="AD827" i="4" s="1"/>
  <c r="N827" i="4" s="1"/>
  <c r="U827" i="4"/>
  <c r="T827" i="4"/>
  <c r="S827" i="4"/>
  <c r="R827" i="4"/>
  <c r="Q827" i="4"/>
  <c r="Y827" i="4" s="1"/>
  <c r="P827" i="4"/>
  <c r="AC826" i="4"/>
  <c r="U826" i="4"/>
  <c r="T826" i="4"/>
  <c r="S826" i="4"/>
  <c r="R826" i="4"/>
  <c r="Q826" i="4"/>
  <c r="P826" i="4"/>
  <c r="AC825" i="4"/>
  <c r="U825" i="4"/>
  <c r="T825" i="4"/>
  <c r="S825" i="4"/>
  <c r="AA825" i="4" s="1"/>
  <c r="R825" i="4"/>
  <c r="Q825" i="4"/>
  <c r="P825" i="4"/>
  <c r="AC824" i="4"/>
  <c r="AB824" i="4"/>
  <c r="AA824" i="4"/>
  <c r="Y824" i="4"/>
  <c r="U824" i="4"/>
  <c r="T824" i="4"/>
  <c r="S824" i="4"/>
  <c r="R824" i="4"/>
  <c r="Q824" i="4"/>
  <c r="V824" i="4" s="1"/>
  <c r="Z824" i="4" s="1"/>
  <c r="P824" i="4"/>
  <c r="AC823" i="4"/>
  <c r="AA823" i="4"/>
  <c r="Y823" i="4"/>
  <c r="V823" i="4"/>
  <c r="Z823" i="4" s="1"/>
  <c r="U823" i="4"/>
  <c r="T823" i="4"/>
  <c r="S823" i="4"/>
  <c r="R823" i="4"/>
  <c r="Q823" i="4"/>
  <c r="W823" i="4" s="1"/>
  <c r="P823" i="4"/>
  <c r="AC822" i="4"/>
  <c r="W822" i="4"/>
  <c r="U822" i="4"/>
  <c r="AA822" i="4" s="1"/>
  <c r="T822" i="4"/>
  <c r="S822" i="4"/>
  <c r="R822" i="4"/>
  <c r="Q822" i="4"/>
  <c r="X822" i="4" s="1"/>
  <c r="P822" i="4"/>
  <c r="AC821" i="4"/>
  <c r="U821" i="4"/>
  <c r="AA821" i="4" s="1"/>
  <c r="T821" i="4"/>
  <c r="S821" i="4"/>
  <c r="R821" i="4"/>
  <c r="Q821" i="4"/>
  <c r="Y821" i="4" s="1"/>
  <c r="P821" i="4"/>
  <c r="AC820" i="4"/>
  <c r="X820" i="4"/>
  <c r="V820" i="4"/>
  <c r="Z820" i="4" s="1"/>
  <c r="U820" i="4"/>
  <c r="T820" i="4"/>
  <c r="S820" i="4"/>
  <c r="AA820" i="4" s="1"/>
  <c r="R820" i="4"/>
  <c r="Q820" i="4"/>
  <c r="AB820" i="4" s="1"/>
  <c r="P820" i="4"/>
  <c r="AC819" i="4"/>
  <c r="W819" i="4"/>
  <c r="U819" i="4"/>
  <c r="T819" i="4"/>
  <c r="S819" i="4"/>
  <c r="AA819" i="4" s="1"/>
  <c r="R819" i="4"/>
  <c r="Q819" i="4"/>
  <c r="V819" i="4" s="1"/>
  <c r="Z819" i="4" s="1"/>
  <c r="P819" i="4"/>
  <c r="AC818" i="4"/>
  <c r="AB818" i="4"/>
  <c r="X818" i="4"/>
  <c r="U818" i="4"/>
  <c r="T818" i="4"/>
  <c r="S818" i="4"/>
  <c r="AA818" i="4" s="1"/>
  <c r="R818" i="4"/>
  <c r="Q818" i="4"/>
  <c r="W818" i="4" s="1"/>
  <c r="P818" i="4"/>
  <c r="AC817" i="4"/>
  <c r="U817" i="4"/>
  <c r="T817" i="4"/>
  <c r="S817" i="4"/>
  <c r="AA817" i="4" s="1"/>
  <c r="R817" i="4"/>
  <c r="Q817" i="4"/>
  <c r="P817" i="4"/>
  <c r="AC816" i="4"/>
  <c r="AB816" i="4"/>
  <c r="V816" i="4"/>
  <c r="Z816" i="4" s="1"/>
  <c r="U816" i="4"/>
  <c r="T816" i="4"/>
  <c r="S816" i="4"/>
  <c r="AA816" i="4" s="1"/>
  <c r="R816" i="4"/>
  <c r="Q816" i="4"/>
  <c r="Y816" i="4" s="1"/>
  <c r="P816" i="4"/>
  <c r="AC815" i="4"/>
  <c r="AB815" i="4"/>
  <c r="AA815" i="4"/>
  <c r="X815" i="4"/>
  <c r="W815" i="4"/>
  <c r="V815" i="4"/>
  <c r="Z815" i="4" s="1"/>
  <c r="U815" i="4"/>
  <c r="T815" i="4"/>
  <c r="S815" i="4"/>
  <c r="R815" i="4"/>
  <c r="Q815" i="4"/>
  <c r="Y815" i="4" s="1"/>
  <c r="P815" i="4"/>
  <c r="AC814" i="4"/>
  <c r="AB814" i="4"/>
  <c r="X814" i="4"/>
  <c r="W814" i="4"/>
  <c r="V814" i="4"/>
  <c r="Z814" i="4" s="1"/>
  <c r="U814" i="4"/>
  <c r="T814" i="4"/>
  <c r="S814" i="4"/>
  <c r="AA814" i="4" s="1"/>
  <c r="R814" i="4"/>
  <c r="Q814" i="4"/>
  <c r="Y814" i="4" s="1"/>
  <c r="P814" i="4"/>
  <c r="AC813" i="4"/>
  <c r="U813" i="4"/>
  <c r="T813" i="4"/>
  <c r="S813" i="4"/>
  <c r="AA813" i="4" s="1"/>
  <c r="R813" i="4"/>
  <c r="Q813" i="4"/>
  <c r="AB813" i="4" s="1"/>
  <c r="P813" i="4"/>
  <c r="AC812" i="4"/>
  <c r="X812" i="4"/>
  <c r="V812" i="4"/>
  <c r="Z812" i="4" s="1"/>
  <c r="AD812" i="4" s="1"/>
  <c r="U812" i="4"/>
  <c r="T812" i="4"/>
  <c r="S812" i="4"/>
  <c r="AA812" i="4" s="1"/>
  <c r="R812" i="4"/>
  <c r="Q812" i="4"/>
  <c r="AB812" i="4" s="1"/>
  <c r="P812" i="4"/>
  <c r="AC811" i="4"/>
  <c r="W811" i="4"/>
  <c r="U811" i="4"/>
  <c r="T811" i="4"/>
  <c r="S811" i="4"/>
  <c r="AA811" i="4" s="1"/>
  <c r="R811" i="4"/>
  <c r="Q811" i="4"/>
  <c r="V811" i="4" s="1"/>
  <c r="Z811" i="4" s="1"/>
  <c r="P811" i="4"/>
  <c r="AC810" i="4"/>
  <c r="AB810" i="4"/>
  <c r="X810" i="4"/>
  <c r="U810" i="4"/>
  <c r="T810" i="4"/>
  <c r="S810" i="4"/>
  <c r="AA810" i="4" s="1"/>
  <c r="R810" i="4"/>
  <c r="Q810" i="4"/>
  <c r="W810" i="4" s="1"/>
  <c r="P810" i="4"/>
  <c r="AC809" i="4"/>
  <c r="Y809" i="4"/>
  <c r="U809" i="4"/>
  <c r="T809" i="4"/>
  <c r="S809" i="4"/>
  <c r="AA809" i="4" s="1"/>
  <c r="R809" i="4"/>
  <c r="Q809" i="4"/>
  <c r="P809" i="4"/>
  <c r="AC808" i="4"/>
  <c r="AB808" i="4"/>
  <c r="V808" i="4"/>
  <c r="Z808" i="4" s="1"/>
  <c r="U808" i="4"/>
  <c r="T808" i="4"/>
  <c r="S808" i="4"/>
  <c r="AA808" i="4" s="1"/>
  <c r="R808" i="4"/>
  <c r="Q808" i="4"/>
  <c r="Y808" i="4" s="1"/>
  <c r="P808" i="4"/>
  <c r="AC807" i="4"/>
  <c r="AB807" i="4"/>
  <c r="AA807" i="4"/>
  <c r="X807" i="4"/>
  <c r="W807" i="4"/>
  <c r="V807" i="4"/>
  <c r="Z807" i="4" s="1"/>
  <c r="U807" i="4"/>
  <c r="T807" i="4"/>
  <c r="S807" i="4"/>
  <c r="R807" i="4"/>
  <c r="Q807" i="4"/>
  <c r="Y807" i="4" s="1"/>
  <c r="P807" i="4"/>
  <c r="AC806" i="4"/>
  <c r="AB806" i="4"/>
  <c r="X806" i="4"/>
  <c r="W806" i="4"/>
  <c r="V806" i="4"/>
  <c r="Z806" i="4" s="1"/>
  <c r="U806" i="4"/>
  <c r="T806" i="4"/>
  <c r="S806" i="4"/>
  <c r="AA806" i="4" s="1"/>
  <c r="R806" i="4"/>
  <c r="Q806" i="4"/>
  <c r="Y806" i="4" s="1"/>
  <c r="P806" i="4"/>
  <c r="AC805" i="4"/>
  <c r="U805" i="4"/>
  <c r="T805" i="4"/>
  <c r="S805" i="4"/>
  <c r="AA805" i="4" s="1"/>
  <c r="R805" i="4"/>
  <c r="Q805" i="4"/>
  <c r="AB805" i="4" s="1"/>
  <c r="P805" i="4"/>
  <c r="AC804" i="4"/>
  <c r="X804" i="4"/>
  <c r="V804" i="4"/>
  <c r="Z804" i="4" s="1"/>
  <c r="AD804" i="4" s="1"/>
  <c r="N804" i="4" s="1"/>
  <c r="U804" i="4"/>
  <c r="T804" i="4"/>
  <c r="S804" i="4"/>
  <c r="AA804" i="4" s="1"/>
  <c r="R804" i="4"/>
  <c r="Q804" i="4"/>
  <c r="AB804" i="4" s="1"/>
  <c r="P804" i="4"/>
  <c r="AC803" i="4"/>
  <c r="W803" i="4"/>
  <c r="U803" i="4"/>
  <c r="T803" i="4"/>
  <c r="S803" i="4"/>
  <c r="AA803" i="4" s="1"/>
  <c r="R803" i="4"/>
  <c r="Q803" i="4"/>
  <c r="V803" i="4" s="1"/>
  <c r="Z803" i="4" s="1"/>
  <c r="P803" i="4"/>
  <c r="AC802" i="4"/>
  <c r="AB802" i="4"/>
  <c r="X802" i="4"/>
  <c r="U802" i="4"/>
  <c r="T802" i="4"/>
  <c r="S802" i="4"/>
  <c r="AA802" i="4" s="1"/>
  <c r="R802" i="4"/>
  <c r="Q802" i="4"/>
  <c r="W802" i="4" s="1"/>
  <c r="P802" i="4"/>
  <c r="AC801" i="4"/>
  <c r="Y801" i="4"/>
  <c r="U801" i="4"/>
  <c r="T801" i="4"/>
  <c r="S801" i="4"/>
  <c r="AA801" i="4" s="1"/>
  <c r="R801" i="4"/>
  <c r="Q801" i="4"/>
  <c r="P801" i="4"/>
  <c r="AC800" i="4"/>
  <c r="AB800" i="4"/>
  <c r="V800" i="4"/>
  <c r="Z800" i="4" s="1"/>
  <c r="U800" i="4"/>
  <c r="T800" i="4"/>
  <c r="S800" i="4"/>
  <c r="AA800" i="4" s="1"/>
  <c r="R800" i="4"/>
  <c r="Q800" i="4"/>
  <c r="Y800" i="4" s="1"/>
  <c r="P800" i="4"/>
  <c r="AC799" i="4"/>
  <c r="AB799" i="4"/>
  <c r="AA799" i="4"/>
  <c r="X799" i="4"/>
  <c r="W799" i="4"/>
  <c r="V799" i="4"/>
  <c r="Z799" i="4" s="1"/>
  <c r="U799" i="4"/>
  <c r="T799" i="4"/>
  <c r="S799" i="4"/>
  <c r="R799" i="4"/>
  <c r="Q799" i="4"/>
  <c r="Y799" i="4" s="1"/>
  <c r="P799" i="4"/>
  <c r="AC798" i="4"/>
  <c r="AB798" i="4"/>
  <c r="X798" i="4"/>
  <c r="W798" i="4"/>
  <c r="V798" i="4"/>
  <c r="Z798" i="4" s="1"/>
  <c r="U798" i="4"/>
  <c r="T798" i="4"/>
  <c r="S798" i="4"/>
  <c r="AA798" i="4" s="1"/>
  <c r="R798" i="4"/>
  <c r="Q798" i="4"/>
  <c r="Y798" i="4" s="1"/>
  <c r="P798" i="4"/>
  <c r="AC797" i="4"/>
  <c r="U797" i="4"/>
  <c r="T797" i="4"/>
  <c r="S797" i="4"/>
  <c r="AA797" i="4" s="1"/>
  <c r="R797" i="4"/>
  <c r="Q797" i="4"/>
  <c r="AB797" i="4" s="1"/>
  <c r="P797" i="4"/>
  <c r="AC796" i="4"/>
  <c r="X796" i="4"/>
  <c r="V796" i="4"/>
  <c r="Z796" i="4" s="1"/>
  <c r="U796" i="4"/>
  <c r="T796" i="4"/>
  <c r="S796" i="4"/>
  <c r="AA796" i="4" s="1"/>
  <c r="R796" i="4"/>
  <c r="Q796" i="4"/>
  <c r="AB796" i="4" s="1"/>
  <c r="P796" i="4"/>
  <c r="AC795" i="4"/>
  <c r="W795" i="4"/>
  <c r="U795" i="4"/>
  <c r="T795" i="4"/>
  <c r="S795" i="4"/>
  <c r="AA795" i="4" s="1"/>
  <c r="R795" i="4"/>
  <c r="Q795" i="4"/>
  <c r="V795" i="4" s="1"/>
  <c r="Z795" i="4" s="1"/>
  <c r="P795" i="4"/>
  <c r="AC794" i="4"/>
  <c r="AB794" i="4"/>
  <c r="X794" i="4"/>
  <c r="U794" i="4"/>
  <c r="T794" i="4"/>
  <c r="S794" i="4"/>
  <c r="AA794" i="4" s="1"/>
  <c r="R794" i="4"/>
  <c r="Q794" i="4"/>
  <c r="W794" i="4" s="1"/>
  <c r="P794" i="4"/>
  <c r="AC793" i="4"/>
  <c r="U793" i="4"/>
  <c r="T793" i="4"/>
  <c r="S793" i="4"/>
  <c r="AA793" i="4" s="1"/>
  <c r="R793" i="4"/>
  <c r="Q793" i="4"/>
  <c r="P793" i="4"/>
  <c r="AC792" i="4"/>
  <c r="AB792" i="4"/>
  <c r="V792" i="4"/>
  <c r="Z792" i="4" s="1"/>
  <c r="U792" i="4"/>
  <c r="T792" i="4"/>
  <c r="S792" i="4"/>
  <c r="AA792" i="4" s="1"/>
  <c r="R792" i="4"/>
  <c r="Q792" i="4"/>
  <c r="Y792" i="4" s="1"/>
  <c r="P792" i="4"/>
  <c r="AC791" i="4"/>
  <c r="AB791" i="4"/>
  <c r="X791" i="4"/>
  <c r="W791" i="4"/>
  <c r="V791" i="4"/>
  <c r="Z791" i="4" s="1"/>
  <c r="U791" i="4"/>
  <c r="T791" i="4"/>
  <c r="S791" i="4"/>
  <c r="AA791" i="4" s="1"/>
  <c r="R791" i="4"/>
  <c r="Q791" i="4"/>
  <c r="Y791" i="4" s="1"/>
  <c r="P791" i="4"/>
  <c r="AC790" i="4"/>
  <c r="AB790" i="4"/>
  <c r="X790" i="4"/>
  <c r="W790" i="4"/>
  <c r="V790" i="4"/>
  <c r="Z790" i="4" s="1"/>
  <c r="U790" i="4"/>
  <c r="T790" i="4"/>
  <c r="S790" i="4"/>
  <c r="AA790" i="4" s="1"/>
  <c r="R790" i="4"/>
  <c r="Q790" i="4"/>
  <c r="Y790" i="4" s="1"/>
  <c r="P790" i="4"/>
  <c r="AC789" i="4"/>
  <c r="U789" i="4"/>
  <c r="T789" i="4"/>
  <c r="S789" i="4"/>
  <c r="R789" i="4"/>
  <c r="Q789" i="4"/>
  <c r="AB789" i="4" s="1"/>
  <c r="P789" i="4"/>
  <c r="AC788" i="4"/>
  <c r="X788" i="4"/>
  <c r="V788" i="4"/>
  <c r="Z788" i="4" s="1"/>
  <c r="U788" i="4"/>
  <c r="T788" i="4"/>
  <c r="S788" i="4"/>
  <c r="AA788" i="4" s="1"/>
  <c r="R788" i="4"/>
  <c r="Q788" i="4"/>
  <c r="AB788" i="4" s="1"/>
  <c r="P788" i="4"/>
  <c r="AC787" i="4"/>
  <c r="W787" i="4"/>
  <c r="U787" i="4"/>
  <c r="T787" i="4"/>
  <c r="S787" i="4"/>
  <c r="AA787" i="4" s="1"/>
  <c r="R787" i="4"/>
  <c r="Q787" i="4"/>
  <c r="V787" i="4" s="1"/>
  <c r="Z787" i="4" s="1"/>
  <c r="P787" i="4"/>
  <c r="AC786" i="4"/>
  <c r="AB786" i="4"/>
  <c r="X786" i="4"/>
  <c r="U786" i="4"/>
  <c r="T786" i="4"/>
  <c r="S786" i="4"/>
  <c r="AA786" i="4" s="1"/>
  <c r="R786" i="4"/>
  <c r="Q786" i="4"/>
  <c r="W786" i="4" s="1"/>
  <c r="P786" i="4"/>
  <c r="AC785" i="4"/>
  <c r="Y785" i="4"/>
  <c r="U785" i="4"/>
  <c r="T785" i="4"/>
  <c r="S785" i="4"/>
  <c r="R785" i="4"/>
  <c r="Q785" i="4"/>
  <c r="P785" i="4"/>
  <c r="AC784" i="4"/>
  <c r="AB784" i="4"/>
  <c r="V784" i="4"/>
  <c r="Z784" i="4" s="1"/>
  <c r="AD784" i="4" s="1"/>
  <c r="N784" i="4" s="1"/>
  <c r="U784" i="4"/>
  <c r="T784" i="4"/>
  <c r="S784" i="4"/>
  <c r="AA784" i="4" s="1"/>
  <c r="R784" i="4"/>
  <c r="Q784" i="4"/>
  <c r="Y784" i="4" s="1"/>
  <c r="P784" i="4"/>
  <c r="AC783" i="4"/>
  <c r="AB783" i="4"/>
  <c r="W783" i="4"/>
  <c r="V783" i="4"/>
  <c r="Z783" i="4" s="1"/>
  <c r="U783" i="4"/>
  <c r="T783" i="4"/>
  <c r="S783" i="4"/>
  <c r="AA783" i="4" s="1"/>
  <c r="R783" i="4"/>
  <c r="Q783" i="4"/>
  <c r="Y783" i="4" s="1"/>
  <c r="P783" i="4"/>
  <c r="AC782" i="4"/>
  <c r="AB782" i="4"/>
  <c r="X782" i="4"/>
  <c r="W782" i="4"/>
  <c r="V782" i="4"/>
  <c r="Z782" i="4" s="1"/>
  <c r="U782" i="4"/>
  <c r="T782" i="4"/>
  <c r="S782" i="4"/>
  <c r="AA782" i="4" s="1"/>
  <c r="R782" i="4"/>
  <c r="Q782" i="4"/>
  <c r="Y782" i="4" s="1"/>
  <c r="P782" i="4"/>
  <c r="AC781" i="4"/>
  <c r="Y781" i="4"/>
  <c r="W781" i="4"/>
  <c r="U781" i="4"/>
  <c r="T781" i="4"/>
  <c r="S781" i="4"/>
  <c r="AA781" i="4" s="1"/>
  <c r="R781" i="4"/>
  <c r="Q781" i="4"/>
  <c r="P781" i="4"/>
  <c r="AC780" i="4"/>
  <c r="X780" i="4"/>
  <c r="V780" i="4"/>
  <c r="Z780" i="4" s="1"/>
  <c r="AD780" i="4" s="1"/>
  <c r="U780" i="4"/>
  <c r="T780" i="4"/>
  <c r="S780" i="4"/>
  <c r="AA780" i="4" s="1"/>
  <c r="R780" i="4"/>
  <c r="Q780" i="4"/>
  <c r="AB780" i="4" s="1"/>
  <c r="P780" i="4"/>
  <c r="AC779" i="4"/>
  <c r="Y779" i="4"/>
  <c r="U779" i="4"/>
  <c r="T779" i="4"/>
  <c r="S779" i="4"/>
  <c r="AA779" i="4" s="1"/>
  <c r="R779" i="4"/>
  <c r="Q779" i="4"/>
  <c r="W779" i="4" s="1"/>
  <c r="P779" i="4"/>
  <c r="AC778" i="4"/>
  <c r="AB778" i="4"/>
  <c r="X778" i="4"/>
  <c r="U778" i="4"/>
  <c r="T778" i="4"/>
  <c r="S778" i="4"/>
  <c r="AA778" i="4" s="1"/>
  <c r="R778" i="4"/>
  <c r="Q778" i="4"/>
  <c r="W778" i="4" s="1"/>
  <c r="P778" i="4"/>
  <c r="AC777" i="4"/>
  <c r="U777" i="4"/>
  <c r="T777" i="4"/>
  <c r="S777" i="4"/>
  <c r="AA777" i="4" s="1"/>
  <c r="R777" i="4"/>
  <c r="Q777" i="4"/>
  <c r="P777" i="4"/>
  <c r="AC776" i="4"/>
  <c r="AB776" i="4"/>
  <c r="V776" i="4"/>
  <c r="Z776" i="4" s="1"/>
  <c r="U776" i="4"/>
  <c r="T776" i="4"/>
  <c r="S776" i="4"/>
  <c r="AA776" i="4" s="1"/>
  <c r="R776" i="4"/>
  <c r="Q776" i="4"/>
  <c r="Y776" i="4" s="1"/>
  <c r="P776" i="4"/>
  <c r="AC775" i="4"/>
  <c r="AB775" i="4"/>
  <c r="AA775" i="4"/>
  <c r="X775" i="4"/>
  <c r="W775" i="4"/>
  <c r="V775" i="4"/>
  <c r="Z775" i="4" s="1"/>
  <c r="AD775" i="4" s="1"/>
  <c r="N775" i="4" s="1"/>
  <c r="U775" i="4"/>
  <c r="T775" i="4"/>
  <c r="S775" i="4"/>
  <c r="R775" i="4"/>
  <c r="Q775" i="4"/>
  <c r="Y775" i="4" s="1"/>
  <c r="P775" i="4"/>
  <c r="AC774" i="4"/>
  <c r="AB774" i="4"/>
  <c r="X774" i="4"/>
  <c r="W774" i="4"/>
  <c r="V774" i="4"/>
  <c r="Z774" i="4" s="1"/>
  <c r="AD774" i="4" s="1"/>
  <c r="N774" i="4" s="1"/>
  <c r="U774" i="4"/>
  <c r="T774" i="4"/>
  <c r="S774" i="4"/>
  <c r="AA774" i="4" s="1"/>
  <c r="R774" i="4"/>
  <c r="Q774" i="4"/>
  <c r="Y774" i="4" s="1"/>
  <c r="P774" i="4"/>
  <c r="AC773" i="4"/>
  <c r="Y773" i="4"/>
  <c r="X773" i="4"/>
  <c r="W773" i="4"/>
  <c r="U773" i="4"/>
  <c r="T773" i="4"/>
  <c r="S773" i="4"/>
  <c r="AA773" i="4" s="1"/>
  <c r="R773" i="4"/>
  <c r="Q773" i="4"/>
  <c r="P773" i="4"/>
  <c r="AC772" i="4"/>
  <c r="W772" i="4"/>
  <c r="U772" i="4"/>
  <c r="T772" i="4"/>
  <c r="S772" i="4"/>
  <c r="AA772" i="4" s="1"/>
  <c r="R772" i="4"/>
  <c r="Q772" i="4"/>
  <c r="AB772" i="4" s="1"/>
  <c r="P772" i="4"/>
  <c r="AC771" i="4"/>
  <c r="AA771" i="4"/>
  <c r="Y771" i="4"/>
  <c r="U771" i="4"/>
  <c r="T771" i="4"/>
  <c r="S771" i="4"/>
  <c r="R771" i="4"/>
  <c r="Q771" i="4"/>
  <c r="P771" i="4"/>
  <c r="AC770" i="4"/>
  <c r="AB770" i="4"/>
  <c r="AA770" i="4"/>
  <c r="Y770" i="4"/>
  <c r="X770" i="4"/>
  <c r="U770" i="4"/>
  <c r="T770" i="4"/>
  <c r="S770" i="4"/>
  <c r="R770" i="4"/>
  <c r="Q770" i="4"/>
  <c r="P770" i="4"/>
  <c r="AC769" i="4"/>
  <c r="AB769" i="4"/>
  <c r="Y769" i="4"/>
  <c r="U769" i="4"/>
  <c r="T769" i="4"/>
  <c r="S769" i="4"/>
  <c r="AA769" i="4" s="1"/>
  <c r="R769" i="4"/>
  <c r="Q769" i="4"/>
  <c r="X769" i="4" s="1"/>
  <c r="P769" i="4"/>
  <c r="AC768" i="4"/>
  <c r="AA768" i="4"/>
  <c r="Y768" i="4"/>
  <c r="U768" i="4"/>
  <c r="T768" i="4"/>
  <c r="S768" i="4"/>
  <c r="R768" i="4"/>
  <c r="Q768" i="4"/>
  <c r="P768" i="4"/>
  <c r="AC767" i="4"/>
  <c r="AB767" i="4"/>
  <c r="AA767" i="4"/>
  <c r="X767" i="4"/>
  <c r="W767" i="4"/>
  <c r="V767" i="4"/>
  <c r="Z767" i="4" s="1"/>
  <c r="U767" i="4"/>
  <c r="T767" i="4"/>
  <c r="S767" i="4"/>
  <c r="R767" i="4"/>
  <c r="Q767" i="4"/>
  <c r="Y767" i="4" s="1"/>
  <c r="P767" i="4"/>
  <c r="AC766" i="4"/>
  <c r="Y766" i="4"/>
  <c r="X766" i="4"/>
  <c r="U766" i="4"/>
  <c r="T766" i="4"/>
  <c r="S766" i="4"/>
  <c r="R766" i="4"/>
  <c r="Q766" i="4"/>
  <c r="P766" i="4"/>
  <c r="AC765" i="4"/>
  <c r="U765" i="4"/>
  <c r="T765" i="4"/>
  <c r="S765" i="4"/>
  <c r="AA765" i="4" s="1"/>
  <c r="R765" i="4"/>
  <c r="Q765" i="4"/>
  <c r="P765" i="4"/>
  <c r="AC764" i="4"/>
  <c r="AB764" i="4"/>
  <c r="AA764" i="4"/>
  <c r="W764" i="4"/>
  <c r="U764" i="4"/>
  <c r="T764" i="4"/>
  <c r="S764" i="4"/>
  <c r="R764" i="4"/>
  <c r="Q764" i="4"/>
  <c r="Y764" i="4" s="1"/>
  <c r="P764" i="4"/>
  <c r="AC763" i="4"/>
  <c r="AB763" i="4"/>
  <c r="AA763" i="4"/>
  <c r="X763" i="4"/>
  <c r="W763" i="4"/>
  <c r="V763" i="4"/>
  <c r="Z763" i="4" s="1"/>
  <c r="U763" i="4"/>
  <c r="T763" i="4"/>
  <c r="S763" i="4"/>
  <c r="R763" i="4"/>
  <c r="Q763" i="4"/>
  <c r="Y763" i="4" s="1"/>
  <c r="P763" i="4"/>
  <c r="AC762" i="4"/>
  <c r="AB762" i="4"/>
  <c r="Y762" i="4"/>
  <c r="U762" i="4"/>
  <c r="T762" i="4"/>
  <c r="S762" i="4"/>
  <c r="AA762" i="4" s="1"/>
  <c r="R762" i="4"/>
  <c r="Q762" i="4"/>
  <c r="P762" i="4"/>
  <c r="AC761" i="4"/>
  <c r="AB761" i="4"/>
  <c r="X761" i="4"/>
  <c r="W761" i="4"/>
  <c r="V761" i="4"/>
  <c r="Z761" i="4" s="1"/>
  <c r="AD761" i="4" s="1"/>
  <c r="N761" i="4" s="1"/>
  <c r="U761" i="4"/>
  <c r="T761" i="4"/>
  <c r="S761" i="4"/>
  <c r="AA761" i="4" s="1"/>
  <c r="R761" i="4"/>
  <c r="Q761" i="4"/>
  <c r="Y761" i="4" s="1"/>
  <c r="P761" i="4"/>
  <c r="AC760" i="4"/>
  <c r="AA760" i="4"/>
  <c r="X760" i="4"/>
  <c r="W760" i="4"/>
  <c r="V760" i="4"/>
  <c r="Z760" i="4" s="1"/>
  <c r="AD760" i="4" s="1"/>
  <c r="N760" i="4" s="1"/>
  <c r="U760" i="4"/>
  <c r="T760" i="4"/>
  <c r="S760" i="4"/>
  <c r="R760" i="4"/>
  <c r="Q760" i="4"/>
  <c r="AB760" i="4" s="1"/>
  <c r="P760" i="4"/>
  <c r="AC759" i="4"/>
  <c r="AB759" i="4"/>
  <c r="X759" i="4"/>
  <c r="W759" i="4"/>
  <c r="U759" i="4"/>
  <c r="T759" i="4"/>
  <c r="S759" i="4"/>
  <c r="AA759" i="4" s="1"/>
  <c r="R759" i="4"/>
  <c r="Q759" i="4"/>
  <c r="V759" i="4" s="1"/>
  <c r="Z759" i="4" s="1"/>
  <c r="P759" i="4"/>
  <c r="AC758" i="4"/>
  <c r="Y758" i="4"/>
  <c r="U758" i="4"/>
  <c r="T758" i="4"/>
  <c r="S758" i="4"/>
  <c r="AA758" i="4" s="1"/>
  <c r="R758" i="4"/>
  <c r="Q758" i="4"/>
  <c r="X758" i="4" s="1"/>
  <c r="P758" i="4"/>
  <c r="AC757" i="4"/>
  <c r="Y757" i="4"/>
  <c r="V757" i="4"/>
  <c r="Z757" i="4" s="1"/>
  <c r="U757" i="4"/>
  <c r="T757" i="4"/>
  <c r="S757" i="4"/>
  <c r="AA757" i="4" s="1"/>
  <c r="R757" i="4"/>
  <c r="Q757" i="4"/>
  <c r="P757" i="4"/>
  <c r="AC756" i="4"/>
  <c r="AB756" i="4"/>
  <c r="W756" i="4"/>
  <c r="U756" i="4"/>
  <c r="T756" i="4"/>
  <c r="S756" i="4"/>
  <c r="AA756" i="4" s="1"/>
  <c r="R756" i="4"/>
  <c r="Q756" i="4"/>
  <c r="Y756" i="4" s="1"/>
  <c r="P756" i="4"/>
  <c r="AC755" i="4"/>
  <c r="AB755" i="4"/>
  <c r="AA755" i="4"/>
  <c r="X755" i="4"/>
  <c r="W755" i="4"/>
  <c r="V755" i="4"/>
  <c r="Z755" i="4" s="1"/>
  <c r="U755" i="4"/>
  <c r="T755" i="4"/>
  <c r="S755" i="4"/>
  <c r="R755" i="4"/>
  <c r="Q755" i="4"/>
  <c r="Y755" i="4" s="1"/>
  <c r="P755" i="4"/>
  <c r="AC754" i="4"/>
  <c r="AB754" i="4"/>
  <c r="U754" i="4"/>
  <c r="T754" i="4"/>
  <c r="S754" i="4"/>
  <c r="R754" i="4"/>
  <c r="Q754" i="4"/>
  <c r="P754" i="4"/>
  <c r="AC753" i="4"/>
  <c r="AB753" i="4"/>
  <c r="X753" i="4"/>
  <c r="W753" i="4"/>
  <c r="V753" i="4"/>
  <c r="Z753" i="4" s="1"/>
  <c r="AD753" i="4" s="1"/>
  <c r="U753" i="4"/>
  <c r="T753" i="4"/>
  <c r="S753" i="4"/>
  <c r="R753" i="4"/>
  <c r="Q753" i="4"/>
  <c r="Y753" i="4" s="1"/>
  <c r="P753" i="4"/>
  <c r="AC752" i="4"/>
  <c r="AA752" i="4"/>
  <c r="X752" i="4"/>
  <c r="W752" i="4"/>
  <c r="V752" i="4"/>
  <c r="Z752" i="4" s="1"/>
  <c r="AD752" i="4" s="1"/>
  <c r="N752" i="4" s="1"/>
  <c r="U752" i="4"/>
  <c r="T752" i="4"/>
  <c r="S752" i="4"/>
  <c r="R752" i="4"/>
  <c r="Q752" i="4"/>
  <c r="AB752" i="4" s="1"/>
  <c r="P752" i="4"/>
  <c r="AC751" i="4"/>
  <c r="AB751" i="4"/>
  <c r="X751" i="4"/>
  <c r="W751" i="4"/>
  <c r="U751" i="4"/>
  <c r="T751" i="4"/>
  <c r="S751" i="4"/>
  <c r="AA751" i="4" s="1"/>
  <c r="R751" i="4"/>
  <c r="Q751" i="4"/>
  <c r="V751" i="4" s="1"/>
  <c r="Z751" i="4" s="1"/>
  <c r="P751" i="4"/>
  <c r="AC750" i="4"/>
  <c r="Y750" i="4"/>
  <c r="U750" i="4"/>
  <c r="T750" i="4"/>
  <c r="S750" i="4"/>
  <c r="R750" i="4"/>
  <c r="Q750" i="4"/>
  <c r="P750" i="4"/>
  <c r="AC749" i="4"/>
  <c r="Y749" i="4"/>
  <c r="U749" i="4"/>
  <c r="T749" i="4"/>
  <c r="S749" i="4"/>
  <c r="AA749" i="4" s="1"/>
  <c r="R749" i="4"/>
  <c r="Q749" i="4"/>
  <c r="V749" i="4" s="1"/>
  <c r="Z749" i="4" s="1"/>
  <c r="AD749" i="4" s="1"/>
  <c r="P749" i="4"/>
  <c r="AC748" i="4"/>
  <c r="AB748" i="4"/>
  <c r="AA748" i="4"/>
  <c r="W748" i="4"/>
  <c r="U748" i="4"/>
  <c r="T748" i="4"/>
  <c r="S748" i="4"/>
  <c r="R748" i="4"/>
  <c r="Q748" i="4"/>
  <c r="Y748" i="4" s="1"/>
  <c r="P748" i="4"/>
  <c r="AC747" i="4"/>
  <c r="AB747" i="4"/>
  <c r="X747" i="4"/>
  <c r="W747" i="4"/>
  <c r="V747" i="4"/>
  <c r="Z747" i="4" s="1"/>
  <c r="U747" i="4"/>
  <c r="T747" i="4"/>
  <c r="S747" i="4"/>
  <c r="AA747" i="4" s="1"/>
  <c r="R747" i="4"/>
  <c r="Q747" i="4"/>
  <c r="Y747" i="4" s="1"/>
  <c r="P747" i="4"/>
  <c r="AC746" i="4"/>
  <c r="AB746" i="4"/>
  <c r="Y746" i="4"/>
  <c r="U746" i="4"/>
  <c r="T746" i="4"/>
  <c r="S746" i="4"/>
  <c r="R746" i="4"/>
  <c r="Q746" i="4"/>
  <c r="P746" i="4"/>
  <c r="AC745" i="4"/>
  <c r="X745" i="4"/>
  <c r="W745" i="4"/>
  <c r="V745" i="4"/>
  <c r="Z745" i="4" s="1"/>
  <c r="U745" i="4"/>
  <c r="T745" i="4"/>
  <c r="S745" i="4"/>
  <c r="AA745" i="4" s="1"/>
  <c r="R745" i="4"/>
  <c r="Q745" i="4"/>
  <c r="AB745" i="4" s="1"/>
  <c r="P745" i="4"/>
  <c r="AC744" i="4"/>
  <c r="X744" i="4"/>
  <c r="W744" i="4"/>
  <c r="V744" i="4"/>
  <c r="Z744" i="4" s="1"/>
  <c r="AD744" i="4" s="1"/>
  <c r="N744" i="4" s="1"/>
  <c r="U744" i="4"/>
  <c r="T744" i="4"/>
  <c r="S744" i="4"/>
  <c r="AA744" i="4" s="1"/>
  <c r="R744" i="4"/>
  <c r="Q744" i="4"/>
  <c r="AB744" i="4" s="1"/>
  <c r="P744" i="4"/>
  <c r="AC743" i="4"/>
  <c r="AB743" i="4"/>
  <c r="X743" i="4"/>
  <c r="W743" i="4"/>
  <c r="U743" i="4"/>
  <c r="T743" i="4"/>
  <c r="S743" i="4"/>
  <c r="AA743" i="4" s="1"/>
  <c r="R743" i="4"/>
  <c r="Q743" i="4"/>
  <c r="V743" i="4" s="1"/>
  <c r="Z743" i="4" s="1"/>
  <c r="P743" i="4"/>
  <c r="AC742" i="4"/>
  <c r="X742" i="4"/>
  <c r="U742" i="4"/>
  <c r="T742" i="4"/>
  <c r="S742" i="4"/>
  <c r="AA742" i="4" s="1"/>
  <c r="R742" i="4"/>
  <c r="Q742" i="4"/>
  <c r="Y742" i="4" s="1"/>
  <c r="P742" i="4"/>
  <c r="AC741" i="4"/>
  <c r="Y741" i="4"/>
  <c r="V741" i="4"/>
  <c r="Z741" i="4" s="1"/>
  <c r="U741" i="4"/>
  <c r="T741" i="4"/>
  <c r="S741" i="4"/>
  <c r="AA741" i="4" s="1"/>
  <c r="R741" i="4"/>
  <c r="Q741" i="4"/>
  <c r="P741" i="4"/>
  <c r="AC740" i="4"/>
  <c r="AB740" i="4"/>
  <c r="W740" i="4"/>
  <c r="V740" i="4"/>
  <c r="Z740" i="4" s="1"/>
  <c r="U740" i="4"/>
  <c r="T740" i="4"/>
  <c r="S740" i="4"/>
  <c r="AA740" i="4" s="1"/>
  <c r="R740" i="4"/>
  <c r="Q740" i="4"/>
  <c r="Y740" i="4" s="1"/>
  <c r="P740" i="4"/>
  <c r="AC739" i="4"/>
  <c r="AB739" i="4"/>
  <c r="AA739" i="4"/>
  <c r="X739" i="4"/>
  <c r="W739" i="4"/>
  <c r="V739" i="4"/>
  <c r="Z739" i="4" s="1"/>
  <c r="U739" i="4"/>
  <c r="T739" i="4"/>
  <c r="S739" i="4"/>
  <c r="R739" i="4"/>
  <c r="Q739" i="4"/>
  <c r="Y739" i="4" s="1"/>
  <c r="P739" i="4"/>
  <c r="AC738" i="4"/>
  <c r="U738" i="4"/>
  <c r="T738" i="4"/>
  <c r="S738" i="4"/>
  <c r="AA738" i="4" s="1"/>
  <c r="R738" i="4"/>
  <c r="Q738" i="4"/>
  <c r="P738" i="4"/>
  <c r="AC737" i="4"/>
  <c r="X737" i="4"/>
  <c r="W737" i="4"/>
  <c r="V737" i="4"/>
  <c r="Z737" i="4" s="1"/>
  <c r="U737" i="4"/>
  <c r="T737" i="4"/>
  <c r="S737" i="4"/>
  <c r="R737" i="4"/>
  <c r="Q737" i="4"/>
  <c r="AB737" i="4" s="1"/>
  <c r="P737" i="4"/>
  <c r="AC736" i="4"/>
  <c r="X736" i="4"/>
  <c r="W736" i="4"/>
  <c r="V736" i="4"/>
  <c r="Z736" i="4" s="1"/>
  <c r="AD736" i="4" s="1"/>
  <c r="N736" i="4" s="1"/>
  <c r="U736" i="4"/>
  <c r="T736" i="4"/>
  <c r="S736" i="4"/>
  <c r="AA736" i="4" s="1"/>
  <c r="R736" i="4"/>
  <c r="Q736" i="4"/>
  <c r="AB736" i="4" s="1"/>
  <c r="P736" i="4"/>
  <c r="AC735" i="4"/>
  <c r="AB735" i="4"/>
  <c r="X735" i="4"/>
  <c r="W735" i="4"/>
  <c r="U735" i="4"/>
  <c r="T735" i="4"/>
  <c r="S735" i="4"/>
  <c r="AA735" i="4" s="1"/>
  <c r="R735" i="4"/>
  <c r="Q735" i="4"/>
  <c r="V735" i="4" s="1"/>
  <c r="Z735" i="4" s="1"/>
  <c r="P735" i="4"/>
  <c r="AC734" i="4"/>
  <c r="U734" i="4"/>
  <c r="T734" i="4"/>
  <c r="S734" i="4"/>
  <c r="AA734" i="4" s="1"/>
  <c r="R734" i="4"/>
  <c r="Q734" i="4"/>
  <c r="P734" i="4"/>
  <c r="AC733" i="4"/>
  <c r="V733" i="4"/>
  <c r="Z733" i="4" s="1"/>
  <c r="U733" i="4"/>
  <c r="T733" i="4"/>
  <c r="S733" i="4"/>
  <c r="AA733" i="4" s="1"/>
  <c r="R733" i="4"/>
  <c r="Q733" i="4"/>
  <c r="Y733" i="4" s="1"/>
  <c r="P733" i="4"/>
  <c r="AC732" i="4"/>
  <c r="AB732" i="4"/>
  <c r="AA732" i="4"/>
  <c r="W732" i="4"/>
  <c r="V732" i="4"/>
  <c r="Z732" i="4" s="1"/>
  <c r="U732" i="4"/>
  <c r="T732" i="4"/>
  <c r="S732" i="4"/>
  <c r="R732" i="4"/>
  <c r="Q732" i="4"/>
  <c r="Y732" i="4" s="1"/>
  <c r="P732" i="4"/>
  <c r="AC731" i="4"/>
  <c r="AB731" i="4"/>
  <c r="X731" i="4"/>
  <c r="W731" i="4"/>
  <c r="V731" i="4"/>
  <c r="Z731" i="4" s="1"/>
  <c r="U731" i="4"/>
  <c r="T731" i="4"/>
  <c r="S731" i="4"/>
  <c r="AA731" i="4" s="1"/>
  <c r="R731" i="4"/>
  <c r="Q731" i="4"/>
  <c r="Y731" i="4" s="1"/>
  <c r="P731" i="4"/>
  <c r="AC730" i="4"/>
  <c r="AB730" i="4"/>
  <c r="Y730" i="4"/>
  <c r="U730" i="4"/>
  <c r="T730" i="4"/>
  <c r="S730" i="4"/>
  <c r="AA730" i="4" s="1"/>
  <c r="R730" i="4"/>
  <c r="Q730" i="4"/>
  <c r="P730" i="4"/>
  <c r="AC729" i="4"/>
  <c r="X729" i="4"/>
  <c r="W729" i="4"/>
  <c r="V729" i="4"/>
  <c r="Z729" i="4" s="1"/>
  <c r="AD729" i="4" s="1"/>
  <c r="N729" i="4" s="1"/>
  <c r="U729" i="4"/>
  <c r="T729" i="4"/>
  <c r="S729" i="4"/>
  <c r="AA729" i="4" s="1"/>
  <c r="R729" i="4"/>
  <c r="Q729" i="4"/>
  <c r="AB729" i="4" s="1"/>
  <c r="P729" i="4"/>
  <c r="AC728" i="4"/>
  <c r="AA728" i="4"/>
  <c r="X728" i="4"/>
  <c r="W728" i="4"/>
  <c r="V728" i="4"/>
  <c r="Z728" i="4" s="1"/>
  <c r="AD728" i="4" s="1"/>
  <c r="N728" i="4" s="1"/>
  <c r="U728" i="4"/>
  <c r="T728" i="4"/>
  <c r="S728" i="4"/>
  <c r="R728" i="4"/>
  <c r="Q728" i="4"/>
  <c r="AB728" i="4" s="1"/>
  <c r="P728" i="4"/>
  <c r="AC727" i="4"/>
  <c r="AB727" i="4"/>
  <c r="X727" i="4"/>
  <c r="W727" i="4"/>
  <c r="U727" i="4"/>
  <c r="T727" i="4"/>
  <c r="S727" i="4"/>
  <c r="AA727" i="4" s="1"/>
  <c r="R727" i="4"/>
  <c r="Q727" i="4"/>
  <c r="V727" i="4" s="1"/>
  <c r="Z727" i="4" s="1"/>
  <c r="P727" i="4"/>
  <c r="AC726" i="4"/>
  <c r="Y726" i="4"/>
  <c r="X726" i="4"/>
  <c r="U726" i="4"/>
  <c r="T726" i="4"/>
  <c r="S726" i="4"/>
  <c r="R726" i="4"/>
  <c r="Q726" i="4"/>
  <c r="P726" i="4"/>
  <c r="AC725" i="4"/>
  <c r="U725" i="4"/>
  <c r="T725" i="4"/>
  <c r="S725" i="4"/>
  <c r="AA725" i="4" s="1"/>
  <c r="R725" i="4"/>
  <c r="Q725" i="4"/>
  <c r="P725" i="4"/>
  <c r="AC724" i="4"/>
  <c r="AB724" i="4"/>
  <c r="W724" i="4"/>
  <c r="V724" i="4"/>
  <c r="Z724" i="4" s="1"/>
  <c r="U724" i="4"/>
  <c r="T724" i="4"/>
  <c r="S724" i="4"/>
  <c r="AA724" i="4" s="1"/>
  <c r="R724" i="4"/>
  <c r="Q724" i="4"/>
  <c r="Y724" i="4" s="1"/>
  <c r="P724" i="4"/>
  <c r="AC723" i="4"/>
  <c r="AB723" i="4"/>
  <c r="X723" i="4"/>
  <c r="W723" i="4"/>
  <c r="V723" i="4"/>
  <c r="Z723" i="4" s="1"/>
  <c r="U723" i="4"/>
  <c r="T723" i="4"/>
  <c r="S723" i="4"/>
  <c r="AA723" i="4" s="1"/>
  <c r="R723" i="4"/>
  <c r="Q723" i="4"/>
  <c r="Y723" i="4" s="1"/>
  <c r="P723" i="4"/>
  <c r="AC722" i="4"/>
  <c r="Y722" i="4"/>
  <c r="U722" i="4"/>
  <c r="T722" i="4"/>
  <c r="S722" i="4"/>
  <c r="AA722" i="4" s="1"/>
  <c r="R722" i="4"/>
  <c r="Q722" i="4"/>
  <c r="AB722" i="4" s="1"/>
  <c r="P722" i="4"/>
  <c r="AC721" i="4"/>
  <c r="X721" i="4"/>
  <c r="W721" i="4"/>
  <c r="V721" i="4"/>
  <c r="Z721" i="4" s="1"/>
  <c r="AD721" i="4" s="1"/>
  <c r="N721" i="4" s="1"/>
  <c r="U721" i="4"/>
  <c r="T721" i="4"/>
  <c r="S721" i="4"/>
  <c r="R721" i="4"/>
  <c r="Q721" i="4"/>
  <c r="AB721" i="4" s="1"/>
  <c r="P721" i="4"/>
  <c r="AC720" i="4"/>
  <c r="AA720" i="4"/>
  <c r="X720" i="4"/>
  <c r="W720" i="4"/>
  <c r="V720" i="4"/>
  <c r="Z720" i="4" s="1"/>
  <c r="AD720" i="4" s="1"/>
  <c r="N720" i="4" s="1"/>
  <c r="U720" i="4"/>
  <c r="T720" i="4"/>
  <c r="S720" i="4"/>
  <c r="R720" i="4"/>
  <c r="Q720" i="4"/>
  <c r="AB720" i="4" s="1"/>
  <c r="P720" i="4"/>
  <c r="AC719" i="4"/>
  <c r="AB719" i="4"/>
  <c r="X719" i="4"/>
  <c r="W719" i="4"/>
  <c r="U719" i="4"/>
  <c r="T719" i="4"/>
  <c r="S719" i="4"/>
  <c r="AA719" i="4" s="1"/>
  <c r="R719" i="4"/>
  <c r="Q719" i="4"/>
  <c r="V719" i="4" s="1"/>
  <c r="Z719" i="4" s="1"/>
  <c r="P719" i="4"/>
  <c r="AC718" i="4"/>
  <c r="Y718" i="4"/>
  <c r="U718" i="4"/>
  <c r="T718" i="4"/>
  <c r="S718" i="4"/>
  <c r="AA718" i="4" s="1"/>
  <c r="R718" i="4"/>
  <c r="Q718" i="4"/>
  <c r="X718" i="4" s="1"/>
  <c r="P718" i="4"/>
  <c r="AC717" i="4"/>
  <c r="Y717" i="4"/>
  <c r="V717" i="4"/>
  <c r="Z717" i="4" s="1"/>
  <c r="U717" i="4"/>
  <c r="T717" i="4"/>
  <c r="S717" i="4"/>
  <c r="AA717" i="4" s="1"/>
  <c r="R717" i="4"/>
  <c r="Q717" i="4"/>
  <c r="P717" i="4"/>
  <c r="AC716" i="4"/>
  <c r="AB716" i="4"/>
  <c r="W716" i="4"/>
  <c r="V716" i="4"/>
  <c r="Z716" i="4" s="1"/>
  <c r="U716" i="4"/>
  <c r="T716" i="4"/>
  <c r="S716" i="4"/>
  <c r="AA716" i="4" s="1"/>
  <c r="R716" i="4"/>
  <c r="Q716" i="4"/>
  <c r="Y716" i="4" s="1"/>
  <c r="P716" i="4"/>
  <c r="AC715" i="4"/>
  <c r="AB715" i="4"/>
  <c r="AA715" i="4"/>
  <c r="X715" i="4"/>
  <c r="W715" i="4"/>
  <c r="V715" i="4"/>
  <c r="Z715" i="4" s="1"/>
  <c r="U715" i="4"/>
  <c r="T715" i="4"/>
  <c r="S715" i="4"/>
  <c r="R715" i="4"/>
  <c r="Q715" i="4"/>
  <c r="Y715" i="4" s="1"/>
  <c r="P715" i="4"/>
  <c r="AC714" i="4"/>
  <c r="U714" i="4"/>
  <c r="T714" i="4"/>
  <c r="S714" i="4"/>
  <c r="AA714" i="4" s="1"/>
  <c r="R714" i="4"/>
  <c r="Q714" i="4"/>
  <c r="P714" i="4"/>
  <c r="AC713" i="4"/>
  <c r="X713" i="4"/>
  <c r="W713" i="4"/>
  <c r="V713" i="4"/>
  <c r="Z713" i="4" s="1"/>
  <c r="AD713" i="4" s="1"/>
  <c r="N713" i="4" s="1"/>
  <c r="U713" i="4"/>
  <c r="T713" i="4"/>
  <c r="S713" i="4"/>
  <c r="R713" i="4"/>
  <c r="Q713" i="4"/>
  <c r="AB713" i="4" s="1"/>
  <c r="P713" i="4"/>
  <c r="AC712" i="4"/>
  <c r="AA712" i="4"/>
  <c r="X712" i="4"/>
  <c r="W712" i="4"/>
  <c r="V712" i="4"/>
  <c r="Z712" i="4" s="1"/>
  <c r="AD712" i="4" s="1"/>
  <c r="N712" i="4" s="1"/>
  <c r="U712" i="4"/>
  <c r="T712" i="4"/>
  <c r="S712" i="4"/>
  <c r="R712" i="4"/>
  <c r="Q712" i="4"/>
  <c r="AB712" i="4" s="1"/>
  <c r="P712" i="4"/>
  <c r="AC711" i="4"/>
  <c r="AB711" i="4"/>
  <c r="X711" i="4"/>
  <c r="W711" i="4"/>
  <c r="U711" i="4"/>
  <c r="T711" i="4"/>
  <c r="S711" i="4"/>
  <c r="AA711" i="4" s="1"/>
  <c r="R711" i="4"/>
  <c r="Q711" i="4"/>
  <c r="V711" i="4" s="1"/>
  <c r="Z711" i="4" s="1"/>
  <c r="P711" i="4"/>
  <c r="AC710" i="4"/>
  <c r="U710" i="4"/>
  <c r="T710" i="4"/>
  <c r="S710" i="4"/>
  <c r="AA710" i="4" s="1"/>
  <c r="R710" i="4"/>
  <c r="Q710" i="4"/>
  <c r="P710" i="4"/>
  <c r="AC709" i="4"/>
  <c r="AA709" i="4"/>
  <c r="Y709" i="4"/>
  <c r="U709" i="4"/>
  <c r="T709" i="4"/>
  <c r="S709" i="4"/>
  <c r="R709" i="4"/>
  <c r="Q709" i="4"/>
  <c r="V709" i="4" s="1"/>
  <c r="Z709" i="4" s="1"/>
  <c r="P709" i="4"/>
  <c r="AC708" i="4"/>
  <c r="AB708" i="4"/>
  <c r="AA708" i="4"/>
  <c r="X708" i="4"/>
  <c r="W708" i="4"/>
  <c r="V708" i="4"/>
  <c r="Z708" i="4" s="1"/>
  <c r="U708" i="4"/>
  <c r="T708" i="4"/>
  <c r="S708" i="4"/>
  <c r="R708" i="4"/>
  <c r="Q708" i="4"/>
  <c r="Y708" i="4" s="1"/>
  <c r="P708" i="4"/>
  <c r="AC707" i="4"/>
  <c r="AB707" i="4"/>
  <c r="AA707" i="4"/>
  <c r="X707" i="4"/>
  <c r="V707" i="4"/>
  <c r="Z707" i="4" s="1"/>
  <c r="AD707" i="4" s="1"/>
  <c r="N707" i="4" s="1"/>
  <c r="U707" i="4"/>
  <c r="T707" i="4"/>
  <c r="S707" i="4"/>
  <c r="R707" i="4"/>
  <c r="Q707" i="4"/>
  <c r="Y707" i="4" s="1"/>
  <c r="P707" i="4"/>
  <c r="AC706" i="4"/>
  <c r="AB706" i="4"/>
  <c r="Y706" i="4"/>
  <c r="W706" i="4"/>
  <c r="V706" i="4"/>
  <c r="Z706" i="4" s="1"/>
  <c r="U706" i="4"/>
  <c r="T706" i="4"/>
  <c r="S706" i="4"/>
  <c r="R706" i="4"/>
  <c r="Q706" i="4"/>
  <c r="X706" i="4" s="1"/>
  <c r="P706" i="4"/>
  <c r="AC705" i="4"/>
  <c r="X705" i="4"/>
  <c r="W705" i="4"/>
  <c r="V705" i="4"/>
  <c r="Z705" i="4" s="1"/>
  <c r="U705" i="4"/>
  <c r="AA705" i="4" s="1"/>
  <c r="T705" i="4"/>
  <c r="S705" i="4"/>
  <c r="R705" i="4"/>
  <c r="Q705" i="4"/>
  <c r="AB705" i="4" s="1"/>
  <c r="P705" i="4"/>
  <c r="AC704" i="4"/>
  <c r="AA704" i="4"/>
  <c r="W704" i="4"/>
  <c r="U704" i="4"/>
  <c r="T704" i="4"/>
  <c r="S704" i="4"/>
  <c r="R704" i="4"/>
  <c r="Q704" i="4"/>
  <c r="AB704" i="4" s="1"/>
  <c r="P704" i="4"/>
  <c r="AC703" i="4"/>
  <c r="AB703" i="4"/>
  <c r="Y703" i="4"/>
  <c r="X703" i="4"/>
  <c r="U703" i="4"/>
  <c r="T703" i="4"/>
  <c r="S703" i="4"/>
  <c r="AA703" i="4" s="1"/>
  <c r="R703" i="4"/>
  <c r="Q703" i="4"/>
  <c r="V703" i="4" s="1"/>
  <c r="Z703" i="4" s="1"/>
  <c r="P703" i="4"/>
  <c r="AC702" i="4"/>
  <c r="Y702" i="4"/>
  <c r="U702" i="4"/>
  <c r="T702" i="4"/>
  <c r="S702" i="4"/>
  <c r="AA702" i="4" s="1"/>
  <c r="R702" i="4"/>
  <c r="Q702" i="4"/>
  <c r="P702" i="4"/>
  <c r="AC701" i="4"/>
  <c r="AA701" i="4"/>
  <c r="Y701" i="4"/>
  <c r="W701" i="4"/>
  <c r="U701" i="4"/>
  <c r="T701" i="4"/>
  <c r="S701" i="4"/>
  <c r="R701" i="4"/>
  <c r="Q701" i="4"/>
  <c r="X701" i="4" s="1"/>
  <c r="P701" i="4"/>
  <c r="AC700" i="4"/>
  <c r="AB700" i="4"/>
  <c r="AA700" i="4"/>
  <c r="X700" i="4"/>
  <c r="W700" i="4"/>
  <c r="V700" i="4"/>
  <c r="Z700" i="4" s="1"/>
  <c r="U700" i="4"/>
  <c r="T700" i="4"/>
  <c r="S700" i="4"/>
  <c r="R700" i="4"/>
  <c r="Q700" i="4"/>
  <c r="Y700" i="4" s="1"/>
  <c r="P700" i="4"/>
  <c r="AC699" i="4"/>
  <c r="AA699" i="4"/>
  <c r="X699" i="4"/>
  <c r="W699" i="4"/>
  <c r="U699" i="4"/>
  <c r="T699" i="4"/>
  <c r="S699" i="4"/>
  <c r="R699" i="4"/>
  <c r="Q699" i="4"/>
  <c r="V699" i="4" s="1"/>
  <c r="Z699" i="4" s="1"/>
  <c r="P699" i="4"/>
  <c r="AC698" i="4"/>
  <c r="X698" i="4"/>
  <c r="W698" i="4"/>
  <c r="U698" i="4"/>
  <c r="T698" i="4"/>
  <c r="S698" i="4"/>
  <c r="R698" i="4"/>
  <c r="Q698" i="4"/>
  <c r="V698" i="4" s="1"/>
  <c r="Z698" i="4" s="1"/>
  <c r="P698" i="4"/>
  <c r="AC697" i="4"/>
  <c r="X697" i="4"/>
  <c r="W697" i="4"/>
  <c r="U697" i="4"/>
  <c r="T697" i="4"/>
  <c r="S697" i="4"/>
  <c r="AA697" i="4" s="1"/>
  <c r="R697" i="4"/>
  <c r="Q697" i="4"/>
  <c r="AB697" i="4" s="1"/>
  <c r="P697" i="4"/>
  <c r="AC696" i="4"/>
  <c r="X696" i="4"/>
  <c r="U696" i="4"/>
  <c r="T696" i="4"/>
  <c r="S696" i="4"/>
  <c r="AA696" i="4" s="1"/>
  <c r="R696" i="4"/>
  <c r="Q696" i="4"/>
  <c r="W696" i="4" s="1"/>
  <c r="P696" i="4"/>
  <c r="AC695" i="4"/>
  <c r="AA695" i="4"/>
  <c r="Y695" i="4"/>
  <c r="X695" i="4"/>
  <c r="U695" i="4"/>
  <c r="T695" i="4"/>
  <c r="S695" i="4"/>
  <c r="R695" i="4"/>
  <c r="Q695" i="4"/>
  <c r="V695" i="4" s="1"/>
  <c r="Z695" i="4" s="1"/>
  <c r="P695" i="4"/>
  <c r="AC694" i="4"/>
  <c r="X694" i="4"/>
  <c r="V694" i="4"/>
  <c r="Z694" i="4" s="1"/>
  <c r="U694" i="4"/>
  <c r="T694" i="4"/>
  <c r="S694" i="4"/>
  <c r="AA694" i="4" s="1"/>
  <c r="R694" i="4"/>
  <c r="Q694" i="4"/>
  <c r="W694" i="4" s="1"/>
  <c r="P694" i="4"/>
  <c r="AC693" i="4"/>
  <c r="AB693" i="4"/>
  <c r="Y693" i="4"/>
  <c r="W693" i="4"/>
  <c r="V693" i="4"/>
  <c r="Z693" i="4" s="1"/>
  <c r="AD693" i="4" s="1"/>
  <c r="U693" i="4"/>
  <c r="AA693" i="4" s="1"/>
  <c r="T693" i="4"/>
  <c r="S693" i="4"/>
  <c r="R693" i="4"/>
  <c r="Q693" i="4"/>
  <c r="X693" i="4" s="1"/>
  <c r="P693" i="4"/>
  <c r="AC692" i="4"/>
  <c r="AB692" i="4"/>
  <c r="X692" i="4"/>
  <c r="W692" i="4"/>
  <c r="V692" i="4"/>
  <c r="Z692" i="4" s="1"/>
  <c r="U692" i="4"/>
  <c r="AA692" i="4" s="1"/>
  <c r="T692" i="4"/>
  <c r="S692" i="4"/>
  <c r="R692" i="4"/>
  <c r="Q692" i="4"/>
  <c r="Y692" i="4" s="1"/>
  <c r="P692" i="4"/>
  <c r="AC691" i="4"/>
  <c r="AB691" i="4"/>
  <c r="X691" i="4"/>
  <c r="W691" i="4"/>
  <c r="V691" i="4"/>
  <c r="Z691" i="4" s="1"/>
  <c r="AD691" i="4" s="1"/>
  <c r="N691" i="4" s="1"/>
  <c r="U691" i="4"/>
  <c r="AA691" i="4" s="1"/>
  <c r="T691" i="4"/>
  <c r="S691" i="4"/>
  <c r="R691" i="4"/>
  <c r="Q691" i="4"/>
  <c r="Y691" i="4" s="1"/>
  <c r="P691" i="4"/>
  <c r="AC690" i="4"/>
  <c r="AB690" i="4"/>
  <c r="X690" i="4"/>
  <c r="W690" i="4"/>
  <c r="V690" i="4"/>
  <c r="Z690" i="4" s="1"/>
  <c r="U690" i="4"/>
  <c r="T690" i="4"/>
  <c r="S690" i="4"/>
  <c r="R690" i="4"/>
  <c r="Q690" i="4"/>
  <c r="Y690" i="4" s="1"/>
  <c r="P690" i="4"/>
  <c r="AC689" i="4"/>
  <c r="X689" i="4"/>
  <c r="W689" i="4"/>
  <c r="V689" i="4"/>
  <c r="Z689" i="4" s="1"/>
  <c r="AD689" i="4" s="1"/>
  <c r="U689" i="4"/>
  <c r="T689" i="4"/>
  <c r="S689" i="4"/>
  <c r="AA689" i="4" s="1"/>
  <c r="R689" i="4"/>
  <c r="Q689" i="4"/>
  <c r="AB689" i="4" s="1"/>
  <c r="P689" i="4"/>
  <c r="AC688" i="4"/>
  <c r="W688" i="4"/>
  <c r="V688" i="4"/>
  <c r="Z688" i="4" s="1"/>
  <c r="AD688" i="4" s="1"/>
  <c r="U688" i="4"/>
  <c r="T688" i="4"/>
  <c r="S688" i="4"/>
  <c r="AA688" i="4" s="1"/>
  <c r="R688" i="4"/>
  <c r="Q688" i="4"/>
  <c r="AB688" i="4" s="1"/>
  <c r="P688" i="4"/>
  <c r="AC687" i="4"/>
  <c r="AB687" i="4"/>
  <c r="X687" i="4"/>
  <c r="W687" i="4"/>
  <c r="U687" i="4"/>
  <c r="T687" i="4"/>
  <c r="S687" i="4"/>
  <c r="AA687" i="4" s="1"/>
  <c r="R687" i="4"/>
  <c r="Q687" i="4"/>
  <c r="V687" i="4" s="1"/>
  <c r="Z687" i="4" s="1"/>
  <c r="P687" i="4"/>
  <c r="AC686" i="4"/>
  <c r="X686" i="4"/>
  <c r="U686" i="4"/>
  <c r="T686" i="4"/>
  <c r="S686" i="4"/>
  <c r="AA686" i="4" s="1"/>
  <c r="R686" i="4"/>
  <c r="Q686" i="4"/>
  <c r="W686" i="4" s="1"/>
  <c r="P686" i="4"/>
  <c r="AC685" i="4"/>
  <c r="U685" i="4"/>
  <c r="T685" i="4"/>
  <c r="S685" i="4"/>
  <c r="AA685" i="4" s="1"/>
  <c r="R685" i="4"/>
  <c r="Q685" i="4"/>
  <c r="P685" i="4"/>
  <c r="AC684" i="4"/>
  <c r="AB684" i="4"/>
  <c r="X684" i="4"/>
  <c r="W684" i="4"/>
  <c r="V684" i="4"/>
  <c r="Z684" i="4" s="1"/>
  <c r="U684" i="4"/>
  <c r="T684" i="4"/>
  <c r="S684" i="4"/>
  <c r="AA684" i="4" s="1"/>
  <c r="R684" i="4"/>
  <c r="Q684" i="4"/>
  <c r="Y684" i="4" s="1"/>
  <c r="P684" i="4"/>
  <c r="AC683" i="4"/>
  <c r="AB683" i="4"/>
  <c r="AA683" i="4"/>
  <c r="X683" i="4"/>
  <c r="V683" i="4"/>
  <c r="Z683" i="4" s="1"/>
  <c r="U683" i="4"/>
  <c r="T683" i="4"/>
  <c r="S683" i="4"/>
  <c r="R683" i="4"/>
  <c r="Q683" i="4"/>
  <c r="Y683" i="4" s="1"/>
  <c r="P683" i="4"/>
  <c r="AC682" i="4"/>
  <c r="AB682" i="4"/>
  <c r="W682" i="4"/>
  <c r="U682" i="4"/>
  <c r="T682" i="4"/>
  <c r="S682" i="4"/>
  <c r="AA682" i="4" s="1"/>
  <c r="R682" i="4"/>
  <c r="Q682" i="4"/>
  <c r="Y682" i="4" s="1"/>
  <c r="P682" i="4"/>
  <c r="AC681" i="4"/>
  <c r="X681" i="4"/>
  <c r="W681" i="4"/>
  <c r="V681" i="4"/>
  <c r="Z681" i="4" s="1"/>
  <c r="U681" i="4"/>
  <c r="T681" i="4"/>
  <c r="S681" i="4"/>
  <c r="AA681" i="4" s="1"/>
  <c r="R681" i="4"/>
  <c r="Q681" i="4"/>
  <c r="AB681" i="4" s="1"/>
  <c r="P681" i="4"/>
  <c r="AC680" i="4"/>
  <c r="W680" i="4"/>
  <c r="V680" i="4"/>
  <c r="Z680" i="4" s="1"/>
  <c r="AD680" i="4" s="1"/>
  <c r="U680" i="4"/>
  <c r="T680" i="4"/>
  <c r="S680" i="4"/>
  <c r="AA680" i="4" s="1"/>
  <c r="R680" i="4"/>
  <c r="Q680" i="4"/>
  <c r="AB680" i="4" s="1"/>
  <c r="P680" i="4"/>
  <c r="AC679" i="4"/>
  <c r="AB679" i="4"/>
  <c r="X679" i="4"/>
  <c r="W679" i="4"/>
  <c r="U679" i="4"/>
  <c r="T679" i="4"/>
  <c r="S679" i="4"/>
  <c r="AA679" i="4" s="1"/>
  <c r="R679" i="4"/>
  <c r="Q679" i="4"/>
  <c r="V679" i="4" s="1"/>
  <c r="Z679" i="4" s="1"/>
  <c r="P679" i="4"/>
  <c r="AC678" i="4"/>
  <c r="X678" i="4"/>
  <c r="U678" i="4"/>
  <c r="T678" i="4"/>
  <c r="S678" i="4"/>
  <c r="AA678" i="4" s="1"/>
  <c r="R678" i="4"/>
  <c r="Q678" i="4"/>
  <c r="W678" i="4" s="1"/>
  <c r="P678" i="4"/>
  <c r="AC677" i="4"/>
  <c r="U677" i="4"/>
  <c r="T677" i="4"/>
  <c r="S677" i="4"/>
  <c r="AA677" i="4" s="1"/>
  <c r="R677" i="4"/>
  <c r="Q677" i="4"/>
  <c r="P677" i="4"/>
  <c r="AC676" i="4"/>
  <c r="AB676" i="4"/>
  <c r="X676" i="4"/>
  <c r="W676" i="4"/>
  <c r="V676" i="4"/>
  <c r="Z676" i="4" s="1"/>
  <c r="U676" i="4"/>
  <c r="T676" i="4"/>
  <c r="S676" i="4"/>
  <c r="AA676" i="4" s="1"/>
  <c r="R676" i="4"/>
  <c r="Q676" i="4"/>
  <c r="Y676" i="4" s="1"/>
  <c r="P676" i="4"/>
  <c r="AC675" i="4"/>
  <c r="AB675" i="4"/>
  <c r="AA675" i="4"/>
  <c r="X675" i="4"/>
  <c r="V675" i="4"/>
  <c r="Z675" i="4" s="1"/>
  <c r="U675" i="4"/>
  <c r="T675" i="4"/>
  <c r="S675" i="4"/>
  <c r="R675" i="4"/>
  <c r="Q675" i="4"/>
  <c r="Y675" i="4" s="1"/>
  <c r="P675" i="4"/>
  <c r="AC674" i="4"/>
  <c r="AB674" i="4"/>
  <c r="W674" i="4"/>
  <c r="U674" i="4"/>
  <c r="T674" i="4"/>
  <c r="S674" i="4"/>
  <c r="AA674" i="4" s="1"/>
  <c r="R674" i="4"/>
  <c r="Q674" i="4"/>
  <c r="Y674" i="4" s="1"/>
  <c r="P674" i="4"/>
  <c r="AC673" i="4"/>
  <c r="X673" i="4"/>
  <c r="W673" i="4"/>
  <c r="V673" i="4"/>
  <c r="Z673" i="4" s="1"/>
  <c r="U673" i="4"/>
  <c r="T673" i="4"/>
  <c r="S673" i="4"/>
  <c r="AA673" i="4" s="1"/>
  <c r="R673" i="4"/>
  <c r="Q673" i="4"/>
  <c r="AB673" i="4" s="1"/>
  <c r="P673" i="4"/>
  <c r="AC672" i="4"/>
  <c r="W672" i="4"/>
  <c r="V672" i="4"/>
  <c r="Z672" i="4" s="1"/>
  <c r="AD672" i="4" s="1"/>
  <c r="U672" i="4"/>
  <c r="T672" i="4"/>
  <c r="S672" i="4"/>
  <c r="AA672" i="4" s="1"/>
  <c r="R672" i="4"/>
  <c r="Q672" i="4"/>
  <c r="AB672" i="4" s="1"/>
  <c r="P672" i="4"/>
  <c r="AC671" i="4"/>
  <c r="AB671" i="4"/>
  <c r="X671" i="4"/>
  <c r="W671" i="4"/>
  <c r="U671" i="4"/>
  <c r="T671" i="4"/>
  <c r="S671" i="4"/>
  <c r="AA671" i="4" s="1"/>
  <c r="R671" i="4"/>
  <c r="Q671" i="4"/>
  <c r="V671" i="4" s="1"/>
  <c r="Z671" i="4" s="1"/>
  <c r="P671" i="4"/>
  <c r="AC670" i="4"/>
  <c r="X670" i="4"/>
  <c r="U670" i="4"/>
  <c r="T670" i="4"/>
  <c r="S670" i="4"/>
  <c r="AA670" i="4" s="1"/>
  <c r="R670" i="4"/>
  <c r="Q670" i="4"/>
  <c r="W670" i="4" s="1"/>
  <c r="P670" i="4"/>
  <c r="AC669" i="4"/>
  <c r="U669" i="4"/>
  <c r="T669" i="4"/>
  <c r="S669" i="4"/>
  <c r="AA669" i="4" s="1"/>
  <c r="R669" i="4"/>
  <c r="Q669" i="4"/>
  <c r="P669" i="4"/>
  <c r="AC668" i="4"/>
  <c r="AB668" i="4"/>
  <c r="Z668" i="4"/>
  <c r="X668" i="4"/>
  <c r="W668" i="4"/>
  <c r="V668" i="4"/>
  <c r="U668" i="4"/>
  <c r="T668" i="4"/>
  <c r="S668" i="4"/>
  <c r="AA668" i="4" s="1"/>
  <c r="R668" i="4"/>
  <c r="Q668" i="4"/>
  <c r="Y668" i="4" s="1"/>
  <c r="P668" i="4"/>
  <c r="AC667" i="4"/>
  <c r="AB667" i="4"/>
  <c r="AA667" i="4"/>
  <c r="X667" i="4"/>
  <c r="V667" i="4"/>
  <c r="Z667" i="4" s="1"/>
  <c r="U667" i="4"/>
  <c r="T667" i="4"/>
  <c r="S667" i="4"/>
  <c r="R667" i="4"/>
  <c r="Q667" i="4"/>
  <c r="Y667" i="4" s="1"/>
  <c r="P667" i="4"/>
  <c r="AC666" i="4"/>
  <c r="AB666" i="4"/>
  <c r="W666" i="4"/>
  <c r="U666" i="4"/>
  <c r="T666" i="4"/>
  <c r="S666" i="4"/>
  <c r="AA666" i="4" s="1"/>
  <c r="R666" i="4"/>
  <c r="Q666" i="4"/>
  <c r="Y666" i="4" s="1"/>
  <c r="P666" i="4"/>
  <c r="AC665" i="4"/>
  <c r="X665" i="4"/>
  <c r="W665" i="4"/>
  <c r="V665" i="4"/>
  <c r="Z665" i="4" s="1"/>
  <c r="AD665" i="4" s="1"/>
  <c r="U665" i="4"/>
  <c r="T665" i="4"/>
  <c r="S665" i="4"/>
  <c r="R665" i="4"/>
  <c r="Q665" i="4"/>
  <c r="AB665" i="4" s="1"/>
  <c r="P665" i="4"/>
  <c r="AC664" i="4"/>
  <c r="W664" i="4"/>
  <c r="V664" i="4"/>
  <c r="Z664" i="4" s="1"/>
  <c r="AD664" i="4" s="1"/>
  <c r="N664" i="4" s="1"/>
  <c r="U664" i="4"/>
  <c r="T664" i="4"/>
  <c r="S664" i="4"/>
  <c r="AA664" i="4" s="1"/>
  <c r="R664" i="4"/>
  <c r="Q664" i="4"/>
  <c r="AB664" i="4" s="1"/>
  <c r="P664" i="4"/>
  <c r="AC663" i="4"/>
  <c r="AB663" i="4"/>
  <c r="X663" i="4"/>
  <c r="W663" i="4"/>
  <c r="U663" i="4"/>
  <c r="T663" i="4"/>
  <c r="S663" i="4"/>
  <c r="AA663" i="4" s="1"/>
  <c r="R663" i="4"/>
  <c r="Q663" i="4"/>
  <c r="V663" i="4" s="1"/>
  <c r="Z663" i="4" s="1"/>
  <c r="P663" i="4"/>
  <c r="AC662" i="4"/>
  <c r="Y662" i="4"/>
  <c r="X662" i="4"/>
  <c r="U662" i="4"/>
  <c r="T662" i="4"/>
  <c r="S662" i="4"/>
  <c r="AA662" i="4" s="1"/>
  <c r="R662" i="4"/>
  <c r="Q662" i="4"/>
  <c r="P662" i="4"/>
  <c r="AC661" i="4"/>
  <c r="Y661" i="4"/>
  <c r="U661" i="4"/>
  <c r="T661" i="4"/>
  <c r="S661" i="4"/>
  <c r="AA661" i="4" s="1"/>
  <c r="R661" i="4"/>
  <c r="Q661" i="4"/>
  <c r="P661" i="4"/>
  <c r="AC660" i="4"/>
  <c r="AB660" i="4"/>
  <c r="X660" i="4"/>
  <c r="W660" i="4"/>
  <c r="V660" i="4"/>
  <c r="Z660" i="4" s="1"/>
  <c r="U660" i="4"/>
  <c r="T660" i="4"/>
  <c r="S660" i="4"/>
  <c r="AA660" i="4" s="1"/>
  <c r="R660" i="4"/>
  <c r="Q660" i="4"/>
  <c r="Y660" i="4" s="1"/>
  <c r="P660" i="4"/>
  <c r="AC659" i="4"/>
  <c r="AB659" i="4"/>
  <c r="X659" i="4"/>
  <c r="V659" i="4"/>
  <c r="Z659" i="4" s="1"/>
  <c r="U659" i="4"/>
  <c r="T659" i="4"/>
  <c r="S659" i="4"/>
  <c r="AA659" i="4" s="1"/>
  <c r="R659" i="4"/>
  <c r="Q659" i="4"/>
  <c r="Y659" i="4" s="1"/>
  <c r="P659" i="4"/>
  <c r="AC658" i="4"/>
  <c r="AB658" i="4"/>
  <c r="W658" i="4"/>
  <c r="U658" i="4"/>
  <c r="T658" i="4"/>
  <c r="S658" i="4"/>
  <c r="R658" i="4"/>
  <c r="Q658" i="4"/>
  <c r="Y658" i="4" s="1"/>
  <c r="P658" i="4"/>
  <c r="AC657" i="4"/>
  <c r="X657" i="4"/>
  <c r="W657" i="4"/>
  <c r="V657" i="4"/>
  <c r="Z657" i="4" s="1"/>
  <c r="AD657" i="4" s="1"/>
  <c r="N657" i="4" s="1"/>
  <c r="U657" i="4"/>
  <c r="T657" i="4"/>
  <c r="S657" i="4"/>
  <c r="AA657" i="4" s="1"/>
  <c r="R657" i="4"/>
  <c r="Q657" i="4"/>
  <c r="AB657" i="4" s="1"/>
  <c r="P657" i="4"/>
  <c r="AC656" i="4"/>
  <c r="W656" i="4"/>
  <c r="V656" i="4"/>
  <c r="Z656" i="4" s="1"/>
  <c r="AD656" i="4" s="1"/>
  <c r="N656" i="4" s="1"/>
  <c r="U656" i="4"/>
  <c r="T656" i="4"/>
  <c r="S656" i="4"/>
  <c r="AA656" i="4" s="1"/>
  <c r="R656" i="4"/>
  <c r="Q656" i="4"/>
  <c r="AB656" i="4" s="1"/>
  <c r="P656" i="4"/>
  <c r="AC655" i="4"/>
  <c r="AB655" i="4"/>
  <c r="X655" i="4"/>
  <c r="W655" i="4"/>
  <c r="U655" i="4"/>
  <c r="T655" i="4"/>
  <c r="S655" i="4"/>
  <c r="AA655" i="4" s="1"/>
  <c r="R655" i="4"/>
  <c r="Q655" i="4"/>
  <c r="V655" i="4" s="1"/>
  <c r="Z655" i="4" s="1"/>
  <c r="P655" i="4"/>
  <c r="AC654" i="4"/>
  <c r="U654" i="4"/>
  <c r="T654" i="4"/>
  <c r="S654" i="4"/>
  <c r="AA654" i="4" s="1"/>
  <c r="R654" i="4"/>
  <c r="Q654" i="4"/>
  <c r="P654" i="4"/>
  <c r="AC653" i="4"/>
  <c r="U653" i="4"/>
  <c r="T653" i="4"/>
  <c r="S653" i="4"/>
  <c r="AA653" i="4" s="1"/>
  <c r="R653" i="4"/>
  <c r="Q653" i="4"/>
  <c r="Y653" i="4" s="1"/>
  <c r="P653" i="4"/>
  <c r="AC652" i="4"/>
  <c r="AB652" i="4"/>
  <c r="AA652" i="4"/>
  <c r="X652" i="4"/>
  <c r="W652" i="4"/>
  <c r="V652" i="4"/>
  <c r="Z652" i="4" s="1"/>
  <c r="U652" i="4"/>
  <c r="T652" i="4"/>
  <c r="S652" i="4"/>
  <c r="R652" i="4"/>
  <c r="Q652" i="4"/>
  <c r="Y652" i="4" s="1"/>
  <c r="P652" i="4"/>
  <c r="AC651" i="4"/>
  <c r="AB651" i="4"/>
  <c r="X651" i="4"/>
  <c r="V651" i="4"/>
  <c r="Z651" i="4" s="1"/>
  <c r="U651" i="4"/>
  <c r="T651" i="4"/>
  <c r="S651" i="4"/>
  <c r="AA651" i="4" s="1"/>
  <c r="R651" i="4"/>
  <c r="Q651" i="4"/>
  <c r="Y651" i="4" s="1"/>
  <c r="P651" i="4"/>
  <c r="AC650" i="4"/>
  <c r="AB650" i="4"/>
  <c r="W650" i="4"/>
  <c r="U650" i="4"/>
  <c r="T650" i="4"/>
  <c r="S650" i="4"/>
  <c r="AA650" i="4" s="1"/>
  <c r="R650" i="4"/>
  <c r="Q650" i="4"/>
  <c r="Y650" i="4" s="1"/>
  <c r="P650" i="4"/>
  <c r="AC649" i="4"/>
  <c r="X649" i="4"/>
  <c r="W649" i="4"/>
  <c r="V649" i="4"/>
  <c r="Z649" i="4" s="1"/>
  <c r="U649" i="4"/>
  <c r="T649" i="4"/>
  <c r="S649" i="4"/>
  <c r="R649" i="4"/>
  <c r="Q649" i="4"/>
  <c r="AB649" i="4" s="1"/>
  <c r="P649" i="4"/>
  <c r="AC648" i="4"/>
  <c r="W648" i="4"/>
  <c r="V648" i="4"/>
  <c r="Z648" i="4" s="1"/>
  <c r="AD648" i="4" s="1"/>
  <c r="N648" i="4" s="1"/>
  <c r="U648" i="4"/>
  <c r="T648" i="4"/>
  <c r="S648" i="4"/>
  <c r="AA648" i="4" s="1"/>
  <c r="R648" i="4"/>
  <c r="Q648" i="4"/>
  <c r="AB648" i="4" s="1"/>
  <c r="P648" i="4"/>
  <c r="AC647" i="4"/>
  <c r="AB647" i="4"/>
  <c r="X647" i="4"/>
  <c r="W647" i="4"/>
  <c r="U647" i="4"/>
  <c r="T647" i="4"/>
  <c r="S647" i="4"/>
  <c r="AA647" i="4" s="1"/>
  <c r="R647" i="4"/>
  <c r="Q647" i="4"/>
  <c r="V647" i="4" s="1"/>
  <c r="Z647" i="4" s="1"/>
  <c r="P647" i="4"/>
  <c r="AC646" i="4"/>
  <c r="Y646" i="4"/>
  <c r="U646" i="4"/>
  <c r="T646" i="4"/>
  <c r="S646" i="4"/>
  <c r="AA646" i="4" s="1"/>
  <c r="R646" i="4"/>
  <c r="Q646" i="4"/>
  <c r="P646" i="4"/>
  <c r="AC645" i="4"/>
  <c r="U645" i="4"/>
  <c r="T645" i="4"/>
  <c r="S645" i="4"/>
  <c r="AA645" i="4" s="1"/>
  <c r="R645" i="4"/>
  <c r="Q645" i="4"/>
  <c r="P645" i="4"/>
  <c r="AC644" i="4"/>
  <c r="AB644" i="4"/>
  <c r="X644" i="4"/>
  <c r="W644" i="4"/>
  <c r="V644" i="4"/>
  <c r="Z644" i="4" s="1"/>
  <c r="U644" i="4"/>
  <c r="T644" i="4"/>
  <c r="S644" i="4"/>
  <c r="AA644" i="4" s="1"/>
  <c r="R644" i="4"/>
  <c r="Q644" i="4"/>
  <c r="Y644" i="4" s="1"/>
  <c r="P644" i="4"/>
  <c r="AC643" i="4"/>
  <c r="AB643" i="4"/>
  <c r="AA643" i="4"/>
  <c r="X643" i="4"/>
  <c r="V643" i="4"/>
  <c r="Z643" i="4" s="1"/>
  <c r="U643" i="4"/>
  <c r="T643" i="4"/>
  <c r="S643" i="4"/>
  <c r="R643" i="4"/>
  <c r="Q643" i="4"/>
  <c r="Y643" i="4" s="1"/>
  <c r="P643" i="4"/>
  <c r="AC642" i="4"/>
  <c r="AB642" i="4"/>
  <c r="W642" i="4"/>
  <c r="U642" i="4"/>
  <c r="T642" i="4"/>
  <c r="S642" i="4"/>
  <c r="AA642" i="4" s="1"/>
  <c r="R642" i="4"/>
  <c r="Q642" i="4"/>
  <c r="Y642" i="4" s="1"/>
  <c r="P642" i="4"/>
  <c r="AC641" i="4"/>
  <c r="X641" i="4"/>
  <c r="W641" i="4"/>
  <c r="V641" i="4"/>
  <c r="Z641" i="4" s="1"/>
  <c r="AD641" i="4" s="1"/>
  <c r="N641" i="4" s="1"/>
  <c r="U641" i="4"/>
  <c r="T641" i="4"/>
  <c r="S641" i="4"/>
  <c r="R641" i="4"/>
  <c r="Q641" i="4"/>
  <c r="AB641" i="4" s="1"/>
  <c r="P641" i="4"/>
  <c r="AC640" i="4"/>
  <c r="W640" i="4"/>
  <c r="V640" i="4"/>
  <c r="Z640" i="4" s="1"/>
  <c r="AD640" i="4" s="1"/>
  <c r="N640" i="4" s="1"/>
  <c r="U640" i="4"/>
  <c r="T640" i="4"/>
  <c r="S640" i="4"/>
  <c r="AA640" i="4" s="1"/>
  <c r="R640" i="4"/>
  <c r="Q640" i="4"/>
  <c r="AB640" i="4" s="1"/>
  <c r="P640" i="4"/>
  <c r="AC639" i="4"/>
  <c r="AB639" i="4"/>
  <c r="X639" i="4"/>
  <c r="W639" i="4"/>
  <c r="U639" i="4"/>
  <c r="T639" i="4"/>
  <c r="S639" i="4"/>
  <c r="AA639" i="4" s="1"/>
  <c r="R639" i="4"/>
  <c r="Q639" i="4"/>
  <c r="V639" i="4" s="1"/>
  <c r="Z639" i="4" s="1"/>
  <c r="P639" i="4"/>
  <c r="AC638" i="4"/>
  <c r="Y638" i="4"/>
  <c r="X638" i="4"/>
  <c r="U638" i="4"/>
  <c r="T638" i="4"/>
  <c r="S638" i="4"/>
  <c r="AA638" i="4" s="1"/>
  <c r="R638" i="4"/>
  <c r="Q638" i="4"/>
  <c r="P638" i="4"/>
  <c r="AC637" i="4"/>
  <c r="Y637" i="4"/>
  <c r="U637" i="4"/>
  <c r="T637" i="4"/>
  <c r="S637" i="4"/>
  <c r="AA637" i="4" s="1"/>
  <c r="R637" i="4"/>
  <c r="Q637" i="4"/>
  <c r="P637" i="4"/>
  <c r="AC636" i="4"/>
  <c r="AB636" i="4"/>
  <c r="W636" i="4"/>
  <c r="V636" i="4"/>
  <c r="Z636" i="4" s="1"/>
  <c r="U636" i="4"/>
  <c r="T636" i="4"/>
  <c r="S636" i="4"/>
  <c r="AA636" i="4" s="1"/>
  <c r="R636" i="4"/>
  <c r="Q636" i="4"/>
  <c r="Y636" i="4" s="1"/>
  <c r="P636" i="4"/>
  <c r="AC635" i="4"/>
  <c r="AB635" i="4"/>
  <c r="AA635" i="4"/>
  <c r="X635" i="4"/>
  <c r="V635" i="4"/>
  <c r="Z635" i="4" s="1"/>
  <c r="U635" i="4"/>
  <c r="T635" i="4"/>
  <c r="S635" i="4"/>
  <c r="R635" i="4"/>
  <c r="Q635" i="4"/>
  <c r="Y635" i="4" s="1"/>
  <c r="P635" i="4"/>
  <c r="AC634" i="4"/>
  <c r="AB634" i="4"/>
  <c r="W634" i="4"/>
  <c r="U634" i="4"/>
  <c r="T634" i="4"/>
  <c r="S634" i="4"/>
  <c r="R634" i="4"/>
  <c r="Q634" i="4"/>
  <c r="Y634" i="4" s="1"/>
  <c r="P634" i="4"/>
  <c r="AC633" i="4"/>
  <c r="X633" i="4"/>
  <c r="W633" i="4"/>
  <c r="V633" i="4"/>
  <c r="Z633" i="4" s="1"/>
  <c r="AD633" i="4" s="1"/>
  <c r="U633" i="4"/>
  <c r="T633" i="4"/>
  <c r="S633" i="4"/>
  <c r="AA633" i="4" s="1"/>
  <c r="R633" i="4"/>
  <c r="Q633" i="4"/>
  <c r="AB633" i="4" s="1"/>
  <c r="P633" i="4"/>
  <c r="AC632" i="4"/>
  <c r="W632" i="4"/>
  <c r="V632" i="4"/>
  <c r="Z632" i="4" s="1"/>
  <c r="AD632" i="4" s="1"/>
  <c r="N632" i="4" s="1"/>
  <c r="U632" i="4"/>
  <c r="T632" i="4"/>
  <c r="S632" i="4"/>
  <c r="AA632" i="4" s="1"/>
  <c r="R632" i="4"/>
  <c r="Q632" i="4"/>
  <c r="AB632" i="4" s="1"/>
  <c r="P632" i="4"/>
  <c r="AC631" i="4"/>
  <c r="AB631" i="4"/>
  <c r="X631" i="4"/>
  <c r="W631" i="4"/>
  <c r="U631" i="4"/>
  <c r="T631" i="4"/>
  <c r="S631" i="4"/>
  <c r="AA631" i="4" s="1"/>
  <c r="R631" i="4"/>
  <c r="Q631" i="4"/>
  <c r="V631" i="4" s="1"/>
  <c r="Z631" i="4" s="1"/>
  <c r="P631" i="4"/>
  <c r="AC630" i="4"/>
  <c r="X630" i="4"/>
  <c r="U630" i="4"/>
  <c r="T630" i="4"/>
  <c r="S630" i="4"/>
  <c r="AA630" i="4" s="1"/>
  <c r="R630" i="4"/>
  <c r="Q630" i="4"/>
  <c r="Y630" i="4" s="1"/>
  <c r="P630" i="4"/>
  <c r="AC629" i="4"/>
  <c r="Y629" i="4"/>
  <c r="U629" i="4"/>
  <c r="T629" i="4"/>
  <c r="S629" i="4"/>
  <c r="AA629" i="4" s="1"/>
  <c r="R629" i="4"/>
  <c r="Q629" i="4"/>
  <c r="P629" i="4"/>
  <c r="AC628" i="4"/>
  <c r="AB628" i="4"/>
  <c r="AA628" i="4"/>
  <c r="W628" i="4"/>
  <c r="V628" i="4"/>
  <c r="Z628" i="4" s="1"/>
  <c r="U628" i="4"/>
  <c r="T628" i="4"/>
  <c r="S628" i="4"/>
  <c r="R628" i="4"/>
  <c r="Q628" i="4"/>
  <c r="Y628" i="4" s="1"/>
  <c r="P628" i="4"/>
  <c r="AC627" i="4"/>
  <c r="AB627" i="4"/>
  <c r="X627" i="4"/>
  <c r="V627" i="4"/>
  <c r="Z627" i="4" s="1"/>
  <c r="U627" i="4"/>
  <c r="T627" i="4"/>
  <c r="S627" i="4"/>
  <c r="AA627" i="4" s="1"/>
  <c r="R627" i="4"/>
  <c r="Q627" i="4"/>
  <c r="Y627" i="4" s="1"/>
  <c r="P627" i="4"/>
  <c r="AC626" i="4"/>
  <c r="AB626" i="4"/>
  <c r="W626" i="4"/>
  <c r="U626" i="4"/>
  <c r="T626" i="4"/>
  <c r="S626" i="4"/>
  <c r="AA626" i="4" s="1"/>
  <c r="R626" i="4"/>
  <c r="Q626" i="4"/>
  <c r="Y626" i="4" s="1"/>
  <c r="P626" i="4"/>
  <c r="AC625" i="4"/>
  <c r="X625" i="4"/>
  <c r="W625" i="4"/>
  <c r="V625" i="4"/>
  <c r="Z625" i="4" s="1"/>
  <c r="U625" i="4"/>
  <c r="T625" i="4"/>
  <c r="S625" i="4"/>
  <c r="R625" i="4"/>
  <c r="Q625" i="4"/>
  <c r="AB625" i="4" s="1"/>
  <c r="P625" i="4"/>
  <c r="AC624" i="4"/>
  <c r="W624" i="4"/>
  <c r="V624" i="4"/>
  <c r="Z624" i="4" s="1"/>
  <c r="AD624" i="4" s="1"/>
  <c r="N624" i="4" s="1"/>
  <c r="U624" i="4"/>
  <c r="T624" i="4"/>
  <c r="S624" i="4"/>
  <c r="AA624" i="4" s="1"/>
  <c r="R624" i="4"/>
  <c r="Q624" i="4"/>
  <c r="AB624" i="4" s="1"/>
  <c r="P624" i="4"/>
  <c r="AC623" i="4"/>
  <c r="AB623" i="4"/>
  <c r="X623" i="4"/>
  <c r="W623" i="4"/>
  <c r="U623" i="4"/>
  <c r="T623" i="4"/>
  <c r="S623" i="4"/>
  <c r="AA623" i="4" s="1"/>
  <c r="R623" i="4"/>
  <c r="Q623" i="4"/>
  <c r="V623" i="4" s="1"/>
  <c r="Z623" i="4" s="1"/>
  <c r="P623" i="4"/>
  <c r="AC622" i="4"/>
  <c r="Y622" i="4"/>
  <c r="U622" i="4"/>
  <c r="T622" i="4"/>
  <c r="S622" i="4"/>
  <c r="AA622" i="4" s="1"/>
  <c r="R622" i="4"/>
  <c r="Q622" i="4"/>
  <c r="P622" i="4"/>
  <c r="AC621" i="4"/>
  <c r="U621" i="4"/>
  <c r="T621" i="4"/>
  <c r="S621" i="4"/>
  <c r="AA621" i="4" s="1"/>
  <c r="R621" i="4"/>
  <c r="Q621" i="4"/>
  <c r="P621" i="4"/>
  <c r="AC620" i="4"/>
  <c r="AB620" i="4"/>
  <c r="W620" i="4"/>
  <c r="V620" i="4"/>
  <c r="Z620" i="4" s="1"/>
  <c r="U620" i="4"/>
  <c r="T620" i="4"/>
  <c r="S620" i="4"/>
  <c r="AA620" i="4" s="1"/>
  <c r="R620" i="4"/>
  <c r="Q620" i="4"/>
  <c r="Y620" i="4" s="1"/>
  <c r="P620" i="4"/>
  <c r="AC619" i="4"/>
  <c r="AB619" i="4"/>
  <c r="X619" i="4"/>
  <c r="W619" i="4"/>
  <c r="V619" i="4"/>
  <c r="Z619" i="4" s="1"/>
  <c r="U619" i="4"/>
  <c r="T619" i="4"/>
  <c r="S619" i="4"/>
  <c r="AA619" i="4" s="1"/>
  <c r="R619" i="4"/>
  <c r="Q619" i="4"/>
  <c r="Y619" i="4" s="1"/>
  <c r="P619" i="4"/>
  <c r="AC618" i="4"/>
  <c r="AB618" i="4"/>
  <c r="W618" i="4"/>
  <c r="U618" i="4"/>
  <c r="T618" i="4"/>
  <c r="S618" i="4"/>
  <c r="AA618" i="4" s="1"/>
  <c r="R618" i="4"/>
  <c r="Q618" i="4"/>
  <c r="Y618" i="4" s="1"/>
  <c r="P618" i="4"/>
  <c r="AC617" i="4"/>
  <c r="X617" i="4"/>
  <c r="V617" i="4"/>
  <c r="Z617" i="4" s="1"/>
  <c r="AD617" i="4" s="1"/>
  <c r="U617" i="4"/>
  <c r="T617" i="4"/>
  <c r="S617" i="4"/>
  <c r="AA617" i="4" s="1"/>
  <c r="R617" i="4"/>
  <c r="Q617" i="4"/>
  <c r="AB617" i="4" s="1"/>
  <c r="P617" i="4"/>
  <c r="AC616" i="4"/>
  <c r="W616" i="4"/>
  <c r="V616" i="4"/>
  <c r="Z616" i="4" s="1"/>
  <c r="AD616" i="4" s="1"/>
  <c r="U616" i="4"/>
  <c r="T616" i="4"/>
  <c r="S616" i="4"/>
  <c r="AA616" i="4" s="1"/>
  <c r="R616" i="4"/>
  <c r="Q616" i="4"/>
  <c r="AB616" i="4" s="1"/>
  <c r="P616" i="4"/>
  <c r="AC615" i="4"/>
  <c r="AB615" i="4"/>
  <c r="X615" i="4"/>
  <c r="W615" i="4"/>
  <c r="U615" i="4"/>
  <c r="T615" i="4"/>
  <c r="S615" i="4"/>
  <c r="AA615" i="4" s="1"/>
  <c r="R615" i="4"/>
  <c r="Q615" i="4"/>
  <c r="V615" i="4" s="1"/>
  <c r="Z615" i="4" s="1"/>
  <c r="P615" i="4"/>
  <c r="AC614" i="4"/>
  <c r="Y614" i="4"/>
  <c r="X614" i="4"/>
  <c r="U614" i="4"/>
  <c r="T614" i="4"/>
  <c r="S614" i="4"/>
  <c r="AA614" i="4" s="1"/>
  <c r="R614" i="4"/>
  <c r="Q614" i="4"/>
  <c r="P614" i="4"/>
  <c r="AC613" i="4"/>
  <c r="Y613" i="4"/>
  <c r="U613" i="4"/>
  <c r="T613" i="4"/>
  <c r="S613" i="4"/>
  <c r="AA613" i="4" s="1"/>
  <c r="R613" i="4"/>
  <c r="Q613" i="4"/>
  <c r="P613" i="4"/>
  <c r="AC612" i="4"/>
  <c r="W612" i="4"/>
  <c r="V612" i="4"/>
  <c r="Z612" i="4" s="1"/>
  <c r="U612" i="4"/>
  <c r="T612" i="4"/>
  <c r="S612" i="4"/>
  <c r="AA612" i="4" s="1"/>
  <c r="R612" i="4"/>
  <c r="Q612" i="4"/>
  <c r="Y612" i="4" s="1"/>
  <c r="P612" i="4"/>
  <c r="AC611" i="4"/>
  <c r="AB611" i="4"/>
  <c r="X611" i="4"/>
  <c r="W611" i="4"/>
  <c r="V611" i="4"/>
  <c r="Z611" i="4" s="1"/>
  <c r="U611" i="4"/>
  <c r="T611" i="4"/>
  <c r="S611" i="4"/>
  <c r="AA611" i="4" s="1"/>
  <c r="R611" i="4"/>
  <c r="Q611" i="4"/>
  <c r="Y611" i="4" s="1"/>
  <c r="P611" i="4"/>
  <c r="AC610" i="4"/>
  <c r="AB610" i="4"/>
  <c r="W610" i="4"/>
  <c r="U610" i="4"/>
  <c r="T610" i="4"/>
  <c r="S610" i="4"/>
  <c r="R610" i="4"/>
  <c r="Q610" i="4"/>
  <c r="Y610" i="4" s="1"/>
  <c r="P610" i="4"/>
  <c r="AC609" i="4"/>
  <c r="X609" i="4"/>
  <c r="V609" i="4"/>
  <c r="Z609" i="4" s="1"/>
  <c r="U609" i="4"/>
  <c r="T609" i="4"/>
  <c r="S609" i="4"/>
  <c r="AA609" i="4" s="1"/>
  <c r="R609" i="4"/>
  <c r="Q609" i="4"/>
  <c r="AB609" i="4" s="1"/>
  <c r="P609" i="4"/>
  <c r="AC608" i="4"/>
  <c r="W608" i="4"/>
  <c r="V608" i="4"/>
  <c r="Z608" i="4" s="1"/>
  <c r="AD608" i="4" s="1"/>
  <c r="N608" i="4" s="1"/>
  <c r="U608" i="4"/>
  <c r="T608" i="4"/>
  <c r="S608" i="4"/>
  <c r="AA608" i="4" s="1"/>
  <c r="R608" i="4"/>
  <c r="Q608" i="4"/>
  <c r="AB608" i="4" s="1"/>
  <c r="P608" i="4"/>
  <c r="AC607" i="4"/>
  <c r="AB607" i="4"/>
  <c r="X607" i="4"/>
  <c r="W607" i="4"/>
  <c r="U607" i="4"/>
  <c r="T607" i="4"/>
  <c r="S607" i="4"/>
  <c r="AA607" i="4" s="1"/>
  <c r="R607" i="4"/>
  <c r="Q607" i="4"/>
  <c r="V607" i="4" s="1"/>
  <c r="Z607" i="4" s="1"/>
  <c r="P607" i="4"/>
  <c r="AC606" i="4"/>
  <c r="X606" i="4"/>
  <c r="U606" i="4"/>
  <c r="T606" i="4"/>
  <c r="S606" i="4"/>
  <c r="AA606" i="4" s="1"/>
  <c r="R606" i="4"/>
  <c r="Q606" i="4"/>
  <c r="Y606" i="4" s="1"/>
  <c r="P606" i="4"/>
  <c r="AC605" i="4"/>
  <c r="AB605" i="4"/>
  <c r="Y605" i="4"/>
  <c r="U605" i="4"/>
  <c r="T605" i="4"/>
  <c r="S605" i="4"/>
  <c r="AA605" i="4" s="1"/>
  <c r="R605" i="4"/>
  <c r="Q605" i="4"/>
  <c r="P605" i="4"/>
  <c r="AC604" i="4"/>
  <c r="AA604" i="4"/>
  <c r="W604" i="4"/>
  <c r="V604" i="4"/>
  <c r="Z604" i="4" s="1"/>
  <c r="U604" i="4"/>
  <c r="T604" i="4"/>
  <c r="S604" i="4"/>
  <c r="R604" i="4"/>
  <c r="Q604" i="4"/>
  <c r="Y604" i="4" s="1"/>
  <c r="P604" i="4"/>
  <c r="AC603" i="4"/>
  <c r="AB603" i="4"/>
  <c r="X603" i="4"/>
  <c r="W603" i="4"/>
  <c r="V603" i="4"/>
  <c r="Z603" i="4" s="1"/>
  <c r="AD603" i="4" s="1"/>
  <c r="N603" i="4" s="1"/>
  <c r="U603" i="4"/>
  <c r="T603" i="4"/>
  <c r="S603" i="4"/>
  <c r="AA603" i="4" s="1"/>
  <c r="R603" i="4"/>
  <c r="Q603" i="4"/>
  <c r="Y603" i="4" s="1"/>
  <c r="P603" i="4"/>
  <c r="AC602" i="4"/>
  <c r="AB602" i="4"/>
  <c r="W602" i="4"/>
  <c r="U602" i="4"/>
  <c r="T602" i="4"/>
  <c r="S602" i="4"/>
  <c r="R602" i="4"/>
  <c r="Q602" i="4"/>
  <c r="Y602" i="4" s="1"/>
  <c r="P602" i="4"/>
  <c r="AC601" i="4"/>
  <c r="X601" i="4"/>
  <c r="V601" i="4"/>
  <c r="Z601" i="4" s="1"/>
  <c r="AD601" i="4" s="1"/>
  <c r="N601" i="4" s="1"/>
  <c r="U601" i="4"/>
  <c r="T601" i="4"/>
  <c r="S601" i="4"/>
  <c r="AA601" i="4" s="1"/>
  <c r="R601" i="4"/>
  <c r="Q601" i="4"/>
  <c r="AB601" i="4" s="1"/>
  <c r="P601" i="4"/>
  <c r="AC600" i="4"/>
  <c r="Y600" i="4"/>
  <c r="W600" i="4"/>
  <c r="V600" i="4"/>
  <c r="Z600" i="4" s="1"/>
  <c r="AD600" i="4" s="1"/>
  <c r="N600" i="4" s="1"/>
  <c r="U600" i="4"/>
  <c r="T600" i="4"/>
  <c r="S600" i="4"/>
  <c r="AA600" i="4" s="1"/>
  <c r="R600" i="4"/>
  <c r="Q600" i="4"/>
  <c r="P600" i="4"/>
  <c r="AC599" i="4"/>
  <c r="AB599" i="4"/>
  <c r="X599" i="4"/>
  <c r="W599" i="4"/>
  <c r="V599" i="4"/>
  <c r="Z599" i="4" s="1"/>
  <c r="U599" i="4"/>
  <c r="T599" i="4"/>
  <c r="S599" i="4"/>
  <c r="AA599" i="4" s="1"/>
  <c r="R599" i="4"/>
  <c r="Q599" i="4"/>
  <c r="Y599" i="4" s="1"/>
  <c r="P599" i="4"/>
  <c r="AC598" i="4"/>
  <c r="AA598" i="4"/>
  <c r="X598" i="4"/>
  <c r="U598" i="4"/>
  <c r="T598" i="4"/>
  <c r="S598" i="4"/>
  <c r="R598" i="4"/>
  <c r="Q598" i="4"/>
  <c r="Y598" i="4" s="1"/>
  <c r="P598" i="4"/>
  <c r="AC597" i="4"/>
  <c r="AB597" i="4"/>
  <c r="U597" i="4"/>
  <c r="T597" i="4"/>
  <c r="S597" i="4"/>
  <c r="AA597" i="4" s="1"/>
  <c r="R597" i="4"/>
  <c r="Q597" i="4"/>
  <c r="P597" i="4"/>
  <c r="AC596" i="4"/>
  <c r="W596" i="4"/>
  <c r="V596" i="4"/>
  <c r="Z596" i="4" s="1"/>
  <c r="U596" i="4"/>
  <c r="T596" i="4"/>
  <c r="S596" i="4"/>
  <c r="AA596" i="4" s="1"/>
  <c r="R596" i="4"/>
  <c r="Q596" i="4"/>
  <c r="Y596" i="4" s="1"/>
  <c r="P596" i="4"/>
  <c r="AC595" i="4"/>
  <c r="AB595" i="4"/>
  <c r="X595" i="4"/>
  <c r="W595" i="4"/>
  <c r="V595" i="4"/>
  <c r="Z595" i="4" s="1"/>
  <c r="AD595" i="4" s="1"/>
  <c r="U595" i="4"/>
  <c r="T595" i="4"/>
  <c r="S595" i="4"/>
  <c r="AA595" i="4" s="1"/>
  <c r="R595" i="4"/>
  <c r="Q595" i="4"/>
  <c r="Y595" i="4" s="1"/>
  <c r="P595" i="4"/>
  <c r="AC594" i="4"/>
  <c r="AB594" i="4"/>
  <c r="W594" i="4"/>
  <c r="U594" i="4"/>
  <c r="T594" i="4"/>
  <c r="S594" i="4"/>
  <c r="R594" i="4"/>
  <c r="Q594" i="4"/>
  <c r="Y594" i="4" s="1"/>
  <c r="P594" i="4"/>
  <c r="AC593" i="4"/>
  <c r="X593" i="4"/>
  <c r="V593" i="4"/>
  <c r="Z593" i="4" s="1"/>
  <c r="AD593" i="4" s="1"/>
  <c r="N593" i="4" s="1"/>
  <c r="U593" i="4"/>
  <c r="T593" i="4"/>
  <c r="S593" i="4"/>
  <c r="R593" i="4"/>
  <c r="Q593" i="4"/>
  <c r="AB593" i="4" s="1"/>
  <c r="P593" i="4"/>
  <c r="AC592" i="4"/>
  <c r="U592" i="4"/>
  <c r="T592" i="4"/>
  <c r="S592" i="4"/>
  <c r="AA592" i="4" s="1"/>
  <c r="R592" i="4"/>
  <c r="Q592" i="4"/>
  <c r="Y592" i="4" s="1"/>
  <c r="P592" i="4"/>
  <c r="AC591" i="4"/>
  <c r="AB591" i="4"/>
  <c r="X591" i="4"/>
  <c r="W591" i="4"/>
  <c r="V591" i="4"/>
  <c r="Z591" i="4" s="1"/>
  <c r="U591" i="4"/>
  <c r="T591" i="4"/>
  <c r="S591" i="4"/>
  <c r="AA591" i="4" s="1"/>
  <c r="R591" i="4"/>
  <c r="Q591" i="4"/>
  <c r="Y591" i="4" s="1"/>
  <c r="P591" i="4"/>
  <c r="AC590" i="4"/>
  <c r="Y590" i="4"/>
  <c r="X590" i="4"/>
  <c r="U590" i="4"/>
  <c r="AA590" i="4" s="1"/>
  <c r="T590" i="4"/>
  <c r="S590" i="4"/>
  <c r="R590" i="4"/>
  <c r="Q590" i="4"/>
  <c r="P590" i="4"/>
  <c r="AC589" i="4"/>
  <c r="AB589" i="4"/>
  <c r="X589" i="4"/>
  <c r="V589" i="4"/>
  <c r="Z589" i="4" s="1"/>
  <c r="U589" i="4"/>
  <c r="T589" i="4"/>
  <c r="S589" i="4"/>
  <c r="AA589" i="4" s="1"/>
  <c r="R589" i="4"/>
  <c r="Q589" i="4"/>
  <c r="W589" i="4" s="1"/>
  <c r="P589" i="4"/>
  <c r="AC588" i="4"/>
  <c r="AB588" i="4"/>
  <c r="AA588" i="4"/>
  <c r="U588" i="4"/>
  <c r="T588" i="4"/>
  <c r="S588" i="4"/>
  <c r="R588" i="4"/>
  <c r="Q588" i="4"/>
  <c r="X588" i="4" s="1"/>
  <c r="P588" i="4"/>
  <c r="AC587" i="4"/>
  <c r="AB587" i="4"/>
  <c r="W587" i="4"/>
  <c r="V587" i="4"/>
  <c r="Z587" i="4" s="1"/>
  <c r="U587" i="4"/>
  <c r="T587" i="4"/>
  <c r="S587" i="4"/>
  <c r="AA587" i="4" s="1"/>
  <c r="R587" i="4"/>
  <c r="Q587" i="4"/>
  <c r="Y587" i="4" s="1"/>
  <c r="P587" i="4"/>
  <c r="AC586" i="4"/>
  <c r="AB586" i="4"/>
  <c r="X586" i="4"/>
  <c r="W586" i="4"/>
  <c r="V586" i="4"/>
  <c r="Z586" i="4" s="1"/>
  <c r="U586" i="4"/>
  <c r="T586" i="4"/>
  <c r="S586" i="4"/>
  <c r="AA586" i="4" s="1"/>
  <c r="R586" i="4"/>
  <c r="Q586" i="4"/>
  <c r="Y586" i="4" s="1"/>
  <c r="P586" i="4"/>
  <c r="AC585" i="4"/>
  <c r="AB585" i="4"/>
  <c r="X585" i="4"/>
  <c r="W585" i="4"/>
  <c r="V585" i="4"/>
  <c r="Z585" i="4" s="1"/>
  <c r="U585" i="4"/>
  <c r="T585" i="4"/>
  <c r="S585" i="4"/>
  <c r="R585" i="4"/>
  <c r="Q585" i="4"/>
  <c r="Y585" i="4" s="1"/>
  <c r="P585" i="4"/>
  <c r="AC584" i="4"/>
  <c r="V584" i="4"/>
  <c r="Z584" i="4" s="1"/>
  <c r="AD584" i="4" s="1"/>
  <c r="U584" i="4"/>
  <c r="T584" i="4"/>
  <c r="S584" i="4"/>
  <c r="AA584" i="4" s="1"/>
  <c r="R584" i="4"/>
  <c r="Q584" i="4"/>
  <c r="AB584" i="4" s="1"/>
  <c r="P584" i="4"/>
  <c r="AC583" i="4"/>
  <c r="W583" i="4"/>
  <c r="U583" i="4"/>
  <c r="T583" i="4"/>
  <c r="S583" i="4"/>
  <c r="AA583" i="4" s="1"/>
  <c r="R583" i="4"/>
  <c r="Q583" i="4"/>
  <c r="V583" i="4" s="1"/>
  <c r="Z583" i="4" s="1"/>
  <c r="P583" i="4"/>
  <c r="AC582" i="4"/>
  <c r="X582" i="4"/>
  <c r="U582" i="4"/>
  <c r="T582" i="4"/>
  <c r="S582" i="4"/>
  <c r="AA582" i="4" s="1"/>
  <c r="R582" i="4"/>
  <c r="Q582" i="4"/>
  <c r="W582" i="4" s="1"/>
  <c r="P582" i="4"/>
  <c r="AC581" i="4"/>
  <c r="U581" i="4"/>
  <c r="T581" i="4"/>
  <c r="S581" i="4"/>
  <c r="AA581" i="4" s="1"/>
  <c r="R581" i="4"/>
  <c r="Q581" i="4"/>
  <c r="Y581" i="4" s="1"/>
  <c r="P581" i="4"/>
  <c r="AC580" i="4"/>
  <c r="AB580" i="4"/>
  <c r="U580" i="4"/>
  <c r="T580" i="4"/>
  <c r="S580" i="4"/>
  <c r="AA580" i="4" s="1"/>
  <c r="R580" i="4"/>
  <c r="Q580" i="4"/>
  <c r="Y580" i="4" s="1"/>
  <c r="P580" i="4"/>
  <c r="AC579" i="4"/>
  <c r="AB579" i="4"/>
  <c r="AA579" i="4"/>
  <c r="W579" i="4"/>
  <c r="V579" i="4"/>
  <c r="Z579" i="4" s="1"/>
  <c r="U579" i="4"/>
  <c r="T579" i="4"/>
  <c r="S579" i="4"/>
  <c r="R579" i="4"/>
  <c r="Q579" i="4"/>
  <c r="Y579" i="4" s="1"/>
  <c r="P579" i="4"/>
  <c r="AC578" i="4"/>
  <c r="AB578" i="4"/>
  <c r="X578" i="4"/>
  <c r="W578" i="4"/>
  <c r="V578" i="4"/>
  <c r="Z578" i="4" s="1"/>
  <c r="U578" i="4"/>
  <c r="T578" i="4"/>
  <c r="S578" i="4"/>
  <c r="AA578" i="4" s="1"/>
  <c r="R578" i="4"/>
  <c r="Q578" i="4"/>
  <c r="Y578" i="4" s="1"/>
  <c r="P578" i="4"/>
  <c r="AC577" i="4"/>
  <c r="AB577" i="4"/>
  <c r="X577" i="4"/>
  <c r="W577" i="4"/>
  <c r="V577" i="4"/>
  <c r="Z577" i="4" s="1"/>
  <c r="U577" i="4"/>
  <c r="T577" i="4"/>
  <c r="S577" i="4"/>
  <c r="R577" i="4"/>
  <c r="Q577" i="4"/>
  <c r="Y577" i="4" s="1"/>
  <c r="P577" i="4"/>
  <c r="AC576" i="4"/>
  <c r="V576" i="4"/>
  <c r="Z576" i="4" s="1"/>
  <c r="U576" i="4"/>
  <c r="T576" i="4"/>
  <c r="S576" i="4"/>
  <c r="AA576" i="4" s="1"/>
  <c r="R576" i="4"/>
  <c r="Q576" i="4"/>
  <c r="AB576" i="4" s="1"/>
  <c r="P576" i="4"/>
  <c r="AC575" i="4"/>
  <c r="W575" i="4"/>
  <c r="U575" i="4"/>
  <c r="T575" i="4"/>
  <c r="S575" i="4"/>
  <c r="AA575" i="4" s="1"/>
  <c r="R575" i="4"/>
  <c r="Q575" i="4"/>
  <c r="V575" i="4" s="1"/>
  <c r="Z575" i="4" s="1"/>
  <c r="P575" i="4"/>
  <c r="AC574" i="4"/>
  <c r="X574" i="4"/>
  <c r="U574" i="4"/>
  <c r="T574" i="4"/>
  <c r="S574" i="4"/>
  <c r="AA574" i="4" s="1"/>
  <c r="R574" i="4"/>
  <c r="Q574" i="4"/>
  <c r="W574" i="4" s="1"/>
  <c r="P574" i="4"/>
  <c r="AC573" i="4"/>
  <c r="U573" i="4"/>
  <c r="T573" i="4"/>
  <c r="S573" i="4"/>
  <c r="AA573" i="4" s="1"/>
  <c r="R573" i="4"/>
  <c r="Q573" i="4"/>
  <c r="P573" i="4"/>
  <c r="AC572" i="4"/>
  <c r="AB572" i="4"/>
  <c r="U572" i="4"/>
  <c r="T572" i="4"/>
  <c r="S572" i="4"/>
  <c r="AA572" i="4" s="1"/>
  <c r="R572" i="4"/>
  <c r="Q572" i="4"/>
  <c r="Y572" i="4" s="1"/>
  <c r="P572" i="4"/>
  <c r="AC571" i="4"/>
  <c r="AB571" i="4"/>
  <c r="AA571" i="4"/>
  <c r="W571" i="4"/>
  <c r="V571" i="4"/>
  <c r="Z571" i="4" s="1"/>
  <c r="U571" i="4"/>
  <c r="T571" i="4"/>
  <c r="S571" i="4"/>
  <c r="R571" i="4"/>
  <c r="Q571" i="4"/>
  <c r="Y571" i="4" s="1"/>
  <c r="P571" i="4"/>
  <c r="AC570" i="4"/>
  <c r="AB570" i="4"/>
  <c r="X570" i="4"/>
  <c r="W570" i="4"/>
  <c r="V570" i="4"/>
  <c r="Z570" i="4" s="1"/>
  <c r="U570" i="4"/>
  <c r="T570" i="4"/>
  <c r="S570" i="4"/>
  <c r="AA570" i="4" s="1"/>
  <c r="R570" i="4"/>
  <c r="Q570" i="4"/>
  <c r="Y570" i="4" s="1"/>
  <c r="P570" i="4"/>
  <c r="AC569" i="4"/>
  <c r="AB569" i="4"/>
  <c r="X569" i="4"/>
  <c r="W569" i="4"/>
  <c r="V569" i="4"/>
  <c r="Z569" i="4" s="1"/>
  <c r="U569" i="4"/>
  <c r="T569" i="4"/>
  <c r="S569" i="4"/>
  <c r="AA569" i="4" s="1"/>
  <c r="R569" i="4"/>
  <c r="Q569" i="4"/>
  <c r="Y569" i="4" s="1"/>
  <c r="P569" i="4"/>
  <c r="AC568" i="4"/>
  <c r="V568" i="4"/>
  <c r="Z568" i="4" s="1"/>
  <c r="AD568" i="4" s="1"/>
  <c r="N568" i="4" s="1"/>
  <c r="U568" i="4"/>
  <c r="T568" i="4"/>
  <c r="S568" i="4"/>
  <c r="AA568" i="4" s="1"/>
  <c r="R568" i="4"/>
  <c r="Q568" i="4"/>
  <c r="AB568" i="4" s="1"/>
  <c r="P568" i="4"/>
  <c r="AC567" i="4"/>
  <c r="W567" i="4"/>
  <c r="U567" i="4"/>
  <c r="T567" i="4"/>
  <c r="S567" i="4"/>
  <c r="AA567" i="4" s="1"/>
  <c r="R567" i="4"/>
  <c r="Q567" i="4"/>
  <c r="V567" i="4" s="1"/>
  <c r="Z567" i="4" s="1"/>
  <c r="P567" i="4"/>
  <c r="AC566" i="4"/>
  <c r="X566" i="4"/>
  <c r="U566" i="4"/>
  <c r="T566" i="4"/>
  <c r="S566" i="4"/>
  <c r="AA566" i="4" s="1"/>
  <c r="R566" i="4"/>
  <c r="Q566" i="4"/>
  <c r="W566" i="4" s="1"/>
  <c r="P566" i="4"/>
  <c r="AC565" i="4"/>
  <c r="Y565" i="4"/>
  <c r="U565" i="4"/>
  <c r="T565" i="4"/>
  <c r="S565" i="4"/>
  <c r="AA565" i="4" s="1"/>
  <c r="R565" i="4"/>
  <c r="Q565" i="4"/>
  <c r="P565" i="4"/>
  <c r="AC564" i="4"/>
  <c r="AB564" i="4"/>
  <c r="U564" i="4"/>
  <c r="T564" i="4"/>
  <c r="S564" i="4"/>
  <c r="AA564" i="4" s="1"/>
  <c r="R564" i="4"/>
  <c r="Q564" i="4"/>
  <c r="Y564" i="4" s="1"/>
  <c r="P564" i="4"/>
  <c r="AC563" i="4"/>
  <c r="AB563" i="4"/>
  <c r="W563" i="4"/>
  <c r="V563" i="4"/>
  <c r="Z563" i="4" s="1"/>
  <c r="U563" i="4"/>
  <c r="T563" i="4"/>
  <c r="S563" i="4"/>
  <c r="AA563" i="4" s="1"/>
  <c r="R563" i="4"/>
  <c r="Q563" i="4"/>
  <c r="Y563" i="4" s="1"/>
  <c r="P563" i="4"/>
  <c r="AC562" i="4"/>
  <c r="AB562" i="4"/>
  <c r="X562" i="4"/>
  <c r="W562" i="4"/>
  <c r="V562" i="4"/>
  <c r="Z562" i="4" s="1"/>
  <c r="U562" i="4"/>
  <c r="T562" i="4"/>
  <c r="S562" i="4"/>
  <c r="AA562" i="4" s="1"/>
  <c r="R562" i="4"/>
  <c r="Q562" i="4"/>
  <c r="Y562" i="4" s="1"/>
  <c r="P562" i="4"/>
  <c r="AC561" i="4"/>
  <c r="AB561" i="4"/>
  <c r="X561" i="4"/>
  <c r="W561" i="4"/>
  <c r="V561" i="4"/>
  <c r="Z561" i="4" s="1"/>
  <c r="U561" i="4"/>
  <c r="T561" i="4"/>
  <c r="S561" i="4"/>
  <c r="AA561" i="4" s="1"/>
  <c r="R561" i="4"/>
  <c r="Q561" i="4"/>
  <c r="Y561" i="4" s="1"/>
  <c r="P561" i="4"/>
  <c r="AC560" i="4"/>
  <c r="V560" i="4"/>
  <c r="Z560" i="4" s="1"/>
  <c r="AD560" i="4" s="1"/>
  <c r="N560" i="4" s="1"/>
  <c r="U560" i="4"/>
  <c r="T560" i="4"/>
  <c r="S560" i="4"/>
  <c r="AA560" i="4" s="1"/>
  <c r="R560" i="4"/>
  <c r="Q560" i="4"/>
  <c r="AB560" i="4" s="1"/>
  <c r="P560" i="4"/>
  <c r="AC559" i="4"/>
  <c r="W559" i="4"/>
  <c r="U559" i="4"/>
  <c r="T559" i="4"/>
  <c r="S559" i="4"/>
  <c r="AA559" i="4" s="1"/>
  <c r="R559" i="4"/>
  <c r="Q559" i="4"/>
  <c r="V559" i="4" s="1"/>
  <c r="Z559" i="4" s="1"/>
  <c r="P559" i="4"/>
  <c r="AC558" i="4"/>
  <c r="X558" i="4"/>
  <c r="U558" i="4"/>
  <c r="T558" i="4"/>
  <c r="S558" i="4"/>
  <c r="AA558" i="4" s="1"/>
  <c r="R558" i="4"/>
  <c r="Q558" i="4"/>
  <c r="W558" i="4" s="1"/>
  <c r="P558" i="4"/>
  <c r="AC557" i="4"/>
  <c r="Y557" i="4"/>
  <c r="U557" i="4"/>
  <c r="T557" i="4"/>
  <c r="S557" i="4"/>
  <c r="AA557" i="4" s="1"/>
  <c r="R557" i="4"/>
  <c r="Q557" i="4"/>
  <c r="P557" i="4"/>
  <c r="AC556" i="4"/>
  <c r="AB556" i="4"/>
  <c r="U556" i="4"/>
  <c r="T556" i="4"/>
  <c r="S556" i="4"/>
  <c r="AA556" i="4" s="1"/>
  <c r="R556" i="4"/>
  <c r="Q556" i="4"/>
  <c r="Y556" i="4" s="1"/>
  <c r="P556" i="4"/>
  <c r="AC555" i="4"/>
  <c r="AB555" i="4"/>
  <c r="AA555" i="4"/>
  <c r="W555" i="4"/>
  <c r="V555" i="4"/>
  <c r="Z555" i="4" s="1"/>
  <c r="U555" i="4"/>
  <c r="T555" i="4"/>
  <c r="S555" i="4"/>
  <c r="R555" i="4"/>
  <c r="Q555" i="4"/>
  <c r="Y555" i="4" s="1"/>
  <c r="P555" i="4"/>
  <c r="AC554" i="4"/>
  <c r="AB554" i="4"/>
  <c r="X554" i="4"/>
  <c r="W554" i="4"/>
  <c r="V554" i="4"/>
  <c r="Z554" i="4" s="1"/>
  <c r="U554" i="4"/>
  <c r="T554" i="4"/>
  <c r="S554" i="4"/>
  <c r="AA554" i="4" s="1"/>
  <c r="R554" i="4"/>
  <c r="Q554" i="4"/>
  <c r="Y554" i="4" s="1"/>
  <c r="P554" i="4"/>
  <c r="AC553" i="4"/>
  <c r="X553" i="4"/>
  <c r="W553" i="4"/>
  <c r="V553" i="4"/>
  <c r="Z553" i="4" s="1"/>
  <c r="U553" i="4"/>
  <c r="T553" i="4"/>
  <c r="S553" i="4"/>
  <c r="AA553" i="4" s="1"/>
  <c r="R553" i="4"/>
  <c r="Q553" i="4"/>
  <c r="AB553" i="4" s="1"/>
  <c r="P553" i="4"/>
  <c r="AC552" i="4"/>
  <c r="V552" i="4"/>
  <c r="Z552" i="4" s="1"/>
  <c r="AD552" i="4" s="1"/>
  <c r="U552" i="4"/>
  <c r="T552" i="4"/>
  <c r="S552" i="4"/>
  <c r="AA552" i="4" s="1"/>
  <c r="R552" i="4"/>
  <c r="Q552" i="4"/>
  <c r="AB552" i="4" s="1"/>
  <c r="P552" i="4"/>
  <c r="AC551" i="4"/>
  <c r="W551" i="4"/>
  <c r="U551" i="4"/>
  <c r="T551" i="4"/>
  <c r="S551" i="4"/>
  <c r="AA551" i="4" s="1"/>
  <c r="R551" i="4"/>
  <c r="Q551" i="4"/>
  <c r="V551" i="4" s="1"/>
  <c r="Z551" i="4" s="1"/>
  <c r="P551" i="4"/>
  <c r="AC550" i="4"/>
  <c r="X550" i="4"/>
  <c r="U550" i="4"/>
  <c r="T550" i="4"/>
  <c r="S550" i="4"/>
  <c r="AA550" i="4" s="1"/>
  <c r="R550" i="4"/>
  <c r="Q550" i="4"/>
  <c r="W550" i="4" s="1"/>
  <c r="P550" i="4"/>
  <c r="AC549" i="4"/>
  <c r="Y549" i="4"/>
  <c r="U549" i="4"/>
  <c r="T549" i="4"/>
  <c r="S549" i="4"/>
  <c r="AA549" i="4" s="1"/>
  <c r="R549" i="4"/>
  <c r="Q549" i="4"/>
  <c r="P549" i="4"/>
  <c r="AC548" i="4"/>
  <c r="AB548" i="4"/>
  <c r="U548" i="4"/>
  <c r="T548" i="4"/>
  <c r="S548" i="4"/>
  <c r="AA548" i="4" s="1"/>
  <c r="R548" i="4"/>
  <c r="Q548" i="4"/>
  <c r="Y548" i="4" s="1"/>
  <c r="P548" i="4"/>
  <c r="AC547" i="4"/>
  <c r="AB547" i="4"/>
  <c r="W547" i="4"/>
  <c r="V547" i="4"/>
  <c r="Z547" i="4" s="1"/>
  <c r="U547" i="4"/>
  <c r="T547" i="4"/>
  <c r="S547" i="4"/>
  <c r="AA547" i="4" s="1"/>
  <c r="R547" i="4"/>
  <c r="Q547" i="4"/>
  <c r="Y547" i="4" s="1"/>
  <c r="P547" i="4"/>
  <c r="AC546" i="4"/>
  <c r="AB546" i="4"/>
  <c r="X546" i="4"/>
  <c r="W546" i="4"/>
  <c r="V546" i="4"/>
  <c r="Z546" i="4" s="1"/>
  <c r="U546" i="4"/>
  <c r="T546" i="4"/>
  <c r="S546" i="4"/>
  <c r="AA546" i="4" s="1"/>
  <c r="R546" i="4"/>
  <c r="Q546" i="4"/>
  <c r="Y546" i="4" s="1"/>
  <c r="P546" i="4"/>
  <c r="AC545" i="4"/>
  <c r="X545" i="4"/>
  <c r="W545" i="4"/>
  <c r="V545" i="4"/>
  <c r="Z545" i="4" s="1"/>
  <c r="U545" i="4"/>
  <c r="T545" i="4"/>
  <c r="S545" i="4"/>
  <c r="AA545" i="4" s="1"/>
  <c r="R545" i="4"/>
  <c r="Q545" i="4"/>
  <c r="AB545" i="4" s="1"/>
  <c r="P545" i="4"/>
  <c r="AC544" i="4"/>
  <c r="V544" i="4"/>
  <c r="Z544" i="4" s="1"/>
  <c r="AD544" i="4" s="1"/>
  <c r="U544" i="4"/>
  <c r="T544" i="4"/>
  <c r="S544" i="4"/>
  <c r="AA544" i="4" s="1"/>
  <c r="R544" i="4"/>
  <c r="Q544" i="4"/>
  <c r="AB544" i="4" s="1"/>
  <c r="P544" i="4"/>
  <c r="AC543" i="4"/>
  <c r="W543" i="4"/>
  <c r="U543" i="4"/>
  <c r="T543" i="4"/>
  <c r="S543" i="4"/>
  <c r="AA543" i="4" s="1"/>
  <c r="R543" i="4"/>
  <c r="Q543" i="4"/>
  <c r="V543" i="4" s="1"/>
  <c r="Z543" i="4" s="1"/>
  <c r="P543" i="4"/>
  <c r="AC542" i="4"/>
  <c r="X542" i="4"/>
  <c r="U542" i="4"/>
  <c r="T542" i="4"/>
  <c r="S542" i="4"/>
  <c r="AA542" i="4" s="1"/>
  <c r="R542" i="4"/>
  <c r="Q542" i="4"/>
  <c r="W542" i="4" s="1"/>
  <c r="P542" i="4"/>
  <c r="AC541" i="4"/>
  <c r="Y541" i="4"/>
  <c r="U541" i="4"/>
  <c r="T541" i="4"/>
  <c r="S541" i="4"/>
  <c r="AA541" i="4" s="1"/>
  <c r="R541" i="4"/>
  <c r="Q541" i="4"/>
  <c r="P541" i="4"/>
  <c r="AC540" i="4"/>
  <c r="AB540" i="4"/>
  <c r="V540" i="4"/>
  <c r="Z540" i="4" s="1"/>
  <c r="U540" i="4"/>
  <c r="T540" i="4"/>
  <c r="S540" i="4"/>
  <c r="AA540" i="4" s="1"/>
  <c r="R540" i="4"/>
  <c r="Q540" i="4"/>
  <c r="Y540" i="4" s="1"/>
  <c r="P540" i="4"/>
  <c r="AC539" i="4"/>
  <c r="AB539" i="4"/>
  <c r="AA539" i="4"/>
  <c r="W539" i="4"/>
  <c r="V539" i="4"/>
  <c r="Z539" i="4" s="1"/>
  <c r="U539" i="4"/>
  <c r="T539" i="4"/>
  <c r="S539" i="4"/>
  <c r="R539" i="4"/>
  <c r="Q539" i="4"/>
  <c r="Y539" i="4" s="1"/>
  <c r="P539" i="4"/>
  <c r="AC538" i="4"/>
  <c r="AB538" i="4"/>
  <c r="X538" i="4"/>
  <c r="W538" i="4"/>
  <c r="V538" i="4"/>
  <c r="Z538" i="4" s="1"/>
  <c r="AD538" i="4" s="1"/>
  <c r="N538" i="4" s="1"/>
  <c r="U538" i="4"/>
  <c r="T538" i="4"/>
  <c r="S538" i="4"/>
  <c r="AA538" i="4" s="1"/>
  <c r="R538" i="4"/>
  <c r="Q538" i="4"/>
  <c r="Y538" i="4" s="1"/>
  <c r="P538" i="4"/>
  <c r="AC537" i="4"/>
  <c r="X537" i="4"/>
  <c r="W537" i="4"/>
  <c r="V537" i="4"/>
  <c r="Z537" i="4" s="1"/>
  <c r="U537" i="4"/>
  <c r="T537" i="4"/>
  <c r="S537" i="4"/>
  <c r="R537" i="4"/>
  <c r="Q537" i="4"/>
  <c r="AB537" i="4" s="1"/>
  <c r="P537" i="4"/>
  <c r="AC536" i="4"/>
  <c r="V536" i="4"/>
  <c r="Z536" i="4" s="1"/>
  <c r="AD536" i="4" s="1"/>
  <c r="U536" i="4"/>
  <c r="T536" i="4"/>
  <c r="S536" i="4"/>
  <c r="AA536" i="4" s="1"/>
  <c r="R536" i="4"/>
  <c r="Q536" i="4"/>
  <c r="Y536" i="4" s="1"/>
  <c r="P536" i="4"/>
  <c r="AC535" i="4"/>
  <c r="Y535" i="4"/>
  <c r="U535" i="4"/>
  <c r="T535" i="4"/>
  <c r="S535" i="4"/>
  <c r="AA535" i="4" s="1"/>
  <c r="R535" i="4"/>
  <c r="Q535" i="4"/>
  <c r="P535" i="4"/>
  <c r="AC534" i="4"/>
  <c r="X534" i="4"/>
  <c r="U534" i="4"/>
  <c r="T534" i="4"/>
  <c r="S534" i="4"/>
  <c r="AA534" i="4" s="1"/>
  <c r="R534" i="4"/>
  <c r="Q534" i="4"/>
  <c r="W534" i="4" s="1"/>
  <c r="P534" i="4"/>
  <c r="AC533" i="4"/>
  <c r="Y533" i="4"/>
  <c r="U533" i="4"/>
  <c r="T533" i="4"/>
  <c r="S533" i="4"/>
  <c r="AA533" i="4" s="1"/>
  <c r="R533" i="4"/>
  <c r="Q533" i="4"/>
  <c r="AB533" i="4" s="1"/>
  <c r="P533" i="4"/>
  <c r="AC532" i="4"/>
  <c r="AB532" i="4"/>
  <c r="AA532" i="4"/>
  <c r="V532" i="4"/>
  <c r="Z532" i="4" s="1"/>
  <c r="U532" i="4"/>
  <c r="T532" i="4"/>
  <c r="S532" i="4"/>
  <c r="R532" i="4"/>
  <c r="Q532" i="4"/>
  <c r="Y532" i="4" s="1"/>
  <c r="P532" i="4"/>
  <c r="AC531" i="4"/>
  <c r="AB531" i="4"/>
  <c r="W531" i="4"/>
  <c r="V531" i="4"/>
  <c r="Z531" i="4" s="1"/>
  <c r="AD531" i="4" s="1"/>
  <c r="N531" i="4" s="1"/>
  <c r="U531" i="4"/>
  <c r="T531" i="4"/>
  <c r="S531" i="4"/>
  <c r="AA531" i="4" s="1"/>
  <c r="R531" i="4"/>
  <c r="Q531" i="4"/>
  <c r="Y531" i="4" s="1"/>
  <c r="P531" i="4"/>
  <c r="AC530" i="4"/>
  <c r="AB530" i="4"/>
  <c r="X530" i="4"/>
  <c r="W530" i="4"/>
  <c r="V530" i="4"/>
  <c r="Z530" i="4" s="1"/>
  <c r="AD530" i="4" s="1"/>
  <c r="N530" i="4" s="1"/>
  <c r="U530" i="4"/>
  <c r="T530" i="4"/>
  <c r="S530" i="4"/>
  <c r="R530" i="4"/>
  <c r="Q530" i="4"/>
  <c r="Y530" i="4" s="1"/>
  <c r="P530" i="4"/>
  <c r="AC529" i="4"/>
  <c r="X529" i="4"/>
  <c r="W529" i="4"/>
  <c r="V529" i="4"/>
  <c r="Z529" i="4" s="1"/>
  <c r="AD529" i="4" s="1"/>
  <c r="N529" i="4" s="1"/>
  <c r="U529" i="4"/>
  <c r="T529" i="4"/>
  <c r="S529" i="4"/>
  <c r="R529" i="4"/>
  <c r="Q529" i="4"/>
  <c r="AB529" i="4" s="1"/>
  <c r="P529" i="4"/>
  <c r="AC528" i="4"/>
  <c r="X528" i="4"/>
  <c r="W528" i="4"/>
  <c r="U528" i="4"/>
  <c r="T528" i="4"/>
  <c r="S528" i="4"/>
  <c r="AA528" i="4" s="1"/>
  <c r="R528" i="4"/>
  <c r="Q528" i="4"/>
  <c r="AB528" i="4" s="1"/>
  <c r="P528" i="4"/>
  <c r="AC527" i="4"/>
  <c r="AA527" i="4"/>
  <c r="U527" i="4"/>
  <c r="T527" i="4"/>
  <c r="S527" i="4"/>
  <c r="R527" i="4"/>
  <c r="Q527" i="4"/>
  <c r="P527" i="4"/>
  <c r="AC526" i="4"/>
  <c r="AB526" i="4"/>
  <c r="Y526" i="4"/>
  <c r="X526" i="4"/>
  <c r="U526" i="4"/>
  <c r="T526" i="4"/>
  <c r="S526" i="4"/>
  <c r="AA526" i="4" s="1"/>
  <c r="R526" i="4"/>
  <c r="Q526" i="4"/>
  <c r="P526" i="4"/>
  <c r="AC525" i="4"/>
  <c r="U525" i="4"/>
  <c r="T525" i="4"/>
  <c r="S525" i="4"/>
  <c r="AA525" i="4" s="1"/>
  <c r="R525" i="4"/>
  <c r="Q525" i="4"/>
  <c r="AB525" i="4" s="1"/>
  <c r="P525" i="4"/>
  <c r="AC524" i="4"/>
  <c r="AB524" i="4"/>
  <c r="Y524" i="4"/>
  <c r="V524" i="4"/>
  <c r="Z524" i="4" s="1"/>
  <c r="U524" i="4"/>
  <c r="T524" i="4"/>
  <c r="S524" i="4"/>
  <c r="AA524" i="4" s="1"/>
  <c r="R524" i="4"/>
  <c r="Q524" i="4"/>
  <c r="P524" i="4"/>
  <c r="AC523" i="4"/>
  <c r="AB523" i="4"/>
  <c r="W523" i="4"/>
  <c r="V523" i="4"/>
  <c r="Z523" i="4" s="1"/>
  <c r="AD523" i="4" s="1"/>
  <c r="U523" i="4"/>
  <c r="AA523" i="4" s="1"/>
  <c r="T523" i="4"/>
  <c r="S523" i="4"/>
  <c r="R523" i="4"/>
  <c r="Q523" i="4"/>
  <c r="Y523" i="4" s="1"/>
  <c r="P523" i="4"/>
  <c r="AC522" i="4"/>
  <c r="AB522" i="4"/>
  <c r="X522" i="4"/>
  <c r="W522" i="4"/>
  <c r="V522" i="4"/>
  <c r="Z522" i="4" s="1"/>
  <c r="AD522" i="4" s="1"/>
  <c r="N522" i="4" s="1"/>
  <c r="U522" i="4"/>
  <c r="T522" i="4"/>
  <c r="S522" i="4"/>
  <c r="AA522" i="4" s="1"/>
  <c r="R522" i="4"/>
  <c r="Q522" i="4"/>
  <c r="Y522" i="4" s="1"/>
  <c r="P522" i="4"/>
  <c r="AC521" i="4"/>
  <c r="AB521" i="4"/>
  <c r="X521" i="4"/>
  <c r="W521" i="4"/>
  <c r="V521" i="4"/>
  <c r="Z521" i="4" s="1"/>
  <c r="AD521" i="4" s="1"/>
  <c r="N521" i="4" s="1"/>
  <c r="U521" i="4"/>
  <c r="T521" i="4"/>
  <c r="S521" i="4"/>
  <c r="AA521" i="4" s="1"/>
  <c r="R521" i="4"/>
  <c r="Q521" i="4"/>
  <c r="Y521" i="4" s="1"/>
  <c r="P521" i="4"/>
  <c r="AC520" i="4"/>
  <c r="U520" i="4"/>
  <c r="T520" i="4"/>
  <c r="S520" i="4"/>
  <c r="AA520" i="4" s="1"/>
  <c r="R520" i="4"/>
  <c r="Q520" i="4"/>
  <c r="P520" i="4"/>
  <c r="AC519" i="4"/>
  <c r="U519" i="4"/>
  <c r="T519" i="4"/>
  <c r="S519" i="4"/>
  <c r="AA519" i="4" s="1"/>
  <c r="R519" i="4"/>
  <c r="Q519" i="4"/>
  <c r="P519" i="4"/>
  <c r="AC518" i="4"/>
  <c r="AA518" i="4"/>
  <c r="Y518" i="4"/>
  <c r="U518" i="4"/>
  <c r="T518" i="4"/>
  <c r="S518" i="4"/>
  <c r="R518" i="4"/>
  <c r="Q518" i="4"/>
  <c r="V518" i="4" s="1"/>
  <c r="Z518" i="4" s="1"/>
  <c r="P518" i="4"/>
  <c r="AC517" i="4"/>
  <c r="AB517" i="4"/>
  <c r="Y517" i="4"/>
  <c r="X517" i="4"/>
  <c r="U517" i="4"/>
  <c r="AA517" i="4" s="1"/>
  <c r="T517" i="4"/>
  <c r="S517" i="4"/>
  <c r="R517" i="4"/>
  <c r="Q517" i="4"/>
  <c r="P517" i="4"/>
  <c r="AC516" i="4"/>
  <c r="AB516" i="4"/>
  <c r="Y516" i="4"/>
  <c r="V516" i="4"/>
  <c r="Z516" i="4" s="1"/>
  <c r="U516" i="4"/>
  <c r="T516" i="4"/>
  <c r="S516" i="4"/>
  <c r="AA516" i="4" s="1"/>
  <c r="R516" i="4"/>
  <c r="Q516" i="4"/>
  <c r="P516" i="4"/>
  <c r="AC515" i="4"/>
  <c r="AA515" i="4"/>
  <c r="U515" i="4"/>
  <c r="T515" i="4"/>
  <c r="S515" i="4"/>
  <c r="R515" i="4"/>
  <c r="Q515" i="4"/>
  <c r="P515" i="4"/>
  <c r="AC514" i="4"/>
  <c r="Y514" i="4"/>
  <c r="U514" i="4"/>
  <c r="T514" i="4"/>
  <c r="S514" i="4"/>
  <c r="AA514" i="4" s="1"/>
  <c r="R514" i="4"/>
  <c r="Q514" i="4"/>
  <c r="P514" i="4"/>
  <c r="AC513" i="4"/>
  <c r="AB513" i="4"/>
  <c r="W513" i="4"/>
  <c r="V513" i="4"/>
  <c r="Z513" i="4" s="1"/>
  <c r="U513" i="4"/>
  <c r="T513" i="4"/>
  <c r="S513" i="4"/>
  <c r="AA513" i="4" s="1"/>
  <c r="R513" i="4"/>
  <c r="Q513" i="4"/>
  <c r="Y513" i="4" s="1"/>
  <c r="P513" i="4"/>
  <c r="AC512" i="4"/>
  <c r="AB512" i="4"/>
  <c r="X512" i="4"/>
  <c r="W512" i="4"/>
  <c r="U512" i="4"/>
  <c r="T512" i="4"/>
  <c r="S512" i="4"/>
  <c r="AA512" i="4" s="1"/>
  <c r="R512" i="4"/>
  <c r="Q512" i="4"/>
  <c r="Y512" i="4" s="1"/>
  <c r="P512" i="4"/>
  <c r="AC511" i="4"/>
  <c r="AB511" i="4"/>
  <c r="V511" i="4"/>
  <c r="Z511" i="4" s="1"/>
  <c r="U511" i="4"/>
  <c r="T511" i="4"/>
  <c r="S511" i="4"/>
  <c r="AA511" i="4" s="1"/>
  <c r="R511" i="4"/>
  <c r="Q511" i="4"/>
  <c r="Y511" i="4" s="1"/>
  <c r="P511" i="4"/>
  <c r="AC510" i="4"/>
  <c r="W510" i="4"/>
  <c r="V510" i="4"/>
  <c r="Z510" i="4" s="1"/>
  <c r="U510" i="4"/>
  <c r="T510" i="4"/>
  <c r="S510" i="4"/>
  <c r="R510" i="4"/>
  <c r="Q510" i="4"/>
  <c r="AB510" i="4" s="1"/>
  <c r="P510" i="4"/>
  <c r="AC509" i="4"/>
  <c r="AB509" i="4"/>
  <c r="X509" i="4"/>
  <c r="W509" i="4"/>
  <c r="V509" i="4"/>
  <c r="Z509" i="4" s="1"/>
  <c r="AD509" i="4" s="1"/>
  <c r="U509" i="4"/>
  <c r="T509" i="4"/>
  <c r="S509" i="4"/>
  <c r="AA509" i="4" s="1"/>
  <c r="R509" i="4"/>
  <c r="Q509" i="4"/>
  <c r="Y509" i="4" s="1"/>
  <c r="P509" i="4"/>
  <c r="AC508" i="4"/>
  <c r="X508" i="4"/>
  <c r="W508" i="4"/>
  <c r="U508" i="4"/>
  <c r="T508" i="4"/>
  <c r="S508" i="4"/>
  <c r="AA508" i="4" s="1"/>
  <c r="R508" i="4"/>
  <c r="Q508" i="4"/>
  <c r="V508" i="4" s="1"/>
  <c r="Z508" i="4" s="1"/>
  <c r="P508" i="4"/>
  <c r="AC507" i="4"/>
  <c r="X507" i="4"/>
  <c r="U507" i="4"/>
  <c r="T507" i="4"/>
  <c r="S507" i="4"/>
  <c r="AA507" i="4" s="1"/>
  <c r="R507" i="4"/>
  <c r="Q507" i="4"/>
  <c r="W507" i="4" s="1"/>
  <c r="P507" i="4"/>
  <c r="AC506" i="4"/>
  <c r="Y506" i="4"/>
  <c r="U506" i="4"/>
  <c r="T506" i="4"/>
  <c r="S506" i="4"/>
  <c r="AA506" i="4" s="1"/>
  <c r="R506" i="4"/>
  <c r="Q506" i="4"/>
  <c r="P506" i="4"/>
  <c r="AC505" i="4"/>
  <c r="AB505" i="4"/>
  <c r="W505" i="4"/>
  <c r="V505" i="4"/>
  <c r="Z505" i="4" s="1"/>
  <c r="U505" i="4"/>
  <c r="T505" i="4"/>
  <c r="S505" i="4"/>
  <c r="AA505" i="4" s="1"/>
  <c r="R505" i="4"/>
  <c r="Q505" i="4"/>
  <c r="Y505" i="4" s="1"/>
  <c r="P505" i="4"/>
  <c r="AC504" i="4"/>
  <c r="AB504" i="4"/>
  <c r="AA504" i="4"/>
  <c r="X504" i="4"/>
  <c r="W504" i="4"/>
  <c r="U504" i="4"/>
  <c r="T504" i="4"/>
  <c r="S504" i="4"/>
  <c r="R504" i="4"/>
  <c r="Q504" i="4"/>
  <c r="Y504" i="4" s="1"/>
  <c r="P504" i="4"/>
  <c r="AC503" i="4"/>
  <c r="AB503" i="4"/>
  <c r="V503" i="4"/>
  <c r="Z503" i="4" s="1"/>
  <c r="U503" i="4"/>
  <c r="T503" i="4"/>
  <c r="S503" i="4"/>
  <c r="AA503" i="4" s="1"/>
  <c r="R503" i="4"/>
  <c r="Q503" i="4"/>
  <c r="Y503" i="4" s="1"/>
  <c r="P503" i="4"/>
  <c r="AC502" i="4"/>
  <c r="W502" i="4"/>
  <c r="V502" i="4"/>
  <c r="Z502" i="4" s="1"/>
  <c r="U502" i="4"/>
  <c r="T502" i="4"/>
  <c r="S502" i="4"/>
  <c r="R502" i="4"/>
  <c r="Q502" i="4"/>
  <c r="AB502" i="4" s="1"/>
  <c r="P502" i="4"/>
  <c r="AC501" i="4"/>
  <c r="X501" i="4"/>
  <c r="W501" i="4"/>
  <c r="V501" i="4"/>
  <c r="Z501" i="4" s="1"/>
  <c r="U501" i="4"/>
  <c r="T501" i="4"/>
  <c r="S501" i="4"/>
  <c r="AA501" i="4" s="1"/>
  <c r="R501" i="4"/>
  <c r="Q501" i="4"/>
  <c r="AB501" i="4" s="1"/>
  <c r="P501" i="4"/>
  <c r="AC500" i="4"/>
  <c r="X500" i="4"/>
  <c r="W500" i="4"/>
  <c r="U500" i="4"/>
  <c r="T500" i="4"/>
  <c r="S500" i="4"/>
  <c r="AA500" i="4" s="1"/>
  <c r="R500" i="4"/>
  <c r="Q500" i="4"/>
  <c r="V500" i="4" s="1"/>
  <c r="Z500" i="4" s="1"/>
  <c r="P500" i="4"/>
  <c r="AC499" i="4"/>
  <c r="X499" i="4"/>
  <c r="U499" i="4"/>
  <c r="T499" i="4"/>
  <c r="S499" i="4"/>
  <c r="AA499" i="4" s="1"/>
  <c r="R499" i="4"/>
  <c r="Q499" i="4"/>
  <c r="W499" i="4" s="1"/>
  <c r="P499" i="4"/>
  <c r="AC498" i="4"/>
  <c r="U498" i="4"/>
  <c r="T498" i="4"/>
  <c r="S498" i="4"/>
  <c r="AA498" i="4" s="1"/>
  <c r="R498" i="4"/>
  <c r="Q498" i="4"/>
  <c r="Y498" i="4" s="1"/>
  <c r="P498" i="4"/>
  <c r="AC497" i="4"/>
  <c r="AB497" i="4"/>
  <c r="W497" i="4"/>
  <c r="V497" i="4"/>
  <c r="Z497" i="4" s="1"/>
  <c r="U497" i="4"/>
  <c r="T497" i="4"/>
  <c r="S497" i="4"/>
  <c r="AA497" i="4" s="1"/>
  <c r="R497" i="4"/>
  <c r="Q497" i="4"/>
  <c r="Y497" i="4" s="1"/>
  <c r="P497" i="4"/>
  <c r="AC496" i="4"/>
  <c r="AB496" i="4"/>
  <c r="AA496" i="4"/>
  <c r="X496" i="4"/>
  <c r="W496" i="4"/>
  <c r="U496" i="4"/>
  <c r="T496" i="4"/>
  <c r="S496" i="4"/>
  <c r="R496" i="4"/>
  <c r="Q496" i="4"/>
  <c r="Y496" i="4" s="1"/>
  <c r="P496" i="4"/>
  <c r="AC495" i="4"/>
  <c r="AB495" i="4"/>
  <c r="V495" i="4"/>
  <c r="Z495" i="4" s="1"/>
  <c r="U495" i="4"/>
  <c r="T495" i="4"/>
  <c r="S495" i="4"/>
  <c r="AA495" i="4" s="1"/>
  <c r="R495" i="4"/>
  <c r="Q495" i="4"/>
  <c r="Y495" i="4" s="1"/>
  <c r="P495" i="4"/>
  <c r="AC494" i="4"/>
  <c r="W494" i="4"/>
  <c r="V494" i="4"/>
  <c r="Z494" i="4" s="1"/>
  <c r="U494" i="4"/>
  <c r="T494" i="4"/>
  <c r="S494" i="4"/>
  <c r="R494" i="4"/>
  <c r="Q494" i="4"/>
  <c r="AB494" i="4" s="1"/>
  <c r="P494" i="4"/>
  <c r="AC493" i="4"/>
  <c r="AB493" i="4"/>
  <c r="X493" i="4"/>
  <c r="W493" i="4"/>
  <c r="V493" i="4"/>
  <c r="Z493" i="4" s="1"/>
  <c r="U493" i="4"/>
  <c r="T493" i="4"/>
  <c r="S493" i="4"/>
  <c r="AA493" i="4" s="1"/>
  <c r="R493" i="4"/>
  <c r="Q493" i="4"/>
  <c r="Y493" i="4" s="1"/>
  <c r="P493" i="4"/>
  <c r="AC492" i="4"/>
  <c r="X492" i="4"/>
  <c r="W492" i="4"/>
  <c r="U492" i="4"/>
  <c r="T492" i="4"/>
  <c r="S492" i="4"/>
  <c r="AA492" i="4" s="1"/>
  <c r="R492" i="4"/>
  <c r="Q492" i="4"/>
  <c r="V492" i="4" s="1"/>
  <c r="Z492" i="4" s="1"/>
  <c r="P492" i="4"/>
  <c r="AC491" i="4"/>
  <c r="X491" i="4"/>
  <c r="U491" i="4"/>
  <c r="T491" i="4"/>
  <c r="S491" i="4"/>
  <c r="AA491" i="4" s="1"/>
  <c r="R491" i="4"/>
  <c r="Q491" i="4"/>
  <c r="W491" i="4" s="1"/>
  <c r="P491" i="4"/>
  <c r="AC490" i="4"/>
  <c r="U490" i="4"/>
  <c r="T490" i="4"/>
  <c r="S490" i="4"/>
  <c r="AA490" i="4" s="1"/>
  <c r="R490" i="4"/>
  <c r="Q490" i="4"/>
  <c r="P490" i="4"/>
  <c r="AC489" i="4"/>
  <c r="AB489" i="4"/>
  <c r="W489" i="4"/>
  <c r="V489" i="4"/>
  <c r="Z489" i="4" s="1"/>
  <c r="U489" i="4"/>
  <c r="T489" i="4"/>
  <c r="S489" i="4"/>
  <c r="AA489" i="4" s="1"/>
  <c r="R489" i="4"/>
  <c r="Q489" i="4"/>
  <c r="Y489" i="4" s="1"/>
  <c r="P489" i="4"/>
  <c r="AC488" i="4"/>
  <c r="AB488" i="4"/>
  <c r="AA488" i="4"/>
  <c r="X488" i="4"/>
  <c r="W488" i="4"/>
  <c r="U488" i="4"/>
  <c r="T488" i="4"/>
  <c r="S488" i="4"/>
  <c r="R488" i="4"/>
  <c r="Q488" i="4"/>
  <c r="Y488" i="4" s="1"/>
  <c r="P488" i="4"/>
  <c r="AC487" i="4"/>
  <c r="AB487" i="4"/>
  <c r="V487" i="4"/>
  <c r="Z487" i="4" s="1"/>
  <c r="U487" i="4"/>
  <c r="T487" i="4"/>
  <c r="S487" i="4"/>
  <c r="AA487" i="4" s="1"/>
  <c r="R487" i="4"/>
  <c r="Q487" i="4"/>
  <c r="Y487" i="4" s="1"/>
  <c r="P487" i="4"/>
  <c r="AC486" i="4"/>
  <c r="W486" i="4"/>
  <c r="V486" i="4"/>
  <c r="Z486" i="4" s="1"/>
  <c r="U486" i="4"/>
  <c r="T486" i="4"/>
  <c r="S486" i="4"/>
  <c r="AA486" i="4" s="1"/>
  <c r="R486" i="4"/>
  <c r="Q486" i="4"/>
  <c r="AB486" i="4" s="1"/>
  <c r="P486" i="4"/>
  <c r="AC485" i="4"/>
  <c r="X485" i="4"/>
  <c r="W485" i="4"/>
  <c r="V485" i="4"/>
  <c r="Z485" i="4" s="1"/>
  <c r="AD485" i="4" s="1"/>
  <c r="N485" i="4" s="1"/>
  <c r="U485" i="4"/>
  <c r="T485" i="4"/>
  <c r="S485" i="4"/>
  <c r="AA485" i="4" s="1"/>
  <c r="R485" i="4"/>
  <c r="Q485" i="4"/>
  <c r="AB485" i="4" s="1"/>
  <c r="P485" i="4"/>
  <c r="AC484" i="4"/>
  <c r="X484" i="4"/>
  <c r="W484" i="4"/>
  <c r="U484" i="4"/>
  <c r="T484" i="4"/>
  <c r="S484" i="4"/>
  <c r="AA484" i="4" s="1"/>
  <c r="R484" i="4"/>
  <c r="Q484" i="4"/>
  <c r="V484" i="4" s="1"/>
  <c r="Z484" i="4" s="1"/>
  <c r="P484" i="4"/>
  <c r="AC483" i="4"/>
  <c r="X483" i="4"/>
  <c r="U483" i="4"/>
  <c r="T483" i="4"/>
  <c r="S483" i="4"/>
  <c r="AA483" i="4" s="1"/>
  <c r="R483" i="4"/>
  <c r="Q483" i="4"/>
  <c r="W483" i="4" s="1"/>
  <c r="P483" i="4"/>
  <c r="AC482" i="4"/>
  <c r="U482" i="4"/>
  <c r="T482" i="4"/>
  <c r="S482" i="4"/>
  <c r="AA482" i="4" s="1"/>
  <c r="R482" i="4"/>
  <c r="Q482" i="4"/>
  <c r="P482" i="4"/>
  <c r="AC481" i="4"/>
  <c r="AB481" i="4"/>
  <c r="Z481" i="4"/>
  <c r="W481" i="4"/>
  <c r="V481" i="4"/>
  <c r="U481" i="4"/>
  <c r="T481" i="4"/>
  <c r="S481" i="4"/>
  <c r="AA481" i="4" s="1"/>
  <c r="R481" i="4"/>
  <c r="Q481" i="4"/>
  <c r="Y481" i="4" s="1"/>
  <c r="P481" i="4"/>
  <c r="AC480" i="4"/>
  <c r="AB480" i="4"/>
  <c r="X480" i="4"/>
  <c r="W480" i="4"/>
  <c r="U480" i="4"/>
  <c r="T480" i="4"/>
  <c r="S480" i="4"/>
  <c r="AA480" i="4" s="1"/>
  <c r="R480" i="4"/>
  <c r="Q480" i="4"/>
  <c r="Y480" i="4" s="1"/>
  <c r="P480" i="4"/>
  <c r="AC479" i="4"/>
  <c r="AB479" i="4"/>
  <c r="V479" i="4"/>
  <c r="Z479" i="4" s="1"/>
  <c r="U479" i="4"/>
  <c r="T479" i="4"/>
  <c r="S479" i="4"/>
  <c r="AA479" i="4" s="1"/>
  <c r="R479" i="4"/>
  <c r="Q479" i="4"/>
  <c r="Y479" i="4" s="1"/>
  <c r="P479" i="4"/>
  <c r="AC478" i="4"/>
  <c r="W478" i="4"/>
  <c r="V478" i="4"/>
  <c r="Z478" i="4" s="1"/>
  <c r="U478" i="4"/>
  <c r="T478" i="4"/>
  <c r="S478" i="4"/>
  <c r="R478" i="4"/>
  <c r="Q478" i="4"/>
  <c r="AB478" i="4" s="1"/>
  <c r="P478" i="4"/>
  <c r="AC477" i="4"/>
  <c r="X477" i="4"/>
  <c r="W477" i="4"/>
  <c r="V477" i="4"/>
  <c r="Z477" i="4" s="1"/>
  <c r="AD477" i="4" s="1"/>
  <c r="U477" i="4"/>
  <c r="T477" i="4"/>
  <c r="S477" i="4"/>
  <c r="AA477" i="4" s="1"/>
  <c r="R477" i="4"/>
  <c r="Q477" i="4"/>
  <c r="AB477" i="4" s="1"/>
  <c r="P477" i="4"/>
  <c r="AC476" i="4"/>
  <c r="X476" i="4"/>
  <c r="W476" i="4"/>
  <c r="U476" i="4"/>
  <c r="T476" i="4"/>
  <c r="S476" i="4"/>
  <c r="AA476" i="4" s="1"/>
  <c r="R476" i="4"/>
  <c r="Q476" i="4"/>
  <c r="V476" i="4" s="1"/>
  <c r="Z476" i="4" s="1"/>
  <c r="P476" i="4"/>
  <c r="AC475" i="4"/>
  <c r="X475" i="4"/>
  <c r="U475" i="4"/>
  <c r="T475" i="4"/>
  <c r="S475" i="4"/>
  <c r="AA475" i="4" s="1"/>
  <c r="R475" i="4"/>
  <c r="Q475" i="4"/>
  <c r="W475" i="4" s="1"/>
  <c r="P475" i="4"/>
  <c r="AC474" i="4"/>
  <c r="Y474" i="4"/>
  <c r="U474" i="4"/>
  <c r="T474" i="4"/>
  <c r="S474" i="4"/>
  <c r="AA474" i="4" s="1"/>
  <c r="R474" i="4"/>
  <c r="Q474" i="4"/>
  <c r="P474" i="4"/>
  <c r="AC473" i="4"/>
  <c r="AB473" i="4"/>
  <c r="W473" i="4"/>
  <c r="V473" i="4"/>
  <c r="Z473" i="4" s="1"/>
  <c r="U473" i="4"/>
  <c r="T473" i="4"/>
  <c r="S473" i="4"/>
  <c r="AA473" i="4" s="1"/>
  <c r="R473" i="4"/>
  <c r="Q473" i="4"/>
  <c r="Y473" i="4" s="1"/>
  <c r="P473" i="4"/>
  <c r="AC472" i="4"/>
  <c r="AB472" i="4"/>
  <c r="X472" i="4"/>
  <c r="W472" i="4"/>
  <c r="V472" i="4"/>
  <c r="Z472" i="4" s="1"/>
  <c r="U472" i="4"/>
  <c r="T472" i="4"/>
  <c r="S472" i="4"/>
  <c r="AA472" i="4" s="1"/>
  <c r="R472" i="4"/>
  <c r="Q472" i="4"/>
  <c r="Y472" i="4" s="1"/>
  <c r="P472" i="4"/>
  <c r="AC471" i="4"/>
  <c r="AB471" i="4"/>
  <c r="V471" i="4"/>
  <c r="Z471" i="4" s="1"/>
  <c r="U471" i="4"/>
  <c r="T471" i="4"/>
  <c r="S471" i="4"/>
  <c r="AA471" i="4" s="1"/>
  <c r="R471" i="4"/>
  <c r="Q471" i="4"/>
  <c r="Y471" i="4" s="1"/>
  <c r="P471" i="4"/>
  <c r="AC470" i="4"/>
  <c r="W470" i="4"/>
  <c r="V470" i="4"/>
  <c r="Z470" i="4" s="1"/>
  <c r="U470" i="4"/>
  <c r="T470" i="4"/>
  <c r="S470" i="4"/>
  <c r="R470" i="4"/>
  <c r="Q470" i="4"/>
  <c r="AB470" i="4" s="1"/>
  <c r="P470" i="4"/>
  <c r="AC469" i="4"/>
  <c r="X469" i="4"/>
  <c r="W469" i="4"/>
  <c r="V469" i="4"/>
  <c r="Z469" i="4" s="1"/>
  <c r="AD469" i="4" s="1"/>
  <c r="N469" i="4" s="1"/>
  <c r="U469" i="4"/>
  <c r="T469" i="4"/>
  <c r="S469" i="4"/>
  <c r="AA469" i="4" s="1"/>
  <c r="R469" i="4"/>
  <c r="Q469" i="4"/>
  <c r="AB469" i="4" s="1"/>
  <c r="P469" i="4"/>
  <c r="AC468" i="4"/>
  <c r="X468" i="4"/>
  <c r="W468" i="4"/>
  <c r="U468" i="4"/>
  <c r="T468" i="4"/>
  <c r="S468" i="4"/>
  <c r="AA468" i="4" s="1"/>
  <c r="R468" i="4"/>
  <c r="Q468" i="4"/>
  <c r="V468" i="4" s="1"/>
  <c r="Z468" i="4" s="1"/>
  <c r="P468" i="4"/>
  <c r="AC467" i="4"/>
  <c r="X467" i="4"/>
  <c r="U467" i="4"/>
  <c r="T467" i="4"/>
  <c r="S467" i="4"/>
  <c r="AA467" i="4" s="1"/>
  <c r="R467" i="4"/>
  <c r="Q467" i="4"/>
  <c r="W467" i="4" s="1"/>
  <c r="P467" i="4"/>
  <c r="AC466" i="4"/>
  <c r="Y466" i="4"/>
  <c r="U466" i="4"/>
  <c r="T466" i="4"/>
  <c r="S466" i="4"/>
  <c r="AA466" i="4" s="1"/>
  <c r="R466" i="4"/>
  <c r="Q466" i="4"/>
  <c r="P466" i="4"/>
  <c r="AC465" i="4"/>
  <c r="AB465" i="4"/>
  <c r="W465" i="4"/>
  <c r="V465" i="4"/>
  <c r="Z465" i="4" s="1"/>
  <c r="U465" i="4"/>
  <c r="T465" i="4"/>
  <c r="S465" i="4"/>
  <c r="AA465" i="4" s="1"/>
  <c r="R465" i="4"/>
  <c r="Q465" i="4"/>
  <c r="Y465" i="4" s="1"/>
  <c r="P465" i="4"/>
  <c r="AC464" i="4"/>
  <c r="AB464" i="4"/>
  <c r="AA464" i="4"/>
  <c r="X464" i="4"/>
  <c r="W464" i="4"/>
  <c r="V464" i="4"/>
  <c r="Z464" i="4" s="1"/>
  <c r="U464" i="4"/>
  <c r="T464" i="4"/>
  <c r="S464" i="4"/>
  <c r="R464" i="4"/>
  <c r="Q464" i="4"/>
  <c r="Y464" i="4" s="1"/>
  <c r="P464" i="4"/>
  <c r="AC463" i="4"/>
  <c r="AB463" i="4"/>
  <c r="V463" i="4"/>
  <c r="Z463" i="4" s="1"/>
  <c r="U463" i="4"/>
  <c r="T463" i="4"/>
  <c r="S463" i="4"/>
  <c r="AA463" i="4" s="1"/>
  <c r="R463" i="4"/>
  <c r="Q463" i="4"/>
  <c r="Y463" i="4" s="1"/>
  <c r="P463" i="4"/>
  <c r="AC462" i="4"/>
  <c r="W462" i="4"/>
  <c r="V462" i="4"/>
  <c r="Z462" i="4" s="1"/>
  <c r="U462" i="4"/>
  <c r="T462" i="4"/>
  <c r="S462" i="4"/>
  <c r="AA462" i="4" s="1"/>
  <c r="R462" i="4"/>
  <c r="Q462" i="4"/>
  <c r="AB462" i="4" s="1"/>
  <c r="P462" i="4"/>
  <c r="AC461" i="4"/>
  <c r="X461" i="4"/>
  <c r="W461" i="4"/>
  <c r="V461" i="4"/>
  <c r="Z461" i="4" s="1"/>
  <c r="U461" i="4"/>
  <c r="T461" i="4"/>
  <c r="S461" i="4"/>
  <c r="AA461" i="4" s="1"/>
  <c r="R461" i="4"/>
  <c r="Q461" i="4"/>
  <c r="AB461" i="4" s="1"/>
  <c r="P461" i="4"/>
  <c r="AC460" i="4"/>
  <c r="X460" i="4"/>
  <c r="W460" i="4"/>
  <c r="U460" i="4"/>
  <c r="T460" i="4"/>
  <c r="S460" i="4"/>
  <c r="AA460" i="4" s="1"/>
  <c r="R460" i="4"/>
  <c r="Q460" i="4"/>
  <c r="V460" i="4" s="1"/>
  <c r="Z460" i="4" s="1"/>
  <c r="P460" i="4"/>
  <c r="AC459" i="4"/>
  <c r="X459" i="4"/>
  <c r="U459" i="4"/>
  <c r="T459" i="4"/>
  <c r="S459" i="4"/>
  <c r="AA459" i="4" s="1"/>
  <c r="R459" i="4"/>
  <c r="Q459" i="4"/>
  <c r="W459" i="4" s="1"/>
  <c r="P459" i="4"/>
  <c r="AC458" i="4"/>
  <c r="U458" i="4"/>
  <c r="T458" i="4"/>
  <c r="S458" i="4"/>
  <c r="AA458" i="4" s="1"/>
  <c r="R458" i="4"/>
  <c r="Q458" i="4"/>
  <c r="P458" i="4"/>
  <c r="AC457" i="4"/>
  <c r="AB457" i="4"/>
  <c r="W457" i="4"/>
  <c r="V457" i="4"/>
  <c r="Z457" i="4" s="1"/>
  <c r="U457" i="4"/>
  <c r="T457" i="4"/>
  <c r="S457" i="4"/>
  <c r="AA457" i="4" s="1"/>
  <c r="R457" i="4"/>
  <c r="Q457" i="4"/>
  <c r="Y457" i="4" s="1"/>
  <c r="P457" i="4"/>
  <c r="AC456" i="4"/>
  <c r="AB456" i="4"/>
  <c r="X456" i="4"/>
  <c r="W456" i="4"/>
  <c r="V456" i="4"/>
  <c r="Z456" i="4" s="1"/>
  <c r="U456" i="4"/>
  <c r="T456" i="4"/>
  <c r="S456" i="4"/>
  <c r="AA456" i="4" s="1"/>
  <c r="R456" i="4"/>
  <c r="Q456" i="4"/>
  <c r="Y456" i="4" s="1"/>
  <c r="P456" i="4"/>
  <c r="AC455" i="4"/>
  <c r="AB455" i="4"/>
  <c r="V455" i="4"/>
  <c r="Z455" i="4" s="1"/>
  <c r="U455" i="4"/>
  <c r="T455" i="4"/>
  <c r="S455" i="4"/>
  <c r="AA455" i="4" s="1"/>
  <c r="R455" i="4"/>
  <c r="Q455" i="4"/>
  <c r="Y455" i="4" s="1"/>
  <c r="P455" i="4"/>
  <c r="AC454" i="4"/>
  <c r="W454" i="4"/>
  <c r="V454" i="4"/>
  <c r="Z454" i="4" s="1"/>
  <c r="U454" i="4"/>
  <c r="T454" i="4"/>
  <c r="S454" i="4"/>
  <c r="R454" i="4"/>
  <c r="Q454" i="4"/>
  <c r="AB454" i="4" s="1"/>
  <c r="P454" i="4"/>
  <c r="AC453" i="4"/>
  <c r="X453" i="4"/>
  <c r="W453" i="4"/>
  <c r="V453" i="4"/>
  <c r="Z453" i="4" s="1"/>
  <c r="AD453" i="4" s="1"/>
  <c r="U453" i="4"/>
  <c r="T453" i="4"/>
  <c r="S453" i="4"/>
  <c r="AA453" i="4" s="1"/>
  <c r="R453" i="4"/>
  <c r="Q453" i="4"/>
  <c r="AB453" i="4" s="1"/>
  <c r="P453" i="4"/>
  <c r="AC452" i="4"/>
  <c r="X452" i="4"/>
  <c r="W452" i="4"/>
  <c r="U452" i="4"/>
  <c r="T452" i="4"/>
  <c r="S452" i="4"/>
  <c r="AA452" i="4" s="1"/>
  <c r="R452" i="4"/>
  <c r="Q452" i="4"/>
  <c r="V452" i="4" s="1"/>
  <c r="Z452" i="4" s="1"/>
  <c r="P452" i="4"/>
  <c r="AC451" i="4"/>
  <c r="X451" i="4"/>
  <c r="U451" i="4"/>
  <c r="T451" i="4"/>
  <c r="S451" i="4"/>
  <c r="AA451" i="4" s="1"/>
  <c r="R451" i="4"/>
  <c r="Q451" i="4"/>
  <c r="W451" i="4" s="1"/>
  <c r="P451" i="4"/>
  <c r="AC450" i="4"/>
  <c r="U450" i="4"/>
  <c r="T450" i="4"/>
  <c r="S450" i="4"/>
  <c r="AA450" i="4" s="1"/>
  <c r="R450" i="4"/>
  <c r="Q450" i="4"/>
  <c r="Y450" i="4" s="1"/>
  <c r="P450" i="4"/>
  <c r="AC449" i="4"/>
  <c r="AB449" i="4"/>
  <c r="W449" i="4"/>
  <c r="V449" i="4"/>
  <c r="Z449" i="4" s="1"/>
  <c r="U449" i="4"/>
  <c r="T449" i="4"/>
  <c r="S449" i="4"/>
  <c r="AA449" i="4" s="1"/>
  <c r="R449" i="4"/>
  <c r="Q449" i="4"/>
  <c r="Y449" i="4" s="1"/>
  <c r="P449" i="4"/>
  <c r="AC448" i="4"/>
  <c r="AB448" i="4"/>
  <c r="AA448" i="4"/>
  <c r="X448" i="4"/>
  <c r="W448" i="4"/>
  <c r="V448" i="4"/>
  <c r="Z448" i="4" s="1"/>
  <c r="U448" i="4"/>
  <c r="T448" i="4"/>
  <c r="S448" i="4"/>
  <c r="R448" i="4"/>
  <c r="Q448" i="4"/>
  <c r="Y448" i="4" s="1"/>
  <c r="P448" i="4"/>
  <c r="AC447" i="4"/>
  <c r="AB447" i="4"/>
  <c r="V447" i="4"/>
  <c r="Z447" i="4" s="1"/>
  <c r="U447" i="4"/>
  <c r="T447" i="4"/>
  <c r="S447" i="4"/>
  <c r="AA447" i="4" s="1"/>
  <c r="R447" i="4"/>
  <c r="Q447" i="4"/>
  <c r="Y447" i="4" s="1"/>
  <c r="P447" i="4"/>
  <c r="AC446" i="4"/>
  <c r="W446" i="4"/>
  <c r="V446" i="4"/>
  <c r="Z446" i="4" s="1"/>
  <c r="U446" i="4"/>
  <c r="T446" i="4"/>
  <c r="S446" i="4"/>
  <c r="AA446" i="4" s="1"/>
  <c r="R446" i="4"/>
  <c r="Q446" i="4"/>
  <c r="AB446" i="4" s="1"/>
  <c r="P446" i="4"/>
  <c r="AC445" i="4"/>
  <c r="X445" i="4"/>
  <c r="W445" i="4"/>
  <c r="V445" i="4"/>
  <c r="Z445" i="4" s="1"/>
  <c r="U445" i="4"/>
  <c r="T445" i="4"/>
  <c r="S445" i="4"/>
  <c r="AA445" i="4" s="1"/>
  <c r="R445" i="4"/>
  <c r="Q445" i="4"/>
  <c r="AB445" i="4" s="1"/>
  <c r="P445" i="4"/>
  <c r="AC444" i="4"/>
  <c r="X444" i="4"/>
  <c r="W444" i="4"/>
  <c r="U444" i="4"/>
  <c r="T444" i="4"/>
  <c r="S444" i="4"/>
  <c r="AA444" i="4" s="1"/>
  <c r="R444" i="4"/>
  <c r="Q444" i="4"/>
  <c r="V444" i="4" s="1"/>
  <c r="Z444" i="4" s="1"/>
  <c r="P444" i="4"/>
  <c r="AC443" i="4"/>
  <c r="X443" i="4"/>
  <c r="U443" i="4"/>
  <c r="T443" i="4"/>
  <c r="S443" i="4"/>
  <c r="AA443" i="4" s="1"/>
  <c r="R443" i="4"/>
  <c r="Q443" i="4"/>
  <c r="W443" i="4" s="1"/>
  <c r="P443" i="4"/>
  <c r="AC442" i="4"/>
  <c r="U442" i="4"/>
  <c r="T442" i="4"/>
  <c r="S442" i="4"/>
  <c r="AA442" i="4" s="1"/>
  <c r="R442" i="4"/>
  <c r="Q442" i="4"/>
  <c r="P442" i="4"/>
  <c r="AC441" i="4"/>
  <c r="AB441" i="4"/>
  <c r="W441" i="4"/>
  <c r="V441" i="4"/>
  <c r="Z441" i="4" s="1"/>
  <c r="U441" i="4"/>
  <c r="T441" i="4"/>
  <c r="S441" i="4"/>
  <c r="AA441" i="4" s="1"/>
  <c r="R441" i="4"/>
  <c r="Q441" i="4"/>
  <c r="Y441" i="4" s="1"/>
  <c r="P441" i="4"/>
  <c r="AC440" i="4"/>
  <c r="AB440" i="4"/>
  <c r="X440" i="4"/>
  <c r="W440" i="4"/>
  <c r="V440" i="4"/>
  <c r="Z440" i="4" s="1"/>
  <c r="U440" i="4"/>
  <c r="T440" i="4"/>
  <c r="S440" i="4"/>
  <c r="AA440" i="4" s="1"/>
  <c r="R440" i="4"/>
  <c r="Q440" i="4"/>
  <c r="Y440" i="4" s="1"/>
  <c r="P440" i="4"/>
  <c r="AC439" i="4"/>
  <c r="AB439" i="4"/>
  <c r="V439" i="4"/>
  <c r="Z439" i="4" s="1"/>
  <c r="U439" i="4"/>
  <c r="T439" i="4"/>
  <c r="S439" i="4"/>
  <c r="AA439" i="4" s="1"/>
  <c r="R439" i="4"/>
  <c r="Q439" i="4"/>
  <c r="Y439" i="4" s="1"/>
  <c r="P439" i="4"/>
  <c r="AC438" i="4"/>
  <c r="W438" i="4"/>
  <c r="V438" i="4"/>
  <c r="Z438" i="4" s="1"/>
  <c r="U438" i="4"/>
  <c r="T438" i="4"/>
  <c r="S438" i="4"/>
  <c r="R438" i="4"/>
  <c r="Q438" i="4"/>
  <c r="AB438" i="4" s="1"/>
  <c r="P438" i="4"/>
  <c r="AC437" i="4"/>
  <c r="X437" i="4"/>
  <c r="W437" i="4"/>
  <c r="V437" i="4"/>
  <c r="Z437" i="4" s="1"/>
  <c r="AD437" i="4" s="1"/>
  <c r="N437" i="4" s="1"/>
  <c r="U437" i="4"/>
  <c r="T437" i="4"/>
  <c r="S437" i="4"/>
  <c r="AA437" i="4" s="1"/>
  <c r="R437" i="4"/>
  <c r="Q437" i="4"/>
  <c r="AB437" i="4" s="1"/>
  <c r="P437" i="4"/>
  <c r="AC436" i="4"/>
  <c r="X436" i="4"/>
  <c r="W436" i="4"/>
  <c r="U436" i="4"/>
  <c r="T436" i="4"/>
  <c r="S436" i="4"/>
  <c r="AA436" i="4" s="1"/>
  <c r="R436" i="4"/>
  <c r="Q436" i="4"/>
  <c r="V436" i="4" s="1"/>
  <c r="Z436" i="4" s="1"/>
  <c r="P436" i="4"/>
  <c r="AC435" i="4"/>
  <c r="X435" i="4"/>
  <c r="U435" i="4"/>
  <c r="T435" i="4"/>
  <c r="S435" i="4"/>
  <c r="AA435" i="4" s="1"/>
  <c r="R435" i="4"/>
  <c r="Q435" i="4"/>
  <c r="W435" i="4" s="1"/>
  <c r="P435" i="4"/>
  <c r="AC434" i="4"/>
  <c r="Y434" i="4"/>
  <c r="U434" i="4"/>
  <c r="T434" i="4"/>
  <c r="S434" i="4"/>
  <c r="AA434" i="4" s="1"/>
  <c r="R434" i="4"/>
  <c r="Q434" i="4"/>
  <c r="P434" i="4"/>
  <c r="AC433" i="4"/>
  <c r="AB433" i="4"/>
  <c r="W433" i="4"/>
  <c r="V433" i="4"/>
  <c r="Z433" i="4" s="1"/>
  <c r="U433" i="4"/>
  <c r="T433" i="4"/>
  <c r="S433" i="4"/>
  <c r="AA433" i="4" s="1"/>
  <c r="R433" i="4"/>
  <c r="Q433" i="4"/>
  <c r="Y433" i="4" s="1"/>
  <c r="P433" i="4"/>
  <c r="AC432" i="4"/>
  <c r="AB432" i="4"/>
  <c r="AA432" i="4"/>
  <c r="X432" i="4"/>
  <c r="W432" i="4"/>
  <c r="V432" i="4"/>
  <c r="Z432" i="4" s="1"/>
  <c r="U432" i="4"/>
  <c r="T432" i="4"/>
  <c r="S432" i="4"/>
  <c r="R432" i="4"/>
  <c r="Q432" i="4"/>
  <c r="Y432" i="4" s="1"/>
  <c r="P432" i="4"/>
  <c r="AC431" i="4"/>
  <c r="AB431" i="4"/>
  <c r="V431" i="4"/>
  <c r="Z431" i="4" s="1"/>
  <c r="U431" i="4"/>
  <c r="T431" i="4"/>
  <c r="S431" i="4"/>
  <c r="AA431" i="4" s="1"/>
  <c r="R431" i="4"/>
  <c r="Q431" i="4"/>
  <c r="Y431" i="4" s="1"/>
  <c r="P431" i="4"/>
  <c r="AC430" i="4"/>
  <c r="W430" i="4"/>
  <c r="V430" i="4"/>
  <c r="Z430" i="4" s="1"/>
  <c r="U430" i="4"/>
  <c r="T430" i="4"/>
  <c r="S430" i="4"/>
  <c r="AA430" i="4" s="1"/>
  <c r="R430" i="4"/>
  <c r="Q430" i="4"/>
  <c r="AB430" i="4" s="1"/>
  <c r="P430" i="4"/>
  <c r="AC429" i="4"/>
  <c r="X429" i="4"/>
  <c r="W429" i="4"/>
  <c r="V429" i="4"/>
  <c r="Z429" i="4" s="1"/>
  <c r="AD429" i="4" s="1"/>
  <c r="N429" i="4" s="1"/>
  <c r="U429" i="4"/>
  <c r="T429" i="4"/>
  <c r="S429" i="4"/>
  <c r="AA429" i="4" s="1"/>
  <c r="R429" i="4"/>
  <c r="Q429" i="4"/>
  <c r="AB429" i="4" s="1"/>
  <c r="P429" i="4"/>
  <c r="AC428" i="4"/>
  <c r="X428" i="4"/>
  <c r="W428" i="4"/>
  <c r="U428" i="4"/>
  <c r="T428" i="4"/>
  <c r="S428" i="4"/>
  <c r="AA428" i="4" s="1"/>
  <c r="R428" i="4"/>
  <c r="Q428" i="4"/>
  <c r="V428" i="4" s="1"/>
  <c r="Z428" i="4" s="1"/>
  <c r="P428" i="4"/>
  <c r="AC427" i="4"/>
  <c r="X427" i="4"/>
  <c r="U427" i="4"/>
  <c r="T427" i="4"/>
  <c r="S427" i="4"/>
  <c r="AA427" i="4" s="1"/>
  <c r="R427" i="4"/>
  <c r="Q427" i="4"/>
  <c r="P427" i="4"/>
  <c r="AC426" i="4"/>
  <c r="U426" i="4"/>
  <c r="T426" i="4"/>
  <c r="S426" i="4"/>
  <c r="AA426" i="4" s="1"/>
  <c r="R426" i="4"/>
  <c r="Q426" i="4"/>
  <c r="P426" i="4"/>
  <c r="AC425" i="4"/>
  <c r="AB425" i="4"/>
  <c r="W425" i="4"/>
  <c r="V425" i="4"/>
  <c r="Z425" i="4" s="1"/>
  <c r="U425" i="4"/>
  <c r="T425" i="4"/>
  <c r="S425" i="4"/>
  <c r="AA425" i="4" s="1"/>
  <c r="R425" i="4"/>
  <c r="Q425" i="4"/>
  <c r="Y425" i="4" s="1"/>
  <c r="P425" i="4"/>
  <c r="AC424" i="4"/>
  <c r="AB424" i="4"/>
  <c r="AA424" i="4"/>
  <c r="X424" i="4"/>
  <c r="W424" i="4"/>
  <c r="V424" i="4"/>
  <c r="Z424" i="4" s="1"/>
  <c r="U424" i="4"/>
  <c r="T424" i="4"/>
  <c r="S424" i="4"/>
  <c r="R424" i="4"/>
  <c r="Q424" i="4"/>
  <c r="Y424" i="4" s="1"/>
  <c r="P424" i="4"/>
  <c r="AC423" i="4"/>
  <c r="AB423" i="4"/>
  <c r="V423" i="4"/>
  <c r="Z423" i="4" s="1"/>
  <c r="U423" i="4"/>
  <c r="T423" i="4"/>
  <c r="S423" i="4"/>
  <c r="R423" i="4"/>
  <c r="Q423" i="4"/>
  <c r="Y423" i="4" s="1"/>
  <c r="P423" i="4"/>
  <c r="AC422" i="4"/>
  <c r="W422" i="4"/>
  <c r="V422" i="4"/>
  <c r="Z422" i="4" s="1"/>
  <c r="AD422" i="4" s="1"/>
  <c r="N422" i="4" s="1"/>
  <c r="U422" i="4"/>
  <c r="T422" i="4"/>
  <c r="S422" i="4"/>
  <c r="R422" i="4"/>
  <c r="Q422" i="4"/>
  <c r="AB422" i="4" s="1"/>
  <c r="P422" i="4"/>
  <c r="AC421" i="4"/>
  <c r="X421" i="4"/>
  <c r="W421" i="4"/>
  <c r="V421" i="4"/>
  <c r="Z421" i="4" s="1"/>
  <c r="AD421" i="4" s="1"/>
  <c r="U421" i="4"/>
  <c r="T421" i="4"/>
  <c r="S421" i="4"/>
  <c r="AA421" i="4" s="1"/>
  <c r="R421" i="4"/>
  <c r="Q421" i="4"/>
  <c r="AB421" i="4" s="1"/>
  <c r="P421" i="4"/>
  <c r="AC420" i="4"/>
  <c r="X420" i="4"/>
  <c r="W420" i="4"/>
  <c r="U420" i="4"/>
  <c r="T420" i="4"/>
  <c r="S420" i="4"/>
  <c r="AA420" i="4" s="1"/>
  <c r="R420" i="4"/>
  <c r="Q420" i="4"/>
  <c r="V420" i="4" s="1"/>
  <c r="Z420" i="4" s="1"/>
  <c r="P420" i="4"/>
  <c r="AC419" i="4"/>
  <c r="X419" i="4"/>
  <c r="U419" i="4"/>
  <c r="T419" i="4"/>
  <c r="S419" i="4"/>
  <c r="AA419" i="4" s="1"/>
  <c r="R419" i="4"/>
  <c r="Q419" i="4"/>
  <c r="Y419" i="4" s="1"/>
  <c r="P419" i="4"/>
  <c r="AC418" i="4"/>
  <c r="AA418" i="4"/>
  <c r="Y418" i="4"/>
  <c r="U418" i="4"/>
  <c r="T418" i="4"/>
  <c r="S418" i="4"/>
  <c r="R418" i="4"/>
  <c r="Q418" i="4"/>
  <c r="P418" i="4"/>
  <c r="AC417" i="4"/>
  <c r="AB417" i="4"/>
  <c r="W417" i="4"/>
  <c r="V417" i="4"/>
  <c r="Z417" i="4" s="1"/>
  <c r="U417" i="4"/>
  <c r="T417" i="4"/>
  <c r="S417" i="4"/>
  <c r="AA417" i="4" s="1"/>
  <c r="R417" i="4"/>
  <c r="Q417" i="4"/>
  <c r="Y417" i="4" s="1"/>
  <c r="P417" i="4"/>
  <c r="AC416" i="4"/>
  <c r="AB416" i="4"/>
  <c r="X416" i="4"/>
  <c r="W416" i="4"/>
  <c r="V416" i="4"/>
  <c r="Z416" i="4" s="1"/>
  <c r="U416" i="4"/>
  <c r="T416" i="4"/>
  <c r="S416" i="4"/>
  <c r="AA416" i="4" s="1"/>
  <c r="R416" i="4"/>
  <c r="Q416" i="4"/>
  <c r="Y416" i="4" s="1"/>
  <c r="P416" i="4"/>
  <c r="AC415" i="4"/>
  <c r="AB415" i="4"/>
  <c r="V415" i="4"/>
  <c r="Z415" i="4" s="1"/>
  <c r="AD415" i="4" s="1"/>
  <c r="U415" i="4"/>
  <c r="T415" i="4"/>
  <c r="S415" i="4"/>
  <c r="R415" i="4"/>
  <c r="Q415" i="4"/>
  <c r="Y415" i="4" s="1"/>
  <c r="P415" i="4"/>
  <c r="AC414" i="4"/>
  <c r="W414" i="4"/>
  <c r="V414" i="4"/>
  <c r="Z414" i="4" s="1"/>
  <c r="AD414" i="4" s="1"/>
  <c r="U414" i="4"/>
  <c r="T414" i="4"/>
  <c r="S414" i="4"/>
  <c r="R414" i="4"/>
  <c r="Q414" i="4"/>
  <c r="AB414" i="4" s="1"/>
  <c r="P414" i="4"/>
  <c r="AC413" i="4"/>
  <c r="X413" i="4"/>
  <c r="W413" i="4"/>
  <c r="V413" i="4"/>
  <c r="Z413" i="4" s="1"/>
  <c r="AD413" i="4" s="1"/>
  <c r="N413" i="4" s="1"/>
  <c r="U413" i="4"/>
  <c r="T413" i="4"/>
  <c r="S413" i="4"/>
  <c r="AA413" i="4" s="1"/>
  <c r="R413" i="4"/>
  <c r="Q413" i="4"/>
  <c r="AB413" i="4" s="1"/>
  <c r="P413" i="4"/>
  <c r="AC412" i="4"/>
  <c r="AB412" i="4"/>
  <c r="Y412" i="4"/>
  <c r="U412" i="4"/>
  <c r="T412" i="4"/>
  <c r="S412" i="4"/>
  <c r="AA412" i="4" s="1"/>
  <c r="R412" i="4"/>
  <c r="Q412" i="4"/>
  <c r="V412" i="4" s="1"/>
  <c r="Z412" i="4" s="1"/>
  <c r="P412" i="4"/>
  <c r="AC411" i="4"/>
  <c r="X411" i="4"/>
  <c r="U411" i="4"/>
  <c r="T411" i="4"/>
  <c r="S411" i="4"/>
  <c r="R411" i="4"/>
  <c r="Q411" i="4"/>
  <c r="Y411" i="4" s="1"/>
  <c r="P411" i="4"/>
  <c r="AC410" i="4"/>
  <c r="U410" i="4"/>
  <c r="T410" i="4"/>
  <c r="S410" i="4"/>
  <c r="AA410" i="4" s="1"/>
  <c r="R410" i="4"/>
  <c r="Q410" i="4"/>
  <c r="Y410" i="4" s="1"/>
  <c r="P410" i="4"/>
  <c r="AC409" i="4"/>
  <c r="AB409" i="4"/>
  <c r="W409" i="4"/>
  <c r="V409" i="4"/>
  <c r="Z409" i="4" s="1"/>
  <c r="AD409" i="4" s="1"/>
  <c r="U409" i="4"/>
  <c r="T409" i="4"/>
  <c r="S409" i="4"/>
  <c r="AA409" i="4" s="1"/>
  <c r="R409" i="4"/>
  <c r="Q409" i="4"/>
  <c r="Y409" i="4" s="1"/>
  <c r="P409" i="4"/>
  <c r="AC408" i="4"/>
  <c r="AB408" i="4"/>
  <c r="AA408" i="4"/>
  <c r="X408" i="4"/>
  <c r="W408" i="4"/>
  <c r="V408" i="4"/>
  <c r="Z408" i="4" s="1"/>
  <c r="U408" i="4"/>
  <c r="T408" i="4"/>
  <c r="S408" i="4"/>
  <c r="R408" i="4"/>
  <c r="Q408" i="4"/>
  <c r="Y408" i="4" s="1"/>
  <c r="P408" i="4"/>
  <c r="AC407" i="4"/>
  <c r="AB407" i="4"/>
  <c r="U407" i="4"/>
  <c r="T407" i="4"/>
  <c r="S407" i="4"/>
  <c r="AA407" i="4" s="1"/>
  <c r="R407" i="4"/>
  <c r="Q407" i="4"/>
  <c r="P407" i="4"/>
  <c r="AC406" i="4"/>
  <c r="Y406" i="4"/>
  <c r="V406" i="4"/>
  <c r="Z406" i="4" s="1"/>
  <c r="AD406" i="4" s="1"/>
  <c r="N406" i="4" s="1"/>
  <c r="U406" i="4"/>
  <c r="T406" i="4"/>
  <c r="S406" i="4"/>
  <c r="AA406" i="4" s="1"/>
  <c r="R406" i="4"/>
  <c r="Q406" i="4"/>
  <c r="P406" i="4"/>
  <c r="AC405" i="4"/>
  <c r="X405" i="4"/>
  <c r="V405" i="4"/>
  <c r="Z405" i="4" s="1"/>
  <c r="AD405" i="4" s="1"/>
  <c r="U405" i="4"/>
  <c r="T405" i="4"/>
  <c r="S405" i="4"/>
  <c r="AA405" i="4" s="1"/>
  <c r="R405" i="4"/>
  <c r="Q405" i="4"/>
  <c r="AB405" i="4" s="1"/>
  <c r="P405" i="4"/>
  <c r="AC404" i="4"/>
  <c r="AA404" i="4"/>
  <c r="X404" i="4"/>
  <c r="U404" i="4"/>
  <c r="T404" i="4"/>
  <c r="S404" i="4"/>
  <c r="R404" i="4"/>
  <c r="Q404" i="4"/>
  <c r="V404" i="4" s="1"/>
  <c r="Z404" i="4" s="1"/>
  <c r="P404" i="4"/>
  <c r="AC403" i="4"/>
  <c r="AB403" i="4"/>
  <c r="Y403" i="4"/>
  <c r="X403" i="4"/>
  <c r="U403" i="4"/>
  <c r="T403" i="4"/>
  <c r="S403" i="4"/>
  <c r="AA403" i="4" s="1"/>
  <c r="R403" i="4"/>
  <c r="Q403" i="4"/>
  <c r="P403" i="4"/>
  <c r="AC402" i="4"/>
  <c r="AA402" i="4"/>
  <c r="U402" i="4"/>
  <c r="T402" i="4"/>
  <c r="S402" i="4"/>
  <c r="R402" i="4"/>
  <c r="Q402" i="4"/>
  <c r="P402" i="4"/>
  <c r="AC401" i="4"/>
  <c r="AB401" i="4"/>
  <c r="Y401" i="4"/>
  <c r="V401" i="4"/>
  <c r="Z401" i="4" s="1"/>
  <c r="AD401" i="4" s="1"/>
  <c r="U401" i="4"/>
  <c r="T401" i="4"/>
  <c r="S401" i="4"/>
  <c r="AA401" i="4" s="1"/>
  <c r="R401" i="4"/>
  <c r="Q401" i="4"/>
  <c r="X401" i="4" s="1"/>
  <c r="P401" i="4"/>
  <c r="AC400" i="4"/>
  <c r="Y400" i="4"/>
  <c r="W400" i="4"/>
  <c r="U400" i="4"/>
  <c r="T400" i="4"/>
  <c r="S400" i="4"/>
  <c r="AA400" i="4" s="1"/>
  <c r="R400" i="4"/>
  <c r="Q400" i="4"/>
  <c r="P400" i="4"/>
  <c r="AC399" i="4"/>
  <c r="AB399" i="4"/>
  <c r="X399" i="4"/>
  <c r="U399" i="4"/>
  <c r="T399" i="4"/>
  <c r="S399" i="4"/>
  <c r="AA399" i="4" s="1"/>
  <c r="R399" i="4"/>
  <c r="Q399" i="4"/>
  <c r="Y399" i="4" s="1"/>
  <c r="P399" i="4"/>
  <c r="AC398" i="4"/>
  <c r="Y398" i="4"/>
  <c r="U398" i="4"/>
  <c r="T398" i="4"/>
  <c r="S398" i="4"/>
  <c r="AA398" i="4" s="1"/>
  <c r="R398" i="4"/>
  <c r="Q398" i="4"/>
  <c r="P398" i="4"/>
  <c r="AC397" i="4"/>
  <c r="AB397" i="4"/>
  <c r="X397" i="4"/>
  <c r="W397" i="4"/>
  <c r="V397" i="4"/>
  <c r="Z397" i="4" s="1"/>
  <c r="U397" i="4"/>
  <c r="T397" i="4"/>
  <c r="S397" i="4"/>
  <c r="AA397" i="4" s="1"/>
  <c r="R397" i="4"/>
  <c r="Q397" i="4"/>
  <c r="Y397" i="4" s="1"/>
  <c r="P397" i="4"/>
  <c r="AC396" i="4"/>
  <c r="AB396" i="4"/>
  <c r="X396" i="4"/>
  <c r="W396" i="4"/>
  <c r="V396" i="4"/>
  <c r="Z396" i="4" s="1"/>
  <c r="U396" i="4"/>
  <c r="T396" i="4"/>
  <c r="S396" i="4"/>
  <c r="AA396" i="4" s="1"/>
  <c r="R396" i="4"/>
  <c r="Q396" i="4"/>
  <c r="Y396" i="4" s="1"/>
  <c r="P396" i="4"/>
  <c r="AC395" i="4"/>
  <c r="AB395" i="4"/>
  <c r="V395" i="4"/>
  <c r="Z395" i="4" s="1"/>
  <c r="AD395" i="4" s="1"/>
  <c r="U395" i="4"/>
  <c r="T395" i="4"/>
  <c r="S395" i="4"/>
  <c r="AA395" i="4" s="1"/>
  <c r="R395" i="4"/>
  <c r="Q395" i="4"/>
  <c r="Y395" i="4" s="1"/>
  <c r="P395" i="4"/>
  <c r="AC394" i="4"/>
  <c r="W394" i="4"/>
  <c r="U394" i="4"/>
  <c r="T394" i="4"/>
  <c r="S394" i="4"/>
  <c r="R394" i="4"/>
  <c r="Q394" i="4"/>
  <c r="V394" i="4" s="1"/>
  <c r="Z394" i="4" s="1"/>
  <c r="P394" i="4"/>
  <c r="AC393" i="4"/>
  <c r="X393" i="4"/>
  <c r="V393" i="4"/>
  <c r="Z393" i="4" s="1"/>
  <c r="AD393" i="4" s="1"/>
  <c r="U393" i="4"/>
  <c r="T393" i="4"/>
  <c r="S393" i="4"/>
  <c r="AA393" i="4" s="1"/>
  <c r="R393" i="4"/>
  <c r="Q393" i="4"/>
  <c r="W393" i="4" s="1"/>
  <c r="P393" i="4"/>
  <c r="AC392" i="4"/>
  <c r="W392" i="4"/>
  <c r="U392" i="4"/>
  <c r="T392" i="4"/>
  <c r="S392" i="4"/>
  <c r="AA392" i="4" s="1"/>
  <c r="R392" i="4"/>
  <c r="Q392" i="4"/>
  <c r="P392" i="4"/>
  <c r="AC391" i="4"/>
  <c r="AB391" i="4"/>
  <c r="X391" i="4"/>
  <c r="U391" i="4"/>
  <c r="T391" i="4"/>
  <c r="S391" i="4"/>
  <c r="AA391" i="4" s="1"/>
  <c r="R391" i="4"/>
  <c r="Q391" i="4"/>
  <c r="Y391" i="4" s="1"/>
  <c r="P391" i="4"/>
  <c r="AC390" i="4"/>
  <c r="AA390" i="4"/>
  <c r="Y390" i="4"/>
  <c r="U390" i="4"/>
  <c r="T390" i="4"/>
  <c r="S390" i="4"/>
  <c r="R390" i="4"/>
  <c r="Q390" i="4"/>
  <c r="P390" i="4"/>
  <c r="AC389" i="4"/>
  <c r="AB389" i="4"/>
  <c r="W389" i="4"/>
  <c r="V389" i="4"/>
  <c r="Z389" i="4" s="1"/>
  <c r="U389" i="4"/>
  <c r="T389" i="4"/>
  <c r="S389" i="4"/>
  <c r="AA389" i="4" s="1"/>
  <c r="R389" i="4"/>
  <c r="Q389" i="4"/>
  <c r="Y389" i="4" s="1"/>
  <c r="P389" i="4"/>
  <c r="AC388" i="4"/>
  <c r="AB388" i="4"/>
  <c r="X388" i="4"/>
  <c r="W388" i="4"/>
  <c r="V388" i="4"/>
  <c r="Z388" i="4" s="1"/>
  <c r="U388" i="4"/>
  <c r="T388" i="4"/>
  <c r="S388" i="4"/>
  <c r="AA388" i="4" s="1"/>
  <c r="R388" i="4"/>
  <c r="Q388" i="4"/>
  <c r="Y388" i="4" s="1"/>
  <c r="P388" i="4"/>
  <c r="AC387" i="4"/>
  <c r="AB387" i="4"/>
  <c r="V387" i="4"/>
  <c r="Z387" i="4" s="1"/>
  <c r="AD387" i="4" s="1"/>
  <c r="N387" i="4" s="1"/>
  <c r="U387" i="4"/>
  <c r="T387" i="4"/>
  <c r="S387" i="4"/>
  <c r="AA387" i="4" s="1"/>
  <c r="R387" i="4"/>
  <c r="Q387" i="4"/>
  <c r="Y387" i="4" s="1"/>
  <c r="P387" i="4"/>
  <c r="AC386" i="4"/>
  <c r="W386" i="4"/>
  <c r="U386" i="4"/>
  <c r="T386" i="4"/>
  <c r="S386" i="4"/>
  <c r="AA386" i="4" s="1"/>
  <c r="R386" i="4"/>
  <c r="Q386" i="4"/>
  <c r="V386" i="4" s="1"/>
  <c r="Z386" i="4" s="1"/>
  <c r="P386" i="4"/>
  <c r="AC385" i="4"/>
  <c r="X385" i="4"/>
  <c r="V385" i="4"/>
  <c r="Z385" i="4" s="1"/>
  <c r="AD385" i="4" s="1"/>
  <c r="N385" i="4" s="1"/>
  <c r="U385" i="4"/>
  <c r="T385" i="4"/>
  <c r="S385" i="4"/>
  <c r="AA385" i="4" s="1"/>
  <c r="R385" i="4"/>
  <c r="Q385" i="4"/>
  <c r="W385" i="4" s="1"/>
  <c r="P385" i="4"/>
  <c r="AC384" i="4"/>
  <c r="Y384" i="4"/>
  <c r="W384" i="4"/>
  <c r="U384" i="4"/>
  <c r="T384" i="4"/>
  <c r="S384" i="4"/>
  <c r="AA384" i="4" s="1"/>
  <c r="R384" i="4"/>
  <c r="Q384" i="4"/>
  <c r="P384" i="4"/>
  <c r="AC383" i="4"/>
  <c r="AB383" i="4"/>
  <c r="X383" i="4"/>
  <c r="U383" i="4"/>
  <c r="T383" i="4"/>
  <c r="S383" i="4"/>
  <c r="AA383" i="4" s="1"/>
  <c r="R383" i="4"/>
  <c r="Q383" i="4"/>
  <c r="Y383" i="4" s="1"/>
  <c r="P383" i="4"/>
  <c r="AC382" i="4"/>
  <c r="AA382" i="4"/>
  <c r="U382" i="4"/>
  <c r="T382" i="4"/>
  <c r="S382" i="4"/>
  <c r="R382" i="4"/>
  <c r="Q382" i="4"/>
  <c r="P382" i="4"/>
  <c r="AC381" i="4"/>
  <c r="AB381" i="4"/>
  <c r="Z381" i="4"/>
  <c r="W381" i="4"/>
  <c r="V381" i="4"/>
  <c r="U381" i="4"/>
  <c r="T381" i="4"/>
  <c r="S381" i="4"/>
  <c r="AA381" i="4" s="1"/>
  <c r="R381" i="4"/>
  <c r="Q381" i="4"/>
  <c r="Y381" i="4" s="1"/>
  <c r="P381" i="4"/>
  <c r="AC380" i="4"/>
  <c r="AB380" i="4"/>
  <c r="AA380" i="4"/>
  <c r="X380" i="4"/>
  <c r="W380" i="4"/>
  <c r="V380" i="4"/>
  <c r="Z380" i="4" s="1"/>
  <c r="U380" i="4"/>
  <c r="T380" i="4"/>
  <c r="S380" i="4"/>
  <c r="R380" i="4"/>
  <c r="Q380" i="4"/>
  <c r="Y380" i="4" s="1"/>
  <c r="P380" i="4"/>
  <c r="AC379" i="4"/>
  <c r="AB379" i="4"/>
  <c r="V379" i="4"/>
  <c r="Z379" i="4" s="1"/>
  <c r="U379" i="4"/>
  <c r="T379" i="4"/>
  <c r="S379" i="4"/>
  <c r="AA379" i="4" s="1"/>
  <c r="R379" i="4"/>
  <c r="Q379" i="4"/>
  <c r="Y379" i="4" s="1"/>
  <c r="P379" i="4"/>
  <c r="AC378" i="4"/>
  <c r="W378" i="4"/>
  <c r="U378" i="4"/>
  <c r="T378" i="4"/>
  <c r="S378" i="4"/>
  <c r="AA378" i="4" s="1"/>
  <c r="R378" i="4"/>
  <c r="Q378" i="4"/>
  <c r="V378" i="4" s="1"/>
  <c r="Z378" i="4" s="1"/>
  <c r="P378" i="4"/>
  <c r="AC377" i="4"/>
  <c r="X377" i="4"/>
  <c r="V377" i="4"/>
  <c r="Z377" i="4" s="1"/>
  <c r="AD377" i="4" s="1"/>
  <c r="U377" i="4"/>
  <c r="T377" i="4"/>
  <c r="S377" i="4"/>
  <c r="AA377" i="4" s="1"/>
  <c r="R377" i="4"/>
  <c r="Q377" i="4"/>
  <c r="W377" i="4" s="1"/>
  <c r="P377" i="4"/>
  <c r="AC376" i="4"/>
  <c r="W376" i="4"/>
  <c r="U376" i="4"/>
  <c r="T376" i="4"/>
  <c r="S376" i="4"/>
  <c r="AA376" i="4" s="1"/>
  <c r="R376" i="4"/>
  <c r="Q376" i="4"/>
  <c r="Y376" i="4" s="1"/>
  <c r="P376" i="4"/>
  <c r="AC375" i="4"/>
  <c r="AB375" i="4"/>
  <c r="X375" i="4"/>
  <c r="U375" i="4"/>
  <c r="T375" i="4"/>
  <c r="S375" i="4"/>
  <c r="AA375" i="4" s="1"/>
  <c r="R375" i="4"/>
  <c r="Q375" i="4"/>
  <c r="Y375" i="4" s="1"/>
  <c r="P375" i="4"/>
  <c r="AC374" i="4"/>
  <c r="AA374" i="4"/>
  <c r="Y374" i="4"/>
  <c r="U374" i="4"/>
  <c r="T374" i="4"/>
  <c r="S374" i="4"/>
  <c r="R374" i="4"/>
  <c r="Q374" i="4"/>
  <c r="P374" i="4"/>
  <c r="AC373" i="4"/>
  <c r="AB373" i="4"/>
  <c r="W373" i="4"/>
  <c r="V373" i="4"/>
  <c r="Z373" i="4" s="1"/>
  <c r="U373" i="4"/>
  <c r="T373" i="4"/>
  <c r="S373" i="4"/>
  <c r="AA373" i="4" s="1"/>
  <c r="R373" i="4"/>
  <c r="Q373" i="4"/>
  <c r="Y373" i="4" s="1"/>
  <c r="P373" i="4"/>
  <c r="AC372" i="4"/>
  <c r="AB372" i="4"/>
  <c r="X372" i="4"/>
  <c r="W372" i="4"/>
  <c r="V372" i="4"/>
  <c r="Z372" i="4" s="1"/>
  <c r="U372" i="4"/>
  <c r="T372" i="4"/>
  <c r="S372" i="4"/>
  <c r="AA372" i="4" s="1"/>
  <c r="R372" i="4"/>
  <c r="Q372" i="4"/>
  <c r="Y372" i="4" s="1"/>
  <c r="P372" i="4"/>
  <c r="AC371" i="4"/>
  <c r="AB371" i="4"/>
  <c r="V371" i="4"/>
  <c r="Z371" i="4" s="1"/>
  <c r="AD371" i="4" s="1"/>
  <c r="U371" i="4"/>
  <c r="T371" i="4"/>
  <c r="S371" i="4"/>
  <c r="AA371" i="4" s="1"/>
  <c r="R371" i="4"/>
  <c r="Q371" i="4"/>
  <c r="Y371" i="4" s="1"/>
  <c r="P371" i="4"/>
  <c r="AC370" i="4"/>
  <c r="W370" i="4"/>
  <c r="U370" i="4"/>
  <c r="T370" i="4"/>
  <c r="S370" i="4"/>
  <c r="R370" i="4"/>
  <c r="Q370" i="4"/>
  <c r="V370" i="4" s="1"/>
  <c r="Z370" i="4" s="1"/>
  <c r="P370" i="4"/>
  <c r="AC369" i="4"/>
  <c r="X369" i="4"/>
  <c r="V369" i="4"/>
  <c r="Z369" i="4" s="1"/>
  <c r="AD369" i="4" s="1"/>
  <c r="N369" i="4" s="1"/>
  <c r="U369" i="4"/>
  <c r="T369" i="4"/>
  <c r="S369" i="4"/>
  <c r="AA369" i="4" s="1"/>
  <c r="R369" i="4"/>
  <c r="Q369" i="4"/>
  <c r="W369" i="4" s="1"/>
  <c r="P369" i="4"/>
  <c r="AC368" i="4"/>
  <c r="U368" i="4"/>
  <c r="T368" i="4"/>
  <c r="S368" i="4"/>
  <c r="AA368" i="4" s="1"/>
  <c r="R368" i="4"/>
  <c r="Q368" i="4"/>
  <c r="P368" i="4"/>
  <c r="AC367" i="4"/>
  <c r="AB367" i="4"/>
  <c r="X367" i="4"/>
  <c r="U367" i="4"/>
  <c r="T367" i="4"/>
  <c r="S367" i="4"/>
  <c r="AA367" i="4" s="1"/>
  <c r="R367" i="4"/>
  <c r="Q367" i="4"/>
  <c r="Y367" i="4" s="1"/>
  <c r="P367" i="4"/>
  <c r="AC366" i="4"/>
  <c r="AA366" i="4"/>
  <c r="U366" i="4"/>
  <c r="T366" i="4"/>
  <c r="S366" i="4"/>
  <c r="R366" i="4"/>
  <c r="Q366" i="4"/>
  <c r="Y366" i="4" s="1"/>
  <c r="P366" i="4"/>
  <c r="AC365" i="4"/>
  <c r="AB365" i="4"/>
  <c r="W365" i="4"/>
  <c r="V365" i="4"/>
  <c r="Z365" i="4" s="1"/>
  <c r="U365" i="4"/>
  <c r="T365" i="4"/>
  <c r="S365" i="4"/>
  <c r="AA365" i="4" s="1"/>
  <c r="R365" i="4"/>
  <c r="Q365" i="4"/>
  <c r="Y365" i="4" s="1"/>
  <c r="P365" i="4"/>
  <c r="AC364" i="4"/>
  <c r="AB364" i="4"/>
  <c r="AA364" i="4"/>
  <c r="X364" i="4"/>
  <c r="W364" i="4"/>
  <c r="V364" i="4"/>
  <c r="Z364" i="4" s="1"/>
  <c r="U364" i="4"/>
  <c r="T364" i="4"/>
  <c r="S364" i="4"/>
  <c r="R364" i="4"/>
  <c r="Q364" i="4"/>
  <c r="Y364" i="4" s="1"/>
  <c r="P364" i="4"/>
  <c r="AC363" i="4"/>
  <c r="AB363" i="4"/>
  <c r="V363" i="4"/>
  <c r="Z363" i="4" s="1"/>
  <c r="AD363" i="4" s="1"/>
  <c r="U363" i="4"/>
  <c r="T363" i="4"/>
  <c r="S363" i="4"/>
  <c r="AA363" i="4" s="1"/>
  <c r="R363" i="4"/>
  <c r="Q363" i="4"/>
  <c r="Y363" i="4" s="1"/>
  <c r="P363" i="4"/>
  <c r="AC362" i="4"/>
  <c r="W362" i="4"/>
  <c r="U362" i="4"/>
  <c r="T362" i="4"/>
  <c r="S362" i="4"/>
  <c r="AA362" i="4" s="1"/>
  <c r="R362" i="4"/>
  <c r="Q362" i="4"/>
  <c r="V362" i="4" s="1"/>
  <c r="Z362" i="4" s="1"/>
  <c r="P362" i="4"/>
  <c r="AC361" i="4"/>
  <c r="X361" i="4"/>
  <c r="V361" i="4"/>
  <c r="Z361" i="4" s="1"/>
  <c r="AD361" i="4" s="1"/>
  <c r="U361" i="4"/>
  <c r="T361" i="4"/>
  <c r="S361" i="4"/>
  <c r="AA361" i="4" s="1"/>
  <c r="R361" i="4"/>
  <c r="Q361" i="4"/>
  <c r="W361" i="4" s="1"/>
  <c r="P361" i="4"/>
  <c r="AC360" i="4"/>
  <c r="Y360" i="4"/>
  <c r="W360" i="4"/>
  <c r="U360" i="4"/>
  <c r="T360" i="4"/>
  <c r="S360" i="4"/>
  <c r="AA360" i="4" s="1"/>
  <c r="R360" i="4"/>
  <c r="Q360" i="4"/>
  <c r="P360" i="4"/>
  <c r="AC359" i="4"/>
  <c r="AB359" i="4"/>
  <c r="X359" i="4"/>
  <c r="U359" i="4"/>
  <c r="T359" i="4"/>
  <c r="S359" i="4"/>
  <c r="AA359" i="4" s="1"/>
  <c r="R359" i="4"/>
  <c r="Q359" i="4"/>
  <c r="Y359" i="4" s="1"/>
  <c r="P359" i="4"/>
  <c r="AC358" i="4"/>
  <c r="Y358" i="4"/>
  <c r="U358" i="4"/>
  <c r="T358" i="4"/>
  <c r="S358" i="4"/>
  <c r="AA358" i="4" s="1"/>
  <c r="R358" i="4"/>
  <c r="Q358" i="4"/>
  <c r="P358" i="4"/>
  <c r="AC357" i="4"/>
  <c r="AB357" i="4"/>
  <c r="W357" i="4"/>
  <c r="V357" i="4"/>
  <c r="Z357" i="4" s="1"/>
  <c r="U357" i="4"/>
  <c r="T357" i="4"/>
  <c r="S357" i="4"/>
  <c r="AA357" i="4" s="1"/>
  <c r="R357" i="4"/>
  <c r="Q357" i="4"/>
  <c r="Y357" i="4" s="1"/>
  <c r="P357" i="4"/>
  <c r="AC356" i="4"/>
  <c r="AB356" i="4"/>
  <c r="AA356" i="4"/>
  <c r="X356" i="4"/>
  <c r="W356" i="4"/>
  <c r="V356" i="4"/>
  <c r="Z356" i="4" s="1"/>
  <c r="U356" i="4"/>
  <c r="T356" i="4"/>
  <c r="S356" i="4"/>
  <c r="R356" i="4"/>
  <c r="Q356" i="4"/>
  <c r="Y356" i="4" s="1"/>
  <c r="P356" i="4"/>
  <c r="AC355" i="4"/>
  <c r="AB355" i="4"/>
  <c r="V355" i="4"/>
  <c r="Z355" i="4" s="1"/>
  <c r="AD355" i="4" s="1"/>
  <c r="N355" i="4" s="1"/>
  <c r="U355" i="4"/>
  <c r="T355" i="4"/>
  <c r="S355" i="4"/>
  <c r="AA355" i="4" s="1"/>
  <c r="R355" i="4"/>
  <c r="Q355" i="4"/>
  <c r="Y355" i="4" s="1"/>
  <c r="P355" i="4"/>
  <c r="AC354" i="4"/>
  <c r="W354" i="4"/>
  <c r="U354" i="4"/>
  <c r="T354" i="4"/>
  <c r="S354" i="4"/>
  <c r="R354" i="4"/>
  <c r="Q354" i="4"/>
  <c r="V354" i="4" s="1"/>
  <c r="Z354" i="4" s="1"/>
  <c r="P354" i="4"/>
  <c r="AC353" i="4"/>
  <c r="X353" i="4"/>
  <c r="V353" i="4"/>
  <c r="Z353" i="4" s="1"/>
  <c r="AD353" i="4" s="1"/>
  <c r="N353" i="4" s="1"/>
  <c r="U353" i="4"/>
  <c r="T353" i="4"/>
  <c r="S353" i="4"/>
  <c r="AA353" i="4" s="1"/>
  <c r="R353" i="4"/>
  <c r="Q353" i="4"/>
  <c r="W353" i="4" s="1"/>
  <c r="P353" i="4"/>
  <c r="AC352" i="4"/>
  <c r="U352" i="4"/>
  <c r="T352" i="4"/>
  <c r="S352" i="4"/>
  <c r="AA352" i="4" s="1"/>
  <c r="R352" i="4"/>
  <c r="Q352" i="4"/>
  <c r="Y352" i="4" s="1"/>
  <c r="P352" i="4"/>
  <c r="AC351" i="4"/>
  <c r="AB351" i="4"/>
  <c r="X351" i="4"/>
  <c r="U351" i="4"/>
  <c r="T351" i="4"/>
  <c r="S351" i="4"/>
  <c r="AA351" i="4" s="1"/>
  <c r="R351" i="4"/>
  <c r="Q351" i="4"/>
  <c r="Y351" i="4" s="1"/>
  <c r="P351" i="4"/>
  <c r="AC350" i="4"/>
  <c r="Y350" i="4"/>
  <c r="U350" i="4"/>
  <c r="T350" i="4"/>
  <c r="S350" i="4"/>
  <c r="AA350" i="4" s="1"/>
  <c r="R350" i="4"/>
  <c r="Q350" i="4"/>
  <c r="P350" i="4"/>
  <c r="AC349" i="4"/>
  <c r="AB349" i="4"/>
  <c r="W349" i="4"/>
  <c r="V349" i="4"/>
  <c r="Z349" i="4" s="1"/>
  <c r="U349" i="4"/>
  <c r="T349" i="4"/>
  <c r="S349" i="4"/>
  <c r="AA349" i="4" s="1"/>
  <c r="R349" i="4"/>
  <c r="Q349" i="4"/>
  <c r="Y349" i="4" s="1"/>
  <c r="P349" i="4"/>
  <c r="AC348" i="4"/>
  <c r="AB348" i="4"/>
  <c r="X348" i="4"/>
  <c r="W348" i="4"/>
  <c r="V348" i="4"/>
  <c r="Z348" i="4" s="1"/>
  <c r="U348" i="4"/>
  <c r="T348" i="4"/>
  <c r="S348" i="4"/>
  <c r="AA348" i="4" s="1"/>
  <c r="R348" i="4"/>
  <c r="Q348" i="4"/>
  <c r="Y348" i="4" s="1"/>
  <c r="P348" i="4"/>
  <c r="AC347" i="4"/>
  <c r="AB347" i="4"/>
  <c r="V347" i="4"/>
  <c r="Z347" i="4" s="1"/>
  <c r="AD347" i="4" s="1"/>
  <c r="U347" i="4"/>
  <c r="T347" i="4"/>
  <c r="S347" i="4"/>
  <c r="AA347" i="4" s="1"/>
  <c r="R347" i="4"/>
  <c r="Q347" i="4"/>
  <c r="Y347" i="4" s="1"/>
  <c r="P347" i="4"/>
  <c r="AC346" i="4"/>
  <c r="W346" i="4"/>
  <c r="U346" i="4"/>
  <c r="T346" i="4"/>
  <c r="S346" i="4"/>
  <c r="R346" i="4"/>
  <c r="Q346" i="4"/>
  <c r="V346" i="4" s="1"/>
  <c r="Z346" i="4" s="1"/>
  <c r="P346" i="4"/>
  <c r="AC345" i="4"/>
  <c r="X345" i="4"/>
  <c r="V345" i="4"/>
  <c r="Z345" i="4" s="1"/>
  <c r="U345" i="4"/>
  <c r="T345" i="4"/>
  <c r="S345" i="4"/>
  <c r="AA345" i="4" s="1"/>
  <c r="R345" i="4"/>
  <c r="Q345" i="4"/>
  <c r="W345" i="4" s="1"/>
  <c r="P345" i="4"/>
  <c r="AC344" i="4"/>
  <c r="W344" i="4"/>
  <c r="U344" i="4"/>
  <c r="T344" i="4"/>
  <c r="S344" i="4"/>
  <c r="AA344" i="4" s="1"/>
  <c r="R344" i="4"/>
  <c r="Q344" i="4"/>
  <c r="Y344" i="4" s="1"/>
  <c r="P344" i="4"/>
  <c r="AC343" i="4"/>
  <c r="AB343" i="4"/>
  <c r="X343" i="4"/>
  <c r="U343" i="4"/>
  <c r="T343" i="4"/>
  <c r="S343" i="4"/>
  <c r="AA343" i="4" s="1"/>
  <c r="R343" i="4"/>
  <c r="Q343" i="4"/>
  <c r="Y343" i="4" s="1"/>
  <c r="P343" i="4"/>
  <c r="AC342" i="4"/>
  <c r="Y342" i="4"/>
  <c r="U342" i="4"/>
  <c r="T342" i="4"/>
  <c r="S342" i="4"/>
  <c r="AA342" i="4" s="1"/>
  <c r="R342" i="4"/>
  <c r="Q342" i="4"/>
  <c r="P342" i="4"/>
  <c r="AC341" i="4"/>
  <c r="AB341" i="4"/>
  <c r="W341" i="4"/>
  <c r="V341" i="4"/>
  <c r="Z341" i="4" s="1"/>
  <c r="U341" i="4"/>
  <c r="T341" i="4"/>
  <c r="S341" i="4"/>
  <c r="AA341" i="4" s="1"/>
  <c r="R341" i="4"/>
  <c r="Q341" i="4"/>
  <c r="Y341" i="4" s="1"/>
  <c r="P341" i="4"/>
  <c r="AC340" i="4"/>
  <c r="AB340" i="4"/>
  <c r="X340" i="4"/>
  <c r="W340" i="4"/>
  <c r="V340" i="4"/>
  <c r="Z340" i="4" s="1"/>
  <c r="U340" i="4"/>
  <c r="AA340" i="4" s="1"/>
  <c r="T340" i="4"/>
  <c r="S340" i="4"/>
  <c r="R340" i="4"/>
  <c r="Q340" i="4"/>
  <c r="Y340" i="4" s="1"/>
  <c r="P340" i="4"/>
  <c r="AC339" i="4"/>
  <c r="AB339" i="4"/>
  <c r="V339" i="4"/>
  <c r="Z339" i="4" s="1"/>
  <c r="AD339" i="4" s="1"/>
  <c r="N339" i="4" s="1"/>
  <c r="U339" i="4"/>
  <c r="T339" i="4"/>
  <c r="S339" i="4"/>
  <c r="AA339" i="4" s="1"/>
  <c r="R339" i="4"/>
  <c r="Q339" i="4"/>
  <c r="Y339" i="4" s="1"/>
  <c r="P339" i="4"/>
  <c r="AC338" i="4"/>
  <c r="W338" i="4"/>
  <c r="U338" i="4"/>
  <c r="T338" i="4"/>
  <c r="S338" i="4"/>
  <c r="AA338" i="4" s="1"/>
  <c r="R338" i="4"/>
  <c r="Q338" i="4"/>
  <c r="V338" i="4" s="1"/>
  <c r="Z338" i="4" s="1"/>
  <c r="P338" i="4"/>
  <c r="AC337" i="4"/>
  <c r="X337" i="4"/>
  <c r="V337" i="4"/>
  <c r="Z337" i="4" s="1"/>
  <c r="AD337" i="4" s="1"/>
  <c r="N337" i="4" s="1"/>
  <c r="U337" i="4"/>
  <c r="T337" i="4"/>
  <c r="S337" i="4"/>
  <c r="AA337" i="4" s="1"/>
  <c r="R337" i="4"/>
  <c r="Q337" i="4"/>
  <c r="W337" i="4" s="1"/>
  <c r="P337" i="4"/>
  <c r="AC336" i="4"/>
  <c r="Y336" i="4"/>
  <c r="U336" i="4"/>
  <c r="T336" i="4"/>
  <c r="S336" i="4"/>
  <c r="AA336" i="4" s="1"/>
  <c r="R336" i="4"/>
  <c r="Q336" i="4"/>
  <c r="W336" i="4" s="1"/>
  <c r="P336" i="4"/>
  <c r="AC335" i="4"/>
  <c r="AB335" i="4"/>
  <c r="X335" i="4"/>
  <c r="U335" i="4"/>
  <c r="T335" i="4"/>
  <c r="S335" i="4"/>
  <c r="AA335" i="4" s="1"/>
  <c r="R335" i="4"/>
  <c r="Q335" i="4"/>
  <c r="Y335" i="4" s="1"/>
  <c r="P335" i="4"/>
  <c r="AC334" i="4"/>
  <c r="U334" i="4"/>
  <c r="T334" i="4"/>
  <c r="S334" i="4"/>
  <c r="AA334" i="4" s="1"/>
  <c r="R334" i="4"/>
  <c r="Q334" i="4"/>
  <c r="P334" i="4"/>
  <c r="AC333" i="4"/>
  <c r="AB333" i="4"/>
  <c r="W333" i="4"/>
  <c r="V333" i="4"/>
  <c r="Z333" i="4" s="1"/>
  <c r="U333" i="4"/>
  <c r="T333" i="4"/>
  <c r="S333" i="4"/>
  <c r="AA333" i="4" s="1"/>
  <c r="R333" i="4"/>
  <c r="Q333" i="4"/>
  <c r="Y333" i="4" s="1"/>
  <c r="P333" i="4"/>
  <c r="AC332" i="4"/>
  <c r="AB332" i="4"/>
  <c r="X332" i="4"/>
  <c r="W332" i="4"/>
  <c r="V332" i="4"/>
  <c r="Z332" i="4" s="1"/>
  <c r="U332" i="4"/>
  <c r="T332" i="4"/>
  <c r="S332" i="4"/>
  <c r="AA332" i="4" s="1"/>
  <c r="R332" i="4"/>
  <c r="Q332" i="4"/>
  <c r="Y332" i="4" s="1"/>
  <c r="P332" i="4"/>
  <c r="AC331" i="4"/>
  <c r="AB331" i="4"/>
  <c r="V331" i="4"/>
  <c r="Z331" i="4" s="1"/>
  <c r="AD331" i="4" s="1"/>
  <c r="U331" i="4"/>
  <c r="T331" i="4"/>
  <c r="S331" i="4"/>
  <c r="AA331" i="4" s="1"/>
  <c r="R331" i="4"/>
  <c r="Q331" i="4"/>
  <c r="Y331" i="4" s="1"/>
  <c r="P331" i="4"/>
  <c r="AC330" i="4"/>
  <c r="W330" i="4"/>
  <c r="U330" i="4"/>
  <c r="T330" i="4"/>
  <c r="S330" i="4"/>
  <c r="R330" i="4"/>
  <c r="Q330" i="4"/>
  <c r="V330" i="4" s="1"/>
  <c r="Z330" i="4" s="1"/>
  <c r="P330" i="4"/>
  <c r="AC329" i="4"/>
  <c r="X329" i="4"/>
  <c r="V329" i="4"/>
  <c r="Z329" i="4" s="1"/>
  <c r="AD329" i="4" s="1"/>
  <c r="U329" i="4"/>
  <c r="T329" i="4"/>
  <c r="S329" i="4"/>
  <c r="AA329" i="4" s="1"/>
  <c r="R329" i="4"/>
  <c r="Q329" i="4"/>
  <c r="W329" i="4" s="1"/>
  <c r="P329" i="4"/>
  <c r="AC328" i="4"/>
  <c r="Y328" i="4"/>
  <c r="W328" i="4"/>
  <c r="U328" i="4"/>
  <c r="T328" i="4"/>
  <c r="S328" i="4"/>
  <c r="AA328" i="4" s="1"/>
  <c r="R328" i="4"/>
  <c r="Q328" i="4"/>
  <c r="P328" i="4"/>
  <c r="AC327" i="4"/>
  <c r="AB327" i="4"/>
  <c r="X327" i="4"/>
  <c r="U327" i="4"/>
  <c r="T327" i="4"/>
  <c r="S327" i="4"/>
  <c r="R327" i="4"/>
  <c r="Q327" i="4"/>
  <c r="Y327" i="4" s="1"/>
  <c r="P327" i="4"/>
  <c r="AC326" i="4"/>
  <c r="AA326" i="4"/>
  <c r="V326" i="4"/>
  <c r="Z326" i="4" s="1"/>
  <c r="AD326" i="4" s="1"/>
  <c r="U326" i="4"/>
  <c r="T326" i="4"/>
  <c r="S326" i="4"/>
  <c r="R326" i="4"/>
  <c r="Q326" i="4"/>
  <c r="Y326" i="4" s="1"/>
  <c r="P326" i="4"/>
  <c r="AC325" i="4"/>
  <c r="AB325" i="4"/>
  <c r="W325" i="4"/>
  <c r="V325" i="4"/>
  <c r="Z325" i="4" s="1"/>
  <c r="U325" i="4"/>
  <c r="T325" i="4"/>
  <c r="S325" i="4"/>
  <c r="AA325" i="4" s="1"/>
  <c r="R325" i="4"/>
  <c r="Q325" i="4"/>
  <c r="Y325" i="4" s="1"/>
  <c r="P325" i="4"/>
  <c r="AC324" i="4"/>
  <c r="AB324" i="4"/>
  <c r="AA324" i="4"/>
  <c r="X324" i="4"/>
  <c r="W324" i="4"/>
  <c r="V324" i="4"/>
  <c r="Z324" i="4" s="1"/>
  <c r="U324" i="4"/>
  <c r="T324" i="4"/>
  <c r="S324" i="4"/>
  <c r="R324" i="4"/>
  <c r="Q324" i="4"/>
  <c r="Y324" i="4" s="1"/>
  <c r="P324" i="4"/>
  <c r="AC323" i="4"/>
  <c r="Y323" i="4"/>
  <c r="X323" i="4"/>
  <c r="V323" i="4"/>
  <c r="Z323" i="4" s="1"/>
  <c r="AD323" i="4" s="1"/>
  <c r="U323" i="4"/>
  <c r="T323" i="4"/>
  <c r="S323" i="4"/>
  <c r="AA323" i="4" s="1"/>
  <c r="R323" i="4"/>
  <c r="Q323" i="4"/>
  <c r="W323" i="4" s="1"/>
  <c r="P323" i="4"/>
  <c r="AC322" i="4"/>
  <c r="U322" i="4"/>
  <c r="T322" i="4"/>
  <c r="S322" i="4"/>
  <c r="AA322" i="4" s="1"/>
  <c r="R322" i="4"/>
  <c r="Q322" i="4"/>
  <c r="Y322" i="4" s="1"/>
  <c r="P322" i="4"/>
  <c r="AC321" i="4"/>
  <c r="X321" i="4"/>
  <c r="V321" i="4"/>
  <c r="Z321" i="4" s="1"/>
  <c r="U321" i="4"/>
  <c r="T321" i="4"/>
  <c r="S321" i="4"/>
  <c r="AA321" i="4" s="1"/>
  <c r="R321" i="4"/>
  <c r="Q321" i="4"/>
  <c r="W321" i="4" s="1"/>
  <c r="P321" i="4"/>
  <c r="AC320" i="4"/>
  <c r="AA320" i="4"/>
  <c r="Y320" i="4"/>
  <c r="W320" i="4"/>
  <c r="U320" i="4"/>
  <c r="T320" i="4"/>
  <c r="S320" i="4"/>
  <c r="R320" i="4"/>
  <c r="Q320" i="4"/>
  <c r="P320" i="4"/>
  <c r="AC319" i="4"/>
  <c r="AB319" i="4"/>
  <c r="X319" i="4"/>
  <c r="U319" i="4"/>
  <c r="T319" i="4"/>
  <c r="S319" i="4"/>
  <c r="R319" i="4"/>
  <c r="Q319" i="4"/>
  <c r="Y319" i="4" s="1"/>
  <c r="P319" i="4"/>
  <c r="AC318" i="4"/>
  <c r="AA318" i="4"/>
  <c r="V318" i="4"/>
  <c r="Z318" i="4" s="1"/>
  <c r="AD318" i="4" s="1"/>
  <c r="U318" i="4"/>
  <c r="T318" i="4"/>
  <c r="S318" i="4"/>
  <c r="R318" i="4"/>
  <c r="Q318" i="4"/>
  <c r="Y318" i="4" s="1"/>
  <c r="P318" i="4"/>
  <c r="AC317" i="4"/>
  <c r="AB317" i="4"/>
  <c r="W317" i="4"/>
  <c r="V317" i="4"/>
  <c r="Z317" i="4" s="1"/>
  <c r="U317" i="4"/>
  <c r="T317" i="4"/>
  <c r="S317" i="4"/>
  <c r="AA317" i="4" s="1"/>
  <c r="R317" i="4"/>
  <c r="Q317" i="4"/>
  <c r="Y317" i="4" s="1"/>
  <c r="P317" i="4"/>
  <c r="AC316" i="4"/>
  <c r="AB316" i="4"/>
  <c r="X316" i="4"/>
  <c r="W316" i="4"/>
  <c r="V316" i="4"/>
  <c r="Z316" i="4" s="1"/>
  <c r="U316" i="4"/>
  <c r="T316" i="4"/>
  <c r="S316" i="4"/>
  <c r="AA316" i="4" s="1"/>
  <c r="R316" i="4"/>
  <c r="Q316" i="4"/>
  <c r="Y316" i="4" s="1"/>
  <c r="P316" i="4"/>
  <c r="AC315" i="4"/>
  <c r="Y315" i="4"/>
  <c r="V315" i="4"/>
  <c r="Z315" i="4" s="1"/>
  <c r="AD315" i="4" s="1"/>
  <c r="U315" i="4"/>
  <c r="T315" i="4"/>
  <c r="S315" i="4"/>
  <c r="AA315" i="4" s="1"/>
  <c r="R315" i="4"/>
  <c r="Q315" i="4"/>
  <c r="W315" i="4" s="1"/>
  <c r="P315" i="4"/>
  <c r="AC314" i="4"/>
  <c r="U314" i="4"/>
  <c r="T314" i="4"/>
  <c r="S314" i="4"/>
  <c r="AA314" i="4" s="1"/>
  <c r="R314" i="4"/>
  <c r="Q314" i="4"/>
  <c r="P314" i="4"/>
  <c r="AC313" i="4"/>
  <c r="AA313" i="4"/>
  <c r="X313" i="4"/>
  <c r="V313" i="4"/>
  <c r="Z313" i="4" s="1"/>
  <c r="AD313" i="4" s="1"/>
  <c r="U313" i="4"/>
  <c r="T313" i="4"/>
  <c r="S313" i="4"/>
  <c r="R313" i="4"/>
  <c r="Q313" i="4"/>
  <c r="W313" i="4" s="1"/>
  <c r="P313" i="4"/>
  <c r="AC312" i="4"/>
  <c r="AA312" i="4"/>
  <c r="W312" i="4"/>
  <c r="U312" i="4"/>
  <c r="T312" i="4"/>
  <c r="S312" i="4"/>
  <c r="R312" i="4"/>
  <c r="Q312" i="4"/>
  <c r="Y312" i="4" s="1"/>
  <c r="P312" i="4"/>
  <c r="AC311" i="4"/>
  <c r="AB311" i="4"/>
  <c r="X311" i="4"/>
  <c r="U311" i="4"/>
  <c r="T311" i="4"/>
  <c r="S311" i="4"/>
  <c r="R311" i="4"/>
  <c r="Q311" i="4"/>
  <c r="Y311" i="4" s="1"/>
  <c r="P311" i="4"/>
  <c r="AC310" i="4"/>
  <c r="AA310" i="4"/>
  <c r="Y310" i="4"/>
  <c r="V310" i="4"/>
  <c r="Z310" i="4" s="1"/>
  <c r="AD310" i="4" s="1"/>
  <c r="N310" i="4" s="1"/>
  <c r="U310" i="4"/>
  <c r="T310" i="4"/>
  <c r="S310" i="4"/>
  <c r="R310" i="4"/>
  <c r="Q310" i="4"/>
  <c r="P310" i="4"/>
  <c r="AC309" i="4"/>
  <c r="AB309" i="4"/>
  <c r="W309" i="4"/>
  <c r="V309" i="4"/>
  <c r="Z309" i="4" s="1"/>
  <c r="AD309" i="4" s="1"/>
  <c r="U309" i="4"/>
  <c r="T309" i="4"/>
  <c r="S309" i="4"/>
  <c r="AA309" i="4" s="1"/>
  <c r="R309" i="4"/>
  <c r="Q309" i="4"/>
  <c r="Y309" i="4" s="1"/>
  <c r="P309" i="4"/>
  <c r="AC308" i="4"/>
  <c r="AB308" i="4"/>
  <c r="X308" i="4"/>
  <c r="W308" i="4"/>
  <c r="V308" i="4"/>
  <c r="Z308" i="4" s="1"/>
  <c r="U308" i="4"/>
  <c r="T308" i="4"/>
  <c r="S308" i="4"/>
  <c r="AA308" i="4" s="1"/>
  <c r="R308" i="4"/>
  <c r="Q308" i="4"/>
  <c r="Y308" i="4" s="1"/>
  <c r="P308" i="4"/>
  <c r="AC307" i="4"/>
  <c r="Y307" i="4"/>
  <c r="X307" i="4"/>
  <c r="V307" i="4"/>
  <c r="Z307" i="4" s="1"/>
  <c r="AD307" i="4" s="1"/>
  <c r="N307" i="4" s="1"/>
  <c r="U307" i="4"/>
  <c r="T307" i="4"/>
  <c r="S307" i="4"/>
  <c r="AA307" i="4" s="1"/>
  <c r="R307" i="4"/>
  <c r="Q307" i="4"/>
  <c r="W307" i="4" s="1"/>
  <c r="P307" i="4"/>
  <c r="AC306" i="4"/>
  <c r="Y306" i="4"/>
  <c r="W306" i="4"/>
  <c r="U306" i="4"/>
  <c r="T306" i="4"/>
  <c r="S306" i="4"/>
  <c r="R306" i="4"/>
  <c r="Q306" i="4"/>
  <c r="P306" i="4"/>
  <c r="AC305" i="4"/>
  <c r="X305" i="4"/>
  <c r="V305" i="4"/>
  <c r="Z305" i="4" s="1"/>
  <c r="U305" i="4"/>
  <c r="T305" i="4"/>
  <c r="S305" i="4"/>
  <c r="AA305" i="4" s="1"/>
  <c r="R305" i="4"/>
  <c r="Q305" i="4"/>
  <c r="W305" i="4" s="1"/>
  <c r="P305" i="4"/>
  <c r="AC304" i="4"/>
  <c r="AA304" i="4"/>
  <c r="Y304" i="4"/>
  <c r="W304" i="4"/>
  <c r="U304" i="4"/>
  <c r="T304" i="4"/>
  <c r="S304" i="4"/>
  <c r="R304" i="4"/>
  <c r="Q304" i="4"/>
  <c r="P304" i="4"/>
  <c r="AC303" i="4"/>
  <c r="AB303" i="4"/>
  <c r="X303" i="4"/>
  <c r="U303" i="4"/>
  <c r="T303" i="4"/>
  <c r="S303" i="4"/>
  <c r="AA303" i="4" s="1"/>
  <c r="R303" i="4"/>
  <c r="Q303" i="4"/>
  <c r="Y303" i="4" s="1"/>
  <c r="P303" i="4"/>
  <c r="AC302" i="4"/>
  <c r="V302" i="4"/>
  <c r="Z302" i="4" s="1"/>
  <c r="AD302" i="4" s="1"/>
  <c r="U302" i="4"/>
  <c r="AA302" i="4" s="1"/>
  <c r="T302" i="4"/>
  <c r="S302" i="4"/>
  <c r="R302" i="4"/>
  <c r="Q302" i="4"/>
  <c r="Y302" i="4" s="1"/>
  <c r="P302" i="4"/>
  <c r="AC301" i="4"/>
  <c r="AB301" i="4"/>
  <c r="W301" i="4"/>
  <c r="V301" i="4"/>
  <c r="Z301" i="4" s="1"/>
  <c r="U301" i="4"/>
  <c r="T301" i="4"/>
  <c r="S301" i="4"/>
  <c r="AA301" i="4" s="1"/>
  <c r="R301" i="4"/>
  <c r="Q301" i="4"/>
  <c r="Y301" i="4" s="1"/>
  <c r="P301" i="4"/>
  <c r="AC300" i="4"/>
  <c r="AB300" i="4"/>
  <c r="X300" i="4"/>
  <c r="W300" i="4"/>
  <c r="V300" i="4"/>
  <c r="Z300" i="4" s="1"/>
  <c r="AD300" i="4" s="1"/>
  <c r="U300" i="4"/>
  <c r="AA300" i="4" s="1"/>
  <c r="T300" i="4"/>
  <c r="S300" i="4"/>
  <c r="R300" i="4"/>
  <c r="Q300" i="4"/>
  <c r="Y300" i="4" s="1"/>
  <c r="P300" i="4"/>
  <c r="AC299" i="4"/>
  <c r="W299" i="4"/>
  <c r="U299" i="4"/>
  <c r="T299" i="4"/>
  <c r="S299" i="4"/>
  <c r="AA299" i="4" s="1"/>
  <c r="R299" i="4"/>
  <c r="Q299" i="4"/>
  <c r="AB299" i="4" s="1"/>
  <c r="P299" i="4"/>
  <c r="AC298" i="4"/>
  <c r="W298" i="4"/>
  <c r="U298" i="4"/>
  <c r="T298" i="4"/>
  <c r="S298" i="4"/>
  <c r="R298" i="4"/>
  <c r="Q298" i="4"/>
  <c r="Y298" i="4" s="1"/>
  <c r="P298" i="4"/>
  <c r="AC297" i="4"/>
  <c r="U297" i="4"/>
  <c r="T297" i="4"/>
  <c r="S297" i="4"/>
  <c r="AA297" i="4" s="1"/>
  <c r="R297" i="4"/>
  <c r="Q297" i="4"/>
  <c r="AB297" i="4" s="1"/>
  <c r="P297" i="4"/>
  <c r="AC296" i="4"/>
  <c r="U296" i="4"/>
  <c r="T296" i="4"/>
  <c r="S296" i="4"/>
  <c r="AA296" i="4" s="1"/>
  <c r="R296" i="4"/>
  <c r="Q296" i="4"/>
  <c r="P296" i="4"/>
  <c r="AC295" i="4"/>
  <c r="AB295" i="4"/>
  <c r="X295" i="4"/>
  <c r="U295" i="4"/>
  <c r="AA295" i="4" s="1"/>
  <c r="T295" i="4"/>
  <c r="S295" i="4"/>
  <c r="R295" i="4"/>
  <c r="Q295" i="4"/>
  <c r="Y295" i="4" s="1"/>
  <c r="P295" i="4"/>
  <c r="AC294" i="4"/>
  <c r="AB294" i="4"/>
  <c r="Y294" i="4"/>
  <c r="V294" i="4"/>
  <c r="Z294" i="4" s="1"/>
  <c r="U294" i="4"/>
  <c r="T294" i="4"/>
  <c r="S294" i="4"/>
  <c r="AA294" i="4" s="1"/>
  <c r="R294" i="4"/>
  <c r="Q294" i="4"/>
  <c r="P294" i="4"/>
  <c r="AC293" i="4"/>
  <c r="AB293" i="4"/>
  <c r="AA293" i="4"/>
  <c r="W293" i="4"/>
  <c r="V293" i="4"/>
  <c r="Z293" i="4" s="1"/>
  <c r="U293" i="4"/>
  <c r="T293" i="4"/>
  <c r="S293" i="4"/>
  <c r="R293" i="4"/>
  <c r="Q293" i="4"/>
  <c r="Y293" i="4" s="1"/>
  <c r="P293" i="4"/>
  <c r="AC292" i="4"/>
  <c r="AB292" i="4"/>
  <c r="X292" i="4"/>
  <c r="W292" i="4"/>
  <c r="V292" i="4"/>
  <c r="Z292" i="4" s="1"/>
  <c r="AD292" i="4" s="1"/>
  <c r="N292" i="4" s="1"/>
  <c r="U292" i="4"/>
  <c r="T292" i="4"/>
  <c r="S292" i="4"/>
  <c r="AA292" i="4" s="1"/>
  <c r="R292" i="4"/>
  <c r="Q292" i="4"/>
  <c r="Y292" i="4" s="1"/>
  <c r="P292" i="4"/>
  <c r="AC291" i="4"/>
  <c r="W291" i="4"/>
  <c r="U291" i="4"/>
  <c r="T291" i="4"/>
  <c r="S291" i="4"/>
  <c r="AA291" i="4" s="1"/>
  <c r="R291" i="4"/>
  <c r="Q291" i="4"/>
  <c r="V291" i="4" s="1"/>
  <c r="Z291" i="4" s="1"/>
  <c r="P291" i="4"/>
  <c r="AC290" i="4"/>
  <c r="W290" i="4"/>
  <c r="U290" i="4"/>
  <c r="T290" i="4"/>
  <c r="S290" i="4"/>
  <c r="AA290" i="4" s="1"/>
  <c r="R290" i="4"/>
  <c r="Q290" i="4"/>
  <c r="AB290" i="4" s="1"/>
  <c r="P290" i="4"/>
  <c r="AC289" i="4"/>
  <c r="AB289" i="4"/>
  <c r="X289" i="4"/>
  <c r="W289" i="4"/>
  <c r="V289" i="4"/>
  <c r="Z289" i="4" s="1"/>
  <c r="AD289" i="4" s="1"/>
  <c r="U289" i="4"/>
  <c r="T289" i="4"/>
  <c r="S289" i="4"/>
  <c r="AA289" i="4" s="1"/>
  <c r="R289" i="4"/>
  <c r="Q289" i="4"/>
  <c r="Y289" i="4" s="1"/>
  <c r="P289" i="4"/>
  <c r="AC288" i="4"/>
  <c r="Y288" i="4"/>
  <c r="U288" i="4"/>
  <c r="T288" i="4"/>
  <c r="S288" i="4"/>
  <c r="AA288" i="4" s="1"/>
  <c r="R288" i="4"/>
  <c r="Q288" i="4"/>
  <c r="P288" i="4"/>
  <c r="AC287" i="4"/>
  <c r="AB287" i="4"/>
  <c r="U287" i="4"/>
  <c r="T287" i="4"/>
  <c r="S287" i="4"/>
  <c r="AA287" i="4" s="1"/>
  <c r="R287" i="4"/>
  <c r="Q287" i="4"/>
  <c r="Y287" i="4" s="1"/>
  <c r="P287" i="4"/>
  <c r="AC286" i="4"/>
  <c r="X286" i="4"/>
  <c r="W286" i="4"/>
  <c r="V286" i="4"/>
  <c r="Z286" i="4" s="1"/>
  <c r="AD286" i="4" s="1"/>
  <c r="U286" i="4"/>
  <c r="T286" i="4"/>
  <c r="S286" i="4"/>
  <c r="R286" i="4"/>
  <c r="Q286" i="4"/>
  <c r="Y286" i="4" s="1"/>
  <c r="P286" i="4"/>
  <c r="AC285" i="4"/>
  <c r="AB285" i="4"/>
  <c r="X285" i="4"/>
  <c r="W285" i="4"/>
  <c r="V285" i="4"/>
  <c r="Z285" i="4" s="1"/>
  <c r="AD285" i="4" s="1"/>
  <c r="N285" i="4" s="1"/>
  <c r="U285" i="4"/>
  <c r="T285" i="4"/>
  <c r="S285" i="4"/>
  <c r="AA285" i="4" s="1"/>
  <c r="R285" i="4"/>
  <c r="Q285" i="4"/>
  <c r="Y285" i="4" s="1"/>
  <c r="P285" i="4"/>
  <c r="AC284" i="4"/>
  <c r="AB284" i="4"/>
  <c r="W284" i="4"/>
  <c r="U284" i="4"/>
  <c r="T284" i="4"/>
  <c r="S284" i="4"/>
  <c r="R284" i="4"/>
  <c r="Q284" i="4"/>
  <c r="Y284" i="4" s="1"/>
  <c r="P284" i="4"/>
  <c r="AC283" i="4"/>
  <c r="X283" i="4"/>
  <c r="V283" i="4"/>
  <c r="Z283" i="4" s="1"/>
  <c r="U283" i="4"/>
  <c r="T283" i="4"/>
  <c r="S283" i="4"/>
  <c r="AA283" i="4" s="1"/>
  <c r="R283" i="4"/>
  <c r="Q283" i="4"/>
  <c r="AB283" i="4" s="1"/>
  <c r="P283" i="4"/>
  <c r="AC282" i="4"/>
  <c r="W282" i="4"/>
  <c r="U282" i="4"/>
  <c r="T282" i="4"/>
  <c r="S282" i="4"/>
  <c r="AA282" i="4" s="1"/>
  <c r="R282" i="4"/>
  <c r="Q282" i="4"/>
  <c r="Y282" i="4" s="1"/>
  <c r="P282" i="4"/>
  <c r="AC281" i="4"/>
  <c r="AB281" i="4"/>
  <c r="X281" i="4"/>
  <c r="W281" i="4"/>
  <c r="V281" i="4"/>
  <c r="Z281" i="4" s="1"/>
  <c r="U281" i="4"/>
  <c r="T281" i="4"/>
  <c r="S281" i="4"/>
  <c r="AA281" i="4" s="1"/>
  <c r="R281" i="4"/>
  <c r="Q281" i="4"/>
  <c r="Y281" i="4" s="1"/>
  <c r="P281" i="4"/>
  <c r="AC280" i="4"/>
  <c r="Y280" i="4"/>
  <c r="U280" i="4"/>
  <c r="T280" i="4"/>
  <c r="S280" i="4"/>
  <c r="AA280" i="4" s="1"/>
  <c r="R280" i="4"/>
  <c r="Q280" i="4"/>
  <c r="P280" i="4"/>
  <c r="AC279" i="4"/>
  <c r="AB279" i="4"/>
  <c r="U279" i="4"/>
  <c r="T279" i="4"/>
  <c r="S279" i="4"/>
  <c r="AA279" i="4" s="1"/>
  <c r="R279" i="4"/>
  <c r="Q279" i="4"/>
  <c r="Y279" i="4" s="1"/>
  <c r="P279" i="4"/>
  <c r="AC278" i="4"/>
  <c r="X278" i="4"/>
  <c r="W278" i="4"/>
  <c r="V278" i="4"/>
  <c r="Z278" i="4" s="1"/>
  <c r="AD278" i="4" s="1"/>
  <c r="U278" i="4"/>
  <c r="T278" i="4"/>
  <c r="S278" i="4"/>
  <c r="R278" i="4"/>
  <c r="Q278" i="4"/>
  <c r="Y278" i="4" s="1"/>
  <c r="P278" i="4"/>
  <c r="AC277" i="4"/>
  <c r="AB277" i="4"/>
  <c r="X277" i="4"/>
  <c r="W277" i="4"/>
  <c r="V277" i="4"/>
  <c r="Z277" i="4" s="1"/>
  <c r="AD277" i="4" s="1"/>
  <c r="U277" i="4"/>
  <c r="T277" i="4"/>
  <c r="S277" i="4"/>
  <c r="AA277" i="4" s="1"/>
  <c r="R277" i="4"/>
  <c r="Q277" i="4"/>
  <c r="Y277" i="4" s="1"/>
  <c r="P277" i="4"/>
  <c r="AC276" i="4"/>
  <c r="AB276" i="4"/>
  <c r="W276" i="4"/>
  <c r="U276" i="4"/>
  <c r="T276" i="4"/>
  <c r="S276" i="4"/>
  <c r="AA276" i="4" s="1"/>
  <c r="R276" i="4"/>
  <c r="Q276" i="4"/>
  <c r="Y276" i="4" s="1"/>
  <c r="P276" i="4"/>
  <c r="AC275" i="4"/>
  <c r="X275" i="4"/>
  <c r="V275" i="4"/>
  <c r="Z275" i="4" s="1"/>
  <c r="U275" i="4"/>
  <c r="T275" i="4"/>
  <c r="S275" i="4"/>
  <c r="AA275" i="4" s="1"/>
  <c r="R275" i="4"/>
  <c r="Q275" i="4"/>
  <c r="AB275" i="4" s="1"/>
  <c r="P275" i="4"/>
  <c r="AC274" i="4"/>
  <c r="W274" i="4"/>
  <c r="U274" i="4"/>
  <c r="T274" i="4"/>
  <c r="S274" i="4"/>
  <c r="AA274" i="4" s="1"/>
  <c r="R274" i="4"/>
  <c r="Q274" i="4"/>
  <c r="P274" i="4"/>
  <c r="AC273" i="4"/>
  <c r="AB273" i="4"/>
  <c r="X273" i="4"/>
  <c r="W273" i="4"/>
  <c r="V273" i="4"/>
  <c r="Z273" i="4" s="1"/>
  <c r="U273" i="4"/>
  <c r="T273" i="4"/>
  <c r="S273" i="4"/>
  <c r="AA273" i="4" s="1"/>
  <c r="R273" i="4"/>
  <c r="Q273" i="4"/>
  <c r="Y273" i="4" s="1"/>
  <c r="P273" i="4"/>
  <c r="AC272" i="4"/>
  <c r="AA272" i="4"/>
  <c r="Y272" i="4"/>
  <c r="U272" i="4"/>
  <c r="T272" i="4"/>
  <c r="S272" i="4"/>
  <c r="R272" i="4"/>
  <c r="Q272" i="4"/>
  <c r="P272" i="4"/>
  <c r="AC271" i="4"/>
  <c r="AB271" i="4"/>
  <c r="U271" i="4"/>
  <c r="T271" i="4"/>
  <c r="S271" i="4"/>
  <c r="AA271" i="4" s="1"/>
  <c r="R271" i="4"/>
  <c r="Q271" i="4"/>
  <c r="Y271" i="4" s="1"/>
  <c r="P271" i="4"/>
  <c r="AC270" i="4"/>
  <c r="X270" i="4"/>
  <c r="W270" i="4"/>
  <c r="V270" i="4"/>
  <c r="Z270" i="4" s="1"/>
  <c r="AD270" i="4" s="1"/>
  <c r="U270" i="4"/>
  <c r="T270" i="4"/>
  <c r="S270" i="4"/>
  <c r="AA270" i="4" s="1"/>
  <c r="R270" i="4"/>
  <c r="Q270" i="4"/>
  <c r="Y270" i="4" s="1"/>
  <c r="P270" i="4"/>
  <c r="AC269" i="4"/>
  <c r="AB269" i="4"/>
  <c r="X269" i="4"/>
  <c r="W269" i="4"/>
  <c r="V269" i="4"/>
  <c r="Z269" i="4" s="1"/>
  <c r="AD269" i="4" s="1"/>
  <c r="U269" i="4"/>
  <c r="T269" i="4"/>
  <c r="S269" i="4"/>
  <c r="AA269" i="4" s="1"/>
  <c r="R269" i="4"/>
  <c r="Q269" i="4"/>
  <c r="Y269" i="4" s="1"/>
  <c r="P269" i="4"/>
  <c r="AC268" i="4"/>
  <c r="AB268" i="4"/>
  <c r="W268" i="4"/>
  <c r="U268" i="4"/>
  <c r="T268" i="4"/>
  <c r="S268" i="4"/>
  <c r="AA268" i="4" s="1"/>
  <c r="R268" i="4"/>
  <c r="Q268" i="4"/>
  <c r="Y268" i="4" s="1"/>
  <c r="P268" i="4"/>
  <c r="AC267" i="4"/>
  <c r="X267" i="4"/>
  <c r="V267" i="4"/>
  <c r="Z267" i="4" s="1"/>
  <c r="AD267" i="4" s="1"/>
  <c r="U267" i="4"/>
  <c r="T267" i="4"/>
  <c r="S267" i="4"/>
  <c r="AA267" i="4" s="1"/>
  <c r="R267" i="4"/>
  <c r="Q267" i="4"/>
  <c r="AB267" i="4" s="1"/>
  <c r="P267" i="4"/>
  <c r="AC266" i="4"/>
  <c r="W266" i="4"/>
  <c r="U266" i="4"/>
  <c r="T266" i="4"/>
  <c r="S266" i="4"/>
  <c r="AA266" i="4" s="1"/>
  <c r="R266" i="4"/>
  <c r="Q266" i="4"/>
  <c r="Y266" i="4" s="1"/>
  <c r="P266" i="4"/>
  <c r="AC265" i="4"/>
  <c r="AB265" i="4"/>
  <c r="X265" i="4"/>
  <c r="W265" i="4"/>
  <c r="V265" i="4"/>
  <c r="Z265" i="4" s="1"/>
  <c r="U265" i="4"/>
  <c r="T265" i="4"/>
  <c r="S265" i="4"/>
  <c r="AA265" i="4" s="1"/>
  <c r="R265" i="4"/>
  <c r="Q265" i="4"/>
  <c r="Y265" i="4" s="1"/>
  <c r="P265" i="4"/>
  <c r="AC264" i="4"/>
  <c r="AA264" i="4"/>
  <c r="Y264" i="4"/>
  <c r="U264" i="4"/>
  <c r="T264" i="4"/>
  <c r="S264" i="4"/>
  <c r="R264" i="4"/>
  <c r="Q264" i="4"/>
  <c r="P264" i="4"/>
  <c r="AC263" i="4"/>
  <c r="AB263" i="4"/>
  <c r="V263" i="4"/>
  <c r="Z263" i="4" s="1"/>
  <c r="U263" i="4"/>
  <c r="T263" i="4"/>
  <c r="S263" i="4"/>
  <c r="AA263" i="4" s="1"/>
  <c r="R263" i="4"/>
  <c r="Q263" i="4"/>
  <c r="Y263" i="4" s="1"/>
  <c r="P263" i="4"/>
  <c r="AC262" i="4"/>
  <c r="AA262" i="4"/>
  <c r="X262" i="4"/>
  <c r="W262" i="4"/>
  <c r="V262" i="4"/>
  <c r="Z262" i="4" s="1"/>
  <c r="AD262" i="4" s="1"/>
  <c r="U262" i="4"/>
  <c r="T262" i="4"/>
  <c r="S262" i="4"/>
  <c r="R262" i="4"/>
  <c r="Q262" i="4"/>
  <c r="Y262" i="4" s="1"/>
  <c r="P262" i="4"/>
  <c r="AC261" i="4"/>
  <c r="AB261" i="4"/>
  <c r="X261" i="4"/>
  <c r="W261" i="4"/>
  <c r="V261" i="4"/>
  <c r="Z261" i="4" s="1"/>
  <c r="U261" i="4"/>
  <c r="T261" i="4"/>
  <c r="S261" i="4"/>
  <c r="AA261" i="4" s="1"/>
  <c r="R261" i="4"/>
  <c r="Q261" i="4"/>
  <c r="Y261" i="4" s="1"/>
  <c r="P261" i="4"/>
  <c r="AC260" i="4"/>
  <c r="W260" i="4"/>
  <c r="U260" i="4"/>
  <c r="T260" i="4"/>
  <c r="S260" i="4"/>
  <c r="R260" i="4"/>
  <c r="Q260" i="4"/>
  <c r="AB260" i="4" s="1"/>
  <c r="P260" i="4"/>
  <c r="AC259" i="4"/>
  <c r="X259" i="4"/>
  <c r="V259" i="4"/>
  <c r="Z259" i="4" s="1"/>
  <c r="AD259" i="4" s="1"/>
  <c r="U259" i="4"/>
  <c r="T259" i="4"/>
  <c r="S259" i="4"/>
  <c r="AA259" i="4" s="1"/>
  <c r="R259" i="4"/>
  <c r="Q259" i="4"/>
  <c r="AB259" i="4" s="1"/>
  <c r="P259" i="4"/>
  <c r="AC258" i="4"/>
  <c r="Y258" i="4"/>
  <c r="W258" i="4"/>
  <c r="U258" i="4"/>
  <c r="T258" i="4"/>
  <c r="S258" i="4"/>
  <c r="AA258" i="4" s="1"/>
  <c r="R258" i="4"/>
  <c r="Q258" i="4"/>
  <c r="P258" i="4"/>
  <c r="AC257" i="4"/>
  <c r="AB257" i="4"/>
  <c r="X257" i="4"/>
  <c r="W257" i="4"/>
  <c r="V257" i="4"/>
  <c r="Z257" i="4" s="1"/>
  <c r="U257" i="4"/>
  <c r="T257" i="4"/>
  <c r="S257" i="4"/>
  <c r="AA257" i="4" s="1"/>
  <c r="R257" i="4"/>
  <c r="Q257" i="4"/>
  <c r="Y257" i="4" s="1"/>
  <c r="P257" i="4"/>
  <c r="AC256" i="4"/>
  <c r="Y256" i="4"/>
  <c r="U256" i="4"/>
  <c r="T256" i="4"/>
  <c r="S256" i="4"/>
  <c r="AA256" i="4" s="1"/>
  <c r="R256" i="4"/>
  <c r="Q256" i="4"/>
  <c r="P256" i="4"/>
  <c r="AC255" i="4"/>
  <c r="AB255" i="4"/>
  <c r="V255" i="4"/>
  <c r="Z255" i="4" s="1"/>
  <c r="U255" i="4"/>
  <c r="T255" i="4"/>
  <c r="S255" i="4"/>
  <c r="AA255" i="4" s="1"/>
  <c r="R255" i="4"/>
  <c r="Q255" i="4"/>
  <c r="Y255" i="4" s="1"/>
  <c r="P255" i="4"/>
  <c r="AC254" i="4"/>
  <c r="AA254" i="4"/>
  <c r="X254" i="4"/>
  <c r="W254" i="4"/>
  <c r="V254" i="4"/>
  <c r="Z254" i="4" s="1"/>
  <c r="AD254" i="4" s="1"/>
  <c r="U254" i="4"/>
  <c r="T254" i="4"/>
  <c r="S254" i="4"/>
  <c r="R254" i="4"/>
  <c r="Q254" i="4"/>
  <c r="Y254" i="4" s="1"/>
  <c r="P254" i="4"/>
  <c r="AC253" i="4"/>
  <c r="AB253" i="4"/>
  <c r="X253" i="4"/>
  <c r="W253" i="4"/>
  <c r="V253" i="4"/>
  <c r="Z253" i="4" s="1"/>
  <c r="AD253" i="4" s="1"/>
  <c r="U253" i="4"/>
  <c r="T253" i="4"/>
  <c r="S253" i="4"/>
  <c r="AA253" i="4" s="1"/>
  <c r="R253" i="4"/>
  <c r="Q253" i="4"/>
  <c r="Y253" i="4" s="1"/>
  <c r="P253" i="4"/>
  <c r="AC252" i="4"/>
  <c r="W252" i="4"/>
  <c r="U252" i="4"/>
  <c r="T252" i="4"/>
  <c r="S252" i="4"/>
  <c r="AA252" i="4" s="1"/>
  <c r="R252" i="4"/>
  <c r="Q252" i="4"/>
  <c r="AB252" i="4" s="1"/>
  <c r="P252" i="4"/>
  <c r="AC251" i="4"/>
  <c r="X251" i="4"/>
  <c r="V251" i="4"/>
  <c r="Z251" i="4" s="1"/>
  <c r="U251" i="4"/>
  <c r="T251" i="4"/>
  <c r="S251" i="4"/>
  <c r="AA251" i="4" s="1"/>
  <c r="R251" i="4"/>
  <c r="Q251" i="4"/>
  <c r="AB251" i="4" s="1"/>
  <c r="P251" i="4"/>
  <c r="AC250" i="4"/>
  <c r="W250" i="4"/>
  <c r="U250" i="4"/>
  <c r="T250" i="4"/>
  <c r="S250" i="4"/>
  <c r="AA250" i="4" s="1"/>
  <c r="R250" i="4"/>
  <c r="Q250" i="4"/>
  <c r="Y250" i="4" s="1"/>
  <c r="P250" i="4"/>
  <c r="AC249" i="4"/>
  <c r="AB249" i="4"/>
  <c r="X249" i="4"/>
  <c r="W249" i="4"/>
  <c r="U249" i="4"/>
  <c r="T249" i="4"/>
  <c r="S249" i="4"/>
  <c r="AA249" i="4" s="1"/>
  <c r="R249" i="4"/>
  <c r="Q249" i="4"/>
  <c r="V249" i="4" s="1"/>
  <c r="Z249" i="4" s="1"/>
  <c r="P249" i="4"/>
  <c r="AC248" i="4"/>
  <c r="AA248" i="4"/>
  <c r="U248" i="4"/>
  <c r="T248" i="4"/>
  <c r="S248" i="4"/>
  <c r="R248" i="4"/>
  <c r="Q248" i="4"/>
  <c r="P248" i="4"/>
  <c r="AC247" i="4"/>
  <c r="AB247" i="4"/>
  <c r="V247" i="4"/>
  <c r="Z247" i="4" s="1"/>
  <c r="U247" i="4"/>
  <c r="T247" i="4"/>
  <c r="S247" i="4"/>
  <c r="AA247" i="4" s="1"/>
  <c r="R247" i="4"/>
  <c r="Q247" i="4"/>
  <c r="Y247" i="4" s="1"/>
  <c r="P247" i="4"/>
  <c r="AC246" i="4"/>
  <c r="AB246" i="4"/>
  <c r="W246" i="4"/>
  <c r="V246" i="4"/>
  <c r="Z246" i="4" s="1"/>
  <c r="AD246" i="4" s="1"/>
  <c r="U246" i="4"/>
  <c r="T246" i="4"/>
  <c r="S246" i="4"/>
  <c r="AA246" i="4" s="1"/>
  <c r="R246" i="4"/>
  <c r="Q246" i="4"/>
  <c r="Y246" i="4" s="1"/>
  <c r="P246" i="4"/>
  <c r="AC245" i="4"/>
  <c r="AB245" i="4"/>
  <c r="X245" i="4"/>
  <c r="W245" i="4"/>
  <c r="V245" i="4"/>
  <c r="Z245" i="4" s="1"/>
  <c r="AD245" i="4" s="1"/>
  <c r="N245" i="4" s="1"/>
  <c r="U245" i="4"/>
  <c r="T245" i="4"/>
  <c r="S245" i="4"/>
  <c r="AA245" i="4" s="1"/>
  <c r="R245" i="4"/>
  <c r="Q245" i="4"/>
  <c r="Y245" i="4" s="1"/>
  <c r="P245" i="4"/>
  <c r="AC244" i="4"/>
  <c r="W244" i="4"/>
  <c r="U244" i="4"/>
  <c r="T244" i="4"/>
  <c r="S244" i="4"/>
  <c r="R244" i="4"/>
  <c r="Q244" i="4"/>
  <c r="AB244" i="4" s="1"/>
  <c r="P244" i="4"/>
  <c r="AC243" i="4"/>
  <c r="X243" i="4"/>
  <c r="V243" i="4"/>
  <c r="Z243" i="4" s="1"/>
  <c r="U243" i="4"/>
  <c r="T243" i="4"/>
  <c r="S243" i="4"/>
  <c r="AA243" i="4" s="1"/>
  <c r="R243" i="4"/>
  <c r="Q243" i="4"/>
  <c r="AB243" i="4" s="1"/>
  <c r="P243" i="4"/>
  <c r="AC242" i="4"/>
  <c r="Y242" i="4"/>
  <c r="U242" i="4"/>
  <c r="T242" i="4"/>
  <c r="S242" i="4"/>
  <c r="AA242" i="4" s="1"/>
  <c r="R242" i="4"/>
  <c r="Q242" i="4"/>
  <c r="P242" i="4"/>
  <c r="AC241" i="4"/>
  <c r="AB241" i="4"/>
  <c r="X241" i="4"/>
  <c r="W241" i="4"/>
  <c r="U241" i="4"/>
  <c r="T241" i="4"/>
  <c r="S241" i="4"/>
  <c r="AA241" i="4" s="1"/>
  <c r="R241" i="4"/>
  <c r="Q241" i="4"/>
  <c r="V241" i="4" s="1"/>
  <c r="Z241" i="4" s="1"/>
  <c r="P241" i="4"/>
  <c r="AC240" i="4"/>
  <c r="AA240" i="4"/>
  <c r="Y240" i="4"/>
  <c r="U240" i="4"/>
  <c r="T240" i="4"/>
  <c r="S240" i="4"/>
  <c r="R240" i="4"/>
  <c r="Q240" i="4"/>
  <c r="P240" i="4"/>
  <c r="AC239" i="4"/>
  <c r="AB239" i="4"/>
  <c r="V239" i="4"/>
  <c r="Z239" i="4" s="1"/>
  <c r="AD239" i="4" s="1"/>
  <c r="U239" i="4"/>
  <c r="T239" i="4"/>
  <c r="S239" i="4"/>
  <c r="AA239" i="4" s="1"/>
  <c r="R239" i="4"/>
  <c r="Q239" i="4"/>
  <c r="Y239" i="4" s="1"/>
  <c r="P239" i="4"/>
  <c r="AC238" i="4"/>
  <c r="AB238" i="4"/>
  <c r="W238" i="4"/>
  <c r="V238" i="4"/>
  <c r="Z238" i="4" s="1"/>
  <c r="AD238" i="4" s="1"/>
  <c r="U238" i="4"/>
  <c r="T238" i="4"/>
  <c r="S238" i="4"/>
  <c r="AA238" i="4" s="1"/>
  <c r="R238" i="4"/>
  <c r="Q238" i="4"/>
  <c r="Y238" i="4" s="1"/>
  <c r="P238" i="4"/>
  <c r="AC237" i="4"/>
  <c r="AB237" i="4"/>
  <c r="X237" i="4"/>
  <c r="W237" i="4"/>
  <c r="V237" i="4"/>
  <c r="Z237" i="4" s="1"/>
  <c r="AD237" i="4" s="1"/>
  <c r="U237" i="4"/>
  <c r="T237" i="4"/>
  <c r="S237" i="4"/>
  <c r="AA237" i="4" s="1"/>
  <c r="R237" i="4"/>
  <c r="Q237" i="4"/>
  <c r="Y237" i="4" s="1"/>
  <c r="P237" i="4"/>
  <c r="AC236" i="4"/>
  <c r="U236" i="4"/>
  <c r="T236" i="4"/>
  <c r="S236" i="4"/>
  <c r="AA236" i="4" s="1"/>
  <c r="R236" i="4"/>
  <c r="Q236" i="4"/>
  <c r="P236" i="4"/>
  <c r="AC235" i="4"/>
  <c r="X235" i="4"/>
  <c r="W235" i="4"/>
  <c r="V235" i="4"/>
  <c r="Z235" i="4" s="1"/>
  <c r="U235" i="4"/>
  <c r="T235" i="4"/>
  <c r="S235" i="4"/>
  <c r="AA235" i="4" s="1"/>
  <c r="R235" i="4"/>
  <c r="Q235" i="4"/>
  <c r="AB235" i="4" s="1"/>
  <c r="P235" i="4"/>
  <c r="AC234" i="4"/>
  <c r="U234" i="4"/>
  <c r="T234" i="4"/>
  <c r="S234" i="4"/>
  <c r="AA234" i="4" s="1"/>
  <c r="R234" i="4"/>
  <c r="Q234" i="4"/>
  <c r="P234" i="4"/>
  <c r="AC233" i="4"/>
  <c r="AB233" i="4"/>
  <c r="X233" i="4"/>
  <c r="W233" i="4"/>
  <c r="U233" i="4"/>
  <c r="T233" i="4"/>
  <c r="S233" i="4"/>
  <c r="AA233" i="4" s="1"/>
  <c r="R233" i="4"/>
  <c r="Q233" i="4"/>
  <c r="V233" i="4" s="1"/>
  <c r="Z233" i="4" s="1"/>
  <c r="P233" i="4"/>
  <c r="AC232" i="4"/>
  <c r="Y232" i="4"/>
  <c r="U232" i="4"/>
  <c r="T232" i="4"/>
  <c r="S232" i="4"/>
  <c r="AA232" i="4" s="1"/>
  <c r="R232" i="4"/>
  <c r="Q232" i="4"/>
  <c r="P232" i="4"/>
  <c r="AC231" i="4"/>
  <c r="AB231" i="4"/>
  <c r="V231" i="4"/>
  <c r="Z231" i="4" s="1"/>
  <c r="AD231" i="4" s="1"/>
  <c r="N231" i="4" s="1"/>
  <c r="U231" i="4"/>
  <c r="T231" i="4"/>
  <c r="S231" i="4"/>
  <c r="AA231" i="4" s="1"/>
  <c r="R231" i="4"/>
  <c r="Q231" i="4"/>
  <c r="Y231" i="4" s="1"/>
  <c r="P231" i="4"/>
  <c r="AC230" i="4"/>
  <c r="AB230" i="4"/>
  <c r="W230" i="4"/>
  <c r="V230" i="4"/>
  <c r="Z230" i="4" s="1"/>
  <c r="AD230" i="4" s="1"/>
  <c r="U230" i="4"/>
  <c r="T230" i="4"/>
  <c r="S230" i="4"/>
  <c r="AA230" i="4" s="1"/>
  <c r="R230" i="4"/>
  <c r="Q230" i="4"/>
  <c r="Y230" i="4" s="1"/>
  <c r="P230" i="4"/>
  <c r="AC229" i="4"/>
  <c r="AB229" i="4"/>
  <c r="X229" i="4"/>
  <c r="W229" i="4"/>
  <c r="V229" i="4"/>
  <c r="Z229" i="4" s="1"/>
  <c r="AD229" i="4" s="1"/>
  <c r="N229" i="4" s="1"/>
  <c r="U229" i="4"/>
  <c r="T229" i="4"/>
  <c r="S229" i="4"/>
  <c r="AA229" i="4" s="1"/>
  <c r="R229" i="4"/>
  <c r="Q229" i="4"/>
  <c r="Y229" i="4" s="1"/>
  <c r="P229" i="4"/>
  <c r="AC228" i="4"/>
  <c r="Y228" i="4"/>
  <c r="U228" i="4"/>
  <c r="T228" i="4"/>
  <c r="S228" i="4"/>
  <c r="R228" i="4"/>
  <c r="Q228" i="4"/>
  <c r="P228" i="4"/>
  <c r="AC227" i="4"/>
  <c r="X227" i="4"/>
  <c r="W227" i="4"/>
  <c r="V227" i="4"/>
  <c r="Z227" i="4" s="1"/>
  <c r="U227" i="4"/>
  <c r="T227" i="4"/>
  <c r="S227" i="4"/>
  <c r="AA227" i="4" s="1"/>
  <c r="R227" i="4"/>
  <c r="Q227" i="4"/>
  <c r="AB227" i="4" s="1"/>
  <c r="P227" i="4"/>
  <c r="AC226" i="4"/>
  <c r="Y226" i="4"/>
  <c r="U226" i="4"/>
  <c r="T226" i="4"/>
  <c r="S226" i="4"/>
  <c r="AA226" i="4" s="1"/>
  <c r="R226" i="4"/>
  <c r="Q226" i="4"/>
  <c r="P226" i="4"/>
  <c r="AC225" i="4"/>
  <c r="AB225" i="4"/>
  <c r="X225" i="4"/>
  <c r="W225" i="4"/>
  <c r="U225" i="4"/>
  <c r="T225" i="4"/>
  <c r="S225" i="4"/>
  <c r="AA225" i="4" s="1"/>
  <c r="R225" i="4"/>
  <c r="Q225" i="4"/>
  <c r="V225" i="4" s="1"/>
  <c r="Z225" i="4" s="1"/>
  <c r="P225" i="4"/>
  <c r="AC224" i="4"/>
  <c r="AA224" i="4"/>
  <c r="Y224" i="4"/>
  <c r="U224" i="4"/>
  <c r="T224" i="4"/>
  <c r="S224" i="4"/>
  <c r="R224" i="4"/>
  <c r="Q224" i="4"/>
  <c r="P224" i="4"/>
  <c r="AC223" i="4"/>
  <c r="Y223" i="4"/>
  <c r="V223" i="4"/>
  <c r="Z223" i="4" s="1"/>
  <c r="U223" i="4"/>
  <c r="T223" i="4"/>
  <c r="S223" i="4"/>
  <c r="AA223" i="4" s="1"/>
  <c r="R223" i="4"/>
  <c r="Q223" i="4"/>
  <c r="P223" i="4"/>
  <c r="AC222" i="4"/>
  <c r="AB222" i="4"/>
  <c r="W222" i="4"/>
  <c r="V222" i="4"/>
  <c r="Z222" i="4" s="1"/>
  <c r="U222" i="4"/>
  <c r="T222" i="4"/>
  <c r="S222" i="4"/>
  <c r="AA222" i="4" s="1"/>
  <c r="R222" i="4"/>
  <c r="Q222" i="4"/>
  <c r="Y222" i="4" s="1"/>
  <c r="P222" i="4"/>
  <c r="AC221" i="4"/>
  <c r="AB221" i="4"/>
  <c r="X221" i="4"/>
  <c r="W221" i="4"/>
  <c r="V221" i="4"/>
  <c r="Z221" i="4" s="1"/>
  <c r="AD221" i="4" s="1"/>
  <c r="N221" i="4" s="1"/>
  <c r="U221" i="4"/>
  <c r="T221" i="4"/>
  <c r="S221" i="4"/>
  <c r="AA221" i="4" s="1"/>
  <c r="R221" i="4"/>
  <c r="Q221" i="4"/>
  <c r="Y221" i="4" s="1"/>
  <c r="P221" i="4"/>
  <c r="AC220" i="4"/>
  <c r="AB220" i="4"/>
  <c r="W220" i="4"/>
  <c r="U220" i="4"/>
  <c r="T220" i="4"/>
  <c r="S220" i="4"/>
  <c r="R220" i="4"/>
  <c r="Q220" i="4"/>
  <c r="Y220" i="4" s="1"/>
  <c r="P220" i="4"/>
  <c r="AC219" i="4"/>
  <c r="X219" i="4"/>
  <c r="W219" i="4"/>
  <c r="V219" i="4"/>
  <c r="Z219" i="4" s="1"/>
  <c r="AD219" i="4" s="1"/>
  <c r="U219" i="4"/>
  <c r="T219" i="4"/>
  <c r="S219" i="4"/>
  <c r="AA219" i="4" s="1"/>
  <c r="R219" i="4"/>
  <c r="Q219" i="4"/>
  <c r="AB219" i="4" s="1"/>
  <c r="P219" i="4"/>
  <c r="AC218" i="4"/>
  <c r="Y218" i="4"/>
  <c r="W218" i="4"/>
  <c r="V218" i="4"/>
  <c r="Z218" i="4" s="1"/>
  <c r="AD218" i="4" s="1"/>
  <c r="U218" i="4"/>
  <c r="T218" i="4"/>
  <c r="S218" i="4"/>
  <c r="AA218" i="4" s="1"/>
  <c r="R218" i="4"/>
  <c r="Q218" i="4"/>
  <c r="P218" i="4"/>
  <c r="AC217" i="4"/>
  <c r="AB217" i="4"/>
  <c r="X217" i="4"/>
  <c r="W217" i="4"/>
  <c r="U217" i="4"/>
  <c r="T217" i="4"/>
  <c r="S217" i="4"/>
  <c r="AA217" i="4" s="1"/>
  <c r="R217" i="4"/>
  <c r="Q217" i="4"/>
  <c r="V217" i="4" s="1"/>
  <c r="Z217" i="4" s="1"/>
  <c r="P217" i="4"/>
  <c r="AC216" i="4"/>
  <c r="AA216" i="4"/>
  <c r="Y216" i="4"/>
  <c r="X216" i="4"/>
  <c r="U216" i="4"/>
  <c r="T216" i="4"/>
  <c r="S216" i="4"/>
  <c r="R216" i="4"/>
  <c r="Q216" i="4"/>
  <c r="P216" i="4"/>
  <c r="AC215" i="4"/>
  <c r="Y215" i="4"/>
  <c r="V215" i="4"/>
  <c r="Z215" i="4" s="1"/>
  <c r="U215" i="4"/>
  <c r="T215" i="4"/>
  <c r="S215" i="4"/>
  <c r="AA215" i="4" s="1"/>
  <c r="R215" i="4"/>
  <c r="Q215" i="4"/>
  <c r="P215" i="4"/>
  <c r="AC214" i="4"/>
  <c r="AB214" i="4"/>
  <c r="AA214" i="4"/>
  <c r="W214" i="4"/>
  <c r="V214" i="4"/>
  <c r="Z214" i="4" s="1"/>
  <c r="U214" i="4"/>
  <c r="T214" i="4"/>
  <c r="S214" i="4"/>
  <c r="R214" i="4"/>
  <c r="Q214" i="4"/>
  <c r="Y214" i="4" s="1"/>
  <c r="P214" i="4"/>
  <c r="AC213" i="4"/>
  <c r="AB213" i="4"/>
  <c r="AA213" i="4"/>
  <c r="X213" i="4"/>
  <c r="W213" i="4"/>
  <c r="V213" i="4"/>
  <c r="Z213" i="4" s="1"/>
  <c r="AD213" i="4" s="1"/>
  <c r="U213" i="4"/>
  <c r="T213" i="4"/>
  <c r="S213" i="4"/>
  <c r="R213" i="4"/>
  <c r="Q213" i="4"/>
  <c r="Y213" i="4" s="1"/>
  <c r="P213" i="4"/>
  <c r="AC212" i="4"/>
  <c r="AB212" i="4"/>
  <c r="W212" i="4"/>
  <c r="U212" i="4"/>
  <c r="T212" i="4"/>
  <c r="S212" i="4"/>
  <c r="R212" i="4"/>
  <c r="Q212" i="4"/>
  <c r="Y212" i="4" s="1"/>
  <c r="P212" i="4"/>
  <c r="AC211" i="4"/>
  <c r="X211" i="4"/>
  <c r="W211" i="4"/>
  <c r="V211" i="4"/>
  <c r="Z211" i="4" s="1"/>
  <c r="AD211" i="4" s="1"/>
  <c r="N211" i="4" s="1"/>
  <c r="O211" i="4" s="1"/>
  <c r="U211" i="4"/>
  <c r="T211" i="4"/>
  <c r="S211" i="4"/>
  <c r="R211" i="4"/>
  <c r="Q211" i="4"/>
  <c r="AB211" i="4" s="1"/>
  <c r="P211" i="4"/>
  <c r="AC210" i="4"/>
  <c r="Y210" i="4"/>
  <c r="W210" i="4"/>
  <c r="V210" i="4"/>
  <c r="Z210" i="4" s="1"/>
  <c r="AD210" i="4" s="1"/>
  <c r="N210" i="4" s="1"/>
  <c r="U210" i="4"/>
  <c r="T210" i="4"/>
  <c r="S210" i="4"/>
  <c r="AA210" i="4" s="1"/>
  <c r="R210" i="4"/>
  <c r="Q210" i="4"/>
  <c r="P210" i="4"/>
  <c r="AC209" i="4"/>
  <c r="AB209" i="4"/>
  <c r="X209" i="4"/>
  <c r="W209" i="4"/>
  <c r="U209" i="4"/>
  <c r="T209" i="4"/>
  <c r="S209" i="4"/>
  <c r="AA209" i="4" s="1"/>
  <c r="R209" i="4"/>
  <c r="Q209" i="4"/>
  <c r="V209" i="4" s="1"/>
  <c r="Z209" i="4" s="1"/>
  <c r="P209" i="4"/>
  <c r="AC208" i="4"/>
  <c r="AA208" i="4"/>
  <c r="Y208" i="4"/>
  <c r="X208" i="4"/>
  <c r="U208" i="4"/>
  <c r="T208" i="4"/>
  <c r="S208" i="4"/>
  <c r="R208" i="4"/>
  <c r="Q208" i="4"/>
  <c r="P208" i="4"/>
  <c r="AC207" i="4"/>
  <c r="Y207" i="4"/>
  <c r="V207" i="4"/>
  <c r="Z207" i="4" s="1"/>
  <c r="U207" i="4"/>
  <c r="T207" i="4"/>
  <c r="S207" i="4"/>
  <c r="AA207" i="4" s="1"/>
  <c r="R207" i="4"/>
  <c r="Q207" i="4"/>
  <c r="P207" i="4"/>
  <c r="AC206" i="4"/>
  <c r="AB206" i="4"/>
  <c r="W206" i="4"/>
  <c r="V206" i="4"/>
  <c r="Z206" i="4" s="1"/>
  <c r="U206" i="4"/>
  <c r="T206" i="4"/>
  <c r="S206" i="4"/>
  <c r="AA206" i="4" s="1"/>
  <c r="R206" i="4"/>
  <c r="Q206" i="4"/>
  <c r="Y206" i="4" s="1"/>
  <c r="P206" i="4"/>
  <c r="AC205" i="4"/>
  <c r="AB205" i="4"/>
  <c r="X205" i="4"/>
  <c r="W205" i="4"/>
  <c r="V205" i="4"/>
  <c r="Z205" i="4" s="1"/>
  <c r="U205" i="4"/>
  <c r="T205" i="4"/>
  <c r="S205" i="4"/>
  <c r="AA205" i="4" s="1"/>
  <c r="R205" i="4"/>
  <c r="Q205" i="4"/>
  <c r="Y205" i="4" s="1"/>
  <c r="P205" i="4"/>
  <c r="AC204" i="4"/>
  <c r="AB204" i="4"/>
  <c r="W204" i="4"/>
  <c r="U204" i="4"/>
  <c r="T204" i="4"/>
  <c r="S204" i="4"/>
  <c r="R204" i="4"/>
  <c r="Q204" i="4"/>
  <c r="Y204" i="4" s="1"/>
  <c r="P204" i="4"/>
  <c r="AC203" i="4"/>
  <c r="X203" i="4"/>
  <c r="W203" i="4"/>
  <c r="V203" i="4"/>
  <c r="Z203" i="4" s="1"/>
  <c r="U203" i="4"/>
  <c r="T203" i="4"/>
  <c r="S203" i="4"/>
  <c r="AA203" i="4" s="1"/>
  <c r="R203" i="4"/>
  <c r="Q203" i="4"/>
  <c r="AB203" i="4" s="1"/>
  <c r="P203" i="4"/>
  <c r="AC202" i="4"/>
  <c r="Y202" i="4"/>
  <c r="W202" i="4"/>
  <c r="V202" i="4"/>
  <c r="Z202" i="4" s="1"/>
  <c r="AD202" i="4" s="1"/>
  <c r="U202" i="4"/>
  <c r="T202" i="4"/>
  <c r="S202" i="4"/>
  <c r="AA202" i="4" s="1"/>
  <c r="R202" i="4"/>
  <c r="Q202" i="4"/>
  <c r="P202" i="4"/>
  <c r="AC201" i="4"/>
  <c r="AB201" i="4"/>
  <c r="X201" i="4"/>
  <c r="W201" i="4"/>
  <c r="U201" i="4"/>
  <c r="T201" i="4"/>
  <c r="S201" i="4"/>
  <c r="AA201" i="4" s="1"/>
  <c r="R201" i="4"/>
  <c r="Q201" i="4"/>
  <c r="V201" i="4" s="1"/>
  <c r="Z201" i="4" s="1"/>
  <c r="P201" i="4"/>
  <c r="AC200" i="4"/>
  <c r="AA200" i="4"/>
  <c r="Y200" i="4"/>
  <c r="X200" i="4"/>
  <c r="U200" i="4"/>
  <c r="T200" i="4"/>
  <c r="S200" i="4"/>
  <c r="R200" i="4"/>
  <c r="Q200" i="4"/>
  <c r="P200" i="4"/>
  <c r="AC199" i="4"/>
  <c r="Y199" i="4"/>
  <c r="V199" i="4"/>
  <c r="Z199" i="4" s="1"/>
  <c r="U199" i="4"/>
  <c r="T199" i="4"/>
  <c r="S199" i="4"/>
  <c r="AA199" i="4" s="1"/>
  <c r="R199" i="4"/>
  <c r="Q199" i="4"/>
  <c r="P199" i="4"/>
  <c r="AC198" i="4"/>
  <c r="AB198" i="4"/>
  <c r="AA198" i="4"/>
  <c r="X198" i="4"/>
  <c r="W198" i="4"/>
  <c r="V198" i="4"/>
  <c r="Z198" i="4" s="1"/>
  <c r="U198" i="4"/>
  <c r="T198" i="4"/>
  <c r="S198" i="4"/>
  <c r="R198" i="4"/>
  <c r="Q198" i="4"/>
  <c r="Y198" i="4" s="1"/>
  <c r="P198" i="4"/>
  <c r="AC197" i="4"/>
  <c r="AB197" i="4"/>
  <c r="X197" i="4"/>
  <c r="W197" i="4"/>
  <c r="V197" i="4"/>
  <c r="Z197" i="4" s="1"/>
  <c r="U197" i="4"/>
  <c r="T197" i="4"/>
  <c r="S197" i="4"/>
  <c r="AA197" i="4" s="1"/>
  <c r="R197" i="4"/>
  <c r="Q197" i="4"/>
  <c r="Y197" i="4" s="1"/>
  <c r="P197" i="4"/>
  <c r="AC196" i="4"/>
  <c r="U196" i="4"/>
  <c r="T196" i="4"/>
  <c r="S196" i="4"/>
  <c r="AA196" i="4" s="1"/>
  <c r="R196" i="4"/>
  <c r="Q196" i="4"/>
  <c r="P196" i="4"/>
  <c r="AC195" i="4"/>
  <c r="X195" i="4"/>
  <c r="W195" i="4"/>
  <c r="V195" i="4"/>
  <c r="Z195" i="4" s="1"/>
  <c r="U195" i="4"/>
  <c r="T195" i="4"/>
  <c r="S195" i="4"/>
  <c r="AA195" i="4" s="1"/>
  <c r="R195" i="4"/>
  <c r="Q195" i="4"/>
  <c r="AB195" i="4" s="1"/>
  <c r="P195" i="4"/>
  <c r="AC194" i="4"/>
  <c r="Y194" i="4"/>
  <c r="W194" i="4"/>
  <c r="U194" i="4"/>
  <c r="T194" i="4"/>
  <c r="S194" i="4"/>
  <c r="AA194" i="4" s="1"/>
  <c r="R194" i="4"/>
  <c r="Q194" i="4"/>
  <c r="V194" i="4" s="1"/>
  <c r="Z194" i="4" s="1"/>
  <c r="P194" i="4"/>
  <c r="AC193" i="4"/>
  <c r="AB193" i="4"/>
  <c r="X193" i="4"/>
  <c r="W193" i="4"/>
  <c r="U193" i="4"/>
  <c r="T193" i="4"/>
  <c r="S193" i="4"/>
  <c r="AA193" i="4" s="1"/>
  <c r="R193" i="4"/>
  <c r="Q193" i="4"/>
  <c r="V193" i="4" s="1"/>
  <c r="Z193" i="4" s="1"/>
  <c r="P193" i="4"/>
  <c r="AC192" i="4"/>
  <c r="Y192" i="4"/>
  <c r="U192" i="4"/>
  <c r="T192" i="4"/>
  <c r="S192" i="4"/>
  <c r="AA192" i="4" s="1"/>
  <c r="R192" i="4"/>
  <c r="Q192" i="4"/>
  <c r="X192" i="4" s="1"/>
  <c r="P192" i="4"/>
  <c r="AC191" i="4"/>
  <c r="AB191" i="4"/>
  <c r="Y191" i="4"/>
  <c r="U191" i="4"/>
  <c r="T191" i="4"/>
  <c r="S191" i="4"/>
  <c r="AA191" i="4" s="1"/>
  <c r="R191" i="4"/>
  <c r="Q191" i="4"/>
  <c r="P191" i="4"/>
  <c r="AC190" i="4"/>
  <c r="AB190" i="4"/>
  <c r="X190" i="4"/>
  <c r="W190" i="4"/>
  <c r="V190" i="4"/>
  <c r="Z190" i="4" s="1"/>
  <c r="U190" i="4"/>
  <c r="AA190" i="4" s="1"/>
  <c r="T190" i="4"/>
  <c r="S190" i="4"/>
  <c r="R190" i="4"/>
  <c r="Q190" i="4"/>
  <c r="Y190" i="4" s="1"/>
  <c r="P190" i="4"/>
  <c r="AC189" i="4"/>
  <c r="AB189" i="4"/>
  <c r="X189" i="4"/>
  <c r="W189" i="4"/>
  <c r="V189" i="4"/>
  <c r="Z189" i="4" s="1"/>
  <c r="AD189" i="4" s="1"/>
  <c r="N189" i="4" s="1"/>
  <c r="U189" i="4"/>
  <c r="T189" i="4"/>
  <c r="S189" i="4"/>
  <c r="AA189" i="4" s="1"/>
  <c r="R189" i="4"/>
  <c r="Q189" i="4"/>
  <c r="Y189" i="4" s="1"/>
  <c r="P189" i="4"/>
  <c r="AC188" i="4"/>
  <c r="W188" i="4"/>
  <c r="U188" i="4"/>
  <c r="T188" i="4"/>
  <c r="S188" i="4"/>
  <c r="AA188" i="4" s="1"/>
  <c r="R188" i="4"/>
  <c r="Q188" i="4"/>
  <c r="AB188" i="4" s="1"/>
  <c r="P188" i="4"/>
  <c r="AC187" i="4"/>
  <c r="X187" i="4"/>
  <c r="W187" i="4"/>
  <c r="V187" i="4"/>
  <c r="Z187" i="4" s="1"/>
  <c r="U187" i="4"/>
  <c r="T187" i="4"/>
  <c r="S187" i="4"/>
  <c r="R187" i="4"/>
  <c r="Q187" i="4"/>
  <c r="AB187" i="4" s="1"/>
  <c r="P187" i="4"/>
  <c r="AC186" i="4"/>
  <c r="AA186" i="4"/>
  <c r="X186" i="4"/>
  <c r="V186" i="4"/>
  <c r="Z186" i="4" s="1"/>
  <c r="AD186" i="4" s="1"/>
  <c r="U186" i="4"/>
  <c r="T186" i="4"/>
  <c r="S186" i="4"/>
  <c r="R186" i="4"/>
  <c r="Q186" i="4"/>
  <c r="AB186" i="4" s="1"/>
  <c r="P186" i="4"/>
  <c r="AC185" i="4"/>
  <c r="AB185" i="4"/>
  <c r="Y185" i="4"/>
  <c r="X185" i="4"/>
  <c r="W185" i="4"/>
  <c r="U185" i="4"/>
  <c r="T185" i="4"/>
  <c r="S185" i="4"/>
  <c r="AA185" i="4" s="1"/>
  <c r="R185" i="4"/>
  <c r="Q185" i="4"/>
  <c r="V185" i="4" s="1"/>
  <c r="Z185" i="4" s="1"/>
  <c r="P185" i="4"/>
  <c r="AC184" i="4"/>
  <c r="Y184" i="4"/>
  <c r="X184" i="4"/>
  <c r="U184" i="4"/>
  <c r="T184" i="4"/>
  <c r="S184" i="4"/>
  <c r="AA184" i="4" s="1"/>
  <c r="R184" i="4"/>
  <c r="Q184" i="4"/>
  <c r="P184" i="4"/>
  <c r="AC183" i="4"/>
  <c r="Y183" i="4"/>
  <c r="U183" i="4"/>
  <c r="T183" i="4"/>
  <c r="S183" i="4"/>
  <c r="AA183" i="4" s="1"/>
  <c r="R183" i="4"/>
  <c r="Q183" i="4"/>
  <c r="V183" i="4" s="1"/>
  <c r="Z183" i="4" s="1"/>
  <c r="P183" i="4"/>
  <c r="AC182" i="4"/>
  <c r="AB182" i="4"/>
  <c r="X182" i="4"/>
  <c r="W182" i="4"/>
  <c r="V182" i="4"/>
  <c r="Z182" i="4" s="1"/>
  <c r="U182" i="4"/>
  <c r="T182" i="4"/>
  <c r="S182" i="4"/>
  <c r="AA182" i="4" s="1"/>
  <c r="R182" i="4"/>
  <c r="Q182" i="4"/>
  <c r="Y182" i="4" s="1"/>
  <c r="P182" i="4"/>
  <c r="AC181" i="4"/>
  <c r="AB181" i="4"/>
  <c r="AA181" i="4"/>
  <c r="X181" i="4"/>
  <c r="W181" i="4"/>
  <c r="V181" i="4"/>
  <c r="Z181" i="4" s="1"/>
  <c r="AD181" i="4" s="1"/>
  <c r="N181" i="4" s="1"/>
  <c r="U181" i="4"/>
  <c r="T181" i="4"/>
  <c r="S181" i="4"/>
  <c r="R181" i="4"/>
  <c r="Q181" i="4"/>
  <c r="Y181" i="4" s="1"/>
  <c r="P181" i="4"/>
  <c r="AC180" i="4"/>
  <c r="Y180" i="4"/>
  <c r="V180" i="4"/>
  <c r="Z180" i="4" s="1"/>
  <c r="AD180" i="4" s="1"/>
  <c r="U180" i="4"/>
  <c r="T180" i="4"/>
  <c r="S180" i="4"/>
  <c r="R180" i="4"/>
  <c r="Q180" i="4"/>
  <c r="X180" i="4" s="1"/>
  <c r="P180" i="4"/>
  <c r="AC179" i="4"/>
  <c r="X179" i="4"/>
  <c r="W179" i="4"/>
  <c r="V179" i="4"/>
  <c r="Z179" i="4" s="1"/>
  <c r="U179" i="4"/>
  <c r="T179" i="4"/>
  <c r="S179" i="4"/>
  <c r="AA179" i="4" s="1"/>
  <c r="R179" i="4"/>
  <c r="Q179" i="4"/>
  <c r="AB179" i="4" s="1"/>
  <c r="P179" i="4"/>
  <c r="AC178" i="4"/>
  <c r="U178" i="4"/>
  <c r="T178" i="4"/>
  <c r="S178" i="4"/>
  <c r="AA178" i="4" s="1"/>
  <c r="R178" i="4"/>
  <c r="Q178" i="4"/>
  <c r="P178" i="4"/>
  <c r="AC177" i="4"/>
  <c r="U177" i="4"/>
  <c r="T177" i="4"/>
  <c r="S177" i="4"/>
  <c r="AA177" i="4" s="1"/>
  <c r="R177" i="4"/>
  <c r="Q177" i="4"/>
  <c r="P177" i="4"/>
  <c r="AC176" i="4"/>
  <c r="Y176" i="4"/>
  <c r="U176" i="4"/>
  <c r="T176" i="4"/>
  <c r="S176" i="4"/>
  <c r="AA176" i="4" s="1"/>
  <c r="R176" i="4"/>
  <c r="Q176" i="4"/>
  <c r="X176" i="4" s="1"/>
  <c r="P176" i="4"/>
  <c r="AC175" i="4"/>
  <c r="AB175" i="4"/>
  <c r="AA175" i="4"/>
  <c r="V175" i="4"/>
  <c r="Z175" i="4" s="1"/>
  <c r="U175" i="4"/>
  <c r="T175" i="4"/>
  <c r="S175" i="4"/>
  <c r="R175" i="4"/>
  <c r="Q175" i="4"/>
  <c r="Y175" i="4" s="1"/>
  <c r="P175" i="4"/>
  <c r="AC174" i="4"/>
  <c r="AB174" i="4"/>
  <c r="W174" i="4"/>
  <c r="V174" i="4"/>
  <c r="Z174" i="4" s="1"/>
  <c r="U174" i="4"/>
  <c r="AA174" i="4" s="1"/>
  <c r="T174" i="4"/>
  <c r="S174" i="4"/>
  <c r="R174" i="4"/>
  <c r="Q174" i="4"/>
  <c r="Y174" i="4" s="1"/>
  <c r="P174" i="4"/>
  <c r="AC173" i="4"/>
  <c r="AB173" i="4"/>
  <c r="X173" i="4"/>
  <c r="W173" i="4"/>
  <c r="V173" i="4"/>
  <c r="Z173" i="4" s="1"/>
  <c r="AD173" i="4" s="1"/>
  <c r="U173" i="4"/>
  <c r="T173" i="4"/>
  <c r="S173" i="4"/>
  <c r="R173" i="4"/>
  <c r="Q173" i="4"/>
  <c r="Y173" i="4" s="1"/>
  <c r="P173" i="4"/>
  <c r="AC172" i="4"/>
  <c r="Y172" i="4"/>
  <c r="V172" i="4"/>
  <c r="Z172" i="4" s="1"/>
  <c r="AD172" i="4" s="1"/>
  <c r="N172" i="4" s="1"/>
  <c r="U172" i="4"/>
  <c r="T172" i="4"/>
  <c r="S172" i="4"/>
  <c r="R172" i="4"/>
  <c r="Q172" i="4"/>
  <c r="X172" i="4" s="1"/>
  <c r="P172" i="4"/>
  <c r="AC171" i="4"/>
  <c r="X171" i="4"/>
  <c r="W171" i="4"/>
  <c r="V171" i="4"/>
  <c r="Z171" i="4" s="1"/>
  <c r="AD171" i="4" s="1"/>
  <c r="U171" i="4"/>
  <c r="T171" i="4"/>
  <c r="S171" i="4"/>
  <c r="AA171" i="4" s="1"/>
  <c r="R171" i="4"/>
  <c r="Q171" i="4"/>
  <c r="AB171" i="4" s="1"/>
  <c r="P171" i="4"/>
  <c r="AC170" i="4"/>
  <c r="AA170" i="4"/>
  <c r="U170" i="4"/>
  <c r="T170" i="4"/>
  <c r="S170" i="4"/>
  <c r="R170" i="4"/>
  <c r="Q170" i="4"/>
  <c r="Y170" i="4" s="1"/>
  <c r="P170" i="4"/>
  <c r="AC169" i="4"/>
  <c r="Y169" i="4"/>
  <c r="X169" i="4"/>
  <c r="U169" i="4"/>
  <c r="T169" i="4"/>
  <c r="S169" i="4"/>
  <c r="AA169" i="4" s="1"/>
  <c r="R169" i="4"/>
  <c r="Q169" i="4"/>
  <c r="V169" i="4" s="1"/>
  <c r="Z169" i="4" s="1"/>
  <c r="P169" i="4"/>
  <c r="AC168" i="4"/>
  <c r="AA168" i="4"/>
  <c r="U168" i="4"/>
  <c r="T168" i="4"/>
  <c r="S168" i="4"/>
  <c r="R168" i="4"/>
  <c r="Q168" i="4"/>
  <c r="P168" i="4"/>
  <c r="AC167" i="4"/>
  <c r="AA167" i="4"/>
  <c r="V167" i="4"/>
  <c r="Z167" i="4" s="1"/>
  <c r="AD167" i="4" s="1"/>
  <c r="U167" i="4"/>
  <c r="T167" i="4"/>
  <c r="S167" i="4"/>
  <c r="R167" i="4"/>
  <c r="Q167" i="4"/>
  <c r="Y167" i="4" s="1"/>
  <c r="P167" i="4"/>
  <c r="AC166" i="4"/>
  <c r="AB166" i="4"/>
  <c r="W166" i="4"/>
  <c r="V166" i="4"/>
  <c r="Z166" i="4" s="1"/>
  <c r="U166" i="4"/>
  <c r="T166" i="4"/>
  <c r="S166" i="4"/>
  <c r="AA166" i="4" s="1"/>
  <c r="R166" i="4"/>
  <c r="Q166" i="4"/>
  <c r="Y166" i="4" s="1"/>
  <c r="P166" i="4"/>
  <c r="AC165" i="4"/>
  <c r="AB165" i="4"/>
  <c r="X165" i="4"/>
  <c r="W165" i="4"/>
  <c r="V165" i="4"/>
  <c r="Z165" i="4" s="1"/>
  <c r="AD165" i="4" s="1"/>
  <c r="U165" i="4"/>
  <c r="T165" i="4"/>
  <c r="S165" i="4"/>
  <c r="AA165" i="4" s="1"/>
  <c r="R165" i="4"/>
  <c r="Q165" i="4"/>
  <c r="Y165" i="4" s="1"/>
  <c r="P165" i="4"/>
  <c r="AC164" i="4"/>
  <c r="Y164" i="4"/>
  <c r="V164" i="4"/>
  <c r="Z164" i="4" s="1"/>
  <c r="AD164" i="4" s="1"/>
  <c r="U164" i="4"/>
  <c r="T164" i="4"/>
  <c r="S164" i="4"/>
  <c r="R164" i="4"/>
  <c r="Q164" i="4"/>
  <c r="X164" i="4" s="1"/>
  <c r="P164" i="4"/>
  <c r="AC163" i="4"/>
  <c r="X163" i="4"/>
  <c r="W163" i="4"/>
  <c r="V163" i="4"/>
  <c r="Z163" i="4" s="1"/>
  <c r="AD163" i="4" s="1"/>
  <c r="U163" i="4"/>
  <c r="T163" i="4"/>
  <c r="S163" i="4"/>
  <c r="AA163" i="4" s="1"/>
  <c r="R163" i="4"/>
  <c r="Q163" i="4"/>
  <c r="AB163" i="4" s="1"/>
  <c r="P163" i="4"/>
  <c r="AC162" i="4"/>
  <c r="U162" i="4"/>
  <c r="T162" i="4"/>
  <c r="S162" i="4"/>
  <c r="AA162" i="4" s="1"/>
  <c r="R162" i="4"/>
  <c r="Q162" i="4"/>
  <c r="P162" i="4"/>
  <c r="AC161" i="4"/>
  <c r="U161" i="4"/>
  <c r="T161" i="4"/>
  <c r="S161" i="4"/>
  <c r="AA161" i="4" s="1"/>
  <c r="R161" i="4"/>
  <c r="Q161" i="4"/>
  <c r="X161" i="4" s="1"/>
  <c r="P161" i="4"/>
  <c r="AC160" i="4"/>
  <c r="Y160" i="4"/>
  <c r="U160" i="4"/>
  <c r="T160" i="4"/>
  <c r="S160" i="4"/>
  <c r="AA160" i="4" s="1"/>
  <c r="R160" i="4"/>
  <c r="Q160" i="4"/>
  <c r="X160" i="4" s="1"/>
  <c r="P160" i="4"/>
  <c r="AC159" i="4"/>
  <c r="AB159" i="4"/>
  <c r="AA159" i="4"/>
  <c r="V159" i="4"/>
  <c r="Z159" i="4" s="1"/>
  <c r="AD159" i="4" s="1"/>
  <c r="U159" i="4"/>
  <c r="T159" i="4"/>
  <c r="S159" i="4"/>
  <c r="R159" i="4"/>
  <c r="Q159" i="4"/>
  <c r="Y159" i="4" s="1"/>
  <c r="P159" i="4"/>
  <c r="AC158" i="4"/>
  <c r="AB158" i="4"/>
  <c r="W158" i="4"/>
  <c r="V158" i="4"/>
  <c r="Z158" i="4" s="1"/>
  <c r="U158" i="4"/>
  <c r="AA158" i="4" s="1"/>
  <c r="T158" i="4"/>
  <c r="S158" i="4"/>
  <c r="R158" i="4"/>
  <c r="Q158" i="4"/>
  <c r="Y158" i="4" s="1"/>
  <c r="P158" i="4"/>
  <c r="AC157" i="4"/>
  <c r="AB157" i="4"/>
  <c r="X157" i="4"/>
  <c r="W157" i="4"/>
  <c r="V157" i="4"/>
  <c r="Z157" i="4" s="1"/>
  <c r="AD157" i="4" s="1"/>
  <c r="U157" i="4"/>
  <c r="T157" i="4"/>
  <c r="S157" i="4"/>
  <c r="R157" i="4"/>
  <c r="Q157" i="4"/>
  <c r="Y157" i="4" s="1"/>
  <c r="P157" i="4"/>
  <c r="AC156" i="4"/>
  <c r="Y156" i="4"/>
  <c r="V156" i="4"/>
  <c r="Z156" i="4" s="1"/>
  <c r="AD156" i="4" s="1"/>
  <c r="N156" i="4" s="1"/>
  <c r="U156" i="4"/>
  <c r="T156" i="4"/>
  <c r="S156" i="4"/>
  <c r="R156" i="4"/>
  <c r="Q156" i="4"/>
  <c r="X156" i="4" s="1"/>
  <c r="P156" i="4"/>
  <c r="AC155" i="4"/>
  <c r="X155" i="4"/>
  <c r="W155" i="4"/>
  <c r="V155" i="4"/>
  <c r="Z155" i="4" s="1"/>
  <c r="AD155" i="4" s="1"/>
  <c r="U155" i="4"/>
  <c r="T155" i="4"/>
  <c r="S155" i="4"/>
  <c r="AA155" i="4" s="1"/>
  <c r="R155" i="4"/>
  <c r="Q155" i="4"/>
  <c r="AB155" i="4" s="1"/>
  <c r="P155" i="4"/>
  <c r="AC154" i="4"/>
  <c r="AA154" i="4"/>
  <c r="Y154" i="4"/>
  <c r="U154" i="4"/>
  <c r="T154" i="4"/>
  <c r="S154" i="4"/>
  <c r="R154" i="4"/>
  <c r="Q154" i="4"/>
  <c r="P154" i="4"/>
  <c r="AC153" i="4"/>
  <c r="Y153" i="4"/>
  <c r="X153" i="4"/>
  <c r="U153" i="4"/>
  <c r="T153" i="4"/>
  <c r="S153" i="4"/>
  <c r="AA153" i="4" s="1"/>
  <c r="R153" i="4"/>
  <c r="Q153" i="4"/>
  <c r="V153" i="4" s="1"/>
  <c r="Z153" i="4" s="1"/>
  <c r="P153" i="4"/>
  <c r="AC152" i="4"/>
  <c r="U152" i="4"/>
  <c r="T152" i="4"/>
  <c r="S152" i="4"/>
  <c r="AA152" i="4" s="1"/>
  <c r="R152" i="4"/>
  <c r="Q152" i="4"/>
  <c r="Y152" i="4" s="1"/>
  <c r="P152" i="4"/>
  <c r="AC151" i="4"/>
  <c r="AA151" i="4"/>
  <c r="V151" i="4"/>
  <c r="Z151" i="4" s="1"/>
  <c r="U151" i="4"/>
  <c r="T151" i="4"/>
  <c r="S151" i="4"/>
  <c r="R151" i="4"/>
  <c r="Q151" i="4"/>
  <c r="Y151" i="4" s="1"/>
  <c r="P151" i="4"/>
  <c r="AC150" i="4"/>
  <c r="AB150" i="4"/>
  <c r="W150" i="4"/>
  <c r="V150" i="4"/>
  <c r="Z150" i="4" s="1"/>
  <c r="U150" i="4"/>
  <c r="T150" i="4"/>
  <c r="S150" i="4"/>
  <c r="AA150" i="4" s="1"/>
  <c r="R150" i="4"/>
  <c r="Q150" i="4"/>
  <c r="Y150" i="4" s="1"/>
  <c r="P150" i="4"/>
  <c r="AC149" i="4"/>
  <c r="AB149" i="4"/>
  <c r="X149" i="4"/>
  <c r="W149" i="4"/>
  <c r="V149" i="4"/>
  <c r="Z149" i="4" s="1"/>
  <c r="AD149" i="4" s="1"/>
  <c r="N149" i="4" s="1"/>
  <c r="U149" i="4"/>
  <c r="AA149" i="4" s="1"/>
  <c r="T149" i="4"/>
  <c r="S149" i="4"/>
  <c r="R149" i="4"/>
  <c r="Q149" i="4"/>
  <c r="Y149" i="4" s="1"/>
  <c r="P149" i="4"/>
  <c r="AC148" i="4"/>
  <c r="Y148" i="4"/>
  <c r="W148" i="4"/>
  <c r="U148" i="4"/>
  <c r="T148" i="4"/>
  <c r="S148" i="4"/>
  <c r="AA148" i="4" s="1"/>
  <c r="R148" i="4"/>
  <c r="Q148" i="4"/>
  <c r="P148" i="4"/>
  <c r="AC147" i="4"/>
  <c r="X147" i="4"/>
  <c r="W147" i="4"/>
  <c r="V147" i="4"/>
  <c r="Z147" i="4" s="1"/>
  <c r="U147" i="4"/>
  <c r="T147" i="4"/>
  <c r="S147" i="4"/>
  <c r="AA147" i="4" s="1"/>
  <c r="R147" i="4"/>
  <c r="Q147" i="4"/>
  <c r="AB147" i="4" s="1"/>
  <c r="P147" i="4"/>
  <c r="AC146" i="4"/>
  <c r="X146" i="4"/>
  <c r="W146" i="4"/>
  <c r="V146" i="4"/>
  <c r="Z146" i="4" s="1"/>
  <c r="U146" i="4"/>
  <c r="T146" i="4"/>
  <c r="S146" i="4"/>
  <c r="AA146" i="4" s="1"/>
  <c r="R146" i="4"/>
  <c r="Q146" i="4"/>
  <c r="AB146" i="4" s="1"/>
  <c r="P146" i="4"/>
  <c r="AC145" i="4"/>
  <c r="AA145" i="4"/>
  <c r="U145" i="4"/>
  <c r="T145" i="4"/>
  <c r="S145" i="4"/>
  <c r="R145" i="4"/>
  <c r="Q145" i="4"/>
  <c r="P145" i="4"/>
  <c r="AC144" i="4"/>
  <c r="AB144" i="4"/>
  <c r="Y144" i="4"/>
  <c r="X144" i="4"/>
  <c r="U144" i="4"/>
  <c r="T144" i="4"/>
  <c r="S144" i="4"/>
  <c r="AA144" i="4" s="1"/>
  <c r="R144" i="4"/>
  <c r="Q144" i="4"/>
  <c r="P144" i="4"/>
  <c r="AC143" i="4"/>
  <c r="Y143" i="4"/>
  <c r="U143" i="4"/>
  <c r="T143" i="4"/>
  <c r="S143" i="4"/>
  <c r="AA143" i="4" s="1"/>
  <c r="R143" i="4"/>
  <c r="Q143" i="4"/>
  <c r="P143" i="4"/>
  <c r="AC142" i="4"/>
  <c r="AB142" i="4"/>
  <c r="AA142" i="4"/>
  <c r="W142" i="4"/>
  <c r="V142" i="4"/>
  <c r="Z142" i="4" s="1"/>
  <c r="U142" i="4"/>
  <c r="T142" i="4"/>
  <c r="S142" i="4"/>
  <c r="R142" i="4"/>
  <c r="Q142" i="4"/>
  <c r="Y142" i="4" s="1"/>
  <c r="P142" i="4"/>
  <c r="AC141" i="4"/>
  <c r="AB141" i="4"/>
  <c r="AA141" i="4"/>
  <c r="X141" i="4"/>
  <c r="W141" i="4"/>
  <c r="V141" i="4"/>
  <c r="Z141" i="4" s="1"/>
  <c r="AD141" i="4" s="1"/>
  <c r="N141" i="4" s="1"/>
  <c r="U141" i="4"/>
  <c r="T141" i="4"/>
  <c r="S141" i="4"/>
  <c r="R141" i="4"/>
  <c r="Q141" i="4"/>
  <c r="Y141" i="4" s="1"/>
  <c r="P141" i="4"/>
  <c r="AC140" i="4"/>
  <c r="X140" i="4"/>
  <c r="W140" i="4"/>
  <c r="U140" i="4"/>
  <c r="T140" i="4"/>
  <c r="S140" i="4"/>
  <c r="AA140" i="4" s="1"/>
  <c r="R140" i="4"/>
  <c r="Q140" i="4"/>
  <c r="AB140" i="4" s="1"/>
  <c r="P140" i="4"/>
  <c r="AC139" i="4"/>
  <c r="AB139" i="4"/>
  <c r="X139" i="4"/>
  <c r="V139" i="4"/>
  <c r="Z139" i="4" s="1"/>
  <c r="U139" i="4"/>
  <c r="T139" i="4"/>
  <c r="S139" i="4"/>
  <c r="AA139" i="4" s="1"/>
  <c r="R139" i="4"/>
  <c r="Q139" i="4"/>
  <c r="Y139" i="4" s="1"/>
  <c r="P139" i="4"/>
  <c r="AC138" i="4"/>
  <c r="Y138" i="4"/>
  <c r="U138" i="4"/>
  <c r="T138" i="4"/>
  <c r="S138" i="4"/>
  <c r="R138" i="4"/>
  <c r="Q138" i="4"/>
  <c r="P138" i="4"/>
  <c r="AC137" i="4"/>
  <c r="AB137" i="4"/>
  <c r="X137" i="4"/>
  <c r="W137" i="4"/>
  <c r="V137" i="4"/>
  <c r="Z137" i="4" s="1"/>
  <c r="U137" i="4"/>
  <c r="T137" i="4"/>
  <c r="S137" i="4"/>
  <c r="AA137" i="4" s="1"/>
  <c r="R137" i="4"/>
  <c r="Q137" i="4"/>
  <c r="Y137" i="4" s="1"/>
  <c r="P137" i="4"/>
  <c r="AC136" i="4"/>
  <c r="AA136" i="4"/>
  <c r="U136" i="4"/>
  <c r="T136" i="4"/>
  <c r="S136" i="4"/>
  <c r="R136" i="4"/>
  <c r="Q136" i="4"/>
  <c r="P136" i="4"/>
  <c r="AC135" i="4"/>
  <c r="AB135" i="4"/>
  <c r="X135" i="4"/>
  <c r="V135" i="4"/>
  <c r="Z135" i="4" s="1"/>
  <c r="U135" i="4"/>
  <c r="T135" i="4"/>
  <c r="S135" i="4"/>
  <c r="AA135" i="4" s="1"/>
  <c r="R135" i="4"/>
  <c r="Q135" i="4"/>
  <c r="Y135" i="4" s="1"/>
  <c r="P135" i="4"/>
  <c r="AC134" i="4"/>
  <c r="Y134" i="4"/>
  <c r="U134" i="4"/>
  <c r="T134" i="4"/>
  <c r="S134" i="4"/>
  <c r="AA134" i="4" s="1"/>
  <c r="R134" i="4"/>
  <c r="Q134" i="4"/>
  <c r="P134" i="4"/>
  <c r="AC133" i="4"/>
  <c r="AB133" i="4"/>
  <c r="X133" i="4"/>
  <c r="W133" i="4"/>
  <c r="V133" i="4"/>
  <c r="Z133" i="4" s="1"/>
  <c r="AD133" i="4" s="1"/>
  <c r="N133" i="4" s="1"/>
  <c r="U133" i="4"/>
  <c r="T133" i="4"/>
  <c r="S133" i="4"/>
  <c r="AA133" i="4" s="1"/>
  <c r="R133" i="4"/>
  <c r="Q133" i="4"/>
  <c r="Y133" i="4" s="1"/>
  <c r="P133" i="4"/>
  <c r="AC132" i="4"/>
  <c r="X132" i="4"/>
  <c r="W132" i="4"/>
  <c r="U132" i="4"/>
  <c r="T132" i="4"/>
  <c r="S132" i="4"/>
  <c r="AA132" i="4" s="1"/>
  <c r="R132" i="4"/>
  <c r="Q132" i="4"/>
  <c r="AB132" i="4" s="1"/>
  <c r="P132" i="4"/>
  <c r="AC131" i="4"/>
  <c r="AB131" i="4"/>
  <c r="X131" i="4"/>
  <c r="V131" i="4"/>
  <c r="Z131" i="4" s="1"/>
  <c r="U131" i="4"/>
  <c r="T131" i="4"/>
  <c r="S131" i="4"/>
  <c r="AA131" i="4" s="1"/>
  <c r="R131" i="4"/>
  <c r="Q131" i="4"/>
  <c r="Y131" i="4" s="1"/>
  <c r="P131" i="4"/>
  <c r="AC130" i="4"/>
  <c r="U130" i="4"/>
  <c r="T130" i="4"/>
  <c r="S130" i="4"/>
  <c r="AA130" i="4" s="1"/>
  <c r="R130" i="4"/>
  <c r="Q130" i="4"/>
  <c r="Y130" i="4" s="1"/>
  <c r="P130" i="4"/>
  <c r="AC129" i="4"/>
  <c r="AB129" i="4"/>
  <c r="X129" i="4"/>
  <c r="W129" i="4"/>
  <c r="V129" i="4"/>
  <c r="Z129" i="4" s="1"/>
  <c r="U129" i="4"/>
  <c r="T129" i="4"/>
  <c r="S129" i="4"/>
  <c r="AA129" i="4" s="1"/>
  <c r="R129" i="4"/>
  <c r="Q129" i="4"/>
  <c r="Y129" i="4" s="1"/>
  <c r="P129" i="4"/>
  <c r="AC128" i="4"/>
  <c r="U128" i="4"/>
  <c r="T128" i="4"/>
  <c r="S128" i="4"/>
  <c r="AA128" i="4" s="1"/>
  <c r="R128" i="4"/>
  <c r="Q128" i="4"/>
  <c r="Y128" i="4" s="1"/>
  <c r="P128" i="4"/>
  <c r="AC127" i="4"/>
  <c r="AB127" i="4"/>
  <c r="X127" i="4"/>
  <c r="V127" i="4"/>
  <c r="Z127" i="4" s="1"/>
  <c r="U127" i="4"/>
  <c r="T127" i="4"/>
  <c r="S127" i="4"/>
  <c r="AA127" i="4" s="1"/>
  <c r="R127" i="4"/>
  <c r="Q127" i="4"/>
  <c r="Y127" i="4" s="1"/>
  <c r="P127" i="4"/>
  <c r="AC126" i="4"/>
  <c r="U126" i="4"/>
  <c r="T126" i="4"/>
  <c r="S126" i="4"/>
  <c r="AA126" i="4" s="1"/>
  <c r="R126" i="4"/>
  <c r="Q126" i="4"/>
  <c r="P126" i="4"/>
  <c r="AC125" i="4"/>
  <c r="AB125" i="4"/>
  <c r="X125" i="4"/>
  <c r="W125" i="4"/>
  <c r="V125" i="4"/>
  <c r="Z125" i="4" s="1"/>
  <c r="U125" i="4"/>
  <c r="T125" i="4"/>
  <c r="S125" i="4"/>
  <c r="AA125" i="4" s="1"/>
  <c r="R125" i="4"/>
  <c r="Q125" i="4"/>
  <c r="Y125" i="4" s="1"/>
  <c r="P125" i="4"/>
  <c r="AC124" i="4"/>
  <c r="X124" i="4"/>
  <c r="W124" i="4"/>
  <c r="U124" i="4"/>
  <c r="T124" i="4"/>
  <c r="S124" i="4"/>
  <c r="AA124" i="4" s="1"/>
  <c r="R124" i="4"/>
  <c r="Q124" i="4"/>
  <c r="AB124" i="4" s="1"/>
  <c r="P124" i="4"/>
  <c r="AC123" i="4"/>
  <c r="AB123" i="4"/>
  <c r="X123" i="4"/>
  <c r="V123" i="4"/>
  <c r="Z123" i="4" s="1"/>
  <c r="AD123" i="4" s="1"/>
  <c r="U123" i="4"/>
  <c r="T123" i="4"/>
  <c r="S123" i="4"/>
  <c r="AA123" i="4" s="1"/>
  <c r="R123" i="4"/>
  <c r="Q123" i="4"/>
  <c r="Y123" i="4" s="1"/>
  <c r="P123" i="4"/>
  <c r="AC122" i="4"/>
  <c r="Y122" i="4"/>
  <c r="U122" i="4"/>
  <c r="T122" i="4"/>
  <c r="S122" i="4"/>
  <c r="R122" i="4"/>
  <c r="Q122" i="4"/>
  <c r="P122" i="4"/>
  <c r="AC121" i="4"/>
  <c r="AB121" i="4"/>
  <c r="X121" i="4"/>
  <c r="W121" i="4"/>
  <c r="V121" i="4"/>
  <c r="Z121" i="4" s="1"/>
  <c r="U121" i="4"/>
  <c r="T121" i="4"/>
  <c r="S121" i="4"/>
  <c r="AA121" i="4" s="1"/>
  <c r="R121" i="4"/>
  <c r="Q121" i="4"/>
  <c r="Y121" i="4" s="1"/>
  <c r="P121" i="4"/>
  <c r="AC120" i="4"/>
  <c r="AA120" i="4"/>
  <c r="U120" i="4"/>
  <c r="T120" i="4"/>
  <c r="S120" i="4"/>
  <c r="R120" i="4"/>
  <c r="Q120" i="4"/>
  <c r="P120" i="4"/>
  <c r="AC119" i="4"/>
  <c r="AB119" i="4"/>
  <c r="X119" i="4"/>
  <c r="V119" i="4"/>
  <c r="Z119" i="4" s="1"/>
  <c r="U119" i="4"/>
  <c r="T119" i="4"/>
  <c r="S119" i="4"/>
  <c r="AA119" i="4" s="1"/>
  <c r="R119" i="4"/>
  <c r="Q119" i="4"/>
  <c r="Y119" i="4" s="1"/>
  <c r="P119" i="4"/>
  <c r="AC118" i="4"/>
  <c r="Y118" i="4"/>
  <c r="U118" i="4"/>
  <c r="T118" i="4"/>
  <c r="S118" i="4"/>
  <c r="AA118" i="4" s="1"/>
  <c r="R118" i="4"/>
  <c r="Q118" i="4"/>
  <c r="P118" i="4"/>
  <c r="AC117" i="4"/>
  <c r="AB117" i="4"/>
  <c r="X117" i="4"/>
  <c r="W117" i="4"/>
  <c r="V117" i="4"/>
  <c r="Z117" i="4" s="1"/>
  <c r="U117" i="4"/>
  <c r="T117" i="4"/>
  <c r="S117" i="4"/>
  <c r="AA117" i="4" s="1"/>
  <c r="R117" i="4"/>
  <c r="Q117" i="4"/>
  <c r="Y117" i="4" s="1"/>
  <c r="P117" i="4"/>
  <c r="AC116" i="4"/>
  <c r="X116" i="4"/>
  <c r="W116" i="4"/>
  <c r="U116" i="4"/>
  <c r="T116" i="4"/>
  <c r="S116" i="4"/>
  <c r="AA116" i="4" s="1"/>
  <c r="R116" i="4"/>
  <c r="Q116" i="4"/>
  <c r="AB116" i="4" s="1"/>
  <c r="P116" i="4"/>
  <c r="AC115" i="4"/>
  <c r="AB115" i="4"/>
  <c r="X115" i="4"/>
  <c r="V115" i="4"/>
  <c r="Z115" i="4" s="1"/>
  <c r="U115" i="4"/>
  <c r="T115" i="4"/>
  <c r="S115" i="4"/>
  <c r="AA115" i="4" s="1"/>
  <c r="R115" i="4"/>
  <c r="Q115" i="4"/>
  <c r="Y115" i="4" s="1"/>
  <c r="P115" i="4"/>
  <c r="AC114" i="4"/>
  <c r="U114" i="4"/>
  <c r="T114" i="4"/>
  <c r="S114" i="4"/>
  <c r="AA114" i="4" s="1"/>
  <c r="R114" i="4"/>
  <c r="Q114" i="4"/>
  <c r="Y114" i="4" s="1"/>
  <c r="P114" i="4"/>
  <c r="AC113" i="4"/>
  <c r="AB113" i="4"/>
  <c r="X113" i="4"/>
  <c r="W113" i="4"/>
  <c r="V113" i="4"/>
  <c r="Z113" i="4" s="1"/>
  <c r="U113" i="4"/>
  <c r="T113" i="4"/>
  <c r="S113" i="4"/>
  <c r="AA113" i="4" s="1"/>
  <c r="R113" i="4"/>
  <c r="Q113" i="4"/>
  <c r="Y113" i="4" s="1"/>
  <c r="P113" i="4"/>
  <c r="AC112" i="4"/>
  <c r="U112" i="4"/>
  <c r="T112" i="4"/>
  <c r="S112" i="4"/>
  <c r="AA112" i="4" s="1"/>
  <c r="R112" i="4"/>
  <c r="Q112" i="4"/>
  <c r="Y112" i="4" s="1"/>
  <c r="P112" i="4"/>
  <c r="AC111" i="4"/>
  <c r="AB111" i="4"/>
  <c r="X111" i="4"/>
  <c r="V111" i="4"/>
  <c r="Z111" i="4" s="1"/>
  <c r="U111" i="4"/>
  <c r="T111" i="4"/>
  <c r="S111" i="4"/>
  <c r="AA111" i="4" s="1"/>
  <c r="R111" i="4"/>
  <c r="Q111" i="4"/>
  <c r="Y111" i="4" s="1"/>
  <c r="P111" i="4"/>
  <c r="AC110" i="4"/>
  <c r="U110" i="4"/>
  <c r="T110" i="4"/>
  <c r="S110" i="4"/>
  <c r="AA110" i="4" s="1"/>
  <c r="R110" i="4"/>
  <c r="Q110" i="4"/>
  <c r="P110" i="4"/>
  <c r="AC109" i="4"/>
  <c r="AB109" i="4"/>
  <c r="X109" i="4"/>
  <c r="W109" i="4"/>
  <c r="V109" i="4"/>
  <c r="Z109" i="4" s="1"/>
  <c r="U109" i="4"/>
  <c r="T109" i="4"/>
  <c r="S109" i="4"/>
  <c r="AA109" i="4" s="1"/>
  <c r="R109" i="4"/>
  <c r="Q109" i="4"/>
  <c r="Y109" i="4" s="1"/>
  <c r="P109" i="4"/>
  <c r="AC108" i="4"/>
  <c r="X108" i="4"/>
  <c r="W108" i="4"/>
  <c r="U108" i="4"/>
  <c r="T108" i="4"/>
  <c r="S108" i="4"/>
  <c r="AA108" i="4" s="1"/>
  <c r="R108" i="4"/>
  <c r="Q108" i="4"/>
  <c r="AB108" i="4" s="1"/>
  <c r="P108" i="4"/>
  <c r="AC107" i="4"/>
  <c r="AB107" i="4"/>
  <c r="X107" i="4"/>
  <c r="V107" i="4"/>
  <c r="Z107" i="4" s="1"/>
  <c r="U107" i="4"/>
  <c r="T107" i="4"/>
  <c r="S107" i="4"/>
  <c r="AA107" i="4" s="1"/>
  <c r="R107" i="4"/>
  <c r="Q107" i="4"/>
  <c r="Y107" i="4" s="1"/>
  <c r="P107" i="4"/>
  <c r="AC106" i="4"/>
  <c r="Y106" i="4"/>
  <c r="U106" i="4"/>
  <c r="T106" i="4"/>
  <c r="S106" i="4"/>
  <c r="R106" i="4"/>
  <c r="Q106" i="4"/>
  <c r="P106" i="4"/>
  <c r="AC105" i="4"/>
  <c r="AB105" i="4"/>
  <c r="X105" i="4"/>
  <c r="W105" i="4"/>
  <c r="V105" i="4"/>
  <c r="Z105" i="4" s="1"/>
  <c r="U105" i="4"/>
  <c r="T105" i="4"/>
  <c r="S105" i="4"/>
  <c r="AA105" i="4" s="1"/>
  <c r="R105" i="4"/>
  <c r="Q105" i="4"/>
  <c r="Y105" i="4" s="1"/>
  <c r="P105" i="4"/>
  <c r="AC104" i="4"/>
  <c r="AA104" i="4"/>
  <c r="U104" i="4"/>
  <c r="T104" i="4"/>
  <c r="S104" i="4"/>
  <c r="R104" i="4"/>
  <c r="Q104" i="4"/>
  <c r="P104" i="4"/>
  <c r="AC103" i="4"/>
  <c r="AB103" i="4"/>
  <c r="X103" i="4"/>
  <c r="V103" i="4"/>
  <c r="Z103" i="4" s="1"/>
  <c r="U103" i="4"/>
  <c r="T103" i="4"/>
  <c r="S103" i="4"/>
  <c r="AA103" i="4" s="1"/>
  <c r="R103" i="4"/>
  <c r="Q103" i="4"/>
  <c r="Y103" i="4" s="1"/>
  <c r="P103" i="4"/>
  <c r="AC102" i="4"/>
  <c r="Y102" i="4"/>
  <c r="U102" i="4"/>
  <c r="T102" i="4"/>
  <c r="S102" i="4"/>
  <c r="AA102" i="4" s="1"/>
  <c r="R102" i="4"/>
  <c r="Q102" i="4"/>
  <c r="P102" i="4"/>
  <c r="AC101" i="4"/>
  <c r="AB101" i="4"/>
  <c r="X101" i="4"/>
  <c r="W101" i="4"/>
  <c r="V101" i="4"/>
  <c r="Z101" i="4" s="1"/>
  <c r="U101" i="4"/>
  <c r="T101" i="4"/>
  <c r="S101" i="4"/>
  <c r="AA101" i="4" s="1"/>
  <c r="R101" i="4"/>
  <c r="Q101" i="4"/>
  <c r="Y101" i="4" s="1"/>
  <c r="P101" i="4"/>
  <c r="AC100" i="4"/>
  <c r="X100" i="4"/>
  <c r="W100" i="4"/>
  <c r="U100" i="4"/>
  <c r="T100" i="4"/>
  <c r="S100" i="4"/>
  <c r="AA100" i="4" s="1"/>
  <c r="R100" i="4"/>
  <c r="Q100" i="4"/>
  <c r="AB100" i="4" s="1"/>
  <c r="P100" i="4"/>
  <c r="AC99" i="4"/>
  <c r="AB99" i="4"/>
  <c r="X99" i="4"/>
  <c r="V99" i="4"/>
  <c r="Z99" i="4" s="1"/>
  <c r="U99" i="4"/>
  <c r="T99" i="4"/>
  <c r="S99" i="4"/>
  <c r="AA99" i="4" s="1"/>
  <c r="R99" i="4"/>
  <c r="Q99" i="4"/>
  <c r="Y99" i="4" s="1"/>
  <c r="P99" i="4"/>
  <c r="AC98" i="4"/>
  <c r="U98" i="4"/>
  <c r="T98" i="4"/>
  <c r="S98" i="4"/>
  <c r="AA98" i="4" s="1"/>
  <c r="R98" i="4"/>
  <c r="Q98" i="4"/>
  <c r="Y98" i="4" s="1"/>
  <c r="P98" i="4"/>
  <c r="AC97" i="4"/>
  <c r="AB97" i="4"/>
  <c r="X97" i="4"/>
  <c r="W97" i="4"/>
  <c r="V97" i="4"/>
  <c r="Z97" i="4" s="1"/>
  <c r="U97" i="4"/>
  <c r="T97" i="4"/>
  <c r="S97" i="4"/>
  <c r="AA97" i="4" s="1"/>
  <c r="R97" i="4"/>
  <c r="Q97" i="4"/>
  <c r="Y97" i="4" s="1"/>
  <c r="P97" i="4"/>
  <c r="AC96" i="4"/>
  <c r="U96" i="4"/>
  <c r="T96" i="4"/>
  <c r="S96" i="4"/>
  <c r="AA96" i="4" s="1"/>
  <c r="R96" i="4"/>
  <c r="Q96" i="4"/>
  <c r="Y96" i="4" s="1"/>
  <c r="P96" i="4"/>
  <c r="AC95" i="4"/>
  <c r="AB95" i="4"/>
  <c r="X95" i="4"/>
  <c r="V95" i="4"/>
  <c r="Z95" i="4" s="1"/>
  <c r="U95" i="4"/>
  <c r="T95" i="4"/>
  <c r="S95" i="4"/>
  <c r="AA95" i="4" s="1"/>
  <c r="R95" i="4"/>
  <c r="Q95" i="4"/>
  <c r="Y95" i="4" s="1"/>
  <c r="P95" i="4"/>
  <c r="AC94" i="4"/>
  <c r="U94" i="4"/>
  <c r="T94" i="4"/>
  <c r="S94" i="4"/>
  <c r="AA94" i="4" s="1"/>
  <c r="R94" i="4"/>
  <c r="Q94" i="4"/>
  <c r="P94" i="4"/>
  <c r="AC93" i="4"/>
  <c r="AB93" i="4"/>
  <c r="X93" i="4"/>
  <c r="W93" i="4"/>
  <c r="V93" i="4"/>
  <c r="Z93" i="4" s="1"/>
  <c r="U93" i="4"/>
  <c r="T93" i="4"/>
  <c r="S93" i="4"/>
  <c r="AA93" i="4" s="1"/>
  <c r="R93" i="4"/>
  <c r="Q93" i="4"/>
  <c r="Y93" i="4" s="1"/>
  <c r="P93" i="4"/>
  <c r="AC92" i="4"/>
  <c r="X92" i="4"/>
  <c r="W92" i="4"/>
  <c r="U92" i="4"/>
  <c r="T92" i="4"/>
  <c r="S92" i="4"/>
  <c r="AA92" i="4" s="1"/>
  <c r="R92" i="4"/>
  <c r="Q92" i="4"/>
  <c r="AB92" i="4" s="1"/>
  <c r="P92" i="4"/>
  <c r="AC91" i="4"/>
  <c r="AB91" i="4"/>
  <c r="X91" i="4"/>
  <c r="V91" i="4"/>
  <c r="Z91" i="4" s="1"/>
  <c r="AD91" i="4" s="1"/>
  <c r="U91" i="4"/>
  <c r="T91" i="4"/>
  <c r="S91" i="4"/>
  <c r="AA91" i="4" s="1"/>
  <c r="R91" i="4"/>
  <c r="Q91" i="4"/>
  <c r="Y91" i="4" s="1"/>
  <c r="P91" i="4"/>
  <c r="AC90" i="4"/>
  <c r="Y90" i="4"/>
  <c r="U90" i="4"/>
  <c r="T90" i="4"/>
  <c r="S90" i="4"/>
  <c r="R90" i="4"/>
  <c r="Q90" i="4"/>
  <c r="P90" i="4"/>
  <c r="AC89" i="4"/>
  <c r="AB89" i="4"/>
  <c r="X89" i="4"/>
  <c r="W89" i="4"/>
  <c r="V89" i="4"/>
  <c r="Z89" i="4" s="1"/>
  <c r="U89" i="4"/>
  <c r="T89" i="4"/>
  <c r="S89" i="4"/>
  <c r="AA89" i="4" s="1"/>
  <c r="R89" i="4"/>
  <c r="Q89" i="4"/>
  <c r="Y89" i="4" s="1"/>
  <c r="P89" i="4"/>
  <c r="AC88" i="4"/>
  <c r="AA88" i="4"/>
  <c r="U88" i="4"/>
  <c r="T88" i="4"/>
  <c r="S88" i="4"/>
  <c r="R88" i="4"/>
  <c r="Q88" i="4"/>
  <c r="P88" i="4"/>
  <c r="AC87" i="4"/>
  <c r="AB87" i="4"/>
  <c r="X87" i="4"/>
  <c r="V87" i="4"/>
  <c r="Z87" i="4" s="1"/>
  <c r="U87" i="4"/>
  <c r="T87" i="4"/>
  <c r="S87" i="4"/>
  <c r="AA87" i="4" s="1"/>
  <c r="R87" i="4"/>
  <c r="Q87" i="4"/>
  <c r="Y87" i="4" s="1"/>
  <c r="P87" i="4"/>
  <c r="AC86" i="4"/>
  <c r="AA86" i="4"/>
  <c r="Y86" i="4"/>
  <c r="U86" i="4"/>
  <c r="T86" i="4"/>
  <c r="S86" i="4"/>
  <c r="R86" i="4"/>
  <c r="Q86" i="4"/>
  <c r="P86" i="4"/>
  <c r="AC85" i="4"/>
  <c r="AB85" i="4"/>
  <c r="X85" i="4"/>
  <c r="W85" i="4"/>
  <c r="V85" i="4"/>
  <c r="Z85" i="4" s="1"/>
  <c r="U85" i="4"/>
  <c r="T85" i="4"/>
  <c r="S85" i="4"/>
  <c r="AA85" i="4" s="1"/>
  <c r="R85" i="4"/>
  <c r="Q85" i="4"/>
  <c r="Y85" i="4" s="1"/>
  <c r="P85" i="4"/>
  <c r="AC84" i="4"/>
  <c r="X84" i="4"/>
  <c r="W84" i="4"/>
  <c r="U84" i="4"/>
  <c r="T84" i="4"/>
  <c r="S84" i="4"/>
  <c r="AA84" i="4" s="1"/>
  <c r="R84" i="4"/>
  <c r="Q84" i="4"/>
  <c r="AB84" i="4" s="1"/>
  <c r="P84" i="4"/>
  <c r="AC83" i="4"/>
  <c r="Y83" i="4"/>
  <c r="X83" i="4"/>
  <c r="V83" i="4"/>
  <c r="Z83" i="4" s="1"/>
  <c r="AD83" i="4" s="1"/>
  <c r="U83" i="4"/>
  <c r="T83" i="4"/>
  <c r="S83" i="4"/>
  <c r="AA83" i="4" s="1"/>
  <c r="R83" i="4"/>
  <c r="Q83" i="4"/>
  <c r="W83" i="4" s="1"/>
  <c r="P83" i="4"/>
  <c r="AC82" i="4"/>
  <c r="U82" i="4"/>
  <c r="T82" i="4"/>
  <c r="S82" i="4"/>
  <c r="AA82" i="4" s="1"/>
  <c r="R82" i="4"/>
  <c r="Q82" i="4"/>
  <c r="P82" i="4"/>
  <c r="AC81" i="4"/>
  <c r="AB81" i="4"/>
  <c r="AA81" i="4"/>
  <c r="X81" i="4"/>
  <c r="W81" i="4"/>
  <c r="V81" i="4"/>
  <c r="Z81" i="4" s="1"/>
  <c r="AD81" i="4" s="1"/>
  <c r="U81" i="4"/>
  <c r="T81" i="4"/>
  <c r="S81" i="4"/>
  <c r="R81" i="4"/>
  <c r="Q81" i="4"/>
  <c r="Y81" i="4" s="1"/>
  <c r="P81" i="4"/>
  <c r="AC80" i="4"/>
  <c r="U80" i="4"/>
  <c r="T80" i="4"/>
  <c r="S80" i="4"/>
  <c r="AA80" i="4" s="1"/>
  <c r="R80" i="4"/>
  <c r="Q80" i="4"/>
  <c r="AB80" i="4" s="1"/>
  <c r="P80" i="4"/>
  <c r="AC79" i="4"/>
  <c r="AB79" i="4"/>
  <c r="X79" i="4"/>
  <c r="V79" i="4"/>
  <c r="Z79" i="4" s="1"/>
  <c r="U79" i="4"/>
  <c r="T79" i="4"/>
  <c r="S79" i="4"/>
  <c r="AA79" i="4" s="1"/>
  <c r="R79" i="4"/>
  <c r="Q79" i="4"/>
  <c r="Y79" i="4" s="1"/>
  <c r="P79" i="4"/>
  <c r="AC78" i="4"/>
  <c r="Y78" i="4"/>
  <c r="W78" i="4"/>
  <c r="V78" i="4"/>
  <c r="Z78" i="4" s="1"/>
  <c r="AD78" i="4" s="1"/>
  <c r="U78" i="4"/>
  <c r="T78" i="4"/>
  <c r="S78" i="4"/>
  <c r="AA78" i="4" s="1"/>
  <c r="R78" i="4"/>
  <c r="Q78" i="4"/>
  <c r="P78" i="4"/>
  <c r="AC77" i="4"/>
  <c r="AB77" i="4"/>
  <c r="X77" i="4"/>
  <c r="W77" i="4"/>
  <c r="V77" i="4"/>
  <c r="Z77" i="4" s="1"/>
  <c r="U77" i="4"/>
  <c r="T77" i="4"/>
  <c r="S77" i="4"/>
  <c r="AA77" i="4" s="1"/>
  <c r="R77" i="4"/>
  <c r="Q77" i="4"/>
  <c r="Y77" i="4" s="1"/>
  <c r="P77" i="4"/>
  <c r="AC76" i="4"/>
  <c r="Y76" i="4"/>
  <c r="X76" i="4"/>
  <c r="U76" i="4"/>
  <c r="T76" i="4"/>
  <c r="S76" i="4"/>
  <c r="AA76" i="4" s="1"/>
  <c r="R76" i="4"/>
  <c r="Q76" i="4"/>
  <c r="W76" i="4" s="1"/>
  <c r="P76" i="4"/>
  <c r="AC75" i="4"/>
  <c r="Y75" i="4"/>
  <c r="U75" i="4"/>
  <c r="T75" i="4"/>
  <c r="S75" i="4"/>
  <c r="AA75" i="4" s="1"/>
  <c r="R75" i="4"/>
  <c r="Q75" i="4"/>
  <c r="W75" i="4" s="1"/>
  <c r="P75" i="4"/>
  <c r="AC74" i="4"/>
  <c r="AA74" i="4"/>
  <c r="U74" i="4"/>
  <c r="T74" i="4"/>
  <c r="S74" i="4"/>
  <c r="R74" i="4"/>
  <c r="Q74" i="4"/>
  <c r="Y74" i="4" s="1"/>
  <c r="P74" i="4"/>
  <c r="AC73" i="4"/>
  <c r="AB73" i="4"/>
  <c r="X73" i="4"/>
  <c r="W73" i="4"/>
  <c r="V73" i="4"/>
  <c r="Z73" i="4" s="1"/>
  <c r="U73" i="4"/>
  <c r="T73" i="4"/>
  <c r="S73" i="4"/>
  <c r="AA73" i="4" s="1"/>
  <c r="R73" i="4"/>
  <c r="Q73" i="4"/>
  <c r="Y73" i="4" s="1"/>
  <c r="P73" i="4"/>
  <c r="AC72" i="4"/>
  <c r="AA72" i="4"/>
  <c r="Y72" i="4"/>
  <c r="U72" i="4"/>
  <c r="T72" i="4"/>
  <c r="S72" i="4"/>
  <c r="R72" i="4"/>
  <c r="Q72" i="4"/>
  <c r="P72" i="4"/>
  <c r="AC71" i="4"/>
  <c r="AB71" i="4"/>
  <c r="X71" i="4"/>
  <c r="V71" i="4"/>
  <c r="Z71" i="4" s="1"/>
  <c r="U71" i="4"/>
  <c r="T71" i="4"/>
  <c r="S71" i="4"/>
  <c r="R71" i="4"/>
  <c r="Q71" i="4"/>
  <c r="Y71" i="4" s="1"/>
  <c r="P71" i="4"/>
  <c r="AC70" i="4"/>
  <c r="AA70" i="4"/>
  <c r="U70" i="4"/>
  <c r="T70" i="4"/>
  <c r="S70" i="4"/>
  <c r="R70" i="4"/>
  <c r="Q70" i="4"/>
  <c r="W70" i="4" s="1"/>
  <c r="P70" i="4"/>
  <c r="AC69" i="4"/>
  <c r="AB69" i="4"/>
  <c r="AA69" i="4"/>
  <c r="X69" i="4"/>
  <c r="W69" i="4"/>
  <c r="V69" i="4"/>
  <c r="Z69" i="4" s="1"/>
  <c r="U69" i="4"/>
  <c r="T69" i="4"/>
  <c r="S69" i="4"/>
  <c r="R69" i="4"/>
  <c r="Q69" i="4"/>
  <c r="Y69" i="4" s="1"/>
  <c r="P69" i="4"/>
  <c r="AC68" i="4"/>
  <c r="Y68" i="4"/>
  <c r="X68" i="4"/>
  <c r="U68" i="4"/>
  <c r="AA68" i="4" s="1"/>
  <c r="T68" i="4"/>
  <c r="S68" i="4"/>
  <c r="R68" i="4"/>
  <c r="Q68" i="4"/>
  <c r="V68" i="4" s="1"/>
  <c r="Z68" i="4" s="1"/>
  <c r="P68" i="4"/>
  <c r="AC67" i="4"/>
  <c r="AB67" i="4"/>
  <c r="Y67" i="4"/>
  <c r="X67" i="4"/>
  <c r="V67" i="4"/>
  <c r="Z67" i="4" s="1"/>
  <c r="U67" i="4"/>
  <c r="T67" i="4"/>
  <c r="S67" i="4"/>
  <c r="R67" i="4"/>
  <c r="Q67" i="4"/>
  <c r="W67" i="4" s="1"/>
  <c r="P67" i="4"/>
  <c r="AC66" i="4"/>
  <c r="Y66" i="4"/>
  <c r="U66" i="4"/>
  <c r="T66" i="4"/>
  <c r="S66" i="4"/>
  <c r="AA66" i="4" s="1"/>
  <c r="R66" i="4"/>
  <c r="Q66" i="4"/>
  <c r="W66" i="4" s="1"/>
  <c r="P66" i="4"/>
  <c r="AC65" i="4"/>
  <c r="AB65" i="4"/>
  <c r="X65" i="4"/>
  <c r="W65" i="4"/>
  <c r="V65" i="4"/>
  <c r="Z65" i="4" s="1"/>
  <c r="U65" i="4"/>
  <c r="T65" i="4"/>
  <c r="S65" i="4"/>
  <c r="AA65" i="4" s="1"/>
  <c r="R65" i="4"/>
  <c r="Q65" i="4"/>
  <c r="Y65" i="4" s="1"/>
  <c r="P65" i="4"/>
  <c r="AC64" i="4"/>
  <c r="AA64" i="4"/>
  <c r="U64" i="4"/>
  <c r="T64" i="4"/>
  <c r="S64" i="4"/>
  <c r="R64" i="4"/>
  <c r="Q64" i="4"/>
  <c r="V64" i="4" s="1"/>
  <c r="Z64" i="4" s="1"/>
  <c r="P64" i="4"/>
  <c r="AC63" i="4"/>
  <c r="Y63" i="4"/>
  <c r="X63" i="4"/>
  <c r="U63" i="4"/>
  <c r="T63" i="4"/>
  <c r="S63" i="4"/>
  <c r="R63" i="4"/>
  <c r="Q63" i="4"/>
  <c r="W63" i="4" s="1"/>
  <c r="P63" i="4"/>
  <c r="AC62" i="4"/>
  <c r="W62" i="4"/>
  <c r="V62" i="4"/>
  <c r="Z62" i="4" s="1"/>
  <c r="U62" i="4"/>
  <c r="AA62" i="4" s="1"/>
  <c r="T62" i="4"/>
  <c r="S62" i="4"/>
  <c r="R62" i="4"/>
  <c r="Q62" i="4"/>
  <c r="Y62" i="4" s="1"/>
  <c r="P62" i="4"/>
  <c r="AC61" i="4"/>
  <c r="AB61" i="4"/>
  <c r="AA61" i="4"/>
  <c r="X61" i="4"/>
  <c r="W61" i="4"/>
  <c r="V61" i="4"/>
  <c r="Z61" i="4" s="1"/>
  <c r="U61" i="4"/>
  <c r="T61" i="4"/>
  <c r="S61" i="4"/>
  <c r="R61" i="4"/>
  <c r="Q61" i="4"/>
  <c r="Y61" i="4" s="1"/>
  <c r="P61" i="4"/>
  <c r="AC60" i="4"/>
  <c r="Y60" i="4"/>
  <c r="U60" i="4"/>
  <c r="T60" i="4"/>
  <c r="S60" i="4"/>
  <c r="AA60" i="4" s="1"/>
  <c r="R60" i="4"/>
  <c r="Q60" i="4"/>
  <c r="V60" i="4" s="1"/>
  <c r="Z60" i="4" s="1"/>
  <c r="AD60" i="4" s="1"/>
  <c r="P60" i="4"/>
  <c r="AC59" i="4"/>
  <c r="AB59" i="4"/>
  <c r="X59" i="4"/>
  <c r="U59" i="4"/>
  <c r="T59" i="4"/>
  <c r="S59" i="4"/>
  <c r="AA59" i="4" s="1"/>
  <c r="R59" i="4"/>
  <c r="Q59" i="4"/>
  <c r="Y59" i="4" s="1"/>
  <c r="P59" i="4"/>
  <c r="AC58" i="4"/>
  <c r="AB58" i="4"/>
  <c r="U58" i="4"/>
  <c r="T58" i="4"/>
  <c r="S58" i="4"/>
  <c r="AA58" i="4" s="1"/>
  <c r="R58" i="4"/>
  <c r="Q58" i="4"/>
  <c r="Y58" i="4" s="1"/>
  <c r="P58" i="4"/>
  <c r="AC57" i="4"/>
  <c r="W57" i="4"/>
  <c r="V57" i="4"/>
  <c r="Z57" i="4" s="1"/>
  <c r="U57" i="4"/>
  <c r="T57" i="4"/>
  <c r="S57" i="4"/>
  <c r="AA57" i="4" s="1"/>
  <c r="R57" i="4"/>
  <c r="Q57" i="4"/>
  <c r="AB57" i="4" s="1"/>
  <c r="P57" i="4"/>
  <c r="AC56" i="4"/>
  <c r="AB56" i="4"/>
  <c r="X56" i="4"/>
  <c r="W56" i="4"/>
  <c r="V56" i="4"/>
  <c r="Z56" i="4" s="1"/>
  <c r="U56" i="4"/>
  <c r="T56" i="4"/>
  <c r="S56" i="4"/>
  <c r="AA56" i="4" s="1"/>
  <c r="R56" i="4"/>
  <c r="Q56" i="4"/>
  <c r="Y56" i="4" s="1"/>
  <c r="P56" i="4"/>
  <c r="AC55" i="4"/>
  <c r="AB55" i="4"/>
  <c r="X55" i="4"/>
  <c r="W55" i="4"/>
  <c r="U55" i="4"/>
  <c r="T55" i="4"/>
  <c r="S55" i="4"/>
  <c r="AA55" i="4" s="1"/>
  <c r="R55" i="4"/>
  <c r="Q55" i="4"/>
  <c r="V55" i="4" s="1"/>
  <c r="Z55" i="4" s="1"/>
  <c r="P55" i="4"/>
  <c r="AC54" i="4"/>
  <c r="X54" i="4"/>
  <c r="U54" i="4"/>
  <c r="T54" i="4"/>
  <c r="S54" i="4"/>
  <c r="AA54" i="4" s="1"/>
  <c r="R54" i="4"/>
  <c r="Q54" i="4"/>
  <c r="W54" i="4" s="1"/>
  <c r="P54" i="4"/>
  <c r="AC53" i="4"/>
  <c r="U53" i="4"/>
  <c r="T53" i="4"/>
  <c r="S53" i="4"/>
  <c r="AA53" i="4" s="1"/>
  <c r="R53" i="4"/>
  <c r="Q53" i="4"/>
  <c r="X53" i="4" s="1"/>
  <c r="P53" i="4"/>
  <c r="AC52" i="4"/>
  <c r="AB52" i="4"/>
  <c r="AA52" i="4"/>
  <c r="X52" i="4"/>
  <c r="W52" i="4"/>
  <c r="V52" i="4"/>
  <c r="Z52" i="4" s="1"/>
  <c r="AD52" i="4" s="1"/>
  <c r="U52" i="4"/>
  <c r="T52" i="4"/>
  <c r="S52" i="4"/>
  <c r="R52" i="4"/>
  <c r="Q52" i="4"/>
  <c r="Y52" i="4" s="1"/>
  <c r="P52" i="4"/>
  <c r="AC51" i="4"/>
  <c r="AB51" i="4"/>
  <c r="X51" i="4"/>
  <c r="U51" i="4"/>
  <c r="T51" i="4"/>
  <c r="S51" i="4"/>
  <c r="AA51" i="4" s="1"/>
  <c r="R51" i="4"/>
  <c r="Q51" i="4"/>
  <c r="Y51" i="4" s="1"/>
  <c r="P51" i="4"/>
  <c r="AC50" i="4"/>
  <c r="AB50" i="4"/>
  <c r="U50" i="4"/>
  <c r="T50" i="4"/>
  <c r="S50" i="4"/>
  <c r="AA50" i="4" s="1"/>
  <c r="R50" i="4"/>
  <c r="Q50" i="4"/>
  <c r="Y50" i="4" s="1"/>
  <c r="P50" i="4"/>
  <c r="AC49" i="4"/>
  <c r="W49" i="4"/>
  <c r="V49" i="4"/>
  <c r="Z49" i="4" s="1"/>
  <c r="AD49" i="4" s="1"/>
  <c r="U49" i="4"/>
  <c r="T49" i="4"/>
  <c r="S49" i="4"/>
  <c r="AA49" i="4" s="1"/>
  <c r="R49" i="4"/>
  <c r="Q49" i="4"/>
  <c r="AB49" i="4" s="1"/>
  <c r="P49" i="4"/>
  <c r="AC48" i="4"/>
  <c r="AB48" i="4"/>
  <c r="X48" i="4"/>
  <c r="W48" i="4"/>
  <c r="V48" i="4"/>
  <c r="Z48" i="4" s="1"/>
  <c r="U48" i="4"/>
  <c r="T48" i="4"/>
  <c r="S48" i="4"/>
  <c r="AA48" i="4" s="1"/>
  <c r="R48" i="4"/>
  <c r="Q48" i="4"/>
  <c r="Y48" i="4" s="1"/>
  <c r="P48" i="4"/>
  <c r="AC47" i="4"/>
  <c r="AB47" i="4"/>
  <c r="X47" i="4"/>
  <c r="W47" i="4"/>
  <c r="U47" i="4"/>
  <c r="T47" i="4"/>
  <c r="S47" i="4"/>
  <c r="AA47" i="4" s="1"/>
  <c r="R47" i="4"/>
  <c r="Q47" i="4"/>
  <c r="V47" i="4" s="1"/>
  <c r="Z47" i="4" s="1"/>
  <c r="P47" i="4"/>
  <c r="AC46" i="4"/>
  <c r="X46" i="4"/>
  <c r="U46" i="4"/>
  <c r="T46" i="4"/>
  <c r="S46" i="4"/>
  <c r="AA46" i="4" s="1"/>
  <c r="R46" i="4"/>
  <c r="Q46" i="4"/>
  <c r="W46" i="4" s="1"/>
  <c r="P46" i="4"/>
  <c r="AC45" i="4"/>
  <c r="U45" i="4"/>
  <c r="T45" i="4"/>
  <c r="S45" i="4"/>
  <c r="AA45" i="4" s="1"/>
  <c r="R45" i="4"/>
  <c r="Q45" i="4"/>
  <c r="X45" i="4" s="1"/>
  <c r="P45" i="4"/>
  <c r="AC44" i="4"/>
  <c r="AB44" i="4"/>
  <c r="X44" i="4"/>
  <c r="W44" i="4"/>
  <c r="V44" i="4"/>
  <c r="Z44" i="4" s="1"/>
  <c r="AD44" i="4" s="1"/>
  <c r="U44" i="4"/>
  <c r="T44" i="4"/>
  <c r="S44" i="4"/>
  <c r="AA44" i="4" s="1"/>
  <c r="R44" i="4"/>
  <c r="Q44" i="4"/>
  <c r="Y44" i="4" s="1"/>
  <c r="P44" i="4"/>
  <c r="AC43" i="4"/>
  <c r="AB43" i="4"/>
  <c r="X43" i="4"/>
  <c r="U43" i="4"/>
  <c r="T43" i="4"/>
  <c r="S43" i="4"/>
  <c r="AA43" i="4" s="1"/>
  <c r="R43" i="4"/>
  <c r="Q43" i="4"/>
  <c r="Y43" i="4" s="1"/>
  <c r="P43" i="4"/>
  <c r="AC42" i="4"/>
  <c r="AB42" i="4"/>
  <c r="U42" i="4"/>
  <c r="T42" i="4"/>
  <c r="S42" i="4"/>
  <c r="AA42" i="4" s="1"/>
  <c r="R42" i="4"/>
  <c r="Q42" i="4"/>
  <c r="Y42" i="4" s="1"/>
  <c r="P42" i="4"/>
  <c r="AC41" i="4"/>
  <c r="W41" i="4"/>
  <c r="V41" i="4"/>
  <c r="Z41" i="4" s="1"/>
  <c r="U41" i="4"/>
  <c r="T41" i="4"/>
  <c r="S41" i="4"/>
  <c r="AA41" i="4" s="1"/>
  <c r="R41" i="4"/>
  <c r="Q41" i="4"/>
  <c r="AB41" i="4" s="1"/>
  <c r="P41" i="4"/>
  <c r="AC40" i="4"/>
  <c r="AB40" i="4"/>
  <c r="X40" i="4"/>
  <c r="W40" i="4"/>
  <c r="V40" i="4"/>
  <c r="Z40" i="4" s="1"/>
  <c r="U40" i="4"/>
  <c r="T40" i="4"/>
  <c r="S40" i="4"/>
  <c r="AA40" i="4" s="1"/>
  <c r="R40" i="4"/>
  <c r="Q40" i="4"/>
  <c r="Y40" i="4" s="1"/>
  <c r="P40" i="4"/>
  <c r="AC39" i="4"/>
  <c r="AB39" i="4"/>
  <c r="X39" i="4"/>
  <c r="W39" i="4"/>
  <c r="U39" i="4"/>
  <c r="T39" i="4"/>
  <c r="S39" i="4"/>
  <c r="AA39" i="4" s="1"/>
  <c r="R39" i="4"/>
  <c r="Q39" i="4"/>
  <c r="V39" i="4" s="1"/>
  <c r="Z39" i="4" s="1"/>
  <c r="P39" i="4"/>
  <c r="AC38" i="4"/>
  <c r="X38" i="4"/>
  <c r="U38" i="4"/>
  <c r="T38" i="4"/>
  <c r="S38" i="4"/>
  <c r="AA38" i="4" s="1"/>
  <c r="R38" i="4"/>
  <c r="Q38" i="4"/>
  <c r="W38" i="4" s="1"/>
  <c r="P38" i="4"/>
  <c r="AC37" i="4"/>
  <c r="U37" i="4"/>
  <c r="T37" i="4"/>
  <c r="S37" i="4"/>
  <c r="AA37" i="4" s="1"/>
  <c r="R37" i="4"/>
  <c r="Q37" i="4"/>
  <c r="X37" i="4" s="1"/>
  <c r="P37" i="4"/>
  <c r="AC36" i="4"/>
  <c r="AB36" i="4"/>
  <c r="X36" i="4"/>
  <c r="W36" i="4"/>
  <c r="V36" i="4"/>
  <c r="Z36" i="4" s="1"/>
  <c r="AD36" i="4" s="1"/>
  <c r="U36" i="4"/>
  <c r="T36" i="4"/>
  <c r="S36" i="4"/>
  <c r="AA36" i="4" s="1"/>
  <c r="R36" i="4"/>
  <c r="Q36" i="4"/>
  <c r="Y36" i="4" s="1"/>
  <c r="P36" i="4"/>
  <c r="AC35" i="4"/>
  <c r="AB35" i="4"/>
  <c r="X35" i="4"/>
  <c r="U35" i="4"/>
  <c r="T35" i="4"/>
  <c r="S35" i="4"/>
  <c r="AA35" i="4" s="1"/>
  <c r="R35" i="4"/>
  <c r="Q35" i="4"/>
  <c r="Y35" i="4" s="1"/>
  <c r="P35" i="4"/>
  <c r="AC34" i="4"/>
  <c r="AB34" i="4"/>
  <c r="U34" i="4"/>
  <c r="T34" i="4"/>
  <c r="S34" i="4"/>
  <c r="AA34" i="4" s="1"/>
  <c r="R34" i="4"/>
  <c r="Q34" i="4"/>
  <c r="Y34" i="4" s="1"/>
  <c r="P34" i="4"/>
  <c r="AC33" i="4"/>
  <c r="W33" i="4"/>
  <c r="V33" i="4"/>
  <c r="Z33" i="4" s="1"/>
  <c r="AD33" i="4" s="1"/>
  <c r="U33" i="4"/>
  <c r="T33" i="4"/>
  <c r="S33" i="4"/>
  <c r="AA33" i="4" s="1"/>
  <c r="R33" i="4"/>
  <c r="Q33" i="4"/>
  <c r="AB33" i="4" s="1"/>
  <c r="P33" i="4"/>
  <c r="AC32" i="4"/>
  <c r="AB32" i="4"/>
  <c r="X32" i="4"/>
  <c r="W32" i="4"/>
  <c r="V32" i="4"/>
  <c r="Z32" i="4" s="1"/>
  <c r="U32" i="4"/>
  <c r="T32" i="4"/>
  <c r="S32" i="4"/>
  <c r="AA32" i="4" s="1"/>
  <c r="R32" i="4"/>
  <c r="Q32" i="4"/>
  <c r="Y32" i="4" s="1"/>
  <c r="P32" i="4"/>
  <c r="AC31" i="4"/>
  <c r="AB31" i="4"/>
  <c r="X31" i="4"/>
  <c r="W31" i="4"/>
  <c r="U31" i="4"/>
  <c r="T31" i="4"/>
  <c r="S31" i="4"/>
  <c r="AA31" i="4" s="1"/>
  <c r="R31" i="4"/>
  <c r="Q31" i="4"/>
  <c r="V31" i="4" s="1"/>
  <c r="Z31" i="4" s="1"/>
  <c r="P31" i="4"/>
  <c r="AC30" i="4"/>
  <c r="X30" i="4"/>
  <c r="U30" i="4"/>
  <c r="T30" i="4"/>
  <c r="S30" i="4"/>
  <c r="AA30" i="4" s="1"/>
  <c r="R30" i="4"/>
  <c r="Q30" i="4"/>
  <c r="W30" i="4" s="1"/>
  <c r="P30" i="4"/>
  <c r="AC29" i="4"/>
  <c r="U29" i="4"/>
  <c r="T29" i="4"/>
  <c r="S29" i="4"/>
  <c r="AA29" i="4" s="1"/>
  <c r="R29" i="4"/>
  <c r="Q29" i="4"/>
  <c r="X29" i="4" s="1"/>
  <c r="P29" i="4"/>
  <c r="AC28" i="4"/>
  <c r="AB28" i="4"/>
  <c r="X28" i="4"/>
  <c r="W28" i="4"/>
  <c r="V28" i="4"/>
  <c r="Z28" i="4" s="1"/>
  <c r="AD28" i="4" s="1"/>
  <c r="U28" i="4"/>
  <c r="T28" i="4"/>
  <c r="S28" i="4"/>
  <c r="AA28" i="4" s="1"/>
  <c r="R28" i="4"/>
  <c r="Q28" i="4"/>
  <c r="Y28" i="4" s="1"/>
  <c r="P28" i="4"/>
  <c r="AC27" i="4"/>
  <c r="AB27" i="4"/>
  <c r="X27" i="4"/>
  <c r="U27" i="4"/>
  <c r="T27" i="4"/>
  <c r="S27" i="4"/>
  <c r="AA27" i="4" s="1"/>
  <c r="R27" i="4"/>
  <c r="Q27" i="4"/>
  <c r="Y27" i="4" s="1"/>
  <c r="P27" i="4"/>
  <c r="AC26" i="4"/>
  <c r="AB26" i="4"/>
  <c r="U26" i="4"/>
  <c r="T26" i="4"/>
  <c r="S26" i="4"/>
  <c r="AA26" i="4" s="1"/>
  <c r="R26" i="4"/>
  <c r="Q26" i="4"/>
  <c r="Y26" i="4" s="1"/>
  <c r="P26" i="4"/>
  <c r="AC25" i="4"/>
  <c r="W25" i="4"/>
  <c r="V25" i="4"/>
  <c r="Z25" i="4" s="1"/>
  <c r="U25" i="4"/>
  <c r="T25" i="4"/>
  <c r="S25" i="4"/>
  <c r="AA25" i="4" s="1"/>
  <c r="R25" i="4"/>
  <c r="Q25" i="4"/>
  <c r="AB25" i="4" s="1"/>
  <c r="P25" i="4"/>
  <c r="AC24" i="4"/>
  <c r="AB24" i="4"/>
  <c r="X24" i="4"/>
  <c r="W24" i="4"/>
  <c r="V24" i="4"/>
  <c r="Z24" i="4" s="1"/>
  <c r="U24" i="4"/>
  <c r="T24" i="4"/>
  <c r="S24" i="4"/>
  <c r="AA24" i="4" s="1"/>
  <c r="R24" i="4"/>
  <c r="Q24" i="4"/>
  <c r="Y24" i="4" s="1"/>
  <c r="P24" i="4"/>
  <c r="AC23" i="4"/>
  <c r="AB23" i="4"/>
  <c r="X23" i="4"/>
  <c r="W23" i="4"/>
  <c r="U23" i="4"/>
  <c r="T23" i="4"/>
  <c r="S23" i="4"/>
  <c r="AA23" i="4" s="1"/>
  <c r="R23" i="4"/>
  <c r="Q23" i="4"/>
  <c r="V23" i="4" s="1"/>
  <c r="Z23" i="4" s="1"/>
  <c r="P23" i="4"/>
  <c r="AC22" i="4"/>
  <c r="X22" i="4"/>
  <c r="U22" i="4"/>
  <c r="T22" i="4"/>
  <c r="S22" i="4"/>
  <c r="AA22" i="4" s="1"/>
  <c r="R22" i="4"/>
  <c r="Q22" i="4"/>
  <c r="W22" i="4" s="1"/>
  <c r="P22" i="4"/>
  <c r="AC21" i="4"/>
  <c r="U21" i="4"/>
  <c r="T21" i="4"/>
  <c r="S21" i="4"/>
  <c r="AA21" i="4" s="1"/>
  <c r="R21" i="4"/>
  <c r="Q21" i="4"/>
  <c r="X21" i="4" s="1"/>
  <c r="P21" i="4"/>
  <c r="AC20" i="4"/>
  <c r="AB20" i="4"/>
  <c r="X20" i="4"/>
  <c r="W20" i="4"/>
  <c r="V20" i="4"/>
  <c r="Z20" i="4" s="1"/>
  <c r="AD20" i="4" s="1"/>
  <c r="U20" i="4"/>
  <c r="T20" i="4"/>
  <c r="S20" i="4"/>
  <c r="AA20" i="4" s="1"/>
  <c r="R20" i="4"/>
  <c r="Q20" i="4"/>
  <c r="Y20" i="4" s="1"/>
  <c r="P20" i="4"/>
  <c r="AC19" i="4"/>
  <c r="AB19" i="4"/>
  <c r="X19" i="4"/>
  <c r="U19" i="4"/>
  <c r="T19" i="4"/>
  <c r="S19" i="4"/>
  <c r="AA19" i="4" s="1"/>
  <c r="R19" i="4"/>
  <c r="Q19" i="4"/>
  <c r="Y19" i="4" s="1"/>
  <c r="P19" i="4"/>
  <c r="AC18" i="4"/>
  <c r="AB18" i="4"/>
  <c r="U18" i="4"/>
  <c r="T18" i="4"/>
  <c r="S18" i="4"/>
  <c r="AA18" i="4" s="1"/>
  <c r="R18" i="4"/>
  <c r="Q18" i="4"/>
  <c r="Y18" i="4" s="1"/>
  <c r="P18" i="4"/>
  <c r="AC17" i="4"/>
  <c r="X17" i="4"/>
  <c r="W17" i="4"/>
  <c r="V17" i="4"/>
  <c r="Z17" i="4" s="1"/>
  <c r="U17" i="4"/>
  <c r="T17" i="4"/>
  <c r="S17" i="4"/>
  <c r="AA17" i="4" s="1"/>
  <c r="R17" i="4"/>
  <c r="Q17" i="4"/>
  <c r="AB17" i="4" s="1"/>
  <c r="P17" i="4"/>
  <c r="AC16" i="4"/>
  <c r="AB16" i="4"/>
  <c r="X16" i="4"/>
  <c r="W16" i="4"/>
  <c r="V16" i="4"/>
  <c r="Z16" i="4" s="1"/>
  <c r="U16" i="4"/>
  <c r="T16" i="4"/>
  <c r="S16" i="4"/>
  <c r="AA16" i="4" s="1"/>
  <c r="R16" i="4"/>
  <c r="Q16" i="4"/>
  <c r="Y16" i="4" s="1"/>
  <c r="P16" i="4"/>
  <c r="AC15" i="4"/>
  <c r="AB15" i="4"/>
  <c r="X15" i="4"/>
  <c r="W15" i="4"/>
  <c r="U15" i="4"/>
  <c r="T15" i="4"/>
  <c r="S15" i="4"/>
  <c r="AA15" i="4" s="1"/>
  <c r="R15" i="4"/>
  <c r="Q15" i="4"/>
  <c r="V15" i="4" s="1"/>
  <c r="Z15" i="4" s="1"/>
  <c r="P15" i="4"/>
  <c r="AC14" i="4"/>
  <c r="X14" i="4"/>
  <c r="U14" i="4"/>
  <c r="T14" i="4"/>
  <c r="S14" i="4"/>
  <c r="AA14" i="4" s="1"/>
  <c r="R14" i="4"/>
  <c r="Q14" i="4"/>
  <c r="W14" i="4" s="1"/>
  <c r="P14" i="4"/>
  <c r="AC13" i="4"/>
  <c r="U13" i="4"/>
  <c r="T13" i="4"/>
  <c r="S13" i="4"/>
  <c r="AA13" i="4" s="1"/>
  <c r="R13" i="4"/>
  <c r="Q13" i="4"/>
  <c r="X13" i="4" s="1"/>
  <c r="P13" i="4"/>
  <c r="AC12" i="4"/>
  <c r="AB12" i="4"/>
  <c r="X12" i="4"/>
  <c r="W12" i="4"/>
  <c r="V12" i="4"/>
  <c r="Z12" i="4" s="1"/>
  <c r="AD12" i="4" s="1"/>
  <c r="U12" i="4"/>
  <c r="T12" i="4"/>
  <c r="S12" i="4"/>
  <c r="AA12" i="4" s="1"/>
  <c r="R12" i="4"/>
  <c r="Q12" i="4"/>
  <c r="Y12" i="4" s="1"/>
  <c r="P12" i="4"/>
  <c r="AC11" i="4"/>
  <c r="AB11" i="4"/>
  <c r="X11" i="4"/>
  <c r="U11" i="4"/>
  <c r="T11" i="4"/>
  <c r="S11" i="4"/>
  <c r="AA11" i="4" s="1"/>
  <c r="R11" i="4"/>
  <c r="Q11" i="4"/>
  <c r="Y11" i="4" s="1"/>
  <c r="P11" i="4"/>
  <c r="AC10" i="4"/>
  <c r="AB10" i="4"/>
  <c r="U10" i="4"/>
  <c r="T10" i="4"/>
  <c r="S10" i="4"/>
  <c r="AA10" i="4" s="1"/>
  <c r="R10" i="4"/>
  <c r="Q10" i="4"/>
  <c r="Y10" i="4" s="1"/>
  <c r="P10" i="4"/>
  <c r="AC9" i="4"/>
  <c r="X9" i="4"/>
  <c r="W9" i="4"/>
  <c r="V9" i="4"/>
  <c r="Z9" i="4" s="1"/>
  <c r="U9" i="4"/>
  <c r="T9" i="4"/>
  <c r="S9" i="4"/>
  <c r="AA9" i="4" s="1"/>
  <c r="R9" i="4"/>
  <c r="Q9" i="4"/>
  <c r="AB9" i="4" s="1"/>
  <c r="P9" i="4"/>
  <c r="AC8" i="4"/>
  <c r="AB8" i="4"/>
  <c r="X8" i="4"/>
  <c r="W8" i="4"/>
  <c r="V8" i="4"/>
  <c r="Z8" i="4" s="1"/>
  <c r="U8" i="4"/>
  <c r="T8" i="4"/>
  <c r="S8" i="4"/>
  <c r="AA8" i="4" s="1"/>
  <c r="R8" i="4"/>
  <c r="Q8" i="4"/>
  <c r="Y8" i="4" s="1"/>
  <c r="P8" i="4"/>
  <c r="AC7" i="4"/>
  <c r="AB7" i="4"/>
  <c r="X7" i="4"/>
  <c r="W7" i="4"/>
  <c r="U7" i="4"/>
  <c r="T7" i="4"/>
  <c r="S7" i="4"/>
  <c r="AA7" i="4" s="1"/>
  <c r="R7" i="4"/>
  <c r="Q7" i="4"/>
  <c r="V7" i="4" s="1"/>
  <c r="Z7" i="4" s="1"/>
  <c r="P7" i="4"/>
  <c r="AC6" i="4"/>
  <c r="X6" i="4"/>
  <c r="U6" i="4"/>
  <c r="T6" i="4"/>
  <c r="S6" i="4"/>
  <c r="AA6" i="4" s="1"/>
  <c r="R6" i="4"/>
  <c r="Q6" i="4"/>
  <c r="W6" i="4" s="1"/>
  <c r="P6" i="4"/>
  <c r="AC5" i="4"/>
  <c r="U5" i="4"/>
  <c r="T5" i="4"/>
  <c r="S5" i="4"/>
  <c r="AA5" i="4" s="1"/>
  <c r="R5" i="4"/>
  <c r="Q5" i="4"/>
  <c r="X5" i="4" s="1"/>
  <c r="P5" i="4"/>
  <c r="AC4" i="4"/>
  <c r="AB4" i="4"/>
  <c r="X4" i="4"/>
  <c r="W4" i="4"/>
  <c r="V4" i="4"/>
  <c r="Z4" i="4" s="1"/>
  <c r="AD4" i="4" s="1"/>
  <c r="U4" i="4"/>
  <c r="T4" i="4"/>
  <c r="S4" i="4"/>
  <c r="AA4" i="4" s="1"/>
  <c r="R4" i="4"/>
  <c r="Q4" i="4"/>
  <c r="Y4" i="4" s="1"/>
  <c r="P4" i="4"/>
  <c r="AC3" i="4"/>
  <c r="AB3" i="4"/>
  <c r="X3" i="4"/>
  <c r="U3" i="4"/>
  <c r="T3" i="4"/>
  <c r="S3" i="4"/>
  <c r="AA3" i="4" s="1"/>
  <c r="R3" i="4"/>
  <c r="Q3" i="4"/>
  <c r="Y3" i="4" s="1"/>
  <c r="P3" i="4"/>
  <c r="AC2" i="4"/>
  <c r="U2" i="4"/>
  <c r="T2" i="4"/>
  <c r="S2" i="4"/>
  <c r="AA2" i="4" s="1"/>
  <c r="R2" i="4"/>
  <c r="Q2" i="4"/>
  <c r="Y2" i="4" s="1"/>
  <c r="M86" i="2"/>
  <c r="M85" i="2"/>
  <c r="M84" i="2"/>
  <c r="M83" i="2"/>
  <c r="M82" i="2"/>
  <c r="M81" i="2"/>
  <c r="M80" i="2"/>
  <c r="M79" i="2"/>
  <c r="M78" i="2"/>
  <c r="M77" i="2"/>
  <c r="J65" i="2"/>
  <c r="F65" i="2"/>
  <c r="D64" i="2"/>
  <c r="D11" i="2" s="1"/>
  <c r="D63" i="2"/>
  <c r="D62" i="2"/>
  <c r="D61" i="2"/>
  <c r="D60" i="2"/>
  <c r="D7" i="2" s="1"/>
  <c r="D59" i="2"/>
  <c r="D6" i="2" s="1"/>
  <c r="D58" i="2"/>
  <c r="D57" i="2"/>
  <c r="D56" i="2"/>
  <c r="D3" i="2" s="1"/>
  <c r="D55" i="2"/>
  <c r="A47" i="2"/>
  <c r="A46" i="2"/>
  <c r="A45" i="2"/>
  <c r="A44" i="2"/>
  <c r="A43" i="2"/>
  <c r="A42" i="2"/>
  <c r="A41" i="2"/>
  <c r="A40" i="2"/>
  <c r="A39" i="2"/>
  <c r="A38" i="2"/>
  <c r="A34" i="2"/>
  <c r="A33" i="2"/>
  <c r="A32" i="2"/>
  <c r="A31" i="2"/>
  <c r="A30" i="2"/>
  <c r="A29" i="2"/>
  <c r="A28" i="2"/>
  <c r="A27" i="2"/>
  <c r="A26" i="2"/>
  <c r="A25" i="2"/>
  <c r="C11" i="2"/>
  <c r="D10" i="2"/>
  <c r="C10" i="2"/>
  <c r="D9" i="2"/>
  <c r="C9" i="2"/>
  <c r="D8" i="2"/>
  <c r="C8" i="2"/>
  <c r="C7" i="2"/>
  <c r="C6" i="2"/>
  <c r="D5" i="2"/>
  <c r="C5" i="2"/>
  <c r="D4" i="2"/>
  <c r="C4" i="2"/>
  <c r="C3" i="2"/>
  <c r="D2" i="2"/>
  <c r="C2" i="2"/>
  <c r="N453" i="4" l="1"/>
  <c r="AD788" i="4"/>
  <c r="N788" i="4" s="1"/>
  <c r="O788" i="4" s="1"/>
  <c r="AD101" i="4"/>
  <c r="N101" i="4" s="1"/>
  <c r="O101" i="4" s="1"/>
  <c r="N218" i="4"/>
  <c r="N157" i="4"/>
  <c r="N277" i="4"/>
  <c r="N165" i="4"/>
  <c r="N509" i="4"/>
  <c r="N857" i="4"/>
  <c r="AD147" i="4"/>
  <c r="N147" i="4" s="1"/>
  <c r="O147" i="4" s="1"/>
  <c r="AD705" i="4"/>
  <c r="N705" i="4" s="1"/>
  <c r="O705" i="4" s="1"/>
  <c r="AD117" i="4"/>
  <c r="N117" i="4" s="1"/>
  <c r="O117" i="4" s="1"/>
  <c r="N180" i="4"/>
  <c r="N237" i="4"/>
  <c r="N239" i="4"/>
  <c r="AD243" i="4"/>
  <c r="N243" i="4" s="1"/>
  <c r="O243" i="4" s="1"/>
  <c r="AD609" i="4"/>
  <c r="N609" i="4" s="1"/>
  <c r="O609" i="4" s="1"/>
  <c r="N544" i="4"/>
  <c r="N875" i="4"/>
  <c r="O875" i="4" s="1"/>
  <c r="N213" i="4"/>
  <c r="N415" i="4"/>
  <c r="N123" i="4"/>
  <c r="O123" i="4" s="1"/>
  <c r="N173" i="4"/>
  <c r="AD501" i="4"/>
  <c r="N501" i="4" s="1"/>
  <c r="O501" i="4" s="1"/>
  <c r="AD700" i="4"/>
  <c r="N700" i="4" s="1"/>
  <c r="O700" i="4" s="1"/>
  <c r="N269" i="4"/>
  <c r="N302" i="4"/>
  <c r="N595" i="4"/>
  <c r="AD139" i="4"/>
  <c r="N139" i="4" s="1"/>
  <c r="O139" i="4" s="1"/>
  <c r="N421" i="4"/>
  <c r="O421" i="4" s="1"/>
  <c r="N633" i="4"/>
  <c r="N921" i="4"/>
  <c r="N81" i="4"/>
  <c r="O81" i="4" s="1"/>
  <c r="N405" i="4"/>
  <c r="O405" i="4" s="1"/>
  <c r="N91" i="4"/>
  <c r="O91" i="4" s="1"/>
  <c r="AD107" i="4"/>
  <c r="N107" i="4" s="1"/>
  <c r="O107" i="4" s="1"/>
  <c r="N414" i="4"/>
  <c r="AD886" i="4"/>
  <c r="N886" i="4" s="1"/>
  <c r="O886" i="4" s="1"/>
  <c r="AB2" i="4"/>
  <c r="AD85" i="4"/>
  <c r="N85" i="4" s="1"/>
  <c r="O85" i="4" s="1"/>
  <c r="AD109" i="4"/>
  <c r="N109" i="4" s="1"/>
  <c r="O109" i="4" s="1"/>
  <c r="AD16" i="4"/>
  <c r="N16" i="4" s="1"/>
  <c r="O16" i="4" s="1"/>
  <c r="AD31" i="4"/>
  <c r="N31" i="4" s="1"/>
  <c r="O31" i="4" s="1"/>
  <c r="AD15" i="4"/>
  <c r="N15" i="4" s="1"/>
  <c r="O15" i="4" s="1"/>
  <c r="AD56" i="4"/>
  <c r="N56" i="4" s="1"/>
  <c r="O56" i="4" s="1"/>
  <c r="AD67" i="4"/>
  <c r="N67" i="4" s="1"/>
  <c r="O67" i="4" s="1"/>
  <c r="AD105" i="4"/>
  <c r="N105" i="4" s="1"/>
  <c r="O105" i="4" s="1"/>
  <c r="AD39" i="4"/>
  <c r="N39" i="4" s="1"/>
  <c r="O39" i="4" s="1"/>
  <c r="AD62" i="4"/>
  <c r="N62" i="4" s="1"/>
  <c r="O62" i="4" s="1"/>
  <c r="AD121" i="4"/>
  <c r="N121" i="4" s="1"/>
  <c r="O121" i="4" s="1"/>
  <c r="AD55" i="4"/>
  <c r="N55" i="4" s="1"/>
  <c r="O55" i="4" s="1"/>
  <c r="AD77" i="4"/>
  <c r="N77" i="4" s="1"/>
  <c r="O77" i="4" s="1"/>
  <c r="AD8" i="4"/>
  <c r="N8" i="4" s="1"/>
  <c r="O8" i="4" s="1"/>
  <c r="AD24" i="4"/>
  <c r="N24" i="4" s="1"/>
  <c r="O24" i="4" s="1"/>
  <c r="AD151" i="4"/>
  <c r="N151" i="4" s="1"/>
  <c r="O151" i="4" s="1"/>
  <c r="AD40" i="4"/>
  <c r="N40" i="4" s="1"/>
  <c r="O40" i="4" s="1"/>
  <c r="AD125" i="4"/>
  <c r="N125" i="4" s="1"/>
  <c r="O125" i="4" s="1"/>
  <c r="AD137" i="4"/>
  <c r="N137" i="4" s="1"/>
  <c r="O137" i="4" s="1"/>
  <c r="AD71" i="4"/>
  <c r="N71" i="4"/>
  <c r="O71" i="4" s="1"/>
  <c r="AD7" i="4"/>
  <c r="N7" i="4" s="1"/>
  <c r="O7" i="4" s="1"/>
  <c r="AD48" i="4"/>
  <c r="N48" i="4" s="1"/>
  <c r="O48" i="4" s="1"/>
  <c r="AD47" i="4"/>
  <c r="N47" i="4" s="1"/>
  <c r="O47" i="4" s="1"/>
  <c r="AD93" i="4"/>
  <c r="N93" i="4" s="1"/>
  <c r="O93" i="4" s="1"/>
  <c r="AD223" i="4"/>
  <c r="N223" i="4" s="1"/>
  <c r="O223" i="4" s="1"/>
  <c r="AD23" i="4"/>
  <c r="N23" i="4" s="1"/>
  <c r="O23" i="4" s="1"/>
  <c r="AD32" i="4"/>
  <c r="N32" i="4" s="1"/>
  <c r="O32" i="4" s="1"/>
  <c r="AD61" i="4"/>
  <c r="N61" i="4" s="1"/>
  <c r="O61" i="4" s="1"/>
  <c r="AD79" i="4"/>
  <c r="N79" i="4" s="1"/>
  <c r="O79" i="4" s="1"/>
  <c r="AD89" i="4"/>
  <c r="N89" i="4" s="1"/>
  <c r="O89" i="4" s="1"/>
  <c r="AD146" i="4"/>
  <c r="N146" i="4" s="1"/>
  <c r="O146" i="4" s="1"/>
  <c r="AD9" i="4"/>
  <c r="N9" i="4" s="1"/>
  <c r="O9" i="4" s="1"/>
  <c r="AD17" i="4"/>
  <c r="N17" i="4" s="1"/>
  <c r="O17" i="4" s="1"/>
  <c r="V177" i="4"/>
  <c r="Z177" i="4" s="1"/>
  <c r="Y177" i="4"/>
  <c r="W177" i="4"/>
  <c r="AB177" i="4"/>
  <c r="O221" i="4"/>
  <c r="O231" i="4"/>
  <c r="AD265" i="4"/>
  <c r="N265" i="4" s="1"/>
  <c r="O265" i="4" s="1"/>
  <c r="Y5" i="4"/>
  <c r="AD64" i="4"/>
  <c r="N64" i="4" s="1"/>
  <c r="O64" i="4" s="1"/>
  <c r="AD111" i="4"/>
  <c r="N111" i="4" s="1"/>
  <c r="O111" i="4" s="1"/>
  <c r="O172" i="4"/>
  <c r="O245" i="4"/>
  <c r="AD257" i="4"/>
  <c r="N257" i="4" s="1"/>
  <c r="O257" i="4" s="1"/>
  <c r="AD283" i="4"/>
  <c r="N283" i="4" s="1"/>
  <c r="O283" i="4" s="1"/>
  <c r="Y6" i="4"/>
  <c r="N33" i="4"/>
  <c r="O33" i="4" s="1"/>
  <c r="Y38" i="4"/>
  <c r="AD41" i="4"/>
  <c r="N41" i="4" s="1"/>
  <c r="O41" i="4" s="1"/>
  <c r="N49" i="4"/>
  <c r="O49" i="4" s="1"/>
  <c r="AD57" i="4"/>
  <c r="N57" i="4" s="1"/>
  <c r="O57" i="4" s="1"/>
  <c r="AD131" i="4"/>
  <c r="N131" i="4" s="1"/>
  <c r="O131" i="4" s="1"/>
  <c r="Y15" i="4"/>
  <c r="V18" i="4"/>
  <c r="Z18" i="4" s="1"/>
  <c r="Y23" i="4"/>
  <c r="V26" i="4"/>
  <c r="Z26" i="4" s="1"/>
  <c r="Y31" i="4"/>
  <c r="V34" i="4"/>
  <c r="Z34" i="4" s="1"/>
  <c r="Y39" i="4"/>
  <c r="V42" i="4"/>
  <c r="Z42" i="4" s="1"/>
  <c r="Y47" i="4"/>
  <c r="V50" i="4"/>
  <c r="Z50" i="4" s="1"/>
  <c r="Y55" i="4"/>
  <c r="V58" i="4"/>
  <c r="Z58" i="4" s="1"/>
  <c r="AD65" i="4"/>
  <c r="N65" i="4" s="1"/>
  <c r="O65" i="4" s="1"/>
  <c r="AD68" i="4"/>
  <c r="N68" i="4" s="1"/>
  <c r="O68" i="4" s="1"/>
  <c r="X72" i="4"/>
  <c r="V72" i="4"/>
  <c r="Z72" i="4" s="1"/>
  <c r="AB72" i="4"/>
  <c r="AD73" i="4"/>
  <c r="N73" i="4" s="1"/>
  <c r="O73" i="4" s="1"/>
  <c r="W74" i="4"/>
  <c r="AB75" i="4"/>
  <c r="W80" i="4"/>
  <c r="X86" i="4"/>
  <c r="W86" i="4"/>
  <c r="AB86" i="4"/>
  <c r="V90" i="4"/>
  <c r="Z90" i="4" s="1"/>
  <c r="AB90" i="4"/>
  <c r="X90" i="4"/>
  <c r="W96" i="4"/>
  <c r="V106" i="4"/>
  <c r="Z106" i="4" s="1"/>
  <c r="AB106" i="4"/>
  <c r="X106" i="4"/>
  <c r="W112" i="4"/>
  <c r="V122" i="4"/>
  <c r="Z122" i="4" s="1"/>
  <c r="AB122" i="4"/>
  <c r="X122" i="4"/>
  <c r="W128" i="4"/>
  <c r="V138" i="4"/>
  <c r="Z138" i="4" s="1"/>
  <c r="AB138" i="4"/>
  <c r="X138" i="4"/>
  <c r="AB154" i="4"/>
  <c r="V154" i="4"/>
  <c r="Z154" i="4" s="1"/>
  <c r="X154" i="4"/>
  <c r="N164" i="4"/>
  <c r="O164" i="4" s="1"/>
  <c r="W168" i="4"/>
  <c r="V168" i="4"/>
  <c r="Z168" i="4" s="1"/>
  <c r="AB168" i="4"/>
  <c r="X168" i="4"/>
  <c r="AB178" i="4"/>
  <c r="X178" i="4"/>
  <c r="W178" i="4"/>
  <c r="V178" i="4"/>
  <c r="Z178" i="4" s="1"/>
  <c r="AD185" i="4"/>
  <c r="N185" i="4" s="1"/>
  <c r="O185" i="4" s="1"/>
  <c r="X191" i="4"/>
  <c r="W191" i="4"/>
  <c r="V191" i="4"/>
  <c r="Z191" i="4" s="1"/>
  <c r="AD193" i="4"/>
  <c r="N193" i="4" s="1"/>
  <c r="O193" i="4" s="1"/>
  <c r="X196" i="4"/>
  <c r="V196" i="4"/>
  <c r="Z196" i="4" s="1"/>
  <c r="AB196" i="4"/>
  <c r="Y196" i="4"/>
  <c r="W196" i="4"/>
  <c r="O210" i="4"/>
  <c r="AD275" i="4"/>
  <c r="N275" i="4" s="1"/>
  <c r="O275" i="4" s="1"/>
  <c r="Y21" i="4"/>
  <c r="N78" i="4"/>
  <c r="O78" i="4" s="1"/>
  <c r="AD183" i="4"/>
  <c r="N183" i="4" s="1"/>
  <c r="O183" i="4" s="1"/>
  <c r="Y22" i="4"/>
  <c r="AD25" i="4"/>
  <c r="N25" i="4" s="1"/>
  <c r="O25" i="4" s="1"/>
  <c r="Y30" i="4"/>
  <c r="Y54" i="4"/>
  <c r="AD99" i="4"/>
  <c r="N99" i="4" s="1"/>
  <c r="O99" i="4" s="1"/>
  <c r="X136" i="4"/>
  <c r="V136" i="4"/>
  <c r="Z136" i="4" s="1"/>
  <c r="AB136" i="4"/>
  <c r="V2" i="4"/>
  <c r="Y7" i="4"/>
  <c r="V10" i="4"/>
  <c r="Z10" i="4" s="1"/>
  <c r="W2" i="4"/>
  <c r="V3" i="4"/>
  <c r="Z3" i="4" s="1"/>
  <c r="AB5" i="4"/>
  <c r="W10" i="4"/>
  <c r="V11" i="4"/>
  <c r="Z11" i="4" s="1"/>
  <c r="AB13" i="4"/>
  <c r="W18" i="4"/>
  <c r="V19" i="4"/>
  <c r="Z19" i="4" s="1"/>
  <c r="AB21" i="4"/>
  <c r="X25" i="4"/>
  <c r="W26" i="4"/>
  <c r="V27" i="4"/>
  <c r="Z27" i="4" s="1"/>
  <c r="AB29" i="4"/>
  <c r="X33" i="4"/>
  <c r="W34" i="4"/>
  <c r="V35" i="4"/>
  <c r="Z35" i="4" s="1"/>
  <c r="AB37" i="4"/>
  <c r="X41" i="4"/>
  <c r="W42" i="4"/>
  <c r="V43" i="4"/>
  <c r="Z43" i="4" s="1"/>
  <c r="AB45" i="4"/>
  <c r="X49" i="4"/>
  <c r="W50" i="4"/>
  <c r="V51" i="4"/>
  <c r="Z51" i="4" s="1"/>
  <c r="AB53" i="4"/>
  <c r="X57" i="4"/>
  <c r="W58" i="4"/>
  <c r="V59" i="4"/>
  <c r="Z59" i="4" s="1"/>
  <c r="N60" i="4"/>
  <c r="O60" i="4" s="1"/>
  <c r="W60" i="4"/>
  <c r="AB63" i="4"/>
  <c r="V66" i="4"/>
  <c r="Z66" i="4" s="1"/>
  <c r="AB68" i="4"/>
  <c r="X78" i="4"/>
  <c r="AB78" i="4"/>
  <c r="Y80" i="4"/>
  <c r="AB83" i="4"/>
  <c r="AD97" i="4"/>
  <c r="N97" i="4" s="1"/>
  <c r="O97" i="4" s="1"/>
  <c r="W98" i="4"/>
  <c r="AD113" i="4"/>
  <c r="N113" i="4" s="1"/>
  <c r="O113" i="4" s="1"/>
  <c r="W114" i="4"/>
  <c r="AD129" i="4"/>
  <c r="N129" i="4" s="1"/>
  <c r="O129" i="4" s="1"/>
  <c r="W130" i="4"/>
  <c r="X148" i="4"/>
  <c r="V148" i="4"/>
  <c r="Z148" i="4" s="1"/>
  <c r="AB148" i="4"/>
  <c r="N155" i="4"/>
  <c r="O155" i="4" s="1"/>
  <c r="AA157" i="4"/>
  <c r="W170" i="4"/>
  <c r="AD175" i="4"/>
  <c r="N175" i="4" s="1"/>
  <c r="O175" i="4" s="1"/>
  <c r="O180" i="4"/>
  <c r="AD209" i="4"/>
  <c r="N209" i="4" s="1"/>
  <c r="O209" i="4" s="1"/>
  <c r="O213" i="4"/>
  <c r="AD215" i="4"/>
  <c r="N215" i="4" s="1"/>
  <c r="O215" i="4" s="1"/>
  <c r="O218" i="4"/>
  <c r="AD235" i="4"/>
  <c r="N235" i="4" s="1"/>
  <c r="O235" i="4" s="1"/>
  <c r="AD241" i="4"/>
  <c r="N241" i="4" s="1"/>
  <c r="O241" i="4" s="1"/>
  <c r="AD251" i="4"/>
  <c r="N251" i="4" s="1"/>
  <c r="O251" i="4" s="1"/>
  <c r="AA286" i="4"/>
  <c r="V296" i="4"/>
  <c r="Z296" i="4" s="1"/>
  <c r="Y296" i="4"/>
  <c r="X296" i="4"/>
  <c r="W296" i="4"/>
  <c r="AB296" i="4"/>
  <c r="Y13" i="4"/>
  <c r="Y53" i="4"/>
  <c r="V82" i="4"/>
  <c r="Z82" i="4" s="1"/>
  <c r="AB82" i="4"/>
  <c r="X82" i="4"/>
  <c r="AD95" i="4"/>
  <c r="N95" i="4" s="1"/>
  <c r="O95" i="4" s="1"/>
  <c r="AD127" i="4"/>
  <c r="N127" i="4" s="1"/>
  <c r="O127" i="4" s="1"/>
  <c r="V145" i="4"/>
  <c r="Z145" i="4" s="1"/>
  <c r="W145" i="4"/>
  <c r="AB145" i="4"/>
  <c r="Y145" i="4"/>
  <c r="AB162" i="4"/>
  <c r="X162" i="4"/>
  <c r="W162" i="4"/>
  <c r="V162" i="4"/>
  <c r="Z162" i="4" s="1"/>
  <c r="AB236" i="4"/>
  <c r="X236" i="4"/>
  <c r="V236" i="4"/>
  <c r="Z236" i="4" s="1"/>
  <c r="Y236" i="4"/>
  <c r="W236" i="4"/>
  <c r="O310" i="4"/>
  <c r="Y14" i="4"/>
  <c r="Y46" i="4"/>
  <c r="AB64" i="4"/>
  <c r="N83" i="4"/>
  <c r="O83" i="4" s="1"/>
  <c r="X88" i="4"/>
  <c r="V88" i="4"/>
  <c r="Z88" i="4" s="1"/>
  <c r="AB88" i="4"/>
  <c r="X104" i="4"/>
  <c r="V104" i="4"/>
  <c r="Z104" i="4" s="1"/>
  <c r="AB104" i="4"/>
  <c r="AD115" i="4"/>
  <c r="N115" i="4" s="1"/>
  <c r="O115" i="4" s="1"/>
  <c r="X120" i="4"/>
  <c r="V120" i="4"/>
  <c r="Z120" i="4" s="1"/>
  <c r="AB120" i="4"/>
  <c r="O849" i="4"/>
  <c r="O640" i="4"/>
  <c r="X2" i="4"/>
  <c r="W3" i="4"/>
  <c r="N4" i="4"/>
  <c r="O4" i="4" s="1"/>
  <c r="AB6" i="4"/>
  <c r="Y9" i="4"/>
  <c r="X10" i="4"/>
  <c r="W11" i="4"/>
  <c r="N12" i="4"/>
  <c r="O12" i="4" s="1"/>
  <c r="AB14" i="4"/>
  <c r="Y17" i="4"/>
  <c r="X18" i="4"/>
  <c r="W19" i="4"/>
  <c r="N20" i="4"/>
  <c r="O20" i="4" s="1"/>
  <c r="AB22" i="4"/>
  <c r="Y25" i="4"/>
  <c r="X26" i="4"/>
  <c r="W27" i="4"/>
  <c r="N28" i="4"/>
  <c r="O28" i="4" s="1"/>
  <c r="AB30" i="4"/>
  <c r="Y33" i="4"/>
  <c r="X34" i="4"/>
  <c r="W35" i="4"/>
  <c r="N36" i="4"/>
  <c r="O36" i="4" s="1"/>
  <c r="AB38" i="4"/>
  <c r="Y41" i="4"/>
  <c r="X42" i="4"/>
  <c r="W43" i="4"/>
  <c r="N44" i="4"/>
  <c r="O44" i="4" s="1"/>
  <c r="AB46" i="4"/>
  <c r="Y49" i="4"/>
  <c r="X50" i="4"/>
  <c r="W51" i="4"/>
  <c r="N52" i="4"/>
  <c r="O52" i="4" s="1"/>
  <c r="AB54" i="4"/>
  <c r="Y57" i="4"/>
  <c r="X58" i="4"/>
  <c r="W59" i="4"/>
  <c r="X60" i="4"/>
  <c r="X62" i="4"/>
  <c r="AB62" i="4"/>
  <c r="AA63" i="4"/>
  <c r="AD69" i="4"/>
  <c r="N69" i="4" s="1"/>
  <c r="O69" i="4" s="1"/>
  <c r="AD87" i="4"/>
  <c r="N87" i="4" s="1"/>
  <c r="O87" i="4" s="1"/>
  <c r="AA90" i="4"/>
  <c r="X102" i="4"/>
  <c r="W102" i="4"/>
  <c r="V102" i="4"/>
  <c r="Z102" i="4" s="1"/>
  <c r="AB102" i="4"/>
  <c r="AD103" i="4"/>
  <c r="N103" i="4" s="1"/>
  <c r="O103" i="4" s="1"/>
  <c r="AA106" i="4"/>
  <c r="X118" i="4"/>
  <c r="W118" i="4"/>
  <c r="V118" i="4"/>
  <c r="Z118" i="4" s="1"/>
  <c r="AB118" i="4"/>
  <c r="AD119" i="4"/>
  <c r="N119" i="4" s="1"/>
  <c r="O119" i="4" s="1"/>
  <c r="AA122" i="4"/>
  <c r="X134" i="4"/>
  <c r="W134" i="4"/>
  <c r="V134" i="4"/>
  <c r="Z134" i="4" s="1"/>
  <c r="AB134" i="4"/>
  <c r="AD135" i="4"/>
  <c r="N135" i="4" s="1"/>
  <c r="O135" i="4" s="1"/>
  <c r="AA138" i="4"/>
  <c r="X143" i="4"/>
  <c r="W143" i="4"/>
  <c r="V143" i="4"/>
  <c r="Z143" i="4" s="1"/>
  <c r="AB143" i="4"/>
  <c r="O156" i="4"/>
  <c r="O165" i="4"/>
  <c r="AD169" i="4"/>
  <c r="N169" i="4" s="1"/>
  <c r="O169" i="4" s="1"/>
  <c r="AD182" i="4"/>
  <c r="N182" i="4" s="1"/>
  <c r="O182" i="4" s="1"/>
  <c r="N186" i="4"/>
  <c r="O186" i="4" s="1"/>
  <c r="AD203" i="4"/>
  <c r="N203" i="4" s="1"/>
  <c r="O203" i="4" s="1"/>
  <c r="AD261" i="4"/>
  <c r="N261" i="4" s="1"/>
  <c r="O261" i="4" s="1"/>
  <c r="X128" i="4"/>
  <c r="V128" i="4"/>
  <c r="Z128" i="4" s="1"/>
  <c r="AB128" i="4"/>
  <c r="O181" i="4"/>
  <c r="AD195" i="4"/>
  <c r="N195" i="4" s="1"/>
  <c r="O195" i="4" s="1"/>
  <c r="AD207" i="4"/>
  <c r="N207" i="4" s="1"/>
  <c r="O207" i="4" s="1"/>
  <c r="AD233" i="4"/>
  <c r="N233" i="4" s="1"/>
  <c r="O233" i="4" s="1"/>
  <c r="Y29" i="4"/>
  <c r="Y37" i="4"/>
  <c r="Y45" i="4"/>
  <c r="X126" i="4"/>
  <c r="W126" i="4"/>
  <c r="V126" i="4"/>
  <c r="Z126" i="4" s="1"/>
  <c r="AB126" i="4"/>
  <c r="AD153" i="4"/>
  <c r="N153" i="4" s="1"/>
  <c r="O153" i="4" s="1"/>
  <c r="N159" i="4"/>
  <c r="O159" i="4" s="1"/>
  <c r="V5" i="4"/>
  <c r="Z5" i="4" s="1"/>
  <c r="V13" i="4"/>
  <c r="Z13" i="4" s="1"/>
  <c r="V45" i="4"/>
  <c r="Z45" i="4" s="1"/>
  <c r="W64" i="4"/>
  <c r="V74" i="4"/>
  <c r="Z74" i="4" s="1"/>
  <c r="AB74" i="4"/>
  <c r="X74" i="4"/>
  <c r="W82" i="4"/>
  <c r="X96" i="4"/>
  <c r="V96" i="4"/>
  <c r="Z96" i="4" s="1"/>
  <c r="AB96" i="4"/>
  <c r="Y126" i="4"/>
  <c r="AD150" i="4"/>
  <c r="N150" i="4" s="1"/>
  <c r="O150" i="4" s="1"/>
  <c r="V6" i="4"/>
  <c r="Z6" i="4" s="1"/>
  <c r="W13" i="4"/>
  <c r="V14" i="4"/>
  <c r="Z14" i="4" s="1"/>
  <c r="W21" i="4"/>
  <c r="V22" i="4"/>
  <c r="Z22" i="4" s="1"/>
  <c r="W29" i="4"/>
  <c r="V30" i="4"/>
  <c r="Z30" i="4" s="1"/>
  <c r="W37" i="4"/>
  <c r="V38" i="4"/>
  <c r="Z38" i="4" s="1"/>
  <c r="W45" i="4"/>
  <c r="V46" i="4"/>
  <c r="Z46" i="4" s="1"/>
  <c r="W53" i="4"/>
  <c r="V54" i="4"/>
  <c r="Z54" i="4" s="1"/>
  <c r="X64" i="4"/>
  <c r="AB66" i="4"/>
  <c r="X66" i="4"/>
  <c r="AA67" i="4"/>
  <c r="V75" i="4"/>
  <c r="Z75" i="4" s="1"/>
  <c r="Y82" i="4"/>
  <c r="W88" i="4"/>
  <c r="V98" i="4"/>
  <c r="Z98" i="4" s="1"/>
  <c r="AB98" i="4"/>
  <c r="X98" i="4"/>
  <c r="W104" i="4"/>
  <c r="V114" i="4"/>
  <c r="Z114" i="4" s="1"/>
  <c r="AB114" i="4"/>
  <c r="X114" i="4"/>
  <c r="W120" i="4"/>
  <c r="V130" i="4"/>
  <c r="Z130" i="4" s="1"/>
  <c r="AB130" i="4"/>
  <c r="X130" i="4"/>
  <c r="W136" i="4"/>
  <c r="O149" i="4"/>
  <c r="W152" i="4"/>
  <c r="V152" i="4"/>
  <c r="Z152" i="4" s="1"/>
  <c r="AB152" i="4"/>
  <c r="X152" i="4"/>
  <c r="AB170" i="4"/>
  <c r="V170" i="4"/>
  <c r="Z170" i="4" s="1"/>
  <c r="X170" i="4"/>
  <c r="X177" i="4"/>
  <c r="X188" i="4"/>
  <c r="Y188" i="4"/>
  <c r="V188" i="4"/>
  <c r="Z188" i="4" s="1"/>
  <c r="AD194" i="4"/>
  <c r="N194" i="4" s="1"/>
  <c r="O194" i="4" s="1"/>
  <c r="AD197" i="4"/>
  <c r="N197" i="4" s="1"/>
  <c r="O197" i="4" s="1"/>
  <c r="AD199" i="4"/>
  <c r="N199" i="4" s="1"/>
  <c r="O199" i="4" s="1"/>
  <c r="N202" i="4"/>
  <c r="O202" i="4" s="1"/>
  <c r="AD225" i="4"/>
  <c r="N225" i="4" s="1"/>
  <c r="O225" i="4" s="1"/>
  <c r="AD227" i="4"/>
  <c r="N227" i="4" s="1"/>
  <c r="O227" i="4" s="1"/>
  <c r="O229" i="4"/>
  <c r="O237" i="4"/>
  <c r="O239" i="4"/>
  <c r="O277" i="4"/>
  <c r="AA278" i="4"/>
  <c r="AA284" i="4"/>
  <c r="X70" i="4"/>
  <c r="AB70" i="4"/>
  <c r="X94" i="4"/>
  <c r="W94" i="4"/>
  <c r="V94" i="4"/>
  <c r="Z94" i="4" s="1"/>
  <c r="AB94" i="4"/>
  <c r="X110" i="4"/>
  <c r="W110" i="4"/>
  <c r="V110" i="4"/>
  <c r="Z110" i="4" s="1"/>
  <c r="AB110" i="4"/>
  <c r="O141" i="4"/>
  <c r="V21" i="4"/>
  <c r="Z21" i="4" s="1"/>
  <c r="V29" i="4"/>
  <c r="Z29" i="4" s="1"/>
  <c r="V37" i="4"/>
  <c r="Z37" i="4" s="1"/>
  <c r="V53" i="4"/>
  <c r="Z53" i="4" s="1"/>
  <c r="V70" i="4"/>
  <c r="Z70" i="4" s="1"/>
  <c r="X80" i="4"/>
  <c r="V80" i="4"/>
  <c r="Z80" i="4" s="1"/>
  <c r="Y94" i="4"/>
  <c r="Y110" i="4"/>
  <c r="X112" i="4"/>
  <c r="V112" i="4"/>
  <c r="Z112" i="4" s="1"/>
  <c r="AB112" i="4"/>
  <c r="O133" i="4"/>
  <c r="AD142" i="4"/>
  <c r="N142" i="4" s="1"/>
  <c r="O142" i="4" s="1"/>
  <c r="X145" i="4"/>
  <c r="Y162" i="4"/>
  <c r="N167" i="4"/>
  <c r="O167" i="4" s="1"/>
  <c r="W5" i="4"/>
  <c r="AB60" i="4"/>
  <c r="V63" i="4"/>
  <c r="Z63" i="4" s="1"/>
  <c r="Y64" i="4"/>
  <c r="W68" i="4"/>
  <c r="Y70" i="4"/>
  <c r="AA71" i="4"/>
  <c r="W72" i="4"/>
  <c r="X75" i="4"/>
  <c r="AB76" i="4"/>
  <c r="V76" i="4"/>
  <c r="Z76" i="4" s="1"/>
  <c r="V86" i="4"/>
  <c r="Z86" i="4" s="1"/>
  <c r="Y88" i="4"/>
  <c r="W90" i="4"/>
  <c r="Y104" i="4"/>
  <c r="W106" i="4"/>
  <c r="Y120" i="4"/>
  <c r="W122" i="4"/>
  <c r="Y136" i="4"/>
  <c r="W138" i="4"/>
  <c r="W154" i="4"/>
  <c r="O157" i="4"/>
  <c r="V161" i="4"/>
  <c r="Z161" i="4" s="1"/>
  <c r="Y161" i="4"/>
  <c r="W161" i="4"/>
  <c r="AB161" i="4"/>
  <c r="N163" i="4"/>
  <c r="O163" i="4" s="1"/>
  <c r="Y168" i="4"/>
  <c r="N171" i="4"/>
  <c r="O171" i="4" s="1"/>
  <c r="AA173" i="4"/>
  <c r="Y178" i="4"/>
  <c r="AD179" i="4"/>
  <c r="N179" i="4" s="1"/>
  <c r="O179" i="4" s="1"/>
  <c r="N219" i="4"/>
  <c r="O219" i="4" s="1"/>
  <c r="V234" i="4"/>
  <c r="Z234" i="4" s="1"/>
  <c r="AB234" i="4"/>
  <c r="X234" i="4"/>
  <c r="Y234" i="4"/>
  <c r="W234" i="4"/>
  <c r="AD247" i="4"/>
  <c r="N247" i="4" s="1"/>
  <c r="O247" i="4" s="1"/>
  <c r="O269" i="4"/>
  <c r="O285" i="4"/>
  <c r="V84" i="4"/>
  <c r="Z84" i="4" s="1"/>
  <c r="W91" i="4"/>
  <c r="V92" i="4"/>
  <c r="Z92" i="4" s="1"/>
  <c r="W99" i="4"/>
  <c r="V100" i="4"/>
  <c r="Z100" i="4" s="1"/>
  <c r="W107" i="4"/>
  <c r="V108" i="4"/>
  <c r="Z108" i="4" s="1"/>
  <c r="W115" i="4"/>
  <c r="V116" i="4"/>
  <c r="Z116" i="4" s="1"/>
  <c r="W123" i="4"/>
  <c r="V124" i="4"/>
  <c r="Z124" i="4" s="1"/>
  <c r="W131" i="4"/>
  <c r="V132" i="4"/>
  <c r="Z132" i="4" s="1"/>
  <c r="W139" i="4"/>
  <c r="V140" i="4"/>
  <c r="Z140" i="4" s="1"/>
  <c r="Y146" i="4"/>
  <c r="Y147" i="4"/>
  <c r="W153" i="4"/>
  <c r="AA156" i="4"/>
  <c r="AD158" i="4"/>
  <c r="N158" i="4" s="1"/>
  <c r="O158" i="4" s="1"/>
  <c r="W164" i="4"/>
  <c r="W169" i="4"/>
  <c r="AA172" i="4"/>
  <c r="AD174" i="4"/>
  <c r="N174" i="4" s="1"/>
  <c r="O174" i="4" s="1"/>
  <c r="W180" i="4"/>
  <c r="W184" i="4"/>
  <c r="V184" i="4"/>
  <c r="Z184" i="4" s="1"/>
  <c r="AB184" i="4"/>
  <c r="W186" i="4"/>
  <c r="W200" i="4"/>
  <c r="V200" i="4"/>
  <c r="Z200" i="4" s="1"/>
  <c r="AB200" i="4"/>
  <c r="AB202" i="4"/>
  <c r="X202" i="4"/>
  <c r="AD205" i="4"/>
  <c r="N205" i="4" s="1"/>
  <c r="O205" i="4" s="1"/>
  <c r="X207" i="4"/>
  <c r="W207" i="4"/>
  <c r="AB207" i="4"/>
  <c r="AA212" i="4"/>
  <c r="W216" i="4"/>
  <c r="V216" i="4"/>
  <c r="Z216" i="4" s="1"/>
  <c r="AB216" i="4"/>
  <c r="AB218" i="4"/>
  <c r="X218" i="4"/>
  <c r="X223" i="4"/>
  <c r="W223" i="4"/>
  <c r="AB223" i="4"/>
  <c r="X232" i="4"/>
  <c r="W232" i="4"/>
  <c r="V232" i="4"/>
  <c r="Z232" i="4" s="1"/>
  <c r="AB232" i="4"/>
  <c r="AA244" i="4"/>
  <c r="AD263" i="4"/>
  <c r="N263" i="4" s="1"/>
  <c r="O263" i="4" s="1"/>
  <c r="V274" i="4"/>
  <c r="Z274" i="4" s="1"/>
  <c r="AB274" i="4"/>
  <c r="X274" i="4"/>
  <c r="X280" i="4"/>
  <c r="W280" i="4"/>
  <c r="V280" i="4"/>
  <c r="Z280" i="4" s="1"/>
  <c r="AB280" i="4"/>
  <c r="AD301" i="4"/>
  <c r="N301" i="4" s="1"/>
  <c r="O301" i="4" s="1"/>
  <c r="O337" i="4"/>
  <c r="O355" i="4"/>
  <c r="O173" i="4"/>
  <c r="O189" i="4"/>
  <c r="AD190" i="4"/>
  <c r="N190" i="4" s="1"/>
  <c r="O190" i="4" s="1"/>
  <c r="V226" i="4"/>
  <c r="Z226" i="4" s="1"/>
  <c r="AB226" i="4"/>
  <c r="X226" i="4"/>
  <c r="AB228" i="4"/>
  <c r="X228" i="4"/>
  <c r="V228" i="4"/>
  <c r="Z228" i="4" s="1"/>
  <c r="V242" i="4"/>
  <c r="Z242" i="4" s="1"/>
  <c r="AB242" i="4"/>
  <c r="X242" i="4"/>
  <c r="X248" i="4"/>
  <c r="W248" i="4"/>
  <c r="V248" i="4"/>
  <c r="Z248" i="4" s="1"/>
  <c r="AB248" i="4"/>
  <c r="AD249" i="4"/>
  <c r="N249" i="4" s="1"/>
  <c r="O249" i="4" s="1"/>
  <c r="AD281" i="4"/>
  <c r="N281" i="4" s="1"/>
  <c r="O281" i="4" s="1"/>
  <c r="AD294" i="4"/>
  <c r="N294" i="4" s="1"/>
  <c r="O294" i="4" s="1"/>
  <c r="X151" i="4"/>
  <c r="W151" i="4"/>
  <c r="AB164" i="4"/>
  <c r="X167" i="4"/>
  <c r="W167" i="4"/>
  <c r="AB180" i="4"/>
  <c r="Y186" i="4"/>
  <c r="AD201" i="4"/>
  <c r="N201" i="4" s="1"/>
  <c r="O201" i="4" s="1"/>
  <c r="X204" i="4"/>
  <c r="V204" i="4"/>
  <c r="Z204" i="4" s="1"/>
  <c r="AD206" i="4"/>
  <c r="N206" i="4" s="1"/>
  <c r="O206" i="4" s="1"/>
  <c r="AD217" i="4"/>
  <c r="N217" i="4" s="1"/>
  <c r="O217" i="4" s="1"/>
  <c r="X220" i="4"/>
  <c r="V220" i="4"/>
  <c r="Z220" i="4" s="1"/>
  <c r="AD222" i="4"/>
  <c r="N222" i="4" s="1"/>
  <c r="O222" i="4" s="1"/>
  <c r="N253" i="4"/>
  <c r="O253" i="4" s="1"/>
  <c r="AD255" i="4"/>
  <c r="N255" i="4" s="1"/>
  <c r="O255" i="4" s="1"/>
  <c r="V266" i="4"/>
  <c r="Z266" i="4" s="1"/>
  <c r="AB266" i="4"/>
  <c r="X266" i="4"/>
  <c r="N267" i="4"/>
  <c r="O267" i="4" s="1"/>
  <c r="X272" i="4"/>
  <c r="W272" i="4"/>
  <c r="V272" i="4"/>
  <c r="Z272" i="4" s="1"/>
  <c r="AB272" i="4"/>
  <c r="O302" i="4"/>
  <c r="O385" i="4"/>
  <c r="Y84" i="4"/>
  <c r="Y92" i="4"/>
  <c r="Y100" i="4"/>
  <c r="Y108" i="4"/>
  <c r="Y116" i="4"/>
  <c r="Y124" i="4"/>
  <c r="Y132" i="4"/>
  <c r="Y140" i="4"/>
  <c r="AB151" i="4"/>
  <c r="W160" i="4"/>
  <c r="V160" i="4"/>
  <c r="Z160" i="4" s="1"/>
  <c r="AB160" i="4"/>
  <c r="AB167" i="4"/>
  <c r="W176" i="4"/>
  <c r="V176" i="4"/>
  <c r="Z176" i="4" s="1"/>
  <c r="AB176" i="4"/>
  <c r="X183" i="4"/>
  <c r="W183" i="4"/>
  <c r="AA187" i="4"/>
  <c r="AD187" i="4"/>
  <c r="N187" i="4" s="1"/>
  <c r="O187" i="4" s="1"/>
  <c r="W192" i="4"/>
  <c r="V192" i="4"/>
  <c r="Z192" i="4" s="1"/>
  <c r="AB192" i="4"/>
  <c r="AB194" i="4"/>
  <c r="X194" i="4"/>
  <c r="AA211" i="4"/>
  <c r="AA228" i="4"/>
  <c r="AA260" i="4"/>
  <c r="AD273" i="4"/>
  <c r="N273" i="4" s="1"/>
  <c r="O273" i="4" s="1"/>
  <c r="W71" i="4"/>
  <c r="W79" i="4"/>
  <c r="W87" i="4"/>
  <c r="W95" i="4"/>
  <c r="W103" i="4"/>
  <c r="W111" i="4"/>
  <c r="W119" i="4"/>
  <c r="W127" i="4"/>
  <c r="W135" i="4"/>
  <c r="W144" i="4"/>
  <c r="V144" i="4"/>
  <c r="Z144" i="4" s="1"/>
  <c r="AB153" i="4"/>
  <c r="W156" i="4"/>
  <c r="AA164" i="4"/>
  <c r="AD166" i="4"/>
  <c r="N166" i="4" s="1"/>
  <c r="O166" i="4" s="1"/>
  <c r="AB169" i="4"/>
  <c r="W172" i="4"/>
  <c r="AA180" i="4"/>
  <c r="AB183" i="4"/>
  <c r="X199" i="4"/>
  <c r="W199" i="4"/>
  <c r="AB199" i="4"/>
  <c r="AA204" i="4"/>
  <c r="W208" i="4"/>
  <c r="V208" i="4"/>
  <c r="Z208" i="4" s="1"/>
  <c r="AB208" i="4"/>
  <c r="AB210" i="4"/>
  <c r="X210" i="4"/>
  <c r="X215" i="4"/>
  <c r="W215" i="4"/>
  <c r="AB215" i="4"/>
  <c r="AA220" i="4"/>
  <c r="X224" i="4"/>
  <c r="W224" i="4"/>
  <c r="V224" i="4"/>
  <c r="Z224" i="4" s="1"/>
  <c r="AB224" i="4"/>
  <c r="X240" i="4"/>
  <c r="W240" i="4"/>
  <c r="V240" i="4"/>
  <c r="Z240" i="4" s="1"/>
  <c r="AB240" i="4"/>
  <c r="V258" i="4"/>
  <c r="Z258" i="4" s="1"/>
  <c r="AB258" i="4"/>
  <c r="X258" i="4"/>
  <c r="N259" i="4"/>
  <c r="O259" i="4" s="1"/>
  <c r="X264" i="4"/>
  <c r="W264" i="4"/>
  <c r="V264" i="4"/>
  <c r="Z264" i="4" s="1"/>
  <c r="AB264" i="4"/>
  <c r="AD291" i="4"/>
  <c r="N291" i="4" s="1"/>
  <c r="O291" i="4" s="1"/>
  <c r="AD321" i="4"/>
  <c r="N321" i="4" s="1"/>
  <c r="O321" i="4" s="1"/>
  <c r="O339" i="4"/>
  <c r="O369" i="4"/>
  <c r="AB156" i="4"/>
  <c r="X159" i="4"/>
  <c r="W159" i="4"/>
  <c r="AB172" i="4"/>
  <c r="X175" i="4"/>
  <c r="W175" i="4"/>
  <c r="AD198" i="4"/>
  <c r="N198" i="4"/>
  <c r="O198" i="4" s="1"/>
  <c r="X212" i="4"/>
  <c r="V212" i="4"/>
  <c r="Z212" i="4" s="1"/>
  <c r="AD214" i="4"/>
  <c r="N214" i="4" s="1"/>
  <c r="O214" i="4" s="1"/>
  <c r="W226" i="4"/>
  <c r="W228" i="4"/>
  <c r="W242" i="4"/>
  <c r="Y248" i="4"/>
  <c r="V250" i="4"/>
  <c r="Z250" i="4" s="1"/>
  <c r="AB250" i="4"/>
  <c r="X250" i="4"/>
  <c r="X256" i="4"/>
  <c r="W256" i="4"/>
  <c r="V256" i="4"/>
  <c r="Z256" i="4" s="1"/>
  <c r="AB256" i="4"/>
  <c r="Y274" i="4"/>
  <c r="V282" i="4"/>
  <c r="Z282" i="4" s="1"/>
  <c r="AB282" i="4"/>
  <c r="X282" i="4"/>
  <c r="X288" i="4"/>
  <c r="W288" i="4"/>
  <c r="V288" i="4"/>
  <c r="Z288" i="4" s="1"/>
  <c r="AB288" i="4"/>
  <c r="O292" i="4"/>
  <c r="N300" i="4"/>
  <c r="O300" i="4" s="1"/>
  <c r="AD317" i="4"/>
  <c r="N317" i="4" s="1"/>
  <c r="O317" i="4" s="1"/>
  <c r="AA306" i="4"/>
  <c r="V314" i="4"/>
  <c r="Z314" i="4" s="1"/>
  <c r="AB314" i="4"/>
  <c r="X314" i="4"/>
  <c r="AA319" i="4"/>
  <c r="AA327" i="4"/>
  <c r="AA330" i="4"/>
  <c r="X334" i="4"/>
  <c r="W334" i="4"/>
  <c r="V334" i="4"/>
  <c r="Z334" i="4" s="1"/>
  <c r="AB334" i="4"/>
  <c r="AD365" i="4"/>
  <c r="N365" i="4" s="1"/>
  <c r="O365" i="4" s="1"/>
  <c r="X368" i="4"/>
  <c r="V368" i="4"/>
  <c r="Z368" i="4" s="1"/>
  <c r="AB368" i="4"/>
  <c r="AD378" i="4"/>
  <c r="N378" i="4" s="1"/>
  <c r="O378" i="4" s="1"/>
  <c r="AD380" i="4"/>
  <c r="N380" i="4" s="1"/>
  <c r="O380" i="4" s="1"/>
  <c r="AA394" i="4"/>
  <c r="O406" i="4"/>
  <c r="AD416" i="4"/>
  <c r="N416" i="4" s="1"/>
  <c r="O416" i="4" s="1"/>
  <c r="X442" i="4"/>
  <c r="W442" i="4"/>
  <c r="V442" i="4"/>
  <c r="Z442" i="4" s="1"/>
  <c r="AB442" i="4"/>
  <c r="Y442" i="4"/>
  <c r="X458" i="4"/>
  <c r="W458" i="4"/>
  <c r="V458" i="4"/>
  <c r="Z458" i="4" s="1"/>
  <c r="AB458" i="4"/>
  <c r="Y458" i="4"/>
  <c r="O721" i="4"/>
  <c r="O728" i="4"/>
  <c r="AD953" i="4"/>
  <c r="N953" i="4" s="1"/>
  <c r="O953" i="4" s="1"/>
  <c r="AD981" i="4"/>
  <c r="N981" i="4" s="1"/>
  <c r="O981" i="4" s="1"/>
  <c r="AD984" i="4"/>
  <c r="N984" i="4" s="1"/>
  <c r="O984" i="4" s="1"/>
  <c r="AD992" i="4"/>
  <c r="N992" i="4" s="1"/>
  <c r="O992" i="4" s="1"/>
  <c r="Y193" i="4"/>
  <c r="Y201" i="4"/>
  <c r="Y209" i="4"/>
  <c r="Y217" i="4"/>
  <c r="Y225" i="4"/>
  <c r="Y233" i="4"/>
  <c r="Y241" i="4"/>
  <c r="W243" i="4"/>
  <c r="V244" i="4"/>
  <c r="Z244" i="4" s="1"/>
  <c r="Y249" i="4"/>
  <c r="W251" i="4"/>
  <c r="V252" i="4"/>
  <c r="Z252" i="4" s="1"/>
  <c r="AB254" i="4"/>
  <c r="W259" i="4"/>
  <c r="V260" i="4"/>
  <c r="Z260" i="4" s="1"/>
  <c r="AB262" i="4"/>
  <c r="W267" i="4"/>
  <c r="V268" i="4"/>
  <c r="Z268" i="4" s="1"/>
  <c r="AB270" i="4"/>
  <c r="W275" i="4"/>
  <c r="V276" i="4"/>
  <c r="Z276" i="4" s="1"/>
  <c r="AB278" i="4"/>
  <c r="W283" i="4"/>
  <c r="V284" i="4"/>
  <c r="Z284" i="4" s="1"/>
  <c r="AB286" i="4"/>
  <c r="X290" i="4"/>
  <c r="X291" i="4"/>
  <c r="AA298" i="4"/>
  <c r="V299" i="4"/>
  <c r="Z299" i="4" s="1"/>
  <c r="AB307" i="4"/>
  <c r="N309" i="4"/>
  <c r="O309" i="4" s="1"/>
  <c r="X310" i="4"/>
  <c r="W310" i="4"/>
  <c r="AB310" i="4"/>
  <c r="N313" i="4"/>
  <c r="O313" i="4" s="1"/>
  <c r="N315" i="4"/>
  <c r="O315" i="4" s="1"/>
  <c r="X315" i="4"/>
  <c r="N318" i="4"/>
  <c r="O318" i="4" s="1"/>
  <c r="X320" i="4"/>
  <c r="V320" i="4"/>
  <c r="Z320" i="4" s="1"/>
  <c r="AB320" i="4"/>
  <c r="N326" i="4"/>
  <c r="O326" i="4" s="1"/>
  <c r="X328" i="4"/>
  <c r="V328" i="4"/>
  <c r="Z328" i="4" s="1"/>
  <c r="AB328" i="4"/>
  <c r="N329" i="4"/>
  <c r="O329" i="4" s="1"/>
  <c r="AD338" i="4"/>
  <c r="N338" i="4" s="1"/>
  <c r="O338" i="4" s="1"/>
  <c r="AD340" i="4"/>
  <c r="N340" i="4" s="1"/>
  <c r="O340" i="4" s="1"/>
  <c r="AD345" i="4"/>
  <c r="N345" i="4" s="1"/>
  <c r="O345" i="4" s="1"/>
  <c r="AA354" i="4"/>
  <c r="X358" i="4"/>
  <c r="W358" i="4"/>
  <c r="V358" i="4"/>
  <c r="Z358" i="4" s="1"/>
  <c r="AB358" i="4"/>
  <c r="N363" i="4"/>
  <c r="O363" i="4" s="1"/>
  <c r="AD379" i="4"/>
  <c r="N379" i="4" s="1"/>
  <c r="O379" i="4" s="1"/>
  <c r="AD389" i="4"/>
  <c r="N389" i="4" s="1"/>
  <c r="O389" i="4" s="1"/>
  <c r="X392" i="4"/>
  <c r="V392" i="4"/>
  <c r="Z392" i="4" s="1"/>
  <c r="AB392" i="4"/>
  <c r="N393" i="4"/>
  <c r="O393" i="4" s="1"/>
  <c r="X398" i="4"/>
  <c r="W398" i="4"/>
  <c r="V398" i="4"/>
  <c r="Z398" i="4" s="1"/>
  <c r="AB398" i="4"/>
  <c r="AD408" i="4"/>
  <c r="N408" i="4" s="1"/>
  <c r="O408" i="4" s="1"/>
  <c r="O429" i="4"/>
  <c r="AD431" i="4"/>
  <c r="N431" i="4" s="1"/>
  <c r="O431" i="4" s="1"/>
  <c r="AD500" i="4"/>
  <c r="N500" i="4" s="1"/>
  <c r="O500" i="4" s="1"/>
  <c r="Y290" i="4"/>
  <c r="Y291" i="4"/>
  <c r="V322" i="4"/>
  <c r="Z322" i="4" s="1"/>
  <c r="AB322" i="4"/>
  <c r="X322" i="4"/>
  <c r="AD349" i="4"/>
  <c r="N349" i="4" s="1"/>
  <c r="O349" i="4" s="1"/>
  <c r="X352" i="4"/>
  <c r="V352" i="4"/>
  <c r="Z352" i="4" s="1"/>
  <c r="AB352" i="4"/>
  <c r="O353" i="4"/>
  <c r="AD362" i="4"/>
  <c r="N362" i="4" s="1"/>
  <c r="O362" i="4" s="1"/>
  <c r="AD364" i="4"/>
  <c r="N364" i="4"/>
  <c r="O364" i="4" s="1"/>
  <c r="X382" i="4"/>
  <c r="W382" i="4"/>
  <c r="V382" i="4"/>
  <c r="Z382" i="4" s="1"/>
  <c r="AB382" i="4"/>
  <c r="O387" i="4"/>
  <c r="X402" i="4"/>
  <c r="W402" i="4"/>
  <c r="V402" i="4"/>
  <c r="Z402" i="4" s="1"/>
  <c r="AB402" i="4"/>
  <c r="O413" i="4"/>
  <c r="AD420" i="4"/>
  <c r="N420" i="4" s="1"/>
  <c r="O420" i="4" s="1"/>
  <c r="AD479" i="4"/>
  <c r="N479" i="4" s="1"/>
  <c r="O479" i="4" s="1"/>
  <c r="O544" i="4"/>
  <c r="Y155" i="4"/>
  <c r="Y163" i="4"/>
  <c r="Y171" i="4"/>
  <c r="Y179" i="4"/>
  <c r="Y187" i="4"/>
  <c r="Y195" i="4"/>
  <c r="Y203" i="4"/>
  <c r="Y211" i="4"/>
  <c r="Y219" i="4"/>
  <c r="Y227" i="4"/>
  <c r="N230" i="4"/>
  <c r="O230" i="4" s="1"/>
  <c r="Y235" i="4"/>
  <c r="N238" i="4"/>
  <c r="O238" i="4" s="1"/>
  <c r="Y243" i="4"/>
  <c r="X244" i="4"/>
  <c r="N246" i="4"/>
  <c r="O246" i="4" s="1"/>
  <c r="Y251" i="4"/>
  <c r="X252" i="4"/>
  <c r="N254" i="4"/>
  <c r="O254" i="4" s="1"/>
  <c r="Y259" i="4"/>
  <c r="X260" i="4"/>
  <c r="N262" i="4"/>
  <c r="O262" i="4" s="1"/>
  <c r="Y267" i="4"/>
  <c r="X268" i="4"/>
  <c r="N270" i="4"/>
  <c r="O270" i="4" s="1"/>
  <c r="Y275" i="4"/>
  <c r="X276" i="4"/>
  <c r="N278" i="4"/>
  <c r="O278" i="4" s="1"/>
  <c r="Y283" i="4"/>
  <c r="X284" i="4"/>
  <c r="N286" i="4"/>
  <c r="O286" i="4" s="1"/>
  <c r="AB291" i="4"/>
  <c r="AD293" i="4"/>
  <c r="N293" i="4" s="1"/>
  <c r="O293" i="4" s="1"/>
  <c r="W295" i="4"/>
  <c r="V295" i="4"/>
  <c r="Z295" i="4" s="1"/>
  <c r="X299" i="4"/>
  <c r="AD305" i="4"/>
  <c r="N305" i="4" s="1"/>
  <c r="O305" i="4" s="1"/>
  <c r="AD308" i="4"/>
  <c r="N308" i="4" s="1"/>
  <c r="O308" i="4" s="1"/>
  <c r="AB315" i="4"/>
  <c r="X318" i="4"/>
  <c r="W318" i="4"/>
  <c r="AB318" i="4"/>
  <c r="N323" i="4"/>
  <c r="O323" i="4" s="1"/>
  <c r="X326" i="4"/>
  <c r="W326" i="4"/>
  <c r="AB326" i="4"/>
  <c r="X342" i="4"/>
  <c r="W342" i="4"/>
  <c r="V342" i="4"/>
  <c r="Z342" i="4" s="1"/>
  <c r="AB342" i="4"/>
  <c r="N347" i="4"/>
  <c r="O347" i="4" s="1"/>
  <c r="AD373" i="4"/>
  <c r="N373" i="4" s="1"/>
  <c r="O373" i="4" s="1"/>
  <c r="X376" i="4"/>
  <c r="V376" i="4"/>
  <c r="Z376" i="4" s="1"/>
  <c r="AB376" i="4"/>
  <c r="N377" i="4"/>
  <c r="O377" i="4" s="1"/>
  <c r="AD386" i="4"/>
  <c r="N386" i="4" s="1"/>
  <c r="O386" i="4" s="1"/>
  <c r="AD388" i="4"/>
  <c r="N388" i="4" s="1"/>
  <c r="O388" i="4" s="1"/>
  <c r="W407" i="4"/>
  <c r="Y407" i="4"/>
  <c r="X407" i="4"/>
  <c r="V407" i="4"/>
  <c r="Z407" i="4" s="1"/>
  <c r="O422" i="4"/>
  <c r="O437" i="4"/>
  <c r="AD452" i="4"/>
  <c r="N452" i="4" s="1"/>
  <c r="O452" i="4" s="1"/>
  <c r="O453" i="4"/>
  <c r="AD468" i="4"/>
  <c r="N468" i="4" s="1"/>
  <c r="O468" i="4" s="1"/>
  <c r="O469" i="4"/>
  <c r="AD493" i="4"/>
  <c r="N493" i="4" s="1"/>
  <c r="O493" i="4" s="1"/>
  <c r="Y244" i="4"/>
  <c r="Y252" i="4"/>
  <c r="Y260" i="4"/>
  <c r="V271" i="4"/>
  <c r="Z271" i="4" s="1"/>
  <c r="V279" i="4"/>
  <c r="Z279" i="4" s="1"/>
  <c r="V287" i="4"/>
  <c r="Z287" i="4" s="1"/>
  <c r="V297" i="4"/>
  <c r="Z297" i="4" s="1"/>
  <c r="Y299" i="4"/>
  <c r="AD333" i="4"/>
  <c r="N333" i="4"/>
  <c r="O333" i="4" s="1"/>
  <c r="X336" i="4"/>
  <c r="V336" i="4"/>
  <c r="Z336" i="4" s="1"/>
  <c r="AB336" i="4"/>
  <c r="AD346" i="4"/>
  <c r="N346" i="4" s="1"/>
  <c r="O346" i="4" s="1"/>
  <c r="AD348" i="4"/>
  <c r="N348" i="4" s="1"/>
  <c r="O348" i="4" s="1"/>
  <c r="X366" i="4"/>
  <c r="W366" i="4"/>
  <c r="V366" i="4"/>
  <c r="Z366" i="4" s="1"/>
  <c r="AB366" i="4"/>
  <c r="N371" i="4"/>
  <c r="O371" i="4" s="1"/>
  <c r="AD473" i="4"/>
  <c r="N473" i="4" s="1"/>
  <c r="O473" i="4" s="1"/>
  <c r="O485" i="4"/>
  <c r="AD487" i="4"/>
  <c r="N487" i="4" s="1"/>
  <c r="O487" i="4" s="1"/>
  <c r="O522" i="4"/>
  <c r="X142" i="4"/>
  <c r="X150" i="4"/>
  <c r="X158" i="4"/>
  <c r="X166" i="4"/>
  <c r="X174" i="4"/>
  <c r="X206" i="4"/>
  <c r="X214" i="4"/>
  <c r="X222" i="4"/>
  <c r="X230" i="4"/>
  <c r="W231" i="4"/>
  <c r="X238" i="4"/>
  <c r="W239" i="4"/>
  <c r="X246" i="4"/>
  <c r="W247" i="4"/>
  <c r="W255" i="4"/>
  <c r="W263" i="4"/>
  <c r="W271" i="4"/>
  <c r="W279" i="4"/>
  <c r="W287" i="4"/>
  <c r="W297" i="4"/>
  <c r="X298" i="4"/>
  <c r="X304" i="4"/>
  <c r="V304" i="4"/>
  <c r="Z304" i="4" s="1"/>
  <c r="AB304" i="4"/>
  <c r="W314" i="4"/>
  <c r="AD316" i="4"/>
  <c r="N316" i="4" s="1"/>
  <c r="O316" i="4" s="1"/>
  <c r="AB323" i="4"/>
  <c r="N331" i="4"/>
  <c r="O331" i="4" s="1"/>
  <c r="Y334" i="4"/>
  <c r="AD357" i="4"/>
  <c r="N357" i="4" s="1"/>
  <c r="O357" i="4" s="1"/>
  <c r="X360" i="4"/>
  <c r="V360" i="4"/>
  <c r="Z360" i="4" s="1"/>
  <c r="AB360" i="4"/>
  <c r="N361" i="4"/>
  <c r="O361" i="4" s="1"/>
  <c r="W368" i="4"/>
  <c r="AD370" i="4"/>
  <c r="N370" i="4" s="1"/>
  <c r="O370" i="4" s="1"/>
  <c r="AD372" i="4"/>
  <c r="N372" i="4" s="1"/>
  <c r="O372" i="4" s="1"/>
  <c r="X390" i="4"/>
  <c r="W390" i="4"/>
  <c r="V390" i="4"/>
  <c r="Z390" i="4" s="1"/>
  <c r="AB390" i="4"/>
  <c r="N395" i="4"/>
  <c r="O395" i="4" s="1"/>
  <c r="AD397" i="4"/>
  <c r="N397" i="4" s="1"/>
  <c r="O397" i="4" s="1"/>
  <c r="X400" i="4"/>
  <c r="V400" i="4"/>
  <c r="Z400" i="4" s="1"/>
  <c r="AB400" i="4"/>
  <c r="N401" i="4"/>
  <c r="O401" i="4" s="1"/>
  <c r="AD445" i="4"/>
  <c r="N445" i="4" s="1"/>
  <c r="O445" i="4" s="1"/>
  <c r="AD461" i="4"/>
  <c r="N461" i="4" s="1"/>
  <c r="O461" i="4" s="1"/>
  <c r="AD470" i="4"/>
  <c r="N470" i="4" s="1"/>
  <c r="O470" i="4" s="1"/>
  <c r="X231" i="4"/>
  <c r="X239" i="4"/>
  <c r="X247" i="4"/>
  <c r="X255" i="4"/>
  <c r="X263" i="4"/>
  <c r="X271" i="4"/>
  <c r="X279" i="4"/>
  <c r="X287" i="4"/>
  <c r="N289" i="4"/>
  <c r="O289" i="4" s="1"/>
  <c r="X294" i="4"/>
  <c r="W294" i="4"/>
  <c r="X297" i="4"/>
  <c r="V306" i="4"/>
  <c r="Z306" i="4" s="1"/>
  <c r="AB306" i="4"/>
  <c r="X306" i="4"/>
  <c r="AA311" i="4"/>
  <c r="Y314" i="4"/>
  <c r="AD325" i="4"/>
  <c r="N325" i="4"/>
  <c r="O325" i="4" s="1"/>
  <c r="AD330" i="4"/>
  <c r="N330" i="4" s="1"/>
  <c r="O330" i="4" s="1"/>
  <c r="AD332" i="4"/>
  <c r="N332" i="4" s="1"/>
  <c r="O332" i="4" s="1"/>
  <c r="AA346" i="4"/>
  <c r="X350" i="4"/>
  <c r="W350" i="4"/>
  <c r="V350" i="4"/>
  <c r="Z350" i="4" s="1"/>
  <c r="AB350" i="4"/>
  <c r="Y368" i="4"/>
  <c r="AD381" i="4"/>
  <c r="N381" i="4" s="1"/>
  <c r="O381" i="4" s="1"/>
  <c r="X384" i="4"/>
  <c r="V384" i="4"/>
  <c r="Z384" i="4" s="1"/>
  <c r="AB384" i="4"/>
  <c r="AD394" i="4"/>
  <c r="N394" i="4" s="1"/>
  <c r="O394" i="4" s="1"/>
  <c r="AD396" i="4"/>
  <c r="N396" i="4" s="1"/>
  <c r="O396" i="4" s="1"/>
  <c r="AD404" i="4"/>
  <c r="N404" i="4" s="1"/>
  <c r="O404" i="4" s="1"/>
  <c r="O414" i="4"/>
  <c r="O415" i="4"/>
  <c r="N477" i="4"/>
  <c r="O477" i="4" s="1"/>
  <c r="X490" i="4"/>
  <c r="W490" i="4"/>
  <c r="V490" i="4"/>
  <c r="Z490" i="4" s="1"/>
  <c r="AB490" i="4"/>
  <c r="Y490" i="4"/>
  <c r="AD508" i="4"/>
  <c r="N508" i="4" s="1"/>
  <c r="O508" i="4" s="1"/>
  <c r="O509" i="4"/>
  <c r="AA510" i="4"/>
  <c r="V290" i="4"/>
  <c r="Z290" i="4" s="1"/>
  <c r="Y297" i="4"/>
  <c r="V298" i="4"/>
  <c r="Z298" i="4" s="1"/>
  <c r="AB298" i="4"/>
  <c r="X302" i="4"/>
  <c r="W302" i="4"/>
  <c r="AB302" i="4"/>
  <c r="O307" i="4"/>
  <c r="X312" i="4"/>
  <c r="V312" i="4"/>
  <c r="Z312" i="4" s="1"/>
  <c r="AB312" i="4"/>
  <c r="W322" i="4"/>
  <c r="AD324" i="4"/>
  <c r="N324" i="4" s="1"/>
  <c r="O324" i="4" s="1"/>
  <c r="AD341" i="4"/>
  <c r="N341" i="4" s="1"/>
  <c r="O341" i="4" s="1"/>
  <c r="X344" i="4"/>
  <c r="V344" i="4"/>
  <c r="Z344" i="4" s="1"/>
  <c r="AB344" i="4"/>
  <c r="W352" i="4"/>
  <c r="AD354" i="4"/>
  <c r="N354" i="4" s="1"/>
  <c r="O354" i="4" s="1"/>
  <c r="AD356" i="4"/>
  <c r="N356" i="4" s="1"/>
  <c r="O356" i="4" s="1"/>
  <c r="AA370" i="4"/>
  <c r="X374" i="4"/>
  <c r="W374" i="4"/>
  <c r="V374" i="4"/>
  <c r="Z374" i="4" s="1"/>
  <c r="AB374" i="4"/>
  <c r="Y382" i="4"/>
  <c r="Y392" i="4"/>
  <c r="Y402" i="4"/>
  <c r="N409" i="4"/>
  <c r="O409" i="4" s="1"/>
  <c r="X426" i="4"/>
  <c r="W426" i="4"/>
  <c r="V426" i="4"/>
  <c r="Z426" i="4" s="1"/>
  <c r="AB426" i="4"/>
  <c r="Y426" i="4"/>
  <c r="AD440" i="4"/>
  <c r="N440" i="4" s="1"/>
  <c r="O440" i="4" s="1"/>
  <c r="AD481" i="4"/>
  <c r="N481" i="4" s="1"/>
  <c r="O481" i="4" s="1"/>
  <c r="AD513" i="4"/>
  <c r="N513" i="4" s="1"/>
  <c r="O513" i="4" s="1"/>
  <c r="Y305" i="4"/>
  <c r="Y313" i="4"/>
  <c r="Y321" i="4"/>
  <c r="Y329" i="4"/>
  <c r="X330" i="4"/>
  <c r="W331" i="4"/>
  <c r="Y337" i="4"/>
  <c r="X338" i="4"/>
  <c r="W339" i="4"/>
  <c r="Y345" i="4"/>
  <c r="X346" i="4"/>
  <c r="W347" i="4"/>
  <c r="Y353" i="4"/>
  <c r="X354" i="4"/>
  <c r="W355" i="4"/>
  <c r="Y361" i="4"/>
  <c r="X362" i="4"/>
  <c r="W363" i="4"/>
  <c r="Y369" i="4"/>
  <c r="X370" i="4"/>
  <c r="W371" i="4"/>
  <c r="Y377" i="4"/>
  <c r="X378" i="4"/>
  <c r="W379" i="4"/>
  <c r="Y385" i="4"/>
  <c r="X386" i="4"/>
  <c r="W387" i="4"/>
  <c r="Y393" i="4"/>
  <c r="X394" i="4"/>
  <c r="W395" i="4"/>
  <c r="Y404" i="4"/>
  <c r="Y405" i="4"/>
  <c r="AB406" i="4"/>
  <c r="X406" i="4"/>
  <c r="AA415" i="4"/>
  <c r="X418" i="4"/>
  <c r="W418" i="4"/>
  <c r="V418" i="4"/>
  <c r="Z418" i="4" s="1"/>
  <c r="AB418" i="4"/>
  <c r="AA423" i="4"/>
  <c r="W427" i="4"/>
  <c r="V427" i="4"/>
  <c r="Z427" i="4" s="1"/>
  <c r="AB427" i="4"/>
  <c r="X434" i="4"/>
  <c r="W434" i="4"/>
  <c r="V434" i="4"/>
  <c r="Z434" i="4" s="1"/>
  <c r="AB434" i="4"/>
  <c r="AA438" i="4"/>
  <c r="AD444" i="4"/>
  <c r="N444" i="4" s="1"/>
  <c r="O444" i="4" s="1"/>
  <c r="AD462" i="4"/>
  <c r="N462" i="4" s="1"/>
  <c r="O462" i="4" s="1"/>
  <c r="AD465" i="4"/>
  <c r="N465" i="4" s="1"/>
  <c r="O465" i="4" s="1"/>
  <c r="AD471" i="4"/>
  <c r="N471" i="4" s="1"/>
  <c r="O471" i="4" s="1"/>
  <c r="AD492" i="4"/>
  <c r="N492" i="4" s="1"/>
  <c r="O492" i="4" s="1"/>
  <c r="AA494" i="4"/>
  <c r="AD505" i="4"/>
  <c r="N505" i="4" s="1"/>
  <c r="O505" i="4" s="1"/>
  <c r="AD510" i="4"/>
  <c r="N510" i="4"/>
  <c r="O510" i="4" s="1"/>
  <c r="AD518" i="4"/>
  <c r="N518" i="4" s="1"/>
  <c r="O518" i="4" s="1"/>
  <c r="V527" i="4"/>
  <c r="Z527" i="4" s="1"/>
  <c r="AB527" i="4"/>
  <c r="Y527" i="4"/>
  <c r="X527" i="4"/>
  <c r="W527" i="4"/>
  <c r="O529" i="4"/>
  <c r="O538" i="4"/>
  <c r="O664" i="4"/>
  <c r="AD692" i="4"/>
  <c r="N692" i="4" s="1"/>
  <c r="O692" i="4" s="1"/>
  <c r="Y330" i="4"/>
  <c r="X331" i="4"/>
  <c r="Y338" i="4"/>
  <c r="X339" i="4"/>
  <c r="Y346" i="4"/>
  <c r="X347" i="4"/>
  <c r="Y354" i="4"/>
  <c r="X355" i="4"/>
  <c r="Y362" i="4"/>
  <c r="X363" i="4"/>
  <c r="Y370" i="4"/>
  <c r="X371" i="4"/>
  <c r="Y378" i="4"/>
  <c r="X379" i="4"/>
  <c r="Y386" i="4"/>
  <c r="X387" i="4"/>
  <c r="Y394" i="4"/>
  <c r="X395" i="4"/>
  <c r="AD436" i="4"/>
  <c r="N436" i="4" s="1"/>
  <c r="O436" i="4" s="1"/>
  <c r="AD454" i="4"/>
  <c r="N454" i="4" s="1"/>
  <c r="O454" i="4" s="1"/>
  <c r="AD457" i="4"/>
  <c r="N457" i="4" s="1"/>
  <c r="O457" i="4" s="1"/>
  <c r="AD463" i="4"/>
  <c r="N463" i="4" s="1"/>
  <c r="O463" i="4" s="1"/>
  <c r="AD472" i="4"/>
  <c r="N472" i="4" s="1"/>
  <c r="O472" i="4" s="1"/>
  <c r="X482" i="4"/>
  <c r="W482" i="4"/>
  <c r="V482" i="4"/>
  <c r="Z482" i="4" s="1"/>
  <c r="AB482" i="4"/>
  <c r="AD502" i="4"/>
  <c r="N502" i="4" s="1"/>
  <c r="O502" i="4" s="1"/>
  <c r="AD511" i="4"/>
  <c r="N511" i="4" s="1"/>
  <c r="O511" i="4" s="1"/>
  <c r="AD516" i="4"/>
  <c r="N516" i="4" s="1"/>
  <c r="O516" i="4" s="1"/>
  <c r="AB519" i="4"/>
  <c r="X519" i="4"/>
  <c r="W519" i="4"/>
  <c r="V519" i="4"/>
  <c r="Z519" i="4" s="1"/>
  <c r="AB520" i="4"/>
  <c r="X520" i="4"/>
  <c r="W520" i="4"/>
  <c r="V520" i="4"/>
  <c r="Z520" i="4" s="1"/>
  <c r="AD524" i="4"/>
  <c r="N524" i="4" s="1"/>
  <c r="O524" i="4" s="1"/>
  <c r="O531" i="4"/>
  <c r="AD532" i="4"/>
  <c r="N532" i="4" s="1"/>
  <c r="O532" i="4" s="1"/>
  <c r="O560" i="4"/>
  <c r="O648" i="4"/>
  <c r="W411" i="4"/>
  <c r="V411" i="4"/>
  <c r="Z411" i="4" s="1"/>
  <c r="AB411" i="4"/>
  <c r="W419" i="4"/>
  <c r="V419" i="4"/>
  <c r="Z419" i="4" s="1"/>
  <c r="AB419" i="4"/>
  <c r="AD425" i="4"/>
  <c r="N425" i="4" s="1"/>
  <c r="O425" i="4" s="1"/>
  <c r="AD428" i="4"/>
  <c r="N428" i="4" s="1"/>
  <c r="O428" i="4" s="1"/>
  <c r="AD446" i="4"/>
  <c r="N446" i="4" s="1"/>
  <c r="O446" i="4" s="1"/>
  <c r="AD449" i="4"/>
  <c r="N449" i="4" s="1"/>
  <c r="O449" i="4" s="1"/>
  <c r="AD455" i="4"/>
  <c r="N455" i="4" s="1"/>
  <c r="O455" i="4" s="1"/>
  <c r="AD464" i="4"/>
  <c r="N464" i="4" s="1"/>
  <c r="O464" i="4" s="1"/>
  <c r="AD484" i="4"/>
  <c r="N484" i="4" s="1"/>
  <c r="O484" i="4" s="1"/>
  <c r="AD497" i="4"/>
  <c r="N497" i="4" s="1"/>
  <c r="O497" i="4" s="1"/>
  <c r="AD503" i="4"/>
  <c r="N503" i="4" s="1"/>
  <c r="O503" i="4" s="1"/>
  <c r="O530" i="4"/>
  <c r="AD543" i="4"/>
  <c r="N543" i="4" s="1"/>
  <c r="O543" i="4" s="1"/>
  <c r="AD559" i="4"/>
  <c r="N559" i="4" s="1"/>
  <c r="O559" i="4" s="1"/>
  <c r="X293" i="4"/>
  <c r="X301" i="4"/>
  <c r="V303" i="4"/>
  <c r="Z303" i="4" s="1"/>
  <c r="AB305" i="4"/>
  <c r="X309" i="4"/>
  <c r="V311" i="4"/>
  <c r="Z311" i="4" s="1"/>
  <c r="AB313" i="4"/>
  <c r="X317" i="4"/>
  <c r="V319" i="4"/>
  <c r="Z319" i="4" s="1"/>
  <c r="AB321" i="4"/>
  <c r="X325" i="4"/>
  <c r="V327" i="4"/>
  <c r="Z327" i="4" s="1"/>
  <c r="AB329" i="4"/>
  <c r="X333" i="4"/>
  <c r="V335" i="4"/>
  <c r="Z335" i="4" s="1"/>
  <c r="AB337" i="4"/>
  <c r="X341" i="4"/>
  <c r="V343" i="4"/>
  <c r="Z343" i="4" s="1"/>
  <c r="AB345" i="4"/>
  <c r="X349" i="4"/>
  <c r="V351" i="4"/>
  <c r="Z351" i="4" s="1"/>
  <c r="AB353" i="4"/>
  <c r="X357" i="4"/>
  <c r="V359" i="4"/>
  <c r="Z359" i="4" s="1"/>
  <c r="AB361" i="4"/>
  <c r="X365" i="4"/>
  <c r="V367" i="4"/>
  <c r="Z367" i="4" s="1"/>
  <c r="AB369" i="4"/>
  <c r="X373" i="4"/>
  <c r="V375" i="4"/>
  <c r="Z375" i="4" s="1"/>
  <c r="AB377" i="4"/>
  <c r="X381" i="4"/>
  <c r="V383" i="4"/>
  <c r="Z383" i="4" s="1"/>
  <c r="AB385" i="4"/>
  <c r="X389" i="4"/>
  <c r="V391" i="4"/>
  <c r="Z391" i="4" s="1"/>
  <c r="AB393" i="4"/>
  <c r="V399" i="4"/>
  <c r="Z399" i="4" s="1"/>
  <c r="AB404" i="4"/>
  <c r="V410" i="4"/>
  <c r="Z410" i="4" s="1"/>
  <c r="W412" i="4"/>
  <c r="AD417" i="4"/>
  <c r="N417" i="4" s="1"/>
  <c r="O417" i="4" s="1"/>
  <c r="AD423" i="4"/>
  <c r="N423" i="4" s="1"/>
  <c r="O423" i="4" s="1"/>
  <c r="AD438" i="4"/>
  <c r="N438" i="4" s="1"/>
  <c r="O438" i="4" s="1"/>
  <c r="AD441" i="4"/>
  <c r="N441" i="4" s="1"/>
  <c r="O441" i="4" s="1"/>
  <c r="AD447" i="4"/>
  <c r="N447" i="4" s="1"/>
  <c r="O447" i="4" s="1"/>
  <c r="AD456" i="4"/>
  <c r="N456" i="4" s="1"/>
  <c r="O456" i="4" s="1"/>
  <c r="X474" i="4"/>
  <c r="W474" i="4"/>
  <c r="V474" i="4"/>
  <c r="Z474" i="4" s="1"/>
  <c r="AB474" i="4"/>
  <c r="AA478" i="4"/>
  <c r="AD489" i="4"/>
  <c r="N489" i="4" s="1"/>
  <c r="O489" i="4" s="1"/>
  <c r="AD494" i="4"/>
  <c r="N494" i="4" s="1"/>
  <c r="O494" i="4" s="1"/>
  <c r="X514" i="4"/>
  <c r="W514" i="4"/>
  <c r="V514" i="4"/>
  <c r="Z514" i="4" s="1"/>
  <c r="AB514" i="4"/>
  <c r="O521" i="4"/>
  <c r="O568" i="4"/>
  <c r="AD576" i="4"/>
  <c r="N576" i="4" s="1"/>
  <c r="O576" i="4" s="1"/>
  <c r="W303" i="4"/>
  <c r="W311" i="4"/>
  <c r="W319" i="4"/>
  <c r="W327" i="4"/>
  <c r="AB330" i="4"/>
  <c r="W335" i="4"/>
  <c r="AB338" i="4"/>
  <c r="W343" i="4"/>
  <c r="AB346" i="4"/>
  <c r="W351" i="4"/>
  <c r="AB354" i="4"/>
  <c r="W359" i="4"/>
  <c r="AB362" i="4"/>
  <c r="W367" i="4"/>
  <c r="AB370" i="4"/>
  <c r="W375" i="4"/>
  <c r="AB378" i="4"/>
  <c r="W383" i="4"/>
  <c r="AB386" i="4"/>
  <c r="W391" i="4"/>
  <c r="AB394" i="4"/>
  <c r="W399" i="4"/>
  <c r="W403" i="4"/>
  <c r="V403" i="4"/>
  <c r="Z403" i="4" s="1"/>
  <c r="AA411" i="4"/>
  <c r="X412" i="4"/>
  <c r="AA414" i="4"/>
  <c r="AD424" i="4"/>
  <c r="N424" i="4" s="1"/>
  <c r="O424" i="4" s="1"/>
  <c r="AD430" i="4"/>
  <c r="N430" i="4" s="1"/>
  <c r="O430" i="4" s="1"/>
  <c r="AD433" i="4"/>
  <c r="N433" i="4" s="1"/>
  <c r="O433" i="4" s="1"/>
  <c r="AD439" i="4"/>
  <c r="N439" i="4" s="1"/>
  <c r="O439" i="4" s="1"/>
  <c r="AD448" i="4"/>
  <c r="N448" i="4" s="1"/>
  <c r="O448" i="4" s="1"/>
  <c r="X466" i="4"/>
  <c r="W466" i="4"/>
  <c r="V466" i="4"/>
  <c r="Z466" i="4" s="1"/>
  <c r="AB466" i="4"/>
  <c r="AA470" i="4"/>
  <c r="AD476" i="4"/>
  <c r="N476" i="4" s="1"/>
  <c r="O476" i="4" s="1"/>
  <c r="AD486" i="4"/>
  <c r="N486" i="4" s="1"/>
  <c r="O486" i="4" s="1"/>
  <c r="AD495" i="4"/>
  <c r="N495" i="4" s="1"/>
  <c r="O495" i="4" s="1"/>
  <c r="X506" i="4"/>
  <c r="W506" i="4"/>
  <c r="V506" i="4"/>
  <c r="Z506" i="4" s="1"/>
  <c r="AB506" i="4"/>
  <c r="AD555" i="4"/>
  <c r="N555" i="4" s="1"/>
  <c r="O555" i="4" s="1"/>
  <c r="AD589" i="4"/>
  <c r="N589" i="4" s="1"/>
  <c r="O589" i="4" s="1"/>
  <c r="W401" i="4"/>
  <c r="W404" i="4"/>
  <c r="W405" i="4"/>
  <c r="W406" i="4"/>
  <c r="X410" i="4"/>
  <c r="W410" i="4"/>
  <c r="AB410" i="4"/>
  <c r="AD412" i="4"/>
  <c r="N412" i="4" s="1"/>
  <c r="O412" i="4" s="1"/>
  <c r="AA422" i="4"/>
  <c r="Y427" i="4"/>
  <c r="AD432" i="4"/>
  <c r="N432" i="4" s="1"/>
  <c r="O432" i="4" s="1"/>
  <c r="X450" i="4"/>
  <c r="W450" i="4"/>
  <c r="V450" i="4"/>
  <c r="Z450" i="4" s="1"/>
  <c r="AB450" i="4"/>
  <c r="AA454" i="4"/>
  <c r="AD460" i="4"/>
  <c r="N460" i="4" s="1"/>
  <c r="O460" i="4" s="1"/>
  <c r="AD478" i="4"/>
  <c r="N478" i="4" s="1"/>
  <c r="O478" i="4" s="1"/>
  <c r="Y482" i="4"/>
  <c r="X498" i="4"/>
  <c r="W498" i="4"/>
  <c r="V498" i="4"/>
  <c r="Z498" i="4" s="1"/>
  <c r="AB498" i="4"/>
  <c r="AA502" i="4"/>
  <c r="Y519" i="4"/>
  <c r="Y520" i="4"/>
  <c r="N523" i="4"/>
  <c r="O523" i="4" s="1"/>
  <c r="X525" i="4"/>
  <c r="W525" i="4"/>
  <c r="V525" i="4"/>
  <c r="Z525" i="4" s="1"/>
  <c r="Y525" i="4"/>
  <c r="Y435" i="4"/>
  <c r="Y443" i="4"/>
  <c r="Y451" i="4"/>
  <c r="Y459" i="4"/>
  <c r="Y467" i="4"/>
  <c r="Y475" i="4"/>
  <c r="Y483" i="4"/>
  <c r="Y491" i="4"/>
  <c r="Y499" i="4"/>
  <c r="Y507" i="4"/>
  <c r="Y515" i="4"/>
  <c r="X515" i="4"/>
  <c r="AD546" i="4"/>
  <c r="N546" i="4" s="1"/>
  <c r="O546" i="4" s="1"/>
  <c r="X573" i="4"/>
  <c r="W573" i="4"/>
  <c r="V573" i="4"/>
  <c r="Z573" i="4" s="1"/>
  <c r="AB573" i="4"/>
  <c r="AD577" i="4"/>
  <c r="N577" i="4" s="1"/>
  <c r="O577" i="4" s="1"/>
  <c r="AD586" i="4"/>
  <c r="N586" i="4" s="1"/>
  <c r="O586" i="4" s="1"/>
  <c r="O601" i="4"/>
  <c r="O632" i="4"/>
  <c r="AD663" i="4"/>
  <c r="N663" i="4" s="1"/>
  <c r="O663" i="4" s="1"/>
  <c r="N665" i="4"/>
  <c r="O665" i="4" s="1"/>
  <c r="AD675" i="4"/>
  <c r="N675" i="4" s="1"/>
  <c r="O675" i="4" s="1"/>
  <c r="AD690" i="4"/>
  <c r="N690" i="4" s="1"/>
  <c r="O690" i="4" s="1"/>
  <c r="O707" i="4"/>
  <c r="O761" i="4"/>
  <c r="Y420" i="4"/>
  <c r="Y428" i="4"/>
  <c r="Y436" i="4"/>
  <c r="Y444" i="4"/>
  <c r="Y452" i="4"/>
  <c r="Y460" i="4"/>
  <c r="Y468" i="4"/>
  <c r="Y476" i="4"/>
  <c r="Y484" i="4"/>
  <c r="Y492" i="4"/>
  <c r="Y500" i="4"/>
  <c r="Y508" i="4"/>
  <c r="AB515" i="4"/>
  <c r="V535" i="4"/>
  <c r="Z535" i="4" s="1"/>
  <c r="AB535" i="4"/>
  <c r="X535" i="4"/>
  <c r="AD562" i="4"/>
  <c r="N562" i="4" s="1"/>
  <c r="O562" i="4" s="1"/>
  <c r="AD571" i="4"/>
  <c r="N571" i="4" s="1"/>
  <c r="O571" i="4" s="1"/>
  <c r="AD575" i="4"/>
  <c r="N575" i="4" s="1"/>
  <c r="O575" i="4" s="1"/>
  <c r="O633" i="4"/>
  <c r="O641" i="4"/>
  <c r="O656" i="4"/>
  <c r="AD703" i="4"/>
  <c r="N703" i="4" s="1"/>
  <c r="O703" i="4" s="1"/>
  <c r="Y413" i="4"/>
  <c r="X414" i="4"/>
  <c r="W415" i="4"/>
  <c r="Y421" i="4"/>
  <c r="X422" i="4"/>
  <c r="W423" i="4"/>
  <c r="Y429" i="4"/>
  <c r="X430" i="4"/>
  <c r="W431" i="4"/>
  <c r="Y437" i="4"/>
  <c r="X438" i="4"/>
  <c r="W439" i="4"/>
  <c r="Y445" i="4"/>
  <c r="X446" i="4"/>
  <c r="W447" i="4"/>
  <c r="Y453" i="4"/>
  <c r="X454" i="4"/>
  <c r="W455" i="4"/>
  <c r="Y461" i="4"/>
  <c r="X462" i="4"/>
  <c r="W463" i="4"/>
  <c r="Y469" i="4"/>
  <c r="X470" i="4"/>
  <c r="W471" i="4"/>
  <c r="Y477" i="4"/>
  <c r="X478" i="4"/>
  <c r="W479" i="4"/>
  <c r="V480" i="4"/>
  <c r="Z480" i="4" s="1"/>
  <c r="Y485" i="4"/>
  <c r="X486" i="4"/>
  <c r="W487" i="4"/>
  <c r="V488" i="4"/>
  <c r="Z488" i="4" s="1"/>
  <c r="X494" i="4"/>
  <c r="W495" i="4"/>
  <c r="V496" i="4"/>
  <c r="Z496" i="4" s="1"/>
  <c r="Y501" i="4"/>
  <c r="X502" i="4"/>
  <c r="W503" i="4"/>
  <c r="V504" i="4"/>
  <c r="Z504" i="4" s="1"/>
  <c r="X510" i="4"/>
  <c r="W511" i="4"/>
  <c r="V512" i="4"/>
  <c r="Z512" i="4" s="1"/>
  <c r="AB518" i="4"/>
  <c r="X524" i="4"/>
  <c r="W524" i="4"/>
  <c r="W526" i="4"/>
  <c r="V526" i="4"/>
  <c r="Z526" i="4" s="1"/>
  <c r="V528" i="4"/>
  <c r="Z528" i="4" s="1"/>
  <c r="AA530" i="4"/>
  <c r="N536" i="4"/>
  <c r="O536" i="4" s="1"/>
  <c r="X536" i="4"/>
  <c r="AA537" i="4"/>
  <c r="AD539" i="4"/>
  <c r="N539" i="4" s="1"/>
  <c r="O539" i="4" s="1"/>
  <c r="AD540" i="4"/>
  <c r="N540" i="4" s="1"/>
  <c r="O540" i="4" s="1"/>
  <c r="X549" i="4"/>
  <c r="W549" i="4"/>
  <c r="V549" i="4"/>
  <c r="Z549" i="4" s="1"/>
  <c r="AB549" i="4"/>
  <c r="N552" i="4"/>
  <c r="O552" i="4" s="1"/>
  <c r="AD553" i="4"/>
  <c r="N553" i="4" s="1"/>
  <c r="O553" i="4" s="1"/>
  <c r="AA585" i="4"/>
  <c r="N616" i="4"/>
  <c r="O616" i="4" s="1"/>
  <c r="W654" i="4"/>
  <c r="V654" i="4"/>
  <c r="Z654" i="4" s="1"/>
  <c r="AB654" i="4"/>
  <c r="Y654" i="4"/>
  <c r="X654" i="4"/>
  <c r="Y414" i="4"/>
  <c r="X415" i="4"/>
  <c r="Y422" i="4"/>
  <c r="X423" i="4"/>
  <c r="Y430" i="4"/>
  <c r="X431" i="4"/>
  <c r="AB435" i="4"/>
  <c r="Y438" i="4"/>
  <c r="X439" i="4"/>
  <c r="AB443" i="4"/>
  <c r="Y446" i="4"/>
  <c r="X447" i="4"/>
  <c r="AB451" i="4"/>
  <c r="Y454" i="4"/>
  <c r="X455" i="4"/>
  <c r="AB459" i="4"/>
  <c r="Y462" i="4"/>
  <c r="X463" i="4"/>
  <c r="AB467" i="4"/>
  <c r="Y470" i="4"/>
  <c r="X471" i="4"/>
  <c r="AB475" i="4"/>
  <c r="Y478" i="4"/>
  <c r="X479" i="4"/>
  <c r="AB483" i="4"/>
  <c r="Y486" i="4"/>
  <c r="X487" i="4"/>
  <c r="AB491" i="4"/>
  <c r="Y494" i="4"/>
  <c r="X495" i="4"/>
  <c r="AB499" i="4"/>
  <c r="Y502" i="4"/>
  <c r="X503" i="4"/>
  <c r="AB507" i="4"/>
  <c r="Y510" i="4"/>
  <c r="X511" i="4"/>
  <c r="W517" i="4"/>
  <c r="V517" i="4"/>
  <c r="Z517" i="4" s="1"/>
  <c r="AD547" i="4"/>
  <c r="N547" i="4" s="1"/>
  <c r="O547" i="4" s="1"/>
  <c r="AD551" i="4"/>
  <c r="N551" i="4" s="1"/>
  <c r="O551" i="4" s="1"/>
  <c r="X565" i="4"/>
  <c r="W565" i="4"/>
  <c r="V565" i="4"/>
  <c r="Z565" i="4" s="1"/>
  <c r="AB565" i="4"/>
  <c r="AD569" i="4"/>
  <c r="N569" i="4" s="1"/>
  <c r="O569" i="4" s="1"/>
  <c r="AD578" i="4"/>
  <c r="N578" i="4" s="1"/>
  <c r="O578" i="4" s="1"/>
  <c r="AD587" i="4"/>
  <c r="N587" i="4" s="1"/>
  <c r="O587" i="4" s="1"/>
  <c r="O600" i="4"/>
  <c r="O608" i="4"/>
  <c r="AD660" i="4"/>
  <c r="N660" i="4" s="1"/>
  <c r="O660" i="4" s="1"/>
  <c r="AB420" i="4"/>
  <c r="AB428" i="4"/>
  <c r="AB436" i="4"/>
  <c r="AB444" i="4"/>
  <c r="AB452" i="4"/>
  <c r="AB460" i="4"/>
  <c r="AB468" i="4"/>
  <c r="AB476" i="4"/>
  <c r="AB484" i="4"/>
  <c r="AB492" i="4"/>
  <c r="AB500" i="4"/>
  <c r="AB508" i="4"/>
  <c r="X533" i="4"/>
  <c r="W533" i="4"/>
  <c r="V533" i="4"/>
  <c r="Z533" i="4" s="1"/>
  <c r="AB536" i="4"/>
  <c r="W536" i="4"/>
  <c r="AD554" i="4"/>
  <c r="N554" i="4" s="1"/>
  <c r="O554" i="4" s="1"/>
  <c r="AD563" i="4"/>
  <c r="N563" i="4" s="1"/>
  <c r="O563" i="4" s="1"/>
  <c r="AD567" i="4"/>
  <c r="N567" i="4" s="1"/>
  <c r="O567" i="4" s="1"/>
  <c r="AD607" i="4"/>
  <c r="N607" i="4" s="1"/>
  <c r="O607" i="4" s="1"/>
  <c r="AD667" i="4"/>
  <c r="N667" i="4" s="1"/>
  <c r="O667" i="4" s="1"/>
  <c r="AD683" i="4"/>
  <c r="N683" i="4" s="1"/>
  <c r="O683" i="4" s="1"/>
  <c r="AD732" i="4"/>
  <c r="N732" i="4" s="1"/>
  <c r="O732" i="4" s="1"/>
  <c r="X409" i="4"/>
  <c r="X417" i="4"/>
  <c r="X425" i="4"/>
  <c r="X433" i="4"/>
  <c r="V435" i="4"/>
  <c r="Z435" i="4" s="1"/>
  <c r="X441" i="4"/>
  <c r="V443" i="4"/>
  <c r="Z443" i="4" s="1"/>
  <c r="X449" i="4"/>
  <c r="V451" i="4"/>
  <c r="Z451" i="4" s="1"/>
  <c r="X457" i="4"/>
  <c r="V459" i="4"/>
  <c r="Z459" i="4" s="1"/>
  <c r="X465" i="4"/>
  <c r="V467" i="4"/>
  <c r="Z467" i="4" s="1"/>
  <c r="X473" i="4"/>
  <c r="V475" i="4"/>
  <c r="Z475" i="4" s="1"/>
  <c r="X481" i="4"/>
  <c r="V483" i="4"/>
  <c r="Z483" i="4" s="1"/>
  <c r="X489" i="4"/>
  <c r="V491" i="4"/>
  <c r="Z491" i="4" s="1"/>
  <c r="X497" i="4"/>
  <c r="V499" i="4"/>
  <c r="Z499" i="4" s="1"/>
  <c r="X505" i="4"/>
  <c r="V507" i="4"/>
  <c r="Z507" i="4" s="1"/>
  <c r="X513" i="4"/>
  <c r="V515" i="4"/>
  <c r="Z515" i="4" s="1"/>
  <c r="W518" i="4"/>
  <c r="Y528" i="4"/>
  <c r="AA529" i="4"/>
  <c r="AD537" i="4"/>
  <c r="N537" i="4" s="1"/>
  <c r="O537" i="4" s="1"/>
  <c r="Y573" i="4"/>
  <c r="AA577" i="4"/>
  <c r="X581" i="4"/>
  <c r="W581" i="4"/>
  <c r="V581" i="4"/>
  <c r="Z581" i="4" s="1"/>
  <c r="AB581" i="4"/>
  <c r="N584" i="4"/>
  <c r="O584" i="4" s="1"/>
  <c r="AD585" i="4"/>
  <c r="N585" i="4" s="1"/>
  <c r="O585" i="4" s="1"/>
  <c r="AD591" i="4"/>
  <c r="N591" i="4" s="1"/>
  <c r="O591" i="4" s="1"/>
  <c r="O593" i="4"/>
  <c r="O603" i="4"/>
  <c r="AD612" i="4"/>
  <c r="N612" i="4" s="1"/>
  <c r="O612" i="4" s="1"/>
  <c r="AD625" i="4"/>
  <c r="N625" i="4" s="1"/>
  <c r="O625" i="4" s="1"/>
  <c r="W515" i="4"/>
  <c r="X516" i="4"/>
  <c r="W516" i="4"/>
  <c r="X518" i="4"/>
  <c r="W535" i="4"/>
  <c r="X541" i="4"/>
  <c r="W541" i="4"/>
  <c r="V541" i="4"/>
  <c r="Z541" i="4" s="1"/>
  <c r="AB541" i="4"/>
  <c r="AD545" i="4"/>
  <c r="N545" i="4" s="1"/>
  <c r="O545" i="4" s="1"/>
  <c r="X557" i="4"/>
  <c r="W557" i="4"/>
  <c r="V557" i="4"/>
  <c r="Z557" i="4" s="1"/>
  <c r="AB557" i="4"/>
  <c r="AD561" i="4"/>
  <c r="N561" i="4" s="1"/>
  <c r="O561" i="4" s="1"/>
  <c r="AD570" i="4"/>
  <c r="N570" i="4" s="1"/>
  <c r="O570" i="4" s="1"/>
  <c r="AD579" i="4"/>
  <c r="N579" i="4" s="1"/>
  <c r="O579" i="4" s="1"/>
  <c r="AD583" i="4"/>
  <c r="N583" i="4" s="1"/>
  <c r="O583" i="4" s="1"/>
  <c r="O624" i="4"/>
  <c r="AD649" i="4"/>
  <c r="N649" i="4" s="1"/>
  <c r="O649" i="4" s="1"/>
  <c r="O657" i="4"/>
  <c r="AD694" i="4"/>
  <c r="N694" i="4" s="1"/>
  <c r="O694" i="4" s="1"/>
  <c r="Y534" i="4"/>
  <c r="Y542" i="4"/>
  <c r="X543" i="4"/>
  <c r="W544" i="4"/>
  <c r="Y550" i="4"/>
  <c r="X551" i="4"/>
  <c r="W552" i="4"/>
  <c r="Y558" i="4"/>
  <c r="X559" i="4"/>
  <c r="W560" i="4"/>
  <c r="Y566" i="4"/>
  <c r="X567" i="4"/>
  <c r="W568" i="4"/>
  <c r="Y574" i="4"/>
  <c r="X575" i="4"/>
  <c r="W576" i="4"/>
  <c r="Y582" i="4"/>
  <c r="X583" i="4"/>
  <c r="W584" i="4"/>
  <c r="AA594" i="4"/>
  <c r="X597" i="4"/>
  <c r="W597" i="4"/>
  <c r="V597" i="4"/>
  <c r="Z597" i="4" s="1"/>
  <c r="AD604" i="4"/>
  <c r="N604" i="4" s="1"/>
  <c r="O604" i="4" s="1"/>
  <c r="X621" i="4"/>
  <c r="W621" i="4"/>
  <c r="V621" i="4"/>
  <c r="Z621" i="4" s="1"/>
  <c r="AB621" i="4"/>
  <c r="AD628" i="4"/>
  <c r="N628" i="4" s="1"/>
  <c r="O628" i="4" s="1"/>
  <c r="AD631" i="4"/>
  <c r="N631" i="4" s="1"/>
  <c r="O631" i="4" s="1"/>
  <c r="AD635" i="4"/>
  <c r="N635" i="4" s="1"/>
  <c r="O635" i="4" s="1"/>
  <c r="X645" i="4"/>
  <c r="W645" i="4"/>
  <c r="V645" i="4"/>
  <c r="Z645" i="4" s="1"/>
  <c r="AB645" i="4"/>
  <c r="AA665" i="4"/>
  <c r="O691" i="4"/>
  <c r="O713" i="4"/>
  <c r="O744" i="4"/>
  <c r="AD820" i="4"/>
  <c r="N820" i="4" s="1"/>
  <c r="O820" i="4" s="1"/>
  <c r="Y543" i="4"/>
  <c r="X544" i="4"/>
  <c r="Y551" i="4"/>
  <c r="X552" i="4"/>
  <c r="Y559" i="4"/>
  <c r="X560" i="4"/>
  <c r="Y567" i="4"/>
  <c r="X568" i="4"/>
  <c r="Y575" i="4"/>
  <c r="X576" i="4"/>
  <c r="Y583" i="4"/>
  <c r="X584" i="4"/>
  <c r="AD611" i="4"/>
  <c r="N611" i="4" s="1"/>
  <c r="O611" i="4" s="1"/>
  <c r="W622" i="4"/>
  <c r="V622" i="4"/>
  <c r="Z622" i="4" s="1"/>
  <c r="AB622" i="4"/>
  <c r="W646" i="4"/>
  <c r="V646" i="4"/>
  <c r="Z646" i="4" s="1"/>
  <c r="AB646" i="4"/>
  <c r="AD652" i="4"/>
  <c r="N652" i="4" s="1"/>
  <c r="O652" i="4" s="1"/>
  <c r="AD655" i="4"/>
  <c r="N655" i="4"/>
  <c r="O655" i="4" s="1"/>
  <c r="AD659" i="4"/>
  <c r="N659" i="4" s="1"/>
  <c r="O659" i="4" s="1"/>
  <c r="X669" i="4"/>
  <c r="W669" i="4"/>
  <c r="V669" i="4"/>
  <c r="Z669" i="4" s="1"/>
  <c r="AB669" i="4"/>
  <c r="X677" i="4"/>
  <c r="W677" i="4"/>
  <c r="V677" i="4"/>
  <c r="Z677" i="4" s="1"/>
  <c r="AB677" i="4"/>
  <c r="X685" i="4"/>
  <c r="W685" i="4"/>
  <c r="V685" i="4"/>
  <c r="Z685" i="4" s="1"/>
  <c r="AB685" i="4"/>
  <c r="AD698" i="4"/>
  <c r="N698" i="4" s="1"/>
  <c r="O698" i="4" s="1"/>
  <c r="O720" i="4"/>
  <c r="AD733" i="4"/>
  <c r="N733" i="4" s="1"/>
  <c r="O733" i="4" s="1"/>
  <c r="AD743" i="4"/>
  <c r="N743" i="4" s="1"/>
  <c r="O743" i="4" s="1"/>
  <c r="AD796" i="4"/>
  <c r="N796" i="4" s="1"/>
  <c r="O796" i="4" s="1"/>
  <c r="Y544" i="4"/>
  <c r="Y552" i="4"/>
  <c r="Y560" i="4"/>
  <c r="Y568" i="4"/>
  <c r="Y576" i="4"/>
  <c r="Y584" i="4"/>
  <c r="W598" i="4"/>
  <c r="V598" i="4"/>
  <c r="Z598" i="4" s="1"/>
  <c r="AB598" i="4"/>
  <c r="X637" i="4"/>
  <c r="W637" i="4"/>
  <c r="V637" i="4"/>
  <c r="Z637" i="4" s="1"/>
  <c r="AB637" i="4"/>
  <c r="AD671" i="4"/>
  <c r="N671" i="4" s="1"/>
  <c r="O671" i="4" s="1"/>
  <c r="AD679" i="4"/>
  <c r="N679" i="4" s="1"/>
  <c r="O679" i="4" s="1"/>
  <c r="AD687" i="4"/>
  <c r="N687" i="4" s="1"/>
  <c r="O687" i="4" s="1"/>
  <c r="AD709" i="4"/>
  <c r="N709" i="4" s="1"/>
  <c r="O709" i="4" s="1"/>
  <c r="O712" i="4"/>
  <c r="O729" i="4"/>
  <c r="X738" i="4"/>
  <c r="W738" i="4"/>
  <c r="V738" i="4"/>
  <c r="Z738" i="4" s="1"/>
  <c r="AB738" i="4"/>
  <c r="Y738" i="4"/>
  <c r="N753" i="4"/>
  <c r="O753" i="4" s="1"/>
  <c r="Y529" i="4"/>
  <c r="AB534" i="4"/>
  <c r="Y537" i="4"/>
  <c r="AB542" i="4"/>
  <c r="Y545" i="4"/>
  <c r="V548" i="4"/>
  <c r="Z548" i="4" s="1"/>
  <c r="AB550" i="4"/>
  <c r="Y553" i="4"/>
  <c r="V556" i="4"/>
  <c r="Z556" i="4" s="1"/>
  <c r="AB558" i="4"/>
  <c r="V564" i="4"/>
  <c r="Z564" i="4" s="1"/>
  <c r="AB566" i="4"/>
  <c r="V572" i="4"/>
  <c r="Z572" i="4" s="1"/>
  <c r="AB574" i="4"/>
  <c r="V580" i="4"/>
  <c r="Z580" i="4" s="1"/>
  <c r="AB582" i="4"/>
  <c r="V588" i="4"/>
  <c r="Z588" i="4" s="1"/>
  <c r="W590" i="4"/>
  <c r="V590" i="4"/>
  <c r="Z590" i="4" s="1"/>
  <c r="AB590" i="4"/>
  <c r="V592" i="4"/>
  <c r="Z592" i="4" s="1"/>
  <c r="AB600" i="4"/>
  <c r="X600" i="4"/>
  <c r="X613" i="4"/>
  <c r="W613" i="4"/>
  <c r="V613" i="4"/>
  <c r="Z613" i="4" s="1"/>
  <c r="AB613" i="4"/>
  <c r="N617" i="4"/>
  <c r="O617" i="4" s="1"/>
  <c r="AD620" i="4"/>
  <c r="N620" i="4" s="1"/>
  <c r="O620" i="4" s="1"/>
  <c r="AD623" i="4"/>
  <c r="N623" i="4" s="1"/>
  <c r="O623" i="4" s="1"/>
  <c r="AD627" i="4"/>
  <c r="N627" i="4" s="1"/>
  <c r="O627" i="4" s="1"/>
  <c r="W638" i="4"/>
  <c r="V638" i="4"/>
  <c r="Z638" i="4" s="1"/>
  <c r="AB638" i="4"/>
  <c r="AD644" i="4"/>
  <c r="N644" i="4" s="1"/>
  <c r="O644" i="4" s="1"/>
  <c r="AD647" i="4"/>
  <c r="N647" i="4" s="1"/>
  <c r="O647" i="4" s="1"/>
  <c r="AD651" i="4"/>
  <c r="N651" i="4" s="1"/>
  <c r="O651" i="4" s="1"/>
  <c r="N672" i="4"/>
  <c r="O672" i="4" s="1"/>
  <c r="N680" i="4"/>
  <c r="O680" i="4" s="1"/>
  <c r="N688" i="4"/>
  <c r="O688" i="4" s="1"/>
  <c r="N693" i="4"/>
  <c r="O693" i="4" s="1"/>
  <c r="AD699" i="4"/>
  <c r="N699" i="4" s="1"/>
  <c r="O699" i="4" s="1"/>
  <c r="AD706" i="4"/>
  <c r="N706" i="4" s="1"/>
  <c r="O706" i="4" s="1"/>
  <c r="O752" i="4"/>
  <c r="AD757" i="4"/>
  <c r="N757" i="4" s="1"/>
  <c r="O757" i="4" s="1"/>
  <c r="O774" i="4"/>
  <c r="X523" i="4"/>
  <c r="X531" i="4"/>
  <c r="W532" i="4"/>
  <c r="X539" i="4"/>
  <c r="W540" i="4"/>
  <c r="AB543" i="4"/>
  <c r="X547" i="4"/>
  <c r="W548" i="4"/>
  <c r="AB551" i="4"/>
  <c r="X555" i="4"/>
  <c r="W556" i="4"/>
  <c r="AB559" i="4"/>
  <c r="X563" i="4"/>
  <c r="W564" i="4"/>
  <c r="AB567" i="4"/>
  <c r="X571" i="4"/>
  <c r="W572" i="4"/>
  <c r="AB575" i="4"/>
  <c r="X579" i="4"/>
  <c r="W580" i="4"/>
  <c r="AB583" i="4"/>
  <c r="X587" i="4"/>
  <c r="W588" i="4"/>
  <c r="Y589" i="4"/>
  <c r="W592" i="4"/>
  <c r="AD596" i="4"/>
  <c r="N596" i="4" s="1"/>
  <c r="O596" i="4" s="1"/>
  <c r="AA602" i="4"/>
  <c r="X605" i="4"/>
  <c r="W605" i="4"/>
  <c r="V605" i="4"/>
  <c r="Z605" i="4" s="1"/>
  <c r="W614" i="4"/>
  <c r="V614" i="4"/>
  <c r="Z614" i="4" s="1"/>
  <c r="AB614" i="4"/>
  <c r="AA625" i="4"/>
  <c r="AA634" i="4"/>
  <c r="AA649" i="4"/>
  <c r="X661" i="4"/>
  <c r="W661" i="4"/>
  <c r="V661" i="4"/>
  <c r="Z661" i="4" s="1"/>
  <c r="AB661" i="4"/>
  <c r="AD673" i="4"/>
  <c r="N673" i="4" s="1"/>
  <c r="O673" i="4" s="1"/>
  <c r="AD681" i="4"/>
  <c r="N681" i="4" s="1"/>
  <c r="O681" i="4" s="1"/>
  <c r="N689" i="4"/>
  <c r="O689" i="4" s="1"/>
  <c r="AD695" i="4"/>
  <c r="N695" i="4" s="1"/>
  <c r="O695" i="4" s="1"/>
  <c r="X532" i="4"/>
  <c r="V534" i="4"/>
  <c r="Z534" i="4" s="1"/>
  <c r="X540" i="4"/>
  <c r="V542" i="4"/>
  <c r="Z542" i="4" s="1"/>
  <c r="X548" i="4"/>
  <c r="V550" i="4"/>
  <c r="Z550" i="4" s="1"/>
  <c r="X556" i="4"/>
  <c r="V558" i="4"/>
  <c r="Z558" i="4" s="1"/>
  <c r="X564" i="4"/>
  <c r="V566" i="4"/>
  <c r="Z566" i="4" s="1"/>
  <c r="X572" i="4"/>
  <c r="V574" i="4"/>
  <c r="Z574" i="4" s="1"/>
  <c r="X580" i="4"/>
  <c r="V582" i="4"/>
  <c r="Z582" i="4" s="1"/>
  <c r="Y588" i="4"/>
  <c r="AA593" i="4"/>
  <c r="Y597" i="4"/>
  <c r="AD599" i="4"/>
  <c r="N599" i="4" s="1"/>
  <c r="O599" i="4" s="1"/>
  <c r="AA610" i="4"/>
  <c r="AD619" i="4"/>
  <c r="N619" i="4" s="1"/>
  <c r="O619" i="4" s="1"/>
  <c r="Y621" i="4"/>
  <c r="X629" i="4"/>
  <c r="W629" i="4"/>
  <c r="V629" i="4"/>
  <c r="Z629" i="4" s="1"/>
  <c r="AB629" i="4"/>
  <c r="AD636" i="4"/>
  <c r="N636" i="4" s="1"/>
  <c r="O636" i="4" s="1"/>
  <c r="AD639" i="4"/>
  <c r="N639" i="4" s="1"/>
  <c r="O639" i="4" s="1"/>
  <c r="AD643" i="4"/>
  <c r="N643" i="4" s="1"/>
  <c r="O643" i="4" s="1"/>
  <c r="Y645" i="4"/>
  <c r="AA658" i="4"/>
  <c r="W662" i="4"/>
  <c r="V662" i="4"/>
  <c r="Z662" i="4" s="1"/>
  <c r="AB662" i="4"/>
  <c r="AD668" i="4"/>
  <c r="N668" i="4" s="1"/>
  <c r="O668" i="4" s="1"/>
  <c r="AD676" i="4"/>
  <c r="N676" i="4" s="1"/>
  <c r="O676" i="4" s="1"/>
  <c r="AD684" i="4"/>
  <c r="N684" i="4" s="1"/>
  <c r="O684" i="4" s="1"/>
  <c r="AD737" i="4"/>
  <c r="N737" i="4" s="1"/>
  <c r="O737" i="4" s="1"/>
  <c r="AD741" i="4"/>
  <c r="N741" i="4" s="1"/>
  <c r="O741" i="4" s="1"/>
  <c r="AB592" i="4"/>
  <c r="X592" i="4"/>
  <c r="O595" i="4"/>
  <c r="W606" i="4"/>
  <c r="V606" i="4"/>
  <c r="Z606" i="4" s="1"/>
  <c r="AB606" i="4"/>
  <c r="AD615" i="4"/>
  <c r="N615" i="4" s="1"/>
  <c r="O615" i="4" s="1"/>
  <c r="X622" i="4"/>
  <c r="W630" i="4"/>
  <c r="V630" i="4"/>
  <c r="Z630" i="4" s="1"/>
  <c r="AB630" i="4"/>
  <c r="AA641" i="4"/>
  <c r="X646" i="4"/>
  <c r="X653" i="4"/>
  <c r="W653" i="4"/>
  <c r="V653" i="4"/>
  <c r="Z653" i="4" s="1"/>
  <c r="AB653" i="4"/>
  <c r="Y669" i="4"/>
  <c r="Y677" i="4"/>
  <c r="Y685" i="4"/>
  <c r="AD717" i="4"/>
  <c r="N717" i="4" s="1"/>
  <c r="O717" i="4" s="1"/>
  <c r="O736" i="4"/>
  <c r="N749" i="4"/>
  <c r="O749" i="4" s="1"/>
  <c r="AD755" i="4"/>
  <c r="N755" i="4" s="1"/>
  <c r="O755" i="4" s="1"/>
  <c r="O760" i="4"/>
  <c r="Y670" i="4"/>
  <c r="Y678" i="4"/>
  <c r="Y686" i="4"/>
  <c r="Y696" i="4"/>
  <c r="W702" i="4"/>
  <c r="AB702" i="4"/>
  <c r="W710" i="4"/>
  <c r="V710" i="4"/>
  <c r="Z710" i="4" s="1"/>
  <c r="AB710" i="4"/>
  <c r="X714" i="4"/>
  <c r="W714" i="4"/>
  <c r="V714" i="4"/>
  <c r="Z714" i="4" s="1"/>
  <c r="AD719" i="4"/>
  <c r="N719" i="4" s="1"/>
  <c r="O719" i="4" s="1"/>
  <c r="X725" i="4"/>
  <c r="W725" i="4"/>
  <c r="AB725" i="4"/>
  <c r="AD731" i="4"/>
  <c r="N731" i="4" s="1"/>
  <c r="O731" i="4" s="1"/>
  <c r="W734" i="4"/>
  <c r="V734" i="4"/>
  <c r="Z734" i="4" s="1"/>
  <c r="AB734" i="4"/>
  <c r="AD759" i="4"/>
  <c r="N759" i="4" s="1"/>
  <c r="O759" i="4" s="1"/>
  <c r="X765" i="4"/>
  <c r="W765" i="4"/>
  <c r="AB765" i="4"/>
  <c r="O775" i="4"/>
  <c r="X777" i="4"/>
  <c r="W777" i="4"/>
  <c r="V777" i="4"/>
  <c r="Z777" i="4" s="1"/>
  <c r="Y777" i="4"/>
  <c r="X817" i="4"/>
  <c r="W817" i="4"/>
  <c r="V817" i="4"/>
  <c r="Z817" i="4" s="1"/>
  <c r="AB817" i="4"/>
  <c r="Y817" i="4"/>
  <c r="O874" i="4"/>
  <c r="AD910" i="4"/>
  <c r="N910" i="4" s="1"/>
  <c r="O910" i="4" s="1"/>
  <c r="X918" i="4"/>
  <c r="W918" i="4"/>
  <c r="AB918" i="4"/>
  <c r="Y918" i="4"/>
  <c r="V918" i="4"/>
  <c r="Z918" i="4" s="1"/>
  <c r="W593" i="4"/>
  <c r="V594" i="4"/>
  <c r="Z594" i="4" s="1"/>
  <c r="AB596" i="4"/>
  <c r="W601" i="4"/>
  <c r="V602" i="4"/>
  <c r="Z602" i="4" s="1"/>
  <c r="AB604" i="4"/>
  <c r="Y607" i="4"/>
  <c r="X608" i="4"/>
  <c r="W609" i="4"/>
  <c r="V610" i="4"/>
  <c r="Z610" i="4" s="1"/>
  <c r="AB612" i="4"/>
  <c r="Y615" i="4"/>
  <c r="X616" i="4"/>
  <c r="W617" i="4"/>
  <c r="V618" i="4"/>
  <c r="Z618" i="4" s="1"/>
  <c r="Y623" i="4"/>
  <c r="X624" i="4"/>
  <c r="V626" i="4"/>
  <c r="Z626" i="4" s="1"/>
  <c r="Y631" i="4"/>
  <c r="X632" i="4"/>
  <c r="V634" i="4"/>
  <c r="Z634" i="4" s="1"/>
  <c r="Y639" i="4"/>
  <c r="X640" i="4"/>
  <c r="V642" i="4"/>
  <c r="Z642" i="4" s="1"/>
  <c r="Y647" i="4"/>
  <c r="X648" i="4"/>
  <c r="V650" i="4"/>
  <c r="Z650" i="4" s="1"/>
  <c r="Y655" i="4"/>
  <c r="X656" i="4"/>
  <c r="V658" i="4"/>
  <c r="Z658" i="4" s="1"/>
  <c r="Y663" i="4"/>
  <c r="X664" i="4"/>
  <c r="V666" i="4"/>
  <c r="Z666" i="4" s="1"/>
  <c r="Y671" i="4"/>
  <c r="X672" i="4"/>
  <c r="V674" i="4"/>
  <c r="Z674" i="4" s="1"/>
  <c r="Y679" i="4"/>
  <c r="X680" i="4"/>
  <c r="V682" i="4"/>
  <c r="Z682" i="4" s="1"/>
  <c r="Y687" i="4"/>
  <c r="X688" i="4"/>
  <c r="Y694" i="4"/>
  <c r="Y697" i="4"/>
  <c r="Y698" i="4"/>
  <c r="Y699" i="4"/>
  <c r="V704" i="4"/>
  <c r="Z704" i="4" s="1"/>
  <c r="W750" i="4"/>
  <c r="V750" i="4"/>
  <c r="Z750" i="4" s="1"/>
  <c r="AB750" i="4"/>
  <c r="X754" i="4"/>
  <c r="W754" i="4"/>
  <c r="V754" i="4"/>
  <c r="Z754" i="4" s="1"/>
  <c r="N780" i="4"/>
  <c r="O780" i="4" s="1"/>
  <c r="AD791" i="4"/>
  <c r="N791" i="4" s="1"/>
  <c r="O791" i="4" s="1"/>
  <c r="X793" i="4"/>
  <c r="W793" i="4"/>
  <c r="V793" i="4"/>
  <c r="Z793" i="4" s="1"/>
  <c r="AB793" i="4"/>
  <c r="Y793" i="4"/>
  <c r="W855" i="4"/>
  <c r="V855" i="4"/>
  <c r="Z855" i="4" s="1"/>
  <c r="AB855" i="4"/>
  <c r="Y855" i="4"/>
  <c r="X855" i="4"/>
  <c r="Y608" i="4"/>
  <c r="Y616" i="4"/>
  <c r="Y624" i="4"/>
  <c r="Y632" i="4"/>
  <c r="Y640" i="4"/>
  <c r="Y648" i="4"/>
  <c r="Y656" i="4"/>
  <c r="Y664" i="4"/>
  <c r="Y672" i="4"/>
  <c r="Y680" i="4"/>
  <c r="Y688" i="4"/>
  <c r="AD724" i="4"/>
  <c r="N724" i="4" s="1"/>
  <c r="O724" i="4" s="1"/>
  <c r="X730" i="4"/>
  <c r="W730" i="4"/>
  <c r="V730" i="4"/>
  <c r="Z730" i="4" s="1"/>
  <c r="AD735" i="4"/>
  <c r="N735" i="4" s="1"/>
  <c r="O735" i="4" s="1"/>
  <c r="X741" i="4"/>
  <c r="W741" i="4"/>
  <c r="AB741" i="4"/>
  <c r="AD745" i="4"/>
  <c r="N745" i="4" s="1"/>
  <c r="O745" i="4" s="1"/>
  <c r="AD747" i="4"/>
  <c r="N747" i="4" s="1"/>
  <c r="O747" i="4" s="1"/>
  <c r="V771" i="4"/>
  <c r="Z771" i="4" s="1"/>
  <c r="AB771" i="4"/>
  <c r="X771" i="4"/>
  <c r="W771" i="4"/>
  <c r="O828" i="4"/>
  <c r="W839" i="4"/>
  <c r="V839" i="4"/>
  <c r="Z839" i="4" s="1"/>
  <c r="AB839" i="4"/>
  <c r="Y839" i="4"/>
  <c r="X839" i="4"/>
  <c r="Y593" i="4"/>
  <c r="X594" i="4"/>
  <c r="Y601" i="4"/>
  <c r="X602" i="4"/>
  <c r="Y609" i="4"/>
  <c r="X610" i="4"/>
  <c r="Y617" i="4"/>
  <c r="X618" i="4"/>
  <c r="Y625" i="4"/>
  <c r="X626" i="4"/>
  <c r="W627" i="4"/>
  <c r="Y633" i="4"/>
  <c r="X634" i="4"/>
  <c r="W635" i="4"/>
  <c r="Y641" i="4"/>
  <c r="X642" i="4"/>
  <c r="W643" i="4"/>
  <c r="Y649" i="4"/>
  <c r="X650" i="4"/>
  <c r="W651" i="4"/>
  <c r="Y657" i="4"/>
  <c r="X658" i="4"/>
  <c r="W659" i="4"/>
  <c r="Y665" i="4"/>
  <c r="X666" i="4"/>
  <c r="W667" i="4"/>
  <c r="AB670" i="4"/>
  <c r="Y673" i="4"/>
  <c r="X674" i="4"/>
  <c r="W675" i="4"/>
  <c r="AB678" i="4"/>
  <c r="Y681" i="4"/>
  <c r="X682" i="4"/>
  <c r="W683" i="4"/>
  <c r="AB686" i="4"/>
  <c r="Y689" i="4"/>
  <c r="AB695" i="4"/>
  <c r="AB696" i="4"/>
  <c r="AA698" i="4"/>
  <c r="AB698" i="4"/>
  <c r="AB699" i="4"/>
  <c r="AB701" i="4"/>
  <c r="W703" i="4"/>
  <c r="X704" i="4"/>
  <c r="AD711" i="4"/>
  <c r="N711" i="4" s="1"/>
  <c r="O711" i="4" s="1"/>
  <c r="X717" i="4"/>
  <c r="W717" i="4"/>
  <c r="AB717" i="4"/>
  <c r="AA721" i="4"/>
  <c r="AD723" i="4"/>
  <c r="N723" i="4" s="1"/>
  <c r="O723" i="4" s="1"/>
  <c r="W726" i="4"/>
  <c r="V726" i="4"/>
  <c r="Z726" i="4" s="1"/>
  <c r="AB726" i="4"/>
  <c r="AA750" i="4"/>
  <c r="AD751" i="4"/>
  <c r="N751" i="4" s="1"/>
  <c r="O751" i="4" s="1"/>
  <c r="AA754" i="4"/>
  <c r="X757" i="4"/>
  <c r="W757" i="4"/>
  <c r="AB757" i="4"/>
  <c r="W766" i="4"/>
  <c r="V766" i="4"/>
  <c r="Z766" i="4" s="1"/>
  <c r="AB766" i="4"/>
  <c r="AB694" i="4"/>
  <c r="Y704" i="4"/>
  <c r="X709" i="4"/>
  <c r="W709" i="4"/>
  <c r="AB709" i="4"/>
  <c r="AD740" i="4"/>
  <c r="N740" i="4" s="1"/>
  <c r="O740" i="4" s="1"/>
  <c r="X746" i="4"/>
  <c r="W746" i="4"/>
  <c r="V746" i="4"/>
  <c r="Z746" i="4" s="1"/>
  <c r="AD763" i="4"/>
  <c r="N763" i="4" s="1"/>
  <c r="O763" i="4" s="1"/>
  <c r="AD776" i="4"/>
  <c r="N776" i="4" s="1"/>
  <c r="O776" i="4" s="1"/>
  <c r="O784" i="4"/>
  <c r="AD803" i="4"/>
  <c r="N803" i="4" s="1"/>
  <c r="O803" i="4" s="1"/>
  <c r="O804" i="4"/>
  <c r="AD824" i="4"/>
  <c r="N824" i="4" s="1"/>
  <c r="O824" i="4" s="1"/>
  <c r="X596" i="4"/>
  <c r="X604" i="4"/>
  <c r="X612" i="4"/>
  <c r="X620" i="4"/>
  <c r="X628" i="4"/>
  <c r="X636" i="4"/>
  <c r="V670" i="4"/>
  <c r="Z670" i="4" s="1"/>
  <c r="V678" i="4"/>
  <c r="Z678" i="4" s="1"/>
  <c r="V686" i="4"/>
  <c r="Z686" i="4" s="1"/>
  <c r="AA690" i="4"/>
  <c r="V696" i="4"/>
  <c r="Z696" i="4" s="1"/>
  <c r="V702" i="4"/>
  <c r="Z702" i="4" s="1"/>
  <c r="AA706" i="4"/>
  <c r="X710" i="4"/>
  <c r="Y714" i="4"/>
  <c r="AD716" i="4"/>
  <c r="N716" i="4" s="1"/>
  <c r="O716" i="4" s="1"/>
  <c r="X722" i="4"/>
  <c r="W722" i="4"/>
  <c r="V722" i="4"/>
  <c r="Z722" i="4" s="1"/>
  <c r="V725" i="4"/>
  <c r="Z725" i="4" s="1"/>
  <c r="AA726" i="4"/>
  <c r="AD727" i="4"/>
  <c r="N727" i="4" s="1"/>
  <c r="O727" i="4" s="1"/>
  <c r="X733" i="4"/>
  <c r="W733" i="4"/>
  <c r="AB733" i="4"/>
  <c r="X734" i="4"/>
  <c r="AA737" i="4"/>
  <c r="AD739" i="4"/>
  <c r="N739" i="4" s="1"/>
  <c r="O739" i="4" s="1"/>
  <c r="W742" i="4"/>
  <c r="V742" i="4"/>
  <c r="Z742" i="4" s="1"/>
  <c r="AB742" i="4"/>
  <c r="V765" i="4"/>
  <c r="Z765" i="4" s="1"/>
  <c r="AA766" i="4"/>
  <c r="AB777" i="4"/>
  <c r="W695" i="4"/>
  <c r="V697" i="4"/>
  <c r="Z697" i="4" s="1"/>
  <c r="V701" i="4"/>
  <c r="Z701" i="4" s="1"/>
  <c r="X702" i="4"/>
  <c r="AD708" i="4"/>
  <c r="N708" i="4"/>
  <c r="O708" i="4" s="1"/>
  <c r="Y710" i="4"/>
  <c r="AA713" i="4"/>
  <c r="AB714" i="4"/>
  <c r="AD715" i="4"/>
  <c r="N715" i="4" s="1"/>
  <c r="O715" i="4" s="1"/>
  <c r="W718" i="4"/>
  <c r="V718" i="4"/>
  <c r="Z718" i="4" s="1"/>
  <c r="AB718" i="4"/>
  <c r="Y725" i="4"/>
  <c r="Y734" i="4"/>
  <c r="AA746" i="4"/>
  <c r="X749" i="4"/>
  <c r="W749" i="4"/>
  <c r="AB749" i="4"/>
  <c r="X750" i="4"/>
  <c r="AA753" i="4"/>
  <c r="Y754" i="4"/>
  <c r="W758" i="4"/>
  <c r="V758" i="4"/>
  <c r="Z758" i="4" s="1"/>
  <c r="AB758" i="4"/>
  <c r="X762" i="4"/>
  <c r="W762" i="4"/>
  <c r="V762" i="4"/>
  <c r="Z762" i="4" s="1"/>
  <c r="Y765" i="4"/>
  <c r="Y711" i="4"/>
  <c r="Y719" i="4"/>
  <c r="Y727" i="4"/>
  <c r="Y735" i="4"/>
  <c r="Y743" i="4"/>
  <c r="Y751" i="4"/>
  <c r="Y759" i="4"/>
  <c r="X768" i="4"/>
  <c r="W768" i="4"/>
  <c r="AD782" i="4"/>
  <c r="N782" i="4" s="1"/>
  <c r="O782" i="4" s="1"/>
  <c r="AD783" i="4"/>
  <c r="N783" i="4" s="1"/>
  <c r="O783" i="4" s="1"/>
  <c r="AD798" i="4"/>
  <c r="N798" i="4" s="1"/>
  <c r="O798" i="4" s="1"/>
  <c r="AD800" i="4"/>
  <c r="N800" i="4" s="1"/>
  <c r="O800" i="4" s="1"/>
  <c r="AD807" i="4"/>
  <c r="N807" i="4" s="1"/>
  <c r="O807" i="4" s="1"/>
  <c r="AD819" i="4"/>
  <c r="N819" i="4" s="1"/>
  <c r="O819" i="4" s="1"/>
  <c r="AB825" i="4"/>
  <c r="X825" i="4"/>
  <c r="W825" i="4"/>
  <c r="V825" i="4"/>
  <c r="Z825" i="4" s="1"/>
  <c r="AB826" i="4"/>
  <c r="X826" i="4"/>
  <c r="W826" i="4"/>
  <c r="V826" i="4"/>
  <c r="Z826" i="4" s="1"/>
  <c r="AD844" i="4"/>
  <c r="N844" i="4" s="1"/>
  <c r="O844" i="4" s="1"/>
  <c r="O857" i="4"/>
  <c r="Y712" i="4"/>
  <c r="Y720" i="4"/>
  <c r="Y728" i="4"/>
  <c r="Y736" i="4"/>
  <c r="Y744" i="4"/>
  <c r="Y752" i="4"/>
  <c r="Y760" i="4"/>
  <c r="AB768" i="4"/>
  <c r="AA789" i="4"/>
  <c r="AD795" i="4"/>
  <c r="N795" i="4" s="1"/>
  <c r="O795" i="4" s="1"/>
  <c r="X809" i="4"/>
  <c r="W809" i="4"/>
  <c r="V809" i="4"/>
  <c r="Z809" i="4" s="1"/>
  <c r="AB809" i="4"/>
  <c r="AD823" i="4"/>
  <c r="N823" i="4" s="1"/>
  <c r="O823" i="4" s="1"/>
  <c r="O842" i="4"/>
  <c r="Y705" i="4"/>
  <c r="W707" i="4"/>
  <c r="Y713" i="4"/>
  <c r="Y721" i="4"/>
  <c r="Y729" i="4"/>
  <c r="Y737" i="4"/>
  <c r="Y745" i="4"/>
  <c r="V748" i="4"/>
  <c r="Z748" i="4" s="1"/>
  <c r="V756" i="4"/>
  <c r="Z756" i="4" s="1"/>
  <c r="V764" i="4"/>
  <c r="Z764" i="4" s="1"/>
  <c r="W770" i="4"/>
  <c r="V770" i="4"/>
  <c r="Z770" i="4" s="1"/>
  <c r="V772" i="4"/>
  <c r="Z772" i="4" s="1"/>
  <c r="X785" i="4"/>
  <c r="W785" i="4"/>
  <c r="V785" i="4"/>
  <c r="Z785" i="4" s="1"/>
  <c r="AB785" i="4"/>
  <c r="N812" i="4"/>
  <c r="O812" i="4" s="1"/>
  <c r="AD814" i="4"/>
  <c r="N814" i="4" s="1"/>
  <c r="O814" i="4" s="1"/>
  <c r="AD816" i="4"/>
  <c r="N816" i="4" s="1"/>
  <c r="O816" i="4" s="1"/>
  <c r="AD884" i="4"/>
  <c r="N884" i="4" s="1"/>
  <c r="O884" i="4" s="1"/>
  <c r="AD790" i="4"/>
  <c r="N790" i="4" s="1"/>
  <c r="O790" i="4" s="1"/>
  <c r="AD792" i="4"/>
  <c r="N792" i="4" s="1"/>
  <c r="O792" i="4" s="1"/>
  <c r="AD799" i="4"/>
  <c r="N799" i="4" s="1"/>
  <c r="O799" i="4" s="1"/>
  <c r="AD811" i="4"/>
  <c r="N811" i="4" s="1"/>
  <c r="O811" i="4" s="1"/>
  <c r="N829" i="4"/>
  <c r="O829" i="4" s="1"/>
  <c r="O833" i="4"/>
  <c r="O834" i="4"/>
  <c r="O858" i="4"/>
  <c r="X716" i="4"/>
  <c r="X724" i="4"/>
  <c r="X732" i="4"/>
  <c r="X740" i="4"/>
  <c r="X748" i="4"/>
  <c r="X756" i="4"/>
  <c r="X764" i="4"/>
  <c r="AD767" i="4"/>
  <c r="N767" i="4" s="1"/>
  <c r="O767" i="4" s="1"/>
  <c r="X772" i="4"/>
  <c r="AB773" i="4"/>
  <c r="V773" i="4"/>
  <c r="Z773" i="4" s="1"/>
  <c r="AB781" i="4"/>
  <c r="X781" i="4"/>
  <c r="V781" i="4"/>
  <c r="Z781" i="4" s="1"/>
  <c r="AA785" i="4"/>
  <c r="AD787" i="4"/>
  <c r="N787" i="4" s="1"/>
  <c r="O787" i="4" s="1"/>
  <c r="X801" i="4"/>
  <c r="W801" i="4"/>
  <c r="V801" i="4"/>
  <c r="Z801" i="4" s="1"/>
  <c r="AB801" i="4"/>
  <c r="V768" i="4"/>
  <c r="Z768" i="4" s="1"/>
  <c r="W769" i="4"/>
  <c r="V769" i="4"/>
  <c r="Z769" i="4" s="1"/>
  <c r="Y772" i="4"/>
  <c r="V779" i="4"/>
  <c r="Z779" i="4" s="1"/>
  <c r="AB779" i="4"/>
  <c r="X779" i="4"/>
  <c r="AD806" i="4"/>
  <c r="N806" i="4" s="1"/>
  <c r="O806" i="4" s="1"/>
  <c r="AD808" i="4"/>
  <c r="N808" i="4" s="1"/>
  <c r="O808" i="4" s="1"/>
  <c r="AD815" i="4"/>
  <c r="N815" i="4" s="1"/>
  <c r="O815" i="4" s="1"/>
  <c r="Y825" i="4"/>
  <c r="Y826" i="4"/>
  <c r="O827" i="4"/>
  <c r="AD830" i="4"/>
  <c r="N830" i="4" s="1"/>
  <c r="O830" i="4" s="1"/>
  <c r="O841" i="4"/>
  <c r="AD873" i="4"/>
  <c r="N873" i="4" s="1"/>
  <c r="O873" i="4" s="1"/>
  <c r="Y778" i="4"/>
  <c r="W780" i="4"/>
  <c r="Y786" i="4"/>
  <c r="X787" i="4"/>
  <c r="W788" i="4"/>
  <c r="V789" i="4"/>
  <c r="Z789" i="4" s="1"/>
  <c r="Y794" i="4"/>
  <c r="X795" i="4"/>
  <c r="W796" i="4"/>
  <c r="V797" i="4"/>
  <c r="Z797" i="4" s="1"/>
  <c r="Y802" i="4"/>
  <c r="X803" i="4"/>
  <c r="W804" i="4"/>
  <c r="V805" i="4"/>
  <c r="Z805" i="4" s="1"/>
  <c r="Y810" i="4"/>
  <c r="X811" i="4"/>
  <c r="W812" i="4"/>
  <c r="V813" i="4"/>
  <c r="Z813" i="4" s="1"/>
  <c r="Y818" i="4"/>
  <c r="X819" i="4"/>
  <c r="W820" i="4"/>
  <c r="V821" i="4"/>
  <c r="Z821" i="4" s="1"/>
  <c r="V822" i="4"/>
  <c r="Z822" i="4" s="1"/>
  <c r="X823" i="4"/>
  <c r="AA827" i="4"/>
  <c r="AA851" i="4"/>
  <c r="AD861" i="4"/>
  <c r="N861" i="4" s="1"/>
  <c r="O861" i="4" s="1"/>
  <c r="AA867" i="4"/>
  <c r="X893" i="4"/>
  <c r="V893" i="4"/>
  <c r="Z893" i="4" s="1"/>
  <c r="AB893" i="4"/>
  <c r="Y893" i="4"/>
  <c r="W893" i="4"/>
  <c r="AD896" i="4"/>
  <c r="N896" i="4" s="1"/>
  <c r="O896" i="4" s="1"/>
  <c r="O921" i="4"/>
  <c r="Y787" i="4"/>
  <c r="W789" i="4"/>
  <c r="Y795" i="4"/>
  <c r="W797" i="4"/>
  <c r="Y803" i="4"/>
  <c r="W805" i="4"/>
  <c r="Y811" i="4"/>
  <c r="W813" i="4"/>
  <c r="Y819" i="4"/>
  <c r="W821" i="4"/>
  <c r="AA826" i="4"/>
  <c r="AD832" i="4"/>
  <c r="N832" i="4" s="1"/>
  <c r="O832" i="4" s="1"/>
  <c r="AD837" i="4"/>
  <c r="N837" i="4" s="1"/>
  <c r="O837" i="4" s="1"/>
  <c r="AD840" i="4"/>
  <c r="N840" i="4" s="1"/>
  <c r="O840" i="4" s="1"/>
  <c r="AD853" i="4"/>
  <c r="N853" i="4" s="1"/>
  <c r="O853" i="4" s="1"/>
  <c r="AD856" i="4"/>
  <c r="N856" i="4" s="1"/>
  <c r="O856" i="4" s="1"/>
  <c r="X863" i="4"/>
  <c r="W863" i="4"/>
  <c r="V863" i="4"/>
  <c r="Z863" i="4" s="1"/>
  <c r="AB863" i="4"/>
  <c r="AD872" i="4"/>
  <c r="N872" i="4" s="1"/>
  <c r="O872" i="4" s="1"/>
  <c r="X877" i="4"/>
  <c r="V877" i="4"/>
  <c r="Z877" i="4" s="1"/>
  <c r="Y877" i="4"/>
  <c r="W877" i="4"/>
  <c r="AD880" i="4"/>
  <c r="N880" i="4" s="1"/>
  <c r="O880" i="4" s="1"/>
  <c r="AD888" i="4"/>
  <c r="N888" i="4" s="1"/>
  <c r="O888" i="4" s="1"/>
  <c r="AD895" i="4"/>
  <c r="N895" i="4"/>
  <c r="O895" i="4" s="1"/>
  <c r="Y780" i="4"/>
  <c r="Y788" i="4"/>
  <c r="X789" i="4"/>
  <c r="Y796" i="4"/>
  <c r="X797" i="4"/>
  <c r="Y804" i="4"/>
  <c r="X805" i="4"/>
  <c r="Y812" i="4"/>
  <c r="X813" i="4"/>
  <c r="Y820" i="4"/>
  <c r="X821" i="4"/>
  <c r="Y822" i="4"/>
  <c r="X830" i="4"/>
  <c r="W830" i="4"/>
  <c r="AB830" i="4"/>
  <c r="X846" i="4"/>
  <c r="W846" i="4"/>
  <c r="V846" i="4"/>
  <c r="Z846" i="4" s="1"/>
  <c r="AB846" i="4"/>
  <c r="N850" i="4"/>
  <c r="O850" i="4" s="1"/>
  <c r="N866" i="4"/>
  <c r="O866" i="4" s="1"/>
  <c r="O889" i="4"/>
  <c r="Y789" i="4"/>
  <c r="Y797" i="4"/>
  <c r="Y805" i="4"/>
  <c r="Y813" i="4"/>
  <c r="AD836" i="4"/>
  <c r="N836" i="4" s="1"/>
  <c r="O836" i="4" s="1"/>
  <c r="W847" i="4"/>
  <c r="V847" i="4"/>
  <c r="Z847" i="4" s="1"/>
  <c r="AB847" i="4"/>
  <c r="AD852" i="4"/>
  <c r="N852" i="4" s="1"/>
  <c r="O852" i="4" s="1"/>
  <c r="AD865" i="4"/>
  <c r="N865" i="4"/>
  <c r="O865" i="4" s="1"/>
  <c r="AD868" i="4"/>
  <c r="N868" i="4" s="1"/>
  <c r="O868" i="4" s="1"/>
  <c r="X909" i="4"/>
  <c r="V909" i="4"/>
  <c r="Z909" i="4" s="1"/>
  <c r="AB909" i="4"/>
  <c r="Y909" i="4"/>
  <c r="W909" i="4"/>
  <c r="AD912" i="4"/>
  <c r="N912" i="4" s="1"/>
  <c r="O912" i="4" s="1"/>
  <c r="O923" i="4"/>
  <c r="W776" i="4"/>
  <c r="X783" i="4"/>
  <c r="W784" i="4"/>
  <c r="AB787" i="4"/>
  <c r="W792" i="4"/>
  <c r="AB795" i="4"/>
  <c r="W800" i="4"/>
  <c r="AB803" i="4"/>
  <c r="W808" i="4"/>
  <c r="AB811" i="4"/>
  <c r="W816" i="4"/>
  <c r="AB819" i="4"/>
  <c r="AB823" i="4"/>
  <c r="W827" i="4"/>
  <c r="AA830" i="4"/>
  <c r="AA843" i="4"/>
  <c r="AD894" i="4"/>
  <c r="N894" i="4" s="1"/>
  <c r="O894" i="4" s="1"/>
  <c r="AD911" i="4"/>
  <c r="N911" i="4" s="1"/>
  <c r="O911" i="4" s="1"/>
  <c r="X915" i="4"/>
  <c r="W915" i="4"/>
  <c r="V915" i="4"/>
  <c r="Z915" i="4" s="1"/>
  <c r="AB915" i="4"/>
  <c r="Y915" i="4"/>
  <c r="X776" i="4"/>
  <c r="V778" i="4"/>
  <c r="Z778" i="4" s="1"/>
  <c r="X784" i="4"/>
  <c r="V786" i="4"/>
  <c r="Z786" i="4" s="1"/>
  <c r="X792" i="4"/>
  <c r="V794" i="4"/>
  <c r="Z794" i="4" s="1"/>
  <c r="X800" i="4"/>
  <c r="V802" i="4"/>
  <c r="Z802" i="4" s="1"/>
  <c r="X808" i="4"/>
  <c r="V810" i="4"/>
  <c r="Z810" i="4" s="1"/>
  <c r="X816" i="4"/>
  <c r="V818" i="4"/>
  <c r="Z818" i="4" s="1"/>
  <c r="AB821" i="4"/>
  <c r="AB822" i="4"/>
  <c r="W824" i="4"/>
  <c r="X827" i="4"/>
  <c r="AA834" i="4"/>
  <c r="X835" i="4"/>
  <c r="W835" i="4"/>
  <c r="V835" i="4"/>
  <c r="Z835" i="4" s="1"/>
  <c r="AD845" i="4"/>
  <c r="N845" i="4" s="1"/>
  <c r="O845" i="4" s="1"/>
  <c r="AD848" i="4"/>
  <c r="N848" i="4" s="1"/>
  <c r="O848" i="4" s="1"/>
  <c r="AD860" i="4"/>
  <c r="N860" i="4" s="1"/>
  <c r="O860" i="4" s="1"/>
  <c r="AD862" i="4"/>
  <c r="N862" i="4" s="1"/>
  <c r="O862" i="4" s="1"/>
  <c r="AD871" i="4"/>
  <c r="N871" i="4" s="1"/>
  <c r="O871" i="4" s="1"/>
  <c r="AD904" i="4"/>
  <c r="N904" i="4" s="1"/>
  <c r="O904" i="4" s="1"/>
  <c r="X824" i="4"/>
  <c r="W831" i="4"/>
  <c r="V831" i="4"/>
  <c r="Z831" i="4" s="1"/>
  <c r="AB831" i="4"/>
  <c r="X838" i="4"/>
  <c r="W838" i="4"/>
  <c r="V838" i="4"/>
  <c r="Z838" i="4" s="1"/>
  <c r="AB838" i="4"/>
  <c r="AA850" i="4"/>
  <c r="X854" i="4"/>
  <c r="W854" i="4"/>
  <c r="V854" i="4"/>
  <c r="Z854" i="4" s="1"/>
  <c r="AB854" i="4"/>
  <c r="Y863" i="4"/>
  <c r="AD869" i="4"/>
  <c r="N869" i="4" s="1"/>
  <c r="O869" i="4" s="1"/>
  <c r="AA870" i="4"/>
  <c r="AB877" i="4"/>
  <c r="O878" i="4"/>
  <c r="AD900" i="4"/>
  <c r="N900" i="4" s="1"/>
  <c r="O900" i="4" s="1"/>
  <c r="Y832" i="4"/>
  <c r="X833" i="4"/>
  <c r="W834" i="4"/>
  <c r="Y840" i="4"/>
  <c r="X841" i="4"/>
  <c r="W842" i="4"/>
  <c r="V843" i="4"/>
  <c r="Z843" i="4" s="1"/>
  <c r="Y848" i="4"/>
  <c r="X849" i="4"/>
  <c r="W850" i="4"/>
  <c r="V851" i="4"/>
  <c r="Z851" i="4" s="1"/>
  <c r="Y856" i="4"/>
  <c r="X857" i="4"/>
  <c r="W858" i="4"/>
  <c r="V859" i="4"/>
  <c r="Z859" i="4" s="1"/>
  <c r="Y864" i="4"/>
  <c r="X865" i="4"/>
  <c r="W866" i="4"/>
  <c r="V867" i="4"/>
  <c r="Z867" i="4" s="1"/>
  <c r="V870" i="4"/>
  <c r="Z870" i="4" s="1"/>
  <c r="X872" i="4"/>
  <c r="AD879" i="4"/>
  <c r="N879" i="4" s="1"/>
  <c r="O879" i="4" s="1"/>
  <c r="X883" i="4"/>
  <c r="V883" i="4"/>
  <c r="Z883" i="4" s="1"/>
  <c r="AB883" i="4"/>
  <c r="X899" i="4"/>
  <c r="V899" i="4"/>
  <c r="Z899" i="4" s="1"/>
  <c r="AB899" i="4"/>
  <c r="O936" i="4"/>
  <c r="Y833" i="4"/>
  <c r="X834" i="4"/>
  <c r="Y841" i="4"/>
  <c r="W843" i="4"/>
  <c r="Y849" i="4"/>
  <c r="W851" i="4"/>
  <c r="Y857" i="4"/>
  <c r="W859" i="4"/>
  <c r="Y865" i="4"/>
  <c r="Y872" i="4"/>
  <c r="AB881" i="4"/>
  <c r="X881" i="4"/>
  <c r="W881" i="4"/>
  <c r="AB897" i="4"/>
  <c r="X897" i="4"/>
  <c r="W897" i="4"/>
  <c r="AB913" i="4"/>
  <c r="X913" i="4"/>
  <c r="W913" i="4"/>
  <c r="AD919" i="4"/>
  <c r="N919" i="4" s="1"/>
  <c r="O919" i="4" s="1"/>
  <c r="AD924" i="4"/>
  <c r="N924" i="4" s="1"/>
  <c r="O924" i="4" s="1"/>
  <c r="AD928" i="4"/>
  <c r="N928" i="4" s="1"/>
  <c r="O928" i="4" s="1"/>
  <c r="Y834" i="4"/>
  <c r="Y842" i="4"/>
  <c r="X843" i="4"/>
  <c r="Y850" i="4"/>
  <c r="X851" i="4"/>
  <c r="Y858" i="4"/>
  <c r="X859" i="4"/>
  <c r="Y866" i="4"/>
  <c r="X867" i="4"/>
  <c r="Y870" i="4"/>
  <c r="Y873" i="4"/>
  <c r="Y874" i="4"/>
  <c r="Y878" i="4"/>
  <c r="AB894" i="4"/>
  <c r="AB910" i="4"/>
  <c r="Y859" i="4"/>
  <c r="Y867" i="4"/>
  <c r="AB878" i="4"/>
  <c r="X885" i="4"/>
  <c r="V885" i="4"/>
  <c r="Z885" i="4" s="1"/>
  <c r="AB885" i="4"/>
  <c r="AD887" i="4"/>
  <c r="N887" i="4" s="1"/>
  <c r="O887" i="4" s="1"/>
  <c r="X901" i="4"/>
  <c r="V901" i="4"/>
  <c r="Z901" i="4" s="1"/>
  <c r="AB901" i="4"/>
  <c r="V902" i="4"/>
  <c r="Z902" i="4" s="1"/>
  <c r="AD903" i="4"/>
  <c r="N903" i="4" s="1"/>
  <c r="O903" i="4" s="1"/>
  <c r="N905" i="4"/>
  <c r="O905" i="4" s="1"/>
  <c r="AD927" i="4"/>
  <c r="N927" i="4" s="1"/>
  <c r="O927" i="4" s="1"/>
  <c r="AD934" i="4"/>
  <c r="N934" i="4" s="1"/>
  <c r="O934" i="4" s="1"/>
  <c r="O949" i="4"/>
  <c r="X829" i="4"/>
  <c r="X837" i="4"/>
  <c r="X845" i="4"/>
  <c r="X853" i="4"/>
  <c r="X861" i="4"/>
  <c r="W862" i="4"/>
  <c r="AB865" i="4"/>
  <c r="AB871" i="4"/>
  <c r="AB872" i="4"/>
  <c r="AA874" i="4"/>
  <c r="AD876" i="4"/>
  <c r="N876" i="4" s="1"/>
  <c r="O876" i="4" s="1"/>
  <c r="X886" i="4"/>
  <c r="X891" i="4"/>
  <c r="V891" i="4"/>
  <c r="Z891" i="4" s="1"/>
  <c r="AB891" i="4"/>
  <c r="AD892" i="4"/>
  <c r="N892" i="4" s="1"/>
  <c r="O892" i="4" s="1"/>
  <c r="X902" i="4"/>
  <c r="X907" i="4"/>
  <c r="V907" i="4"/>
  <c r="Z907" i="4" s="1"/>
  <c r="AB907" i="4"/>
  <c r="AD908" i="4"/>
  <c r="N908" i="4" s="1"/>
  <c r="O908" i="4" s="1"/>
  <c r="AD925" i="4"/>
  <c r="N925" i="4" s="1"/>
  <c r="O925" i="4" s="1"/>
  <c r="N929" i="4"/>
  <c r="O929" i="4" s="1"/>
  <c r="AD933" i="4"/>
  <c r="N933" i="4" s="1"/>
  <c r="O933" i="4" s="1"/>
  <c r="X938" i="4"/>
  <c r="W938" i="4"/>
  <c r="AB938" i="4"/>
  <c r="Y938" i="4"/>
  <c r="V938" i="4"/>
  <c r="Z938" i="4" s="1"/>
  <c r="V864" i="4"/>
  <c r="Z864" i="4" s="1"/>
  <c r="AB870" i="4"/>
  <c r="W883" i="4"/>
  <c r="AA885" i="4"/>
  <c r="Y886" i="4"/>
  <c r="AB889" i="4"/>
  <c r="X889" i="4"/>
  <c r="W889" i="4"/>
  <c r="W899" i="4"/>
  <c r="AA901" i="4"/>
  <c r="Y902" i="4"/>
  <c r="AB905" i="4"/>
  <c r="X905" i="4"/>
  <c r="W905" i="4"/>
  <c r="AD916" i="4"/>
  <c r="N916" i="4" s="1"/>
  <c r="O916" i="4" s="1"/>
  <c r="AD941" i="4"/>
  <c r="N941" i="4" s="1"/>
  <c r="O941" i="4" s="1"/>
  <c r="V881" i="4"/>
  <c r="Z881" i="4" s="1"/>
  <c r="AA882" i="4"/>
  <c r="Y883" i="4"/>
  <c r="AB886" i="4"/>
  <c r="V897" i="4"/>
  <c r="Z897" i="4" s="1"/>
  <c r="AA898" i="4"/>
  <c r="Y899" i="4"/>
  <c r="AB902" i="4"/>
  <c r="V913" i="4"/>
  <c r="Z913" i="4" s="1"/>
  <c r="AA914" i="4"/>
  <c r="AD932" i="4"/>
  <c r="N932" i="4" s="1"/>
  <c r="O932" i="4" s="1"/>
  <c r="V935" i="4"/>
  <c r="Z935" i="4" s="1"/>
  <c r="Y935" i="4"/>
  <c r="X935" i="4"/>
  <c r="W935" i="4"/>
  <c r="Y879" i="4"/>
  <c r="X880" i="4"/>
  <c r="V882" i="4"/>
  <c r="Z882" i="4" s="1"/>
  <c r="Y887" i="4"/>
  <c r="X888" i="4"/>
  <c r="V890" i="4"/>
  <c r="Z890" i="4" s="1"/>
  <c r="Y895" i="4"/>
  <c r="X896" i="4"/>
  <c r="V898" i="4"/>
  <c r="Z898" i="4" s="1"/>
  <c r="Y903" i="4"/>
  <c r="X904" i="4"/>
  <c r="V906" i="4"/>
  <c r="Z906" i="4" s="1"/>
  <c r="Y911" i="4"/>
  <c r="X912" i="4"/>
  <c r="V914" i="4"/>
  <c r="Z914" i="4" s="1"/>
  <c r="Y919" i="4"/>
  <c r="X920" i="4"/>
  <c r="W921" i="4"/>
  <c r="V922" i="4"/>
  <c r="Z922" i="4" s="1"/>
  <c r="V926" i="4"/>
  <c r="Z926" i="4" s="1"/>
  <c r="X927" i="4"/>
  <c r="X928" i="4"/>
  <c r="W929" i="4"/>
  <c r="X934" i="4"/>
  <c r="N937" i="4"/>
  <c r="O937" i="4" s="1"/>
  <c r="AB917" i="4"/>
  <c r="Y920" i="4"/>
  <c r="X921" i="4"/>
  <c r="Y927" i="4"/>
  <c r="Y928" i="4"/>
  <c r="AD945" i="4"/>
  <c r="N945" i="4" s="1"/>
  <c r="O945" i="4" s="1"/>
  <c r="AD952" i="4"/>
  <c r="N952" i="4" s="1"/>
  <c r="O952" i="4" s="1"/>
  <c r="Y921" i="4"/>
  <c r="X929" i="4"/>
  <c r="AB929" i="4"/>
  <c r="AB934" i="4"/>
  <c r="W934" i="4"/>
  <c r="AB941" i="4"/>
  <c r="X941" i="4"/>
  <c r="W941" i="4"/>
  <c r="O986" i="4"/>
  <c r="AD987" i="4"/>
  <c r="N987" i="4" s="1"/>
  <c r="O987" i="4" s="1"/>
  <c r="AB879" i="4"/>
  <c r="V917" i="4"/>
  <c r="Z917" i="4" s="1"/>
  <c r="X923" i="4"/>
  <c r="Y925" i="4"/>
  <c r="W931" i="4"/>
  <c r="AD944" i="4"/>
  <c r="N944" i="4" s="1"/>
  <c r="O944" i="4" s="1"/>
  <c r="AD957" i="4"/>
  <c r="N957" i="4" s="1"/>
  <c r="O957" i="4" s="1"/>
  <c r="AD960" i="4"/>
  <c r="N960" i="4"/>
  <c r="O960" i="4" s="1"/>
  <c r="AB927" i="4"/>
  <c r="X931" i="4"/>
  <c r="AB933" i="4"/>
  <c r="X933" i="4"/>
  <c r="AA934" i="4"/>
  <c r="X946" i="4"/>
  <c r="W946" i="4"/>
  <c r="V946" i="4"/>
  <c r="Z946" i="4" s="1"/>
  <c r="AB946" i="4"/>
  <c r="AD965" i="4"/>
  <c r="N965" i="4" s="1"/>
  <c r="O965" i="4" s="1"/>
  <c r="AD968" i="4"/>
  <c r="N968" i="4" s="1"/>
  <c r="O968" i="4" s="1"/>
  <c r="X917" i="4"/>
  <c r="AB926" i="4"/>
  <c r="V930" i="4"/>
  <c r="Z930" i="4" s="1"/>
  <c r="Y931" i="4"/>
  <c r="AA937" i="4"/>
  <c r="AD940" i="4"/>
  <c r="N940" i="4"/>
  <c r="O940" i="4" s="1"/>
  <c r="AD985" i="4"/>
  <c r="N985" i="4" s="1"/>
  <c r="O985" i="4" s="1"/>
  <c r="O994" i="4"/>
  <c r="N920" i="4"/>
  <c r="O920" i="4" s="1"/>
  <c r="AD931" i="4"/>
  <c r="N931" i="4" s="1"/>
  <c r="O931" i="4" s="1"/>
  <c r="AD973" i="4"/>
  <c r="N973" i="4" s="1"/>
  <c r="O973" i="4" s="1"/>
  <c r="AD976" i="4"/>
  <c r="N976" i="4" s="1"/>
  <c r="O976" i="4" s="1"/>
  <c r="Y954" i="4"/>
  <c r="Y962" i="4"/>
  <c r="Y970" i="4"/>
  <c r="Y978" i="4"/>
  <c r="AB991" i="4"/>
  <c r="X991" i="4"/>
  <c r="Y939" i="4"/>
  <c r="V942" i="4"/>
  <c r="Z942" i="4" s="1"/>
  <c r="Y947" i="4"/>
  <c r="W949" i="4"/>
  <c r="V950" i="4"/>
  <c r="Z950" i="4" s="1"/>
  <c r="Y955" i="4"/>
  <c r="W957" i="4"/>
  <c r="V958" i="4"/>
  <c r="Z958" i="4" s="1"/>
  <c r="Y963" i="4"/>
  <c r="W965" i="4"/>
  <c r="V966" i="4"/>
  <c r="Z966" i="4" s="1"/>
  <c r="Y971" i="4"/>
  <c r="W973" i="4"/>
  <c r="V974" i="4"/>
  <c r="Z974" i="4" s="1"/>
  <c r="Y979" i="4"/>
  <c r="W981" i="4"/>
  <c r="V982" i="4"/>
  <c r="Z982" i="4" s="1"/>
  <c r="W986" i="4"/>
  <c r="X988" i="4"/>
  <c r="W988" i="4"/>
  <c r="AB988" i="4"/>
  <c r="AD990" i="4"/>
  <c r="N990" i="4" s="1"/>
  <c r="O990" i="4" s="1"/>
  <c r="X993" i="4"/>
  <c r="AD995" i="4"/>
  <c r="N995" i="4" s="1"/>
  <c r="O995" i="4" s="1"/>
  <c r="AA997" i="4"/>
  <c r="AB937" i="4"/>
  <c r="W942" i="4"/>
  <c r="V943" i="4"/>
  <c r="Z943" i="4" s="1"/>
  <c r="AB945" i="4"/>
  <c r="X949" i="4"/>
  <c r="W950" i="4"/>
  <c r="V951" i="4"/>
  <c r="Z951" i="4" s="1"/>
  <c r="AB953" i="4"/>
  <c r="X957" i="4"/>
  <c r="W958" i="4"/>
  <c r="V959" i="4"/>
  <c r="Z959" i="4" s="1"/>
  <c r="AB961" i="4"/>
  <c r="X965" i="4"/>
  <c r="W966" i="4"/>
  <c r="V967" i="4"/>
  <c r="Z967" i="4" s="1"/>
  <c r="AB969" i="4"/>
  <c r="X973" i="4"/>
  <c r="W974" i="4"/>
  <c r="V975" i="4"/>
  <c r="Z975" i="4" s="1"/>
  <c r="AB977" i="4"/>
  <c r="X981" i="4"/>
  <c r="W982" i="4"/>
  <c r="V983" i="4"/>
  <c r="Z983" i="4" s="1"/>
  <c r="W985" i="4"/>
  <c r="X986" i="4"/>
  <c r="Y993" i="4"/>
  <c r="N996" i="4"/>
  <c r="O996" i="4" s="1"/>
  <c r="W943" i="4"/>
  <c r="Y949" i="4"/>
  <c r="W951" i="4"/>
  <c r="AB954" i="4"/>
  <c r="Y957" i="4"/>
  <c r="W959" i="4"/>
  <c r="AB962" i="4"/>
  <c r="Y965" i="4"/>
  <c r="W967" i="4"/>
  <c r="AB970" i="4"/>
  <c r="Y973" i="4"/>
  <c r="W975" i="4"/>
  <c r="AB978" i="4"/>
  <c r="Y981" i="4"/>
  <c r="W983" i="4"/>
  <c r="Y986" i="4"/>
  <c r="AD993" i="4"/>
  <c r="N993" i="4" s="1"/>
  <c r="O993" i="4" s="1"/>
  <c r="AB993" i="4"/>
  <c r="AD999" i="4"/>
  <c r="N999" i="4" s="1"/>
  <c r="O999" i="4" s="1"/>
  <c r="V1000" i="4"/>
  <c r="Z1000" i="4" s="1"/>
  <c r="Y942" i="4"/>
  <c r="X943" i="4"/>
  <c r="Y950" i="4"/>
  <c r="X951" i="4"/>
  <c r="Y958" i="4"/>
  <c r="X959" i="4"/>
  <c r="N961" i="4"/>
  <c r="O961" i="4" s="1"/>
  <c r="Y966" i="4"/>
  <c r="X967" i="4"/>
  <c r="N969" i="4"/>
  <c r="O969" i="4" s="1"/>
  <c r="Y974" i="4"/>
  <c r="X975" i="4"/>
  <c r="N977" i="4"/>
  <c r="O977" i="4" s="1"/>
  <c r="AB979" i="4"/>
  <c r="Y982" i="4"/>
  <c r="X983" i="4"/>
  <c r="Y985" i="4"/>
  <c r="X992" i="4"/>
  <c r="X996" i="4"/>
  <c r="W996" i="4"/>
  <c r="AB996" i="4"/>
  <c r="V954" i="4"/>
  <c r="Z954" i="4" s="1"/>
  <c r="V962" i="4"/>
  <c r="Z962" i="4" s="1"/>
  <c r="V970" i="4"/>
  <c r="Z970" i="4" s="1"/>
  <c r="V978" i="4"/>
  <c r="Z978" i="4" s="1"/>
  <c r="W989" i="4"/>
  <c r="V989" i="4"/>
  <c r="Z989" i="4" s="1"/>
  <c r="AB989" i="4"/>
  <c r="V991" i="4"/>
  <c r="Z991" i="4" s="1"/>
  <c r="X937" i="4"/>
  <c r="V939" i="4"/>
  <c r="Z939" i="4" s="1"/>
  <c r="X945" i="4"/>
  <c r="V947" i="4"/>
  <c r="Z947" i="4" s="1"/>
  <c r="X953" i="4"/>
  <c r="W954" i="4"/>
  <c r="V955" i="4"/>
  <c r="Z955" i="4" s="1"/>
  <c r="X961" i="4"/>
  <c r="W962" i="4"/>
  <c r="V963" i="4"/>
  <c r="Z963" i="4" s="1"/>
  <c r="W970" i="4"/>
  <c r="V971" i="4"/>
  <c r="Z971" i="4" s="1"/>
  <c r="W978" i="4"/>
  <c r="V979" i="4"/>
  <c r="Z979" i="4" s="1"/>
  <c r="AB985" i="4"/>
  <c r="V988" i="4"/>
  <c r="Z988" i="4" s="1"/>
  <c r="W991" i="4"/>
  <c r="AB992" i="4"/>
  <c r="W992" i="4"/>
  <c r="AA996" i="4"/>
  <c r="AB1000" i="4"/>
  <c r="X1000" i="4"/>
  <c r="W1000" i="4"/>
  <c r="N948" i="4"/>
  <c r="O948" i="4" s="1"/>
  <c r="N956" i="4"/>
  <c r="O956" i="4" s="1"/>
  <c r="N964" i="4"/>
  <c r="O964" i="4" s="1"/>
  <c r="N972" i="4"/>
  <c r="O972" i="4" s="1"/>
  <c r="N980" i="4"/>
  <c r="O980" i="4" s="1"/>
  <c r="AA985" i="4"/>
  <c r="Y988" i="4"/>
  <c r="Y991" i="4"/>
  <c r="W997" i="4"/>
  <c r="V997" i="4"/>
  <c r="Z997" i="4" s="1"/>
  <c r="AB987" i="4"/>
  <c r="AB995" i="4"/>
  <c r="X999" i="4"/>
  <c r="Y999" i="4"/>
  <c r="X995" i="4"/>
  <c r="N998" i="4"/>
  <c r="O998" i="4" s="1"/>
  <c r="Z2" i="4" l="1"/>
  <c r="AD946" i="4"/>
  <c r="N946" i="4" s="1"/>
  <c r="O946" i="4" s="1"/>
  <c r="AD831" i="4"/>
  <c r="N831" i="4" s="1"/>
  <c r="O831" i="4" s="1"/>
  <c r="AD491" i="4"/>
  <c r="N491" i="4" s="1"/>
  <c r="O491" i="4" s="1"/>
  <c r="AD244" i="4"/>
  <c r="N244" i="4"/>
  <c r="O244" i="4" s="1"/>
  <c r="AD240" i="4"/>
  <c r="N240" i="4" s="1"/>
  <c r="O240" i="4" s="1"/>
  <c r="AD124" i="4"/>
  <c r="N124" i="4" s="1"/>
  <c r="O124" i="4" s="1"/>
  <c r="AD21" i="4"/>
  <c r="N21" i="4" s="1"/>
  <c r="O21" i="4" s="1"/>
  <c r="AD38" i="4"/>
  <c r="N38" i="4"/>
  <c r="O38" i="4" s="1"/>
  <c r="AD134" i="4"/>
  <c r="N134" i="4" s="1"/>
  <c r="O134" i="4" s="1"/>
  <c r="AD88" i="4"/>
  <c r="N88" i="4" s="1"/>
  <c r="O88" i="4" s="1"/>
  <c r="AD43" i="4"/>
  <c r="N43" i="4" s="1"/>
  <c r="O43" i="4" s="1"/>
  <c r="AD970" i="4"/>
  <c r="N970" i="4" s="1"/>
  <c r="O970" i="4" s="1"/>
  <c r="AD942" i="4"/>
  <c r="N942" i="4" s="1"/>
  <c r="O942" i="4" s="1"/>
  <c r="AD902" i="4"/>
  <c r="N902" i="4" s="1"/>
  <c r="O902" i="4" s="1"/>
  <c r="AD770" i="4"/>
  <c r="N770" i="4" s="1"/>
  <c r="O770" i="4" s="1"/>
  <c r="AD809" i="4"/>
  <c r="N809" i="4"/>
  <c r="O809" i="4" s="1"/>
  <c r="AD626" i="4"/>
  <c r="N626" i="4" s="1"/>
  <c r="O626" i="4" s="1"/>
  <c r="AD594" i="4"/>
  <c r="N594" i="4" s="1"/>
  <c r="O594" i="4" s="1"/>
  <c r="AD777" i="4"/>
  <c r="N777" i="4" s="1"/>
  <c r="O777" i="4" s="1"/>
  <c r="AD542" i="4"/>
  <c r="N542" i="4" s="1"/>
  <c r="O542" i="4" s="1"/>
  <c r="AD590" i="4"/>
  <c r="N590" i="4" s="1"/>
  <c r="O590" i="4" s="1"/>
  <c r="AD564" i="4"/>
  <c r="N564" i="4" s="1"/>
  <c r="O564" i="4" s="1"/>
  <c r="AD622" i="4"/>
  <c r="N622" i="4" s="1"/>
  <c r="O622" i="4" s="1"/>
  <c r="AD391" i="4"/>
  <c r="N391" i="4"/>
  <c r="O391" i="4" s="1"/>
  <c r="AD327" i="4"/>
  <c r="N327" i="4" s="1"/>
  <c r="O327" i="4" s="1"/>
  <c r="AD411" i="4"/>
  <c r="N411" i="4" s="1"/>
  <c r="O411" i="4" s="1"/>
  <c r="AD482" i="4"/>
  <c r="N482" i="4" s="1"/>
  <c r="O482" i="4" s="1"/>
  <c r="AD527" i="4"/>
  <c r="N527" i="4" s="1"/>
  <c r="O527" i="4" s="1"/>
  <c r="AD427" i="4"/>
  <c r="N427" i="4" s="1"/>
  <c r="O427" i="4" s="1"/>
  <c r="AD350" i="4"/>
  <c r="N350" i="4" s="1"/>
  <c r="O350" i="4" s="1"/>
  <c r="AD320" i="4"/>
  <c r="N320" i="4" s="1"/>
  <c r="O320" i="4" s="1"/>
  <c r="AD284" i="4"/>
  <c r="N284" i="4" s="1"/>
  <c r="O284" i="4" s="1"/>
  <c r="AD143" i="4"/>
  <c r="N143" i="4" s="1"/>
  <c r="O143" i="4" s="1"/>
  <c r="AD120" i="4"/>
  <c r="N120" i="4" s="1"/>
  <c r="O120" i="4" s="1"/>
  <c r="AD236" i="4"/>
  <c r="N236" i="4" s="1"/>
  <c r="O236" i="4" s="1"/>
  <c r="AD296" i="4"/>
  <c r="N296" i="4" s="1"/>
  <c r="O296" i="4" s="1"/>
  <c r="AD177" i="4"/>
  <c r="N177" i="4" s="1"/>
  <c r="O177" i="4" s="1"/>
  <c r="AD978" i="4"/>
  <c r="N978" i="4" s="1"/>
  <c r="O978" i="4" s="1"/>
  <c r="AD772" i="4"/>
  <c r="N772" i="4" s="1"/>
  <c r="O772" i="4" s="1"/>
  <c r="AD810" i="4"/>
  <c r="N810" i="4" s="1"/>
  <c r="O810" i="4" s="1"/>
  <c r="AD701" i="4"/>
  <c r="N701" i="4" s="1"/>
  <c r="O701" i="4" s="1"/>
  <c r="AD742" i="4"/>
  <c r="N742" i="4" s="1"/>
  <c r="O742" i="4" s="1"/>
  <c r="AD686" i="4"/>
  <c r="N686" i="4" s="1"/>
  <c r="O686" i="4" s="1"/>
  <c r="AD771" i="4"/>
  <c r="N771" i="4" s="1"/>
  <c r="O771" i="4" s="1"/>
  <c r="AD793" i="4"/>
  <c r="N793" i="4" s="1"/>
  <c r="O793" i="4" s="1"/>
  <c r="AD610" i="4"/>
  <c r="N610" i="4" s="1"/>
  <c r="O610" i="4" s="1"/>
  <c r="AD630" i="4"/>
  <c r="N630" i="4" s="1"/>
  <c r="O630" i="4" s="1"/>
  <c r="AD574" i="4"/>
  <c r="N574" i="4" s="1"/>
  <c r="O574" i="4" s="1"/>
  <c r="AD963" i="4"/>
  <c r="N963" i="4" s="1"/>
  <c r="O963" i="4" s="1"/>
  <c r="AD939" i="4"/>
  <c r="N939" i="4" s="1"/>
  <c r="O939" i="4" s="1"/>
  <c r="AD962" i="4"/>
  <c r="N962" i="4" s="1"/>
  <c r="O962" i="4" s="1"/>
  <c r="AD983" i="4"/>
  <c r="N983" i="4" s="1"/>
  <c r="O983" i="4" s="1"/>
  <c r="AD967" i="4"/>
  <c r="N967" i="4" s="1"/>
  <c r="O967" i="4" s="1"/>
  <c r="AD951" i="4"/>
  <c r="N951" i="4" s="1"/>
  <c r="O951" i="4" s="1"/>
  <c r="AD982" i="4"/>
  <c r="N982" i="4" s="1"/>
  <c r="O982" i="4" s="1"/>
  <c r="AD914" i="4"/>
  <c r="N914" i="4" s="1"/>
  <c r="O914" i="4" s="1"/>
  <c r="AD864" i="4"/>
  <c r="N864" i="4" s="1"/>
  <c r="O864" i="4" s="1"/>
  <c r="AD846" i="4"/>
  <c r="N846" i="4" s="1"/>
  <c r="O846" i="4" s="1"/>
  <c r="AD768" i="4"/>
  <c r="N768" i="4" s="1"/>
  <c r="O768" i="4" s="1"/>
  <c r="AD781" i="4"/>
  <c r="N781" i="4" s="1"/>
  <c r="O781" i="4" s="1"/>
  <c r="AD826" i="4"/>
  <c r="N826" i="4" s="1"/>
  <c r="O826" i="4" s="1"/>
  <c r="AD697" i="4"/>
  <c r="N697" i="4" s="1"/>
  <c r="O697" i="4" s="1"/>
  <c r="AD678" i="4"/>
  <c r="N678" i="4" s="1"/>
  <c r="O678" i="4" s="1"/>
  <c r="AD726" i="4"/>
  <c r="N726" i="4" s="1"/>
  <c r="O726" i="4" s="1"/>
  <c r="AD730" i="4"/>
  <c r="N730" i="4" s="1"/>
  <c r="O730" i="4" s="1"/>
  <c r="AD666" i="4"/>
  <c r="N666" i="4" s="1"/>
  <c r="O666" i="4" s="1"/>
  <c r="AD613" i="4"/>
  <c r="N613" i="4" s="1"/>
  <c r="O613" i="4" s="1"/>
  <c r="AD598" i="4"/>
  <c r="N598" i="4" s="1"/>
  <c r="O598" i="4" s="1"/>
  <c r="AD621" i="4"/>
  <c r="N621" i="4" s="1"/>
  <c r="O621" i="4" s="1"/>
  <c r="AD515" i="4"/>
  <c r="N515" i="4" s="1"/>
  <c r="O515" i="4" s="1"/>
  <c r="AD483" i="4"/>
  <c r="N483" i="4" s="1"/>
  <c r="O483" i="4" s="1"/>
  <c r="AD451" i="4"/>
  <c r="N451" i="4" s="1"/>
  <c r="O451" i="4" s="1"/>
  <c r="AD367" i="4"/>
  <c r="N367" i="4" s="1"/>
  <c r="O367" i="4" s="1"/>
  <c r="AD303" i="4"/>
  <c r="N303" i="4" s="1"/>
  <c r="O303" i="4" s="1"/>
  <c r="N520" i="4"/>
  <c r="O520" i="4" s="1"/>
  <c r="AD520" i="4"/>
  <c r="AD390" i="4"/>
  <c r="N390" i="4" s="1"/>
  <c r="O390" i="4" s="1"/>
  <c r="AD322" i="4"/>
  <c r="N322" i="4" s="1"/>
  <c r="O322" i="4" s="1"/>
  <c r="AD358" i="4"/>
  <c r="N358" i="4" s="1"/>
  <c r="O358" i="4" s="1"/>
  <c r="AD260" i="4"/>
  <c r="N260" i="4" s="1"/>
  <c r="O260" i="4" s="1"/>
  <c r="AD442" i="4"/>
  <c r="N442" i="4" s="1"/>
  <c r="O442" i="4" s="1"/>
  <c r="AD288" i="4"/>
  <c r="N288" i="4" s="1"/>
  <c r="O288" i="4" s="1"/>
  <c r="AD256" i="4"/>
  <c r="N256" i="4" s="1"/>
  <c r="O256" i="4" s="1"/>
  <c r="AD272" i="4"/>
  <c r="N272" i="4" s="1"/>
  <c r="O272" i="4" s="1"/>
  <c r="AD226" i="4"/>
  <c r="N226" i="4" s="1"/>
  <c r="O226" i="4" s="1"/>
  <c r="AD274" i="4"/>
  <c r="N274" i="4" s="1"/>
  <c r="O274" i="4" s="1"/>
  <c r="AD200" i="4"/>
  <c r="N200" i="4" s="1"/>
  <c r="O200" i="4" s="1"/>
  <c r="AD116" i="4"/>
  <c r="N116" i="4" s="1"/>
  <c r="O116" i="4" s="1"/>
  <c r="AD84" i="4"/>
  <c r="N84" i="4" s="1"/>
  <c r="O84" i="4" s="1"/>
  <c r="AD86" i="4"/>
  <c r="N86" i="4" s="1"/>
  <c r="O86" i="4" s="1"/>
  <c r="AD80" i="4"/>
  <c r="N80" i="4" s="1"/>
  <c r="O80" i="4" s="1"/>
  <c r="AD170" i="4"/>
  <c r="N170" i="4" s="1"/>
  <c r="O170" i="4" s="1"/>
  <c r="AD30" i="4"/>
  <c r="N30" i="4"/>
  <c r="O30" i="4" s="1"/>
  <c r="AD82" i="4"/>
  <c r="N82" i="4" s="1"/>
  <c r="O82" i="4" s="1"/>
  <c r="AD3" i="4"/>
  <c r="N3" i="4" s="1"/>
  <c r="O3" i="4" s="1"/>
  <c r="AD196" i="4"/>
  <c r="N196" i="4" s="1"/>
  <c r="O196" i="4" s="1"/>
  <c r="AD168" i="4"/>
  <c r="N168" i="4" s="1"/>
  <c r="O168" i="4" s="1"/>
  <c r="AD138" i="4"/>
  <c r="N138" i="4" s="1"/>
  <c r="O138" i="4" s="1"/>
  <c r="AD106" i="4"/>
  <c r="N106" i="4" s="1"/>
  <c r="O106" i="4" s="1"/>
  <c r="AD34" i="4"/>
  <c r="N34" i="4" s="1"/>
  <c r="O34" i="4" s="1"/>
  <c r="AD971" i="4"/>
  <c r="N971" i="4" s="1"/>
  <c r="O971" i="4" s="1"/>
  <c r="AD913" i="4"/>
  <c r="N913" i="4" s="1"/>
  <c r="O913" i="4" s="1"/>
  <c r="AD805" i="4"/>
  <c r="N805" i="4" s="1"/>
  <c r="O805" i="4" s="1"/>
  <c r="AD766" i="4"/>
  <c r="N766" i="4" s="1"/>
  <c r="O766" i="4" s="1"/>
  <c r="AD677" i="4"/>
  <c r="N677" i="4" s="1"/>
  <c r="O677" i="4" s="1"/>
  <c r="AD645" i="4"/>
  <c r="N645" i="4" s="1"/>
  <c r="O645" i="4" s="1"/>
  <c r="AD581" i="4"/>
  <c r="N581" i="4" s="1"/>
  <c r="O581" i="4" s="1"/>
  <c r="AD459" i="4"/>
  <c r="N459" i="4" s="1"/>
  <c r="O459" i="4" s="1"/>
  <c r="AD264" i="4"/>
  <c r="N264" i="4" s="1"/>
  <c r="O264" i="4" s="1"/>
  <c r="AD6" i="4"/>
  <c r="N6" i="4" s="1"/>
  <c r="O6" i="4" s="1"/>
  <c r="AD27" i="4"/>
  <c r="N27" i="4" s="1"/>
  <c r="O27" i="4" s="1"/>
  <c r="AD42" i="4"/>
  <c r="N42" i="4" s="1"/>
  <c r="O42" i="4" s="1"/>
  <c r="AD917" i="4"/>
  <c r="N917" i="4" s="1"/>
  <c r="O917" i="4" s="1"/>
  <c r="AD867" i="4"/>
  <c r="N867" i="4" s="1"/>
  <c r="O867" i="4" s="1"/>
  <c r="AD851" i="4"/>
  <c r="N851" i="4" s="1"/>
  <c r="O851" i="4" s="1"/>
  <c r="AD778" i="4"/>
  <c r="N778" i="4" s="1"/>
  <c r="O778" i="4" s="1"/>
  <c r="AD863" i="4"/>
  <c r="N863" i="4" s="1"/>
  <c r="O863" i="4" s="1"/>
  <c r="AD997" i="4"/>
  <c r="N997" i="4" s="1"/>
  <c r="O997" i="4" s="1"/>
  <c r="AD954" i="4"/>
  <c r="N954" i="4" s="1"/>
  <c r="O954" i="4" s="1"/>
  <c r="AD958" i="4"/>
  <c r="N958" i="4" s="1"/>
  <c r="O958" i="4" s="1"/>
  <c r="AD890" i="4"/>
  <c r="N890" i="4" s="1"/>
  <c r="O890" i="4" s="1"/>
  <c r="AD938" i="4"/>
  <c r="N938" i="4" s="1"/>
  <c r="O938" i="4" s="1"/>
  <c r="AD891" i="4"/>
  <c r="N891" i="4" s="1"/>
  <c r="O891" i="4" s="1"/>
  <c r="AD901" i="4"/>
  <c r="N901" i="4" s="1"/>
  <c r="O901" i="4" s="1"/>
  <c r="AD883" i="4"/>
  <c r="N883" i="4" s="1"/>
  <c r="O883" i="4" s="1"/>
  <c r="AD802" i="4"/>
  <c r="N802" i="4" s="1"/>
  <c r="O802" i="4" s="1"/>
  <c r="AD764" i="4"/>
  <c r="N764" i="4" s="1"/>
  <c r="O764" i="4" s="1"/>
  <c r="AD758" i="4"/>
  <c r="N758" i="4" s="1"/>
  <c r="O758" i="4" s="1"/>
  <c r="AD670" i="4"/>
  <c r="N670" i="4" s="1"/>
  <c r="O670" i="4" s="1"/>
  <c r="AD839" i="4"/>
  <c r="N839" i="4" s="1"/>
  <c r="O839" i="4" s="1"/>
  <c r="AD750" i="4"/>
  <c r="N750" i="4" s="1"/>
  <c r="O750" i="4" s="1"/>
  <c r="AD642" i="4"/>
  <c r="N642" i="4" s="1"/>
  <c r="O642" i="4" s="1"/>
  <c r="AD918" i="4"/>
  <c r="N918" i="4" s="1"/>
  <c r="O918" i="4" s="1"/>
  <c r="AD734" i="4"/>
  <c r="N734" i="4" s="1"/>
  <c r="O734" i="4" s="1"/>
  <c r="AD653" i="4"/>
  <c r="N653" i="4" s="1"/>
  <c r="O653" i="4" s="1"/>
  <c r="AD629" i="4"/>
  <c r="N629" i="4" s="1"/>
  <c r="O629" i="4" s="1"/>
  <c r="AD566" i="4"/>
  <c r="N566" i="4" s="1"/>
  <c r="O566" i="4" s="1"/>
  <c r="AD534" i="4"/>
  <c r="N534" i="4" s="1"/>
  <c r="O534" i="4" s="1"/>
  <c r="AD588" i="4"/>
  <c r="N588" i="4" s="1"/>
  <c r="O588" i="4" s="1"/>
  <c r="AD556" i="4"/>
  <c r="N556" i="4" s="1"/>
  <c r="O556" i="4" s="1"/>
  <c r="AD533" i="4"/>
  <c r="N533" i="4" s="1"/>
  <c r="O533" i="4" s="1"/>
  <c r="AD480" i="4"/>
  <c r="N480" i="4" s="1"/>
  <c r="O480" i="4" s="1"/>
  <c r="AD573" i="4"/>
  <c r="N573" i="4" s="1"/>
  <c r="O573" i="4" s="1"/>
  <c r="AD343" i="4"/>
  <c r="N343" i="4" s="1"/>
  <c r="O343" i="4" s="1"/>
  <c r="AD426" i="4"/>
  <c r="N426" i="4" s="1"/>
  <c r="O426" i="4" s="1"/>
  <c r="AD374" i="4"/>
  <c r="N374" i="4" s="1"/>
  <c r="O374" i="4" s="1"/>
  <c r="AD384" i="4"/>
  <c r="N384" i="4" s="1"/>
  <c r="O384" i="4" s="1"/>
  <c r="AD297" i="4"/>
  <c r="N297" i="4" s="1"/>
  <c r="O297" i="4" s="1"/>
  <c r="AD295" i="4"/>
  <c r="N295" i="4" s="1"/>
  <c r="O295" i="4" s="1"/>
  <c r="AD382" i="4"/>
  <c r="N382" i="4" s="1"/>
  <c r="O382" i="4" s="1"/>
  <c r="AD392" i="4"/>
  <c r="N392" i="4" s="1"/>
  <c r="O392" i="4" s="1"/>
  <c r="AD334" i="4"/>
  <c r="N334" i="4" s="1"/>
  <c r="O334" i="4" s="1"/>
  <c r="AD314" i="4"/>
  <c r="N314" i="4" s="1"/>
  <c r="O314" i="4" s="1"/>
  <c r="AD160" i="4"/>
  <c r="N160" i="4" s="1"/>
  <c r="O160" i="4" s="1"/>
  <c r="AD234" i="4"/>
  <c r="N234" i="4" s="1"/>
  <c r="O234" i="4" s="1"/>
  <c r="AD76" i="4"/>
  <c r="N76" i="4" s="1"/>
  <c r="O76" i="4" s="1"/>
  <c r="AD63" i="4"/>
  <c r="N63" i="4" s="1"/>
  <c r="O63" i="4" s="1"/>
  <c r="AD110" i="4"/>
  <c r="N110" i="4" s="1"/>
  <c r="O110" i="4" s="1"/>
  <c r="AD128" i="4"/>
  <c r="N128" i="4" s="1"/>
  <c r="O128" i="4" s="1"/>
  <c r="AD145" i="4"/>
  <c r="N145" i="4" s="1"/>
  <c r="O145" i="4" s="1"/>
  <c r="AD947" i="4"/>
  <c r="N947" i="4" s="1"/>
  <c r="O947" i="4" s="1"/>
  <c r="AD881" i="4"/>
  <c r="N881" i="4" s="1"/>
  <c r="O881" i="4" s="1"/>
  <c r="AD870" i="4"/>
  <c r="N870" i="4" s="1"/>
  <c r="O870" i="4" s="1"/>
  <c r="AD821" i="4"/>
  <c r="N821" i="4" s="1"/>
  <c r="O821" i="4" s="1"/>
  <c r="AD662" i="4"/>
  <c r="N662" i="4" s="1"/>
  <c r="O662" i="4" s="1"/>
  <c r="AD5" i="4"/>
  <c r="N5" i="4" s="1"/>
  <c r="O5" i="4" s="1"/>
  <c r="AD136" i="4"/>
  <c r="N136" i="4" s="1"/>
  <c r="O136" i="4" s="1"/>
  <c r="AD813" i="4"/>
  <c r="N813" i="4" s="1"/>
  <c r="O813" i="4" s="1"/>
  <c r="AD682" i="4"/>
  <c r="N682" i="4" s="1"/>
  <c r="O682" i="4" s="1"/>
  <c r="AD714" i="4"/>
  <c r="N714" i="4" s="1"/>
  <c r="O714" i="4" s="1"/>
  <c r="AD614" i="4"/>
  <c r="N614" i="4" s="1"/>
  <c r="O614" i="4" s="1"/>
  <c r="AD685" i="4"/>
  <c r="N685" i="4" s="1"/>
  <c r="O685" i="4" s="1"/>
  <c r="AD669" i="4"/>
  <c r="N669" i="4" s="1"/>
  <c r="O669" i="4" s="1"/>
  <c r="AD541" i="4"/>
  <c r="N541" i="4" s="1"/>
  <c r="O541" i="4" s="1"/>
  <c r="AD507" i="4"/>
  <c r="N507" i="4" s="1"/>
  <c r="O507" i="4" s="1"/>
  <c r="AD475" i="4"/>
  <c r="N475" i="4" s="1"/>
  <c r="O475" i="4" s="1"/>
  <c r="AD443" i="4"/>
  <c r="N443" i="4" s="1"/>
  <c r="O443" i="4" s="1"/>
  <c r="AD517" i="4"/>
  <c r="N517" i="4" s="1"/>
  <c r="O517" i="4" s="1"/>
  <c r="AD496" i="4"/>
  <c r="N496" i="4" s="1"/>
  <c r="O496" i="4" s="1"/>
  <c r="AD506" i="4"/>
  <c r="N506" i="4" s="1"/>
  <c r="O506" i="4" s="1"/>
  <c r="AD514" i="4"/>
  <c r="N514" i="4" s="1"/>
  <c r="O514" i="4" s="1"/>
  <c r="AD383" i="4"/>
  <c r="N383" i="4" s="1"/>
  <c r="O383" i="4" s="1"/>
  <c r="AD319" i="4"/>
  <c r="N319" i="4" s="1"/>
  <c r="O319" i="4" s="1"/>
  <c r="AD298" i="4"/>
  <c r="N298" i="4" s="1"/>
  <c r="O298" i="4" s="1"/>
  <c r="AD400" i="4"/>
  <c r="N400" i="4" s="1"/>
  <c r="O400" i="4" s="1"/>
  <c r="AD360" i="4"/>
  <c r="N360" i="4" s="1"/>
  <c r="O360" i="4" s="1"/>
  <c r="AD287" i="4"/>
  <c r="N287" i="4" s="1"/>
  <c r="O287" i="4" s="1"/>
  <c r="AD407" i="4"/>
  <c r="N407" i="4" s="1"/>
  <c r="O407" i="4" s="1"/>
  <c r="AD342" i="4"/>
  <c r="N342" i="4" s="1"/>
  <c r="O342" i="4" s="1"/>
  <c r="AD352" i="4"/>
  <c r="N352" i="4" s="1"/>
  <c r="O352" i="4" s="1"/>
  <c r="AD299" i="4"/>
  <c r="N299" i="4" s="1"/>
  <c r="O299" i="4" s="1"/>
  <c r="AD276" i="4"/>
  <c r="N276" i="4" s="1"/>
  <c r="O276" i="4" s="1"/>
  <c r="AD224" i="4"/>
  <c r="N224" i="4" s="1"/>
  <c r="O224" i="4" s="1"/>
  <c r="AD204" i="4"/>
  <c r="N204" i="4" s="1"/>
  <c r="O204" i="4" s="1"/>
  <c r="AD242" i="4"/>
  <c r="N242" i="4" s="1"/>
  <c r="O242" i="4" s="1"/>
  <c r="AD140" i="4"/>
  <c r="N140" i="4" s="1"/>
  <c r="O140" i="4" s="1"/>
  <c r="AD108" i="4"/>
  <c r="N108" i="4" s="1"/>
  <c r="O108" i="4" s="1"/>
  <c r="AD70" i="4"/>
  <c r="N70" i="4" s="1"/>
  <c r="O70" i="4" s="1"/>
  <c r="AD130" i="4"/>
  <c r="N130" i="4" s="1"/>
  <c r="O130" i="4" s="1"/>
  <c r="AD98" i="4"/>
  <c r="N98" i="4" s="1"/>
  <c r="O98" i="4" s="1"/>
  <c r="AD54" i="4"/>
  <c r="N54" i="4" s="1"/>
  <c r="O54" i="4" s="1"/>
  <c r="AD22" i="4"/>
  <c r="N22" i="4" s="1"/>
  <c r="O22" i="4" s="1"/>
  <c r="AD74" i="4"/>
  <c r="N74" i="4" s="1"/>
  <c r="O74" i="4" s="1"/>
  <c r="AD162" i="4"/>
  <c r="N162" i="4" s="1"/>
  <c r="O162" i="4" s="1"/>
  <c r="AD66" i="4"/>
  <c r="N66" i="4" s="1"/>
  <c r="O66" i="4" s="1"/>
  <c r="AD51" i="4"/>
  <c r="N51" i="4" s="1"/>
  <c r="O51" i="4" s="1"/>
  <c r="AD35" i="4"/>
  <c r="N35" i="4" s="1"/>
  <c r="O35" i="4" s="1"/>
  <c r="AD19" i="4"/>
  <c r="N19" i="4" s="1"/>
  <c r="O19" i="4" s="1"/>
  <c r="AD10" i="4"/>
  <c r="N10" i="4" s="1"/>
  <c r="O10" i="4" s="1"/>
  <c r="AD178" i="4"/>
  <c r="N178" i="4" s="1"/>
  <c r="O178" i="4" s="1"/>
  <c r="AD58" i="4"/>
  <c r="N58" i="4" s="1"/>
  <c r="O58" i="4" s="1"/>
  <c r="AD26" i="4"/>
  <c r="N26" i="4" s="1"/>
  <c r="O26" i="4" s="1"/>
  <c r="AD966" i="4"/>
  <c r="N966" i="4" s="1"/>
  <c r="O966" i="4" s="1"/>
  <c r="AD930" i="4"/>
  <c r="N930" i="4" s="1"/>
  <c r="O930" i="4" s="1"/>
  <c r="AD885" i="4"/>
  <c r="N885" i="4" s="1"/>
  <c r="O885" i="4" s="1"/>
  <c r="AD899" i="4"/>
  <c r="N899" i="4" s="1"/>
  <c r="O899" i="4" s="1"/>
  <c r="AD789" i="4"/>
  <c r="N789" i="4"/>
  <c r="O789" i="4" s="1"/>
  <c r="AD769" i="4"/>
  <c r="N769" i="4" s="1"/>
  <c r="O769" i="4" s="1"/>
  <c r="AD650" i="4"/>
  <c r="N650" i="4" s="1"/>
  <c r="O650" i="4" s="1"/>
  <c r="AD710" i="4"/>
  <c r="N710" i="4" s="1"/>
  <c r="O710" i="4" s="1"/>
  <c r="AD638" i="4"/>
  <c r="N638" i="4" s="1"/>
  <c r="O638" i="4" s="1"/>
  <c r="AD504" i="4"/>
  <c r="N504" i="4" s="1"/>
  <c r="O504" i="4" s="1"/>
  <c r="AD92" i="4"/>
  <c r="N92" i="4" s="1"/>
  <c r="O92" i="4" s="1"/>
  <c r="AD59" i="4"/>
  <c r="N59" i="4" s="1"/>
  <c r="O59" i="4" s="1"/>
  <c r="AD935" i="4"/>
  <c r="N935" i="4" s="1"/>
  <c r="O935" i="4" s="1"/>
  <c r="AD897" i="4"/>
  <c r="N897" i="4" s="1"/>
  <c r="O897" i="4" s="1"/>
  <c r="AD838" i="4"/>
  <c r="N838" i="4" s="1"/>
  <c r="O838" i="4" s="1"/>
  <c r="AD909" i="4"/>
  <c r="N909" i="4" s="1"/>
  <c r="O909" i="4" s="1"/>
  <c r="AD877" i="4"/>
  <c r="N877" i="4" s="1"/>
  <c r="O877" i="4" s="1"/>
  <c r="AD797" i="4"/>
  <c r="N797" i="4" s="1"/>
  <c r="O797" i="4" s="1"/>
  <c r="AD801" i="4"/>
  <c r="N801" i="4" s="1"/>
  <c r="O801" i="4" s="1"/>
  <c r="AD756" i="4"/>
  <c r="N756" i="4" s="1"/>
  <c r="O756" i="4" s="1"/>
  <c r="AD746" i="4"/>
  <c r="N746" i="4" s="1"/>
  <c r="O746" i="4" s="1"/>
  <c r="AD618" i="4"/>
  <c r="N618" i="4" s="1"/>
  <c r="O618" i="4" s="1"/>
  <c r="AD955" i="4"/>
  <c r="N955" i="4" s="1"/>
  <c r="O955" i="4" s="1"/>
  <c r="AD974" i="4"/>
  <c r="N974" i="4" s="1"/>
  <c r="O974" i="4" s="1"/>
  <c r="AD926" i="4"/>
  <c r="N926" i="4" s="1"/>
  <c r="O926" i="4" s="1"/>
  <c r="AD906" i="4"/>
  <c r="N906" i="4" s="1"/>
  <c r="O906" i="4" s="1"/>
  <c r="AD859" i="4"/>
  <c r="N859" i="4" s="1"/>
  <c r="O859" i="4" s="1"/>
  <c r="AD843" i="4"/>
  <c r="N843" i="4" s="1"/>
  <c r="O843" i="4" s="1"/>
  <c r="AD794" i="4"/>
  <c r="N794" i="4" s="1"/>
  <c r="O794" i="4" s="1"/>
  <c r="AD915" i="4"/>
  <c r="N915" i="4" s="1"/>
  <c r="O915" i="4" s="1"/>
  <c r="AD773" i="4"/>
  <c r="N773" i="4" s="1"/>
  <c r="O773" i="4" s="1"/>
  <c r="AD785" i="4"/>
  <c r="N785" i="4" s="1"/>
  <c r="O785" i="4" s="1"/>
  <c r="AD748" i="4"/>
  <c r="N748" i="4" s="1"/>
  <c r="O748" i="4" s="1"/>
  <c r="AD725" i="4"/>
  <c r="N725" i="4" s="1"/>
  <c r="O725" i="4" s="1"/>
  <c r="AD855" i="4"/>
  <c r="N855" i="4" s="1"/>
  <c r="O855" i="4" s="1"/>
  <c r="AD704" i="4"/>
  <c r="N704" i="4" s="1"/>
  <c r="O704" i="4" s="1"/>
  <c r="AD658" i="4"/>
  <c r="N658" i="4" s="1"/>
  <c r="O658" i="4" s="1"/>
  <c r="AD817" i="4"/>
  <c r="N817" i="4" s="1"/>
  <c r="O817" i="4" s="1"/>
  <c r="AD558" i="4"/>
  <c r="N558" i="4" s="1"/>
  <c r="O558" i="4" s="1"/>
  <c r="AD661" i="4"/>
  <c r="N661" i="4" s="1"/>
  <c r="O661" i="4" s="1"/>
  <c r="AD580" i="4"/>
  <c r="N580" i="4" s="1"/>
  <c r="O580" i="4" s="1"/>
  <c r="AD565" i="4"/>
  <c r="N565" i="4" s="1"/>
  <c r="O565" i="4" s="1"/>
  <c r="AD654" i="4"/>
  <c r="N654" i="4" s="1"/>
  <c r="O654" i="4" s="1"/>
  <c r="AD549" i="4"/>
  <c r="N549" i="4" s="1"/>
  <c r="O549" i="4" s="1"/>
  <c r="AD512" i="4"/>
  <c r="N512" i="4" s="1"/>
  <c r="O512" i="4" s="1"/>
  <c r="AD535" i="4"/>
  <c r="N535" i="4" s="1"/>
  <c r="O535" i="4" s="1"/>
  <c r="AD525" i="4"/>
  <c r="N525" i="4" s="1"/>
  <c r="O525" i="4" s="1"/>
  <c r="AD498" i="4"/>
  <c r="N498" i="4" s="1"/>
  <c r="O498" i="4" s="1"/>
  <c r="AD474" i="4"/>
  <c r="N474" i="4" s="1"/>
  <c r="O474" i="4" s="1"/>
  <c r="AD410" i="4"/>
  <c r="N410" i="4" s="1"/>
  <c r="O410" i="4" s="1"/>
  <c r="AD359" i="4"/>
  <c r="N359" i="4" s="1"/>
  <c r="O359" i="4" s="1"/>
  <c r="AD434" i="4"/>
  <c r="N434" i="4" s="1"/>
  <c r="O434" i="4" s="1"/>
  <c r="AD418" i="4"/>
  <c r="N418" i="4" s="1"/>
  <c r="O418" i="4" s="1"/>
  <c r="AD344" i="4"/>
  <c r="N344" i="4" s="1"/>
  <c r="O344" i="4" s="1"/>
  <c r="AD312" i="4"/>
  <c r="N312" i="4" s="1"/>
  <c r="O312" i="4" s="1"/>
  <c r="AD490" i="4"/>
  <c r="N490" i="4" s="1"/>
  <c r="O490" i="4" s="1"/>
  <c r="AD279" i="4"/>
  <c r="N279" i="4" s="1"/>
  <c r="O279" i="4" s="1"/>
  <c r="AD328" i="4"/>
  <c r="N328" i="4" s="1"/>
  <c r="O328" i="4" s="1"/>
  <c r="AD252" i="4"/>
  <c r="N252" i="4" s="1"/>
  <c r="O252" i="4" s="1"/>
  <c r="AD458" i="4"/>
  <c r="N458" i="4" s="1"/>
  <c r="O458" i="4" s="1"/>
  <c r="AD144" i="4"/>
  <c r="N144" i="4"/>
  <c r="O144" i="4" s="1"/>
  <c r="AD228" i="4"/>
  <c r="N228" i="4" s="1"/>
  <c r="O228" i="4" s="1"/>
  <c r="AD280" i="4"/>
  <c r="N280" i="4" s="1"/>
  <c r="O280" i="4" s="1"/>
  <c r="AD112" i="4"/>
  <c r="N112" i="4" s="1"/>
  <c r="O112" i="4" s="1"/>
  <c r="AD53" i="4"/>
  <c r="N53" i="4" s="1"/>
  <c r="O53" i="4" s="1"/>
  <c r="AD188" i="4"/>
  <c r="N188" i="4" s="1"/>
  <c r="O188" i="4" s="1"/>
  <c r="AD126" i="4"/>
  <c r="N126" i="4" s="1"/>
  <c r="O126" i="4" s="1"/>
  <c r="AD104" i="4"/>
  <c r="N104" i="4" s="1"/>
  <c r="O104" i="4" s="1"/>
  <c r="AD898" i="4"/>
  <c r="N898" i="4" s="1"/>
  <c r="O898" i="4" s="1"/>
  <c r="AD526" i="4"/>
  <c r="N526" i="4" s="1"/>
  <c r="O526" i="4" s="1"/>
  <c r="AD192" i="4"/>
  <c r="N192" i="4" s="1"/>
  <c r="O192" i="4" s="1"/>
  <c r="AD114" i="4"/>
  <c r="N114" i="4" s="1"/>
  <c r="O114" i="4" s="1"/>
  <c r="AD1000" i="4"/>
  <c r="N1000" i="4" s="1"/>
  <c r="O1000" i="4" s="1"/>
  <c r="AD988" i="4"/>
  <c r="N988" i="4" s="1"/>
  <c r="O988" i="4" s="1"/>
  <c r="AD991" i="4"/>
  <c r="N991" i="4" s="1"/>
  <c r="O991" i="4" s="1"/>
  <c r="AD979" i="4"/>
  <c r="N979" i="4" s="1"/>
  <c r="O979" i="4" s="1"/>
  <c r="AD989" i="4"/>
  <c r="N989" i="4" s="1"/>
  <c r="O989" i="4" s="1"/>
  <c r="AD975" i="4"/>
  <c r="N975" i="4" s="1"/>
  <c r="O975" i="4" s="1"/>
  <c r="AD959" i="4"/>
  <c r="N959" i="4" s="1"/>
  <c r="O959" i="4" s="1"/>
  <c r="AD950" i="4"/>
  <c r="N950" i="4" s="1"/>
  <c r="O950" i="4" s="1"/>
  <c r="AD907" i="4"/>
  <c r="N907" i="4"/>
  <c r="O907" i="4" s="1"/>
  <c r="AD847" i="4"/>
  <c r="N847" i="4" s="1"/>
  <c r="O847" i="4" s="1"/>
  <c r="AD702" i="4"/>
  <c r="N702" i="4" s="1"/>
  <c r="O702" i="4" s="1"/>
  <c r="AD634" i="4"/>
  <c r="N634" i="4" s="1"/>
  <c r="O634" i="4" s="1"/>
  <c r="AD605" i="4"/>
  <c r="N605" i="4" s="1"/>
  <c r="O605" i="4" s="1"/>
  <c r="AD548" i="4"/>
  <c r="N548" i="4" s="1"/>
  <c r="O548" i="4" s="1"/>
  <c r="AD637" i="4"/>
  <c r="N637" i="4" s="1"/>
  <c r="O637" i="4" s="1"/>
  <c r="AD646" i="4"/>
  <c r="N646" i="4" s="1"/>
  <c r="O646" i="4" s="1"/>
  <c r="AD557" i="4"/>
  <c r="N557" i="4" s="1"/>
  <c r="O557" i="4" s="1"/>
  <c r="AD499" i="4"/>
  <c r="N499" i="4" s="1"/>
  <c r="O499" i="4" s="1"/>
  <c r="AD467" i="4"/>
  <c r="N467" i="4" s="1"/>
  <c r="O467" i="4" s="1"/>
  <c r="AD435" i="4"/>
  <c r="N435" i="4" s="1"/>
  <c r="O435" i="4" s="1"/>
  <c r="AD335" i="4"/>
  <c r="N335" i="4" s="1"/>
  <c r="O335" i="4" s="1"/>
  <c r="AD419" i="4"/>
  <c r="N419" i="4" s="1"/>
  <c r="O419" i="4" s="1"/>
  <c r="AD519" i="4"/>
  <c r="N519" i="4" s="1"/>
  <c r="O519" i="4" s="1"/>
  <c r="AD290" i="4"/>
  <c r="N290" i="4" s="1"/>
  <c r="O290" i="4" s="1"/>
  <c r="AD366" i="4"/>
  <c r="N366" i="4" s="1"/>
  <c r="O366" i="4" s="1"/>
  <c r="AD336" i="4"/>
  <c r="N336" i="4" s="1"/>
  <c r="O336" i="4" s="1"/>
  <c r="AD271" i="4"/>
  <c r="N271" i="4" s="1"/>
  <c r="O271" i="4" s="1"/>
  <c r="AD376" i="4"/>
  <c r="N376" i="4" s="1"/>
  <c r="O376" i="4" s="1"/>
  <c r="AD402" i="4"/>
  <c r="N402" i="4" s="1"/>
  <c r="O402" i="4" s="1"/>
  <c r="AD398" i="4"/>
  <c r="N398" i="4" s="1"/>
  <c r="O398" i="4" s="1"/>
  <c r="AD368" i="4"/>
  <c r="N368" i="4" s="1"/>
  <c r="O368" i="4" s="1"/>
  <c r="AD212" i="4"/>
  <c r="N212" i="4" s="1"/>
  <c r="O212" i="4" s="1"/>
  <c r="AD258" i="4"/>
  <c r="N258" i="4" s="1"/>
  <c r="O258" i="4" s="1"/>
  <c r="AD208" i="4"/>
  <c r="N208" i="4" s="1"/>
  <c r="O208" i="4" s="1"/>
  <c r="AD220" i="4"/>
  <c r="N220" i="4" s="1"/>
  <c r="O220" i="4" s="1"/>
  <c r="AD248" i="4"/>
  <c r="N248" i="4" s="1"/>
  <c r="O248" i="4" s="1"/>
  <c r="AD184" i="4"/>
  <c r="N184" i="4" s="1"/>
  <c r="O184" i="4" s="1"/>
  <c r="AD132" i="4"/>
  <c r="N132" i="4" s="1"/>
  <c r="O132" i="4" s="1"/>
  <c r="AD100" i="4"/>
  <c r="N100" i="4" s="1"/>
  <c r="O100" i="4" s="1"/>
  <c r="AD37" i="4"/>
  <c r="N37" i="4" s="1"/>
  <c r="O37" i="4" s="1"/>
  <c r="AD152" i="4"/>
  <c r="N152" i="4" s="1"/>
  <c r="O152" i="4" s="1"/>
  <c r="AD46" i="4"/>
  <c r="N46" i="4" s="1"/>
  <c r="O46" i="4" s="1"/>
  <c r="AD14" i="4"/>
  <c r="N14" i="4" s="1"/>
  <c r="O14" i="4" s="1"/>
  <c r="AD45" i="4"/>
  <c r="N45" i="4" s="1"/>
  <c r="O45" i="4" s="1"/>
  <c r="AD102" i="4"/>
  <c r="N102" i="4" s="1"/>
  <c r="O102" i="4" s="1"/>
  <c r="AD2" i="4"/>
  <c r="N2" i="4" s="1"/>
  <c r="O2" i="4" s="1"/>
  <c r="P2" i="4" s="1"/>
  <c r="AD191" i="4"/>
  <c r="N191" i="4" s="1"/>
  <c r="O191" i="4" s="1"/>
  <c r="AD154" i="4"/>
  <c r="N154" i="4" s="1"/>
  <c r="O154" i="4" s="1"/>
  <c r="AD122" i="4"/>
  <c r="N122" i="4" s="1"/>
  <c r="O122" i="4" s="1"/>
  <c r="AD90" i="4"/>
  <c r="N90" i="4" s="1"/>
  <c r="O90" i="4" s="1"/>
  <c r="AD50" i="4"/>
  <c r="N50" i="4" s="1"/>
  <c r="O50" i="4" s="1"/>
  <c r="AD18" i="4"/>
  <c r="N18" i="4" s="1"/>
  <c r="O18" i="4" s="1"/>
  <c r="AD351" i="4"/>
  <c r="N351" i="4" s="1"/>
  <c r="O351" i="4" s="1"/>
  <c r="AD266" i="4"/>
  <c r="N266" i="4" s="1"/>
  <c r="O266" i="4" s="1"/>
  <c r="AD216" i="4"/>
  <c r="N216" i="4" s="1"/>
  <c r="O216" i="4" s="1"/>
  <c r="AD943" i="4"/>
  <c r="N943" i="4" s="1"/>
  <c r="O943" i="4" s="1"/>
  <c r="AD922" i="4"/>
  <c r="N922" i="4" s="1"/>
  <c r="O922" i="4" s="1"/>
  <c r="AD882" i="4"/>
  <c r="N882" i="4" s="1"/>
  <c r="O882" i="4" s="1"/>
  <c r="AD779" i="4"/>
  <c r="N779" i="4" s="1"/>
  <c r="O779" i="4" s="1"/>
  <c r="AD825" i="4"/>
  <c r="N825" i="4" s="1"/>
  <c r="O825" i="4" s="1"/>
  <c r="AD722" i="4"/>
  <c r="N722" i="4" s="1"/>
  <c r="O722" i="4" s="1"/>
  <c r="AD602" i="4"/>
  <c r="N602" i="4" s="1"/>
  <c r="O602" i="4" s="1"/>
  <c r="AD854" i="4"/>
  <c r="N854" i="4" s="1"/>
  <c r="O854" i="4" s="1"/>
  <c r="AD835" i="4"/>
  <c r="N835" i="4" s="1"/>
  <c r="O835" i="4" s="1"/>
  <c r="AD818" i="4"/>
  <c r="N818" i="4" s="1"/>
  <c r="O818" i="4" s="1"/>
  <c r="AD786" i="4"/>
  <c r="N786" i="4" s="1"/>
  <c r="O786" i="4" s="1"/>
  <c r="AD893" i="4"/>
  <c r="N893" i="4" s="1"/>
  <c r="O893" i="4" s="1"/>
  <c r="AD822" i="4"/>
  <c r="N822" i="4" s="1"/>
  <c r="O822" i="4" s="1"/>
  <c r="AD762" i="4"/>
  <c r="N762" i="4" s="1"/>
  <c r="O762" i="4" s="1"/>
  <c r="AD718" i="4"/>
  <c r="N718" i="4" s="1"/>
  <c r="O718" i="4" s="1"/>
  <c r="AD765" i="4"/>
  <c r="N765" i="4" s="1"/>
  <c r="O765" i="4" s="1"/>
  <c r="AD696" i="4"/>
  <c r="N696" i="4" s="1"/>
  <c r="O696" i="4" s="1"/>
  <c r="AD754" i="4"/>
  <c r="N754" i="4" s="1"/>
  <c r="O754" i="4" s="1"/>
  <c r="AD674" i="4"/>
  <c r="N674" i="4" s="1"/>
  <c r="O674" i="4" s="1"/>
  <c r="AD606" i="4"/>
  <c r="N606" i="4" s="1"/>
  <c r="O606" i="4" s="1"/>
  <c r="AD582" i="4"/>
  <c r="N582" i="4" s="1"/>
  <c r="O582" i="4" s="1"/>
  <c r="AD550" i="4"/>
  <c r="N550" i="4" s="1"/>
  <c r="O550" i="4" s="1"/>
  <c r="N592" i="4"/>
  <c r="O592" i="4" s="1"/>
  <c r="AD592" i="4"/>
  <c r="AD572" i="4"/>
  <c r="N572" i="4" s="1"/>
  <c r="O572" i="4" s="1"/>
  <c r="AD738" i="4"/>
  <c r="N738" i="4" s="1"/>
  <c r="O738" i="4" s="1"/>
  <c r="AD597" i="4"/>
  <c r="N597" i="4" s="1"/>
  <c r="O597" i="4" s="1"/>
  <c r="AD528" i="4"/>
  <c r="N528" i="4" s="1"/>
  <c r="O528" i="4" s="1"/>
  <c r="AD488" i="4"/>
  <c r="N488" i="4" s="1"/>
  <c r="O488" i="4" s="1"/>
  <c r="AD450" i="4"/>
  <c r="N450" i="4" s="1"/>
  <c r="O450" i="4" s="1"/>
  <c r="AD466" i="4"/>
  <c r="N466" i="4" s="1"/>
  <c r="O466" i="4" s="1"/>
  <c r="AD403" i="4"/>
  <c r="N403" i="4" s="1"/>
  <c r="O403" i="4" s="1"/>
  <c r="AD399" i="4"/>
  <c r="N399" i="4" s="1"/>
  <c r="O399" i="4" s="1"/>
  <c r="AD375" i="4"/>
  <c r="N375" i="4" s="1"/>
  <c r="O375" i="4" s="1"/>
  <c r="AD311" i="4"/>
  <c r="N311" i="4" s="1"/>
  <c r="O311" i="4" s="1"/>
  <c r="AD306" i="4"/>
  <c r="N306" i="4" s="1"/>
  <c r="O306" i="4" s="1"/>
  <c r="AD304" i="4"/>
  <c r="N304" i="4" s="1"/>
  <c r="O304" i="4" s="1"/>
  <c r="AD268" i="4"/>
  <c r="N268" i="4" s="1"/>
  <c r="O268" i="4" s="1"/>
  <c r="AD282" i="4"/>
  <c r="N282" i="4" s="1"/>
  <c r="O282" i="4" s="1"/>
  <c r="AD250" i="4"/>
  <c r="N250" i="4" s="1"/>
  <c r="O250" i="4" s="1"/>
  <c r="AD176" i="4"/>
  <c r="N176" i="4" s="1"/>
  <c r="O176" i="4" s="1"/>
  <c r="AD232" i="4"/>
  <c r="N232" i="4" s="1"/>
  <c r="O232" i="4" s="1"/>
  <c r="AD161" i="4"/>
  <c r="N161" i="4" s="1"/>
  <c r="O161" i="4" s="1"/>
  <c r="AD29" i="4"/>
  <c r="N29" i="4" s="1"/>
  <c r="O29" i="4" s="1"/>
  <c r="AD94" i="4"/>
  <c r="N94" i="4" s="1"/>
  <c r="O94" i="4" s="1"/>
  <c r="AD75" i="4"/>
  <c r="N75" i="4" s="1"/>
  <c r="O75" i="4" s="1"/>
  <c r="AD96" i="4"/>
  <c r="N96" i="4" s="1"/>
  <c r="O96" i="4" s="1"/>
  <c r="AD13" i="4"/>
  <c r="N13" i="4" s="1"/>
  <c r="O13" i="4" s="1"/>
  <c r="AD118" i="4"/>
  <c r="N118" i="4" s="1"/>
  <c r="O118" i="4" s="1"/>
  <c r="AD148" i="4"/>
  <c r="N148" i="4" s="1"/>
  <c r="O148" i="4" s="1"/>
  <c r="AD11" i="4"/>
  <c r="N11" i="4" s="1"/>
  <c r="O11" i="4" s="1"/>
  <c r="AD72" i="4"/>
  <c r="N72" i="4" s="1"/>
  <c r="O7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55" authorId="0" shapeId="0" xr:uid="{00000000-0006-0000-0200-000001000000}">
      <text>
        <r>
          <rPr>
            <b/>
            <sz val="9"/>
            <color indexed="81"/>
            <rFont val="Tahoma"/>
            <family val="2"/>
          </rPr>
          <t>Author:</t>
        </r>
        <r>
          <rPr>
            <sz val="9"/>
            <color indexed="81"/>
            <rFont val="Tahoma"/>
            <family val="2"/>
          </rPr>
          <t xml:space="preserve">
FoPL Category 1 Beverages - non-dairy</t>
        </r>
      </text>
    </comment>
    <comment ref="J55" authorId="0" shapeId="0" xr:uid="{00000000-0006-0000-0200-000002000000}">
      <text>
        <r>
          <rPr>
            <b/>
            <sz val="9"/>
            <color indexed="81"/>
            <rFont val="Tahoma"/>
            <family val="2"/>
          </rPr>
          <t>Author:</t>
        </r>
        <r>
          <rPr>
            <sz val="9"/>
            <color indexed="81"/>
            <rFont val="Tahoma"/>
            <family val="2"/>
          </rPr>
          <t xml:space="preserve">
FoPL Category 1 Beverages - non-dairy</t>
        </r>
      </text>
    </comment>
    <comment ref="F56" authorId="0" shapeId="0" xr:uid="{00000000-0006-0000-0200-000003000000}">
      <text>
        <r>
          <rPr>
            <b/>
            <sz val="9"/>
            <color indexed="81"/>
            <rFont val="Tahoma"/>
            <family val="2"/>
          </rPr>
          <t>Author:</t>
        </r>
        <r>
          <rPr>
            <sz val="9"/>
            <color indexed="81"/>
            <rFont val="Tahoma"/>
            <family val="2"/>
          </rPr>
          <t xml:space="preserve">
FoPL Category 2 Food</t>
        </r>
      </text>
    </comment>
    <comment ref="J56" authorId="0" shapeId="0" xr:uid="{00000000-0006-0000-0200-000004000000}">
      <text>
        <r>
          <rPr>
            <b/>
            <sz val="9"/>
            <color indexed="81"/>
            <rFont val="Tahoma"/>
            <family val="2"/>
          </rPr>
          <t>Author:</t>
        </r>
        <r>
          <rPr>
            <sz val="9"/>
            <color indexed="81"/>
            <rFont val="Tahoma"/>
            <family val="2"/>
          </rPr>
          <t xml:space="preserve">
FoPL Category 2 Food</t>
        </r>
      </text>
    </comment>
    <comment ref="F57" authorId="0" shapeId="0" xr:uid="{00000000-0006-0000-0200-000005000000}">
      <text>
        <r>
          <rPr>
            <b/>
            <sz val="9"/>
            <color indexed="81"/>
            <rFont val="Tahoma"/>
            <family val="2"/>
          </rPr>
          <t>Author:</t>
        </r>
        <r>
          <rPr>
            <sz val="9"/>
            <color indexed="81"/>
            <rFont val="Tahoma"/>
            <family val="2"/>
          </rPr>
          <t xml:space="preserve">
FoPL Category 1D Core Dairy - Beverages</t>
        </r>
      </text>
    </comment>
    <comment ref="J57" authorId="0" shapeId="0" xr:uid="{00000000-0006-0000-0200-000006000000}">
      <text>
        <r>
          <rPr>
            <b/>
            <sz val="9"/>
            <color indexed="81"/>
            <rFont val="Tahoma"/>
            <family val="2"/>
          </rPr>
          <t>Author:</t>
        </r>
        <r>
          <rPr>
            <sz val="9"/>
            <color indexed="81"/>
            <rFont val="Tahoma"/>
            <family val="2"/>
          </rPr>
          <t xml:space="preserve">
FoPL Category 1D Core Dairy - Beverages</t>
        </r>
      </text>
    </comment>
    <comment ref="F58" authorId="0" shapeId="0" xr:uid="{00000000-0006-0000-0200-000007000000}">
      <text>
        <r>
          <rPr>
            <b/>
            <sz val="9"/>
            <color indexed="81"/>
            <rFont val="Tahoma"/>
            <family val="2"/>
          </rPr>
          <t>Author:</t>
        </r>
        <r>
          <rPr>
            <sz val="9"/>
            <color indexed="81"/>
            <rFont val="Tahoma"/>
            <family val="2"/>
          </rPr>
          <t xml:space="preserve">
FoPL category 3D Core Dairy - Cheeses</t>
        </r>
      </text>
    </comment>
    <comment ref="J58" authorId="0" shapeId="0" xr:uid="{00000000-0006-0000-0200-000008000000}">
      <text>
        <r>
          <rPr>
            <b/>
            <sz val="9"/>
            <color indexed="81"/>
            <rFont val="Tahoma"/>
            <family val="2"/>
          </rPr>
          <t>Author:</t>
        </r>
        <r>
          <rPr>
            <sz val="9"/>
            <color indexed="81"/>
            <rFont val="Tahoma"/>
            <family val="2"/>
          </rPr>
          <t xml:space="preserve">
FoPL category 3D Core Dairy - Cheeses</t>
        </r>
      </text>
    </comment>
    <comment ref="F59" authorId="0" shapeId="0" xr:uid="{00000000-0006-0000-0200-000009000000}">
      <text>
        <r>
          <rPr>
            <b/>
            <sz val="9"/>
            <color indexed="81"/>
            <rFont val="Tahoma"/>
            <family val="2"/>
          </rPr>
          <t>Author:</t>
        </r>
        <r>
          <rPr>
            <sz val="9"/>
            <color indexed="81"/>
            <rFont val="Tahoma"/>
            <family val="2"/>
          </rPr>
          <t xml:space="preserve">
FoPL Category 2D Core Dairy - Yoghurts</t>
        </r>
      </text>
    </comment>
    <comment ref="J59" authorId="0" shapeId="0" xr:uid="{00000000-0006-0000-0200-00000A000000}">
      <text>
        <r>
          <rPr>
            <b/>
            <sz val="9"/>
            <color indexed="81"/>
            <rFont val="Tahoma"/>
            <family val="2"/>
          </rPr>
          <t>Author:</t>
        </r>
        <r>
          <rPr>
            <sz val="9"/>
            <color indexed="81"/>
            <rFont val="Tahoma"/>
            <family val="2"/>
          </rPr>
          <t xml:space="preserve">
FoPL Category 2D Core Dairy - Yoghurts</t>
        </r>
      </text>
    </comment>
    <comment ref="A60" authorId="0" shapeId="0" xr:uid="{00000000-0006-0000-0200-00000B000000}">
      <text>
        <r>
          <rPr>
            <b/>
            <sz val="9"/>
            <color indexed="81"/>
            <rFont val="Tahoma"/>
            <family val="2"/>
          </rPr>
          <t>Author:</t>
        </r>
        <r>
          <rPr>
            <sz val="9"/>
            <color indexed="81"/>
            <rFont val="Tahoma"/>
            <family val="2"/>
          </rPr>
          <t xml:space="preserve">
FoPL Category 2 Food</t>
        </r>
      </text>
    </comment>
    <comment ref="F60" authorId="0" shapeId="0" xr:uid="{00000000-0006-0000-0200-00000C000000}">
      <text>
        <r>
          <rPr>
            <b/>
            <sz val="9"/>
            <color indexed="81"/>
            <rFont val="Tahoma"/>
            <family val="2"/>
          </rPr>
          <t>Author:</t>
        </r>
        <r>
          <rPr>
            <sz val="9"/>
            <color indexed="81"/>
            <rFont val="Tahoma"/>
            <family val="2"/>
          </rPr>
          <t xml:space="preserve">
FoPL Category 3 Oils/spreads</t>
        </r>
      </text>
    </comment>
    <comment ref="J60" authorId="0" shapeId="0" xr:uid="{00000000-0006-0000-0200-00000D000000}">
      <text>
        <r>
          <rPr>
            <b/>
            <sz val="9"/>
            <color indexed="81"/>
            <rFont val="Tahoma"/>
            <family val="2"/>
          </rPr>
          <t>Author:</t>
        </r>
        <r>
          <rPr>
            <sz val="9"/>
            <color indexed="81"/>
            <rFont val="Tahoma"/>
            <family val="2"/>
          </rPr>
          <t xml:space="preserve">
FoPL Category 3 Oils/spreads</t>
        </r>
      </text>
    </comment>
    <comment ref="A61" authorId="0" shapeId="0" xr:uid="{00000000-0006-0000-0200-00000E000000}">
      <text>
        <r>
          <rPr>
            <b/>
            <sz val="9"/>
            <color indexed="81"/>
            <rFont val="Tahoma"/>
            <family val="2"/>
          </rPr>
          <t>Author:</t>
        </r>
        <r>
          <rPr>
            <sz val="9"/>
            <color indexed="81"/>
            <rFont val="Tahoma"/>
            <family val="2"/>
          </rPr>
          <t xml:space="preserve">
FoPL Category 1 Beverages - non-dairy</t>
        </r>
      </text>
    </comment>
    <comment ref="F61" authorId="0" shapeId="0" xr:uid="{00000000-0006-0000-0200-00000F000000}">
      <text>
        <r>
          <rPr>
            <b/>
            <sz val="9"/>
            <color indexed="81"/>
            <rFont val="Tahoma"/>
            <family val="2"/>
          </rPr>
          <t>Author:</t>
        </r>
        <r>
          <rPr>
            <sz val="9"/>
            <color indexed="81"/>
            <rFont val="Tahoma"/>
            <family val="2"/>
          </rPr>
          <t xml:space="preserve">
FoPL Category 2 Food</t>
        </r>
      </text>
    </comment>
    <comment ref="J61" authorId="0" shapeId="0" xr:uid="{00000000-0006-0000-0200-000010000000}">
      <text>
        <r>
          <rPr>
            <b/>
            <sz val="9"/>
            <color indexed="81"/>
            <rFont val="Tahoma"/>
            <family val="2"/>
          </rPr>
          <t>Author:</t>
        </r>
        <r>
          <rPr>
            <sz val="9"/>
            <color indexed="81"/>
            <rFont val="Tahoma"/>
            <family val="2"/>
          </rPr>
          <t xml:space="preserve">
FoPL Category 2 Food</t>
        </r>
      </text>
    </comment>
    <comment ref="A62" authorId="0" shapeId="0" xr:uid="{00000000-0006-0000-0200-000011000000}">
      <text>
        <r>
          <rPr>
            <b/>
            <sz val="9"/>
            <color indexed="81"/>
            <rFont val="Tahoma"/>
            <family val="2"/>
          </rPr>
          <t>Author:</t>
        </r>
        <r>
          <rPr>
            <sz val="9"/>
            <color indexed="81"/>
            <rFont val="Tahoma"/>
            <family val="2"/>
          </rPr>
          <t xml:space="preserve">
FoPL Category 2 Food</t>
        </r>
      </text>
    </comment>
    <comment ref="F62" authorId="0" shapeId="0" xr:uid="{00000000-0006-0000-0200-000012000000}">
      <text>
        <r>
          <rPr>
            <b/>
            <sz val="9"/>
            <color indexed="81"/>
            <rFont val="Tahoma"/>
            <family val="2"/>
          </rPr>
          <t>Author:</t>
        </r>
        <r>
          <rPr>
            <sz val="9"/>
            <color indexed="81"/>
            <rFont val="Tahoma"/>
            <family val="2"/>
          </rPr>
          <t xml:space="preserve">
FoPL Category 2 Food</t>
        </r>
      </text>
    </comment>
    <comment ref="J62" authorId="0" shapeId="0" xr:uid="{00000000-0006-0000-0200-000013000000}">
      <text>
        <r>
          <rPr>
            <b/>
            <sz val="9"/>
            <color indexed="81"/>
            <rFont val="Tahoma"/>
            <family val="2"/>
          </rPr>
          <t>Author:</t>
        </r>
        <r>
          <rPr>
            <sz val="9"/>
            <color indexed="81"/>
            <rFont val="Tahoma"/>
            <family val="2"/>
          </rPr>
          <t xml:space="preserve">
FoPL Category 2 Food</t>
        </r>
      </text>
    </comment>
    <comment ref="A63" authorId="0" shapeId="0" xr:uid="{00000000-0006-0000-0200-000014000000}">
      <text>
        <r>
          <rPr>
            <b/>
            <sz val="9"/>
            <color indexed="81"/>
            <rFont val="Tahoma"/>
            <family val="2"/>
          </rPr>
          <t>Author:</t>
        </r>
        <r>
          <rPr>
            <sz val="9"/>
            <color indexed="81"/>
            <rFont val="Tahoma"/>
            <family val="2"/>
          </rPr>
          <t xml:space="preserve">
FoPL Category 2 Food</t>
        </r>
      </text>
    </comment>
    <comment ref="F63" authorId="0" shapeId="0" xr:uid="{00000000-0006-0000-0200-000015000000}">
      <text>
        <r>
          <rPr>
            <b/>
            <sz val="9"/>
            <color indexed="81"/>
            <rFont val="Tahoma"/>
            <family val="2"/>
          </rPr>
          <t>Author:</t>
        </r>
        <r>
          <rPr>
            <sz val="9"/>
            <color indexed="81"/>
            <rFont val="Tahoma"/>
            <family val="2"/>
          </rPr>
          <t xml:space="preserve">
FoPL Category 2 Food</t>
        </r>
      </text>
    </comment>
    <comment ref="J63" authorId="0" shapeId="0" xr:uid="{00000000-0006-0000-0200-000016000000}">
      <text>
        <r>
          <rPr>
            <b/>
            <sz val="9"/>
            <color indexed="81"/>
            <rFont val="Tahoma"/>
            <family val="2"/>
          </rPr>
          <t>Author:</t>
        </r>
        <r>
          <rPr>
            <sz val="9"/>
            <color indexed="81"/>
            <rFont val="Tahoma"/>
            <family val="2"/>
          </rPr>
          <t xml:space="preserve">
FoPL Category 2 Food</t>
        </r>
      </text>
    </comment>
    <comment ref="A64" authorId="0" shapeId="0" xr:uid="{00000000-0006-0000-0200-000017000000}">
      <text>
        <r>
          <rPr>
            <b/>
            <sz val="9"/>
            <color indexed="81"/>
            <rFont val="Tahoma"/>
            <family val="2"/>
          </rPr>
          <t>Author:</t>
        </r>
        <r>
          <rPr>
            <sz val="9"/>
            <color indexed="81"/>
            <rFont val="Tahoma"/>
            <family val="2"/>
          </rPr>
          <t xml:space="preserve">
FoPL category 2 Food</t>
        </r>
      </text>
    </comment>
    <comment ref="F64" authorId="0" shapeId="0" xr:uid="{00000000-0006-0000-0200-000018000000}">
      <text>
        <r>
          <rPr>
            <b/>
            <sz val="9"/>
            <color indexed="81"/>
            <rFont val="Tahoma"/>
            <family val="2"/>
          </rPr>
          <t>Author:</t>
        </r>
        <r>
          <rPr>
            <sz val="9"/>
            <color indexed="81"/>
            <rFont val="Tahoma"/>
            <family val="2"/>
          </rPr>
          <t xml:space="preserve">
FoPL category 2 Food</t>
        </r>
      </text>
    </comment>
    <comment ref="J64" authorId="0" shapeId="0" xr:uid="{00000000-0006-0000-0200-000019000000}">
      <text>
        <r>
          <rPr>
            <b/>
            <sz val="9"/>
            <color indexed="81"/>
            <rFont val="Tahoma"/>
            <family val="2"/>
          </rPr>
          <t>Author:</t>
        </r>
        <r>
          <rPr>
            <sz val="9"/>
            <color indexed="81"/>
            <rFont val="Tahoma"/>
            <family val="2"/>
          </rPr>
          <t xml:space="preserve">
FoPL category 2 Food</t>
        </r>
      </text>
    </comment>
    <comment ref="D68" authorId="0" shapeId="0" xr:uid="{00000000-0006-0000-0200-00001A000000}">
      <text>
        <r>
          <rPr>
            <b/>
            <sz val="8"/>
            <color indexed="81"/>
            <rFont val="Tahoma"/>
            <family val="2"/>
          </rPr>
          <t>Author:</t>
        </r>
        <r>
          <rPr>
            <sz val="8"/>
            <color indexed="81"/>
            <rFont val="Tahoma"/>
            <family val="2"/>
          </rPr>
          <t xml:space="preserve">
The core dairy FoPL categories use the 5% quantiles as end points at the healthy end, the 99% quantile at the less healthy end</t>
        </r>
      </text>
    </comment>
    <comment ref="D71" authorId="0" shapeId="0" xr:uid="{00000000-0006-0000-0200-00001B000000}">
      <text>
        <r>
          <rPr>
            <b/>
            <sz val="8"/>
            <color indexed="81"/>
            <rFont val="Tahoma"/>
            <family val="2"/>
          </rPr>
          <t>Author:</t>
        </r>
        <r>
          <rPr>
            <sz val="8"/>
            <color indexed="81"/>
            <rFont val="Tahoma"/>
            <family val="2"/>
          </rPr>
          <t xml:space="preserve">
These categories use the 1% quantile as end points at the healthy end and the 99% quantile at the less healthy end.</t>
        </r>
      </text>
    </comment>
    <comment ref="D74" authorId="0" shapeId="0" xr:uid="{00000000-0006-0000-0200-00001C000000}">
      <text>
        <r>
          <rPr>
            <b/>
            <sz val="8"/>
            <color indexed="81"/>
            <rFont val="Tahoma"/>
            <family val="2"/>
          </rPr>
          <t>Author:</t>
        </r>
        <r>
          <rPr>
            <sz val="8"/>
            <color indexed="81"/>
            <rFont val="Tahoma"/>
            <family val="2"/>
          </rPr>
          <t xml:space="preserve">
These categories use the 1% quantile as end points at the healthy end and the 99% quantile at the less healthy end.</t>
        </r>
      </text>
    </comment>
    <comment ref="D77" authorId="0" shapeId="0" xr:uid="{00000000-0006-0000-0200-00001D000000}">
      <text>
        <r>
          <rPr>
            <b/>
            <sz val="8"/>
            <color indexed="81"/>
            <rFont val="Tahoma"/>
            <family val="2"/>
          </rPr>
          <t>Author:</t>
        </r>
        <r>
          <rPr>
            <sz val="8"/>
            <color indexed="81"/>
            <rFont val="Tahoma"/>
            <family val="2"/>
          </rPr>
          <t xml:space="preserve">
These categories use the 1% quantile as end points at the healthy end and the 99% quantile at the less healthy end.</t>
        </r>
      </text>
    </comment>
    <comment ref="J77" authorId="0" shapeId="0" xr:uid="{00000000-0006-0000-0200-00001E000000}">
      <text>
        <r>
          <rPr>
            <b/>
            <sz val="9"/>
            <color indexed="81"/>
            <rFont val="Tahoma"/>
            <family val="2"/>
          </rPr>
          <t>Author:</t>
        </r>
        <r>
          <rPr>
            <sz val="9"/>
            <color indexed="81"/>
            <rFont val="Tahoma"/>
            <family val="2"/>
          </rPr>
          <t xml:space="preserve">
FoPL Category 1 Beverages - non-dairy</t>
        </r>
      </text>
    </comment>
    <comment ref="J78" authorId="0" shapeId="0" xr:uid="{00000000-0006-0000-0200-00001F000000}">
      <text>
        <r>
          <rPr>
            <b/>
            <sz val="9"/>
            <color indexed="81"/>
            <rFont val="Tahoma"/>
            <family val="2"/>
          </rPr>
          <t>Author:</t>
        </r>
        <r>
          <rPr>
            <sz val="9"/>
            <color indexed="81"/>
            <rFont val="Tahoma"/>
            <family val="2"/>
          </rPr>
          <t xml:space="preserve">
FoPL Category 2 Food</t>
        </r>
      </text>
    </comment>
    <comment ref="J79" authorId="0" shapeId="0" xr:uid="{00000000-0006-0000-0200-000020000000}">
      <text>
        <r>
          <rPr>
            <b/>
            <sz val="9"/>
            <color indexed="81"/>
            <rFont val="Tahoma"/>
            <family val="2"/>
          </rPr>
          <t>Author:</t>
        </r>
        <r>
          <rPr>
            <sz val="9"/>
            <color indexed="81"/>
            <rFont val="Tahoma"/>
            <family val="2"/>
          </rPr>
          <t xml:space="preserve">
FoPL Category 1D Core Dairy - Beverages</t>
        </r>
      </text>
    </comment>
    <comment ref="J80" authorId="0" shapeId="0" xr:uid="{00000000-0006-0000-0200-000021000000}">
      <text>
        <r>
          <rPr>
            <b/>
            <sz val="9"/>
            <color indexed="81"/>
            <rFont val="Tahoma"/>
            <family val="2"/>
          </rPr>
          <t>Author:</t>
        </r>
        <r>
          <rPr>
            <sz val="9"/>
            <color indexed="81"/>
            <rFont val="Tahoma"/>
            <family val="2"/>
          </rPr>
          <t xml:space="preserve">
FoPL category 3D Core Dairy - Cheeses</t>
        </r>
      </text>
    </comment>
    <comment ref="J81" authorId="0" shapeId="0" xr:uid="{00000000-0006-0000-0200-000022000000}">
      <text>
        <r>
          <rPr>
            <b/>
            <sz val="9"/>
            <color indexed="81"/>
            <rFont val="Tahoma"/>
            <family val="2"/>
          </rPr>
          <t>Author:</t>
        </r>
        <r>
          <rPr>
            <sz val="9"/>
            <color indexed="81"/>
            <rFont val="Tahoma"/>
            <family val="2"/>
          </rPr>
          <t xml:space="preserve">
FoPL Category 2D Core Dairy - Yoghurts</t>
        </r>
      </text>
    </comment>
    <comment ref="J82" authorId="0" shapeId="0" xr:uid="{00000000-0006-0000-0200-000023000000}">
      <text>
        <r>
          <rPr>
            <b/>
            <sz val="9"/>
            <color indexed="81"/>
            <rFont val="Tahoma"/>
            <family val="2"/>
          </rPr>
          <t>Author:</t>
        </r>
        <r>
          <rPr>
            <sz val="9"/>
            <color indexed="81"/>
            <rFont val="Tahoma"/>
            <family val="2"/>
          </rPr>
          <t xml:space="preserve">
FoPL Category 3 Oils/spreads</t>
        </r>
      </text>
    </comment>
    <comment ref="J83" authorId="0" shapeId="0" xr:uid="{00000000-0006-0000-0200-000024000000}">
      <text>
        <r>
          <rPr>
            <b/>
            <sz val="9"/>
            <color indexed="81"/>
            <rFont val="Tahoma"/>
            <family val="2"/>
          </rPr>
          <t>Author:</t>
        </r>
        <r>
          <rPr>
            <sz val="9"/>
            <color indexed="81"/>
            <rFont val="Tahoma"/>
            <family val="2"/>
          </rPr>
          <t xml:space="preserve">
FoPL Category 2 Food</t>
        </r>
      </text>
    </comment>
    <comment ref="J84" authorId="0" shapeId="0" xr:uid="{00000000-0006-0000-0200-000025000000}">
      <text>
        <r>
          <rPr>
            <b/>
            <sz val="9"/>
            <color indexed="81"/>
            <rFont val="Tahoma"/>
            <family val="2"/>
          </rPr>
          <t>Author:</t>
        </r>
        <r>
          <rPr>
            <sz val="9"/>
            <color indexed="81"/>
            <rFont val="Tahoma"/>
            <family val="2"/>
          </rPr>
          <t xml:space="preserve">
FoPL Category 2 Food</t>
        </r>
      </text>
    </comment>
    <comment ref="J85" authorId="0" shapeId="0" xr:uid="{00000000-0006-0000-0200-000026000000}">
      <text>
        <r>
          <rPr>
            <b/>
            <sz val="9"/>
            <color indexed="81"/>
            <rFont val="Tahoma"/>
            <family val="2"/>
          </rPr>
          <t>Author:</t>
        </r>
        <r>
          <rPr>
            <sz val="9"/>
            <color indexed="81"/>
            <rFont val="Tahoma"/>
            <family val="2"/>
          </rPr>
          <t xml:space="preserve">
FoPL Category 2 Food</t>
        </r>
      </text>
    </comment>
    <comment ref="J86" authorId="0" shapeId="0" xr:uid="{00000000-0006-0000-0200-000027000000}">
      <text>
        <r>
          <rPr>
            <b/>
            <sz val="9"/>
            <color indexed="81"/>
            <rFont val="Tahoma"/>
            <family val="2"/>
          </rPr>
          <t>Author:</t>
        </r>
        <r>
          <rPr>
            <sz val="9"/>
            <color indexed="81"/>
            <rFont val="Tahoma"/>
            <family val="2"/>
          </rPr>
          <t xml:space="preserve">
FoPL category 2 Food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1" authorId="0" shapeId="0" xr:uid="{00000000-0006-0000-0500-000001000000}">
      <text>
        <r>
          <rPr>
            <b/>
            <sz val="9"/>
            <color indexed="81"/>
            <rFont val="Tahoma"/>
            <family val="2"/>
          </rPr>
          <t>HSR Categories</t>
        </r>
        <r>
          <rPr>
            <sz val="9"/>
            <color indexed="81"/>
            <rFont val="Tahoma"/>
            <family val="2"/>
          </rPr>
          <t xml:space="preserve">
Choose a category for the food from the drop down list.
</t>
        </r>
        <r>
          <rPr>
            <b/>
            <sz val="9"/>
            <color indexed="81"/>
            <rFont val="Tahoma"/>
            <family val="2"/>
          </rPr>
          <t>Category 1 - Non-dairy beverages</t>
        </r>
        <r>
          <rPr>
            <sz val="9"/>
            <color indexed="81"/>
            <rFont val="Tahoma"/>
            <family val="2"/>
          </rPr>
          <t xml:space="preserve">
Use separate tab labled 'Non-Dairy Beverages ONLY Calc.'
</t>
        </r>
        <r>
          <rPr>
            <b/>
            <sz val="9"/>
            <color indexed="81"/>
            <rFont val="Tahoma"/>
            <family val="2"/>
          </rPr>
          <t>Category 1D - Dairy beverages</t>
        </r>
        <r>
          <rPr>
            <sz val="9"/>
            <color indexed="81"/>
            <rFont val="Tahoma"/>
            <family val="2"/>
          </rPr>
          <t xml:space="preserve">
Milks, flavoured milk, and milk alternatives derived from legumes, cereals, nuts or seeds with ≥100 mg/100 mL calcium
</t>
        </r>
        <r>
          <rPr>
            <b/>
            <sz val="9"/>
            <color indexed="81"/>
            <rFont val="Tahoma"/>
            <family val="2"/>
          </rPr>
          <t>Category 2 - Foods</t>
        </r>
        <r>
          <rPr>
            <sz val="9"/>
            <color indexed="81"/>
            <rFont val="Tahoma"/>
            <family val="2"/>
          </rPr>
          <t xml:space="preserve">
Including:
</t>
        </r>
        <r>
          <rPr>
            <i/>
            <sz val="9"/>
            <color indexed="81"/>
            <rFont val="Tahoma"/>
            <family val="2"/>
          </rPr>
          <t>Core Cereals</t>
        </r>
        <r>
          <rPr>
            <sz val="9"/>
            <color indexed="81"/>
            <rFont val="Tahoma"/>
            <family val="2"/>
          </rPr>
          <t xml:space="preserve"> - Breads, buns, wraps, breakfast cereals, pasta, flour, rice, grains
</t>
        </r>
        <r>
          <rPr>
            <i/>
            <sz val="9"/>
            <color indexed="81"/>
            <rFont val="Tahoma"/>
            <family val="2"/>
          </rPr>
          <t>Fruit</t>
        </r>
        <r>
          <rPr>
            <sz val="9"/>
            <color indexed="81"/>
            <rFont val="Tahoma"/>
            <family val="2"/>
          </rPr>
          <t xml:space="preserve"> -</t>
        </r>
        <r>
          <rPr>
            <b/>
            <sz val="9"/>
            <color indexed="81"/>
            <rFont val="Tahoma"/>
            <family val="2"/>
          </rPr>
          <t xml:space="preserve"> </t>
        </r>
        <r>
          <rPr>
            <sz val="9"/>
            <color indexed="81"/>
            <rFont val="Tahoma"/>
            <family val="2"/>
          </rPr>
          <t xml:space="preserve">Processed fruit, minimally or unprocessed fruit, as defined in the Guide for Industry, are eligible for for an automatic HSR of 5. This calculator does not need to be used in this instance - doing so may provide you with a different rating.
</t>
        </r>
        <r>
          <rPr>
            <i/>
            <sz val="9"/>
            <color indexed="81"/>
            <rFont val="Tahoma"/>
            <family val="2"/>
          </rPr>
          <t>Protein</t>
        </r>
        <r>
          <rPr>
            <b/>
            <sz val="9"/>
            <color indexed="81"/>
            <rFont val="Tahoma"/>
            <family val="2"/>
          </rPr>
          <t xml:space="preserve"> - </t>
        </r>
        <r>
          <rPr>
            <sz val="9"/>
            <color indexed="81"/>
            <rFont val="Tahoma"/>
            <family val="2"/>
          </rPr>
          <t xml:space="preserve">Meats and fish (raw and processed), eggs, nuts (including spreads), plant protein foods (eg tofu, meat alternatives)
</t>
        </r>
        <r>
          <rPr>
            <i/>
            <sz val="9"/>
            <color indexed="81"/>
            <rFont val="Tahoma"/>
            <family val="2"/>
          </rPr>
          <t>Vegetables</t>
        </r>
        <r>
          <rPr>
            <b/>
            <sz val="9"/>
            <color indexed="81"/>
            <rFont val="Tahoma"/>
            <family val="2"/>
          </rPr>
          <t xml:space="preserve"> - </t>
        </r>
        <r>
          <rPr>
            <sz val="9"/>
            <color indexed="81"/>
            <rFont val="Tahoma"/>
            <family val="2"/>
          </rPr>
          <t xml:space="preserve">Processed vegetables, minimally or unprocessed vegetables, as defined in the Guide for Industry, are eligible for for an automatic HSR of 5. This calculator does not need to be used in this instance - doing so may provide you with a different rating.
</t>
        </r>
        <r>
          <rPr>
            <i/>
            <sz val="9"/>
            <color indexed="81"/>
            <rFont val="Tahoma"/>
            <family val="2"/>
          </rPr>
          <t>Non-core foods</t>
        </r>
        <r>
          <rPr>
            <b/>
            <sz val="9"/>
            <color indexed="81"/>
            <rFont val="Tahoma"/>
            <family val="2"/>
          </rPr>
          <t xml:space="preserve"> - </t>
        </r>
        <r>
          <rPr>
            <sz val="9"/>
            <color indexed="81"/>
            <rFont val="Tahoma"/>
            <family val="2"/>
          </rPr>
          <t xml:space="preserve">Specialty bakery foods, cake mixes, biscuits, confectionery, deserts, dips, dressings, ice cream, meals/meal bases, pizza, sauces/condiments, salty and other snacks, soups/stocks, yeast spread.
</t>
        </r>
        <r>
          <rPr>
            <b/>
            <sz val="9"/>
            <color indexed="81"/>
            <rFont val="Tahoma"/>
            <family val="2"/>
          </rPr>
          <t>Category 2D - Dairy foods</t>
        </r>
        <r>
          <rPr>
            <sz val="9"/>
            <color indexed="81"/>
            <rFont val="Tahoma"/>
            <family val="2"/>
          </rPr>
          <t xml:space="preserve">
Soft or unripened cheese and analogues with calcium &lt;320mg/100g; dairy foods with &gt;75% dairy ingredients, including yoghurt, cream, cream cheese, fermented milk products, custard, dairy desserts, mascarpone etc.   
</t>
        </r>
        <r>
          <rPr>
            <b/>
            <sz val="9"/>
            <color indexed="81"/>
            <rFont val="Tahoma"/>
            <family val="2"/>
          </rPr>
          <t>Category 3 - Fats, oils</t>
        </r>
        <r>
          <rPr>
            <sz val="9"/>
            <color indexed="81"/>
            <rFont val="Tahoma"/>
            <family val="2"/>
          </rPr>
          <t xml:space="preserve">
Fats, extracted oils, fat/oil based spreads
</t>
        </r>
        <r>
          <rPr>
            <b/>
            <sz val="9"/>
            <color indexed="81"/>
            <rFont val="Tahoma"/>
            <family val="2"/>
          </rPr>
          <t>Category 3D - Cheese</t>
        </r>
        <r>
          <rPr>
            <sz val="9"/>
            <color indexed="81"/>
            <rFont val="Tahoma"/>
            <family val="2"/>
          </rPr>
          <t xml:space="preserve">
Cheese, processed cheese and analogues with calcium &gt;=320mg/100g</t>
        </r>
      </text>
    </comment>
    <comment ref="F1" authorId="0" shapeId="0" xr:uid="{00000000-0006-0000-0500-000002000000}">
      <text>
        <r>
          <rPr>
            <b/>
            <sz val="9"/>
            <color indexed="81"/>
            <rFont val="Tahoma"/>
            <family val="2"/>
          </rPr>
          <t>Note:</t>
        </r>
        <r>
          <rPr>
            <sz val="9"/>
            <color indexed="81"/>
            <rFont val="Tahoma"/>
            <family val="2"/>
          </rPr>
          <t xml:space="preserve">
Enter to the nearest whole kilojoule</t>
        </r>
      </text>
    </comment>
    <comment ref="G1" authorId="0" shapeId="0" xr:uid="{00000000-0006-0000-0500-000003000000}">
      <text>
        <r>
          <rPr>
            <b/>
            <sz val="9"/>
            <color indexed="81"/>
            <rFont val="Tahoma"/>
            <family val="2"/>
          </rPr>
          <t>Note:</t>
        </r>
        <r>
          <rPr>
            <sz val="9"/>
            <color indexed="81"/>
            <rFont val="Tahoma"/>
            <family val="2"/>
          </rPr>
          <t xml:space="preserve">
Enter to the nearest 0.1g saturated fat</t>
        </r>
      </text>
    </comment>
    <comment ref="H1" authorId="0" shapeId="0" xr:uid="{00000000-0006-0000-0500-000004000000}">
      <text>
        <r>
          <rPr>
            <b/>
            <sz val="9"/>
            <color indexed="81"/>
            <rFont val="Tahoma"/>
            <family val="2"/>
          </rPr>
          <t>Note:</t>
        </r>
        <r>
          <rPr>
            <sz val="9"/>
            <color indexed="81"/>
            <rFont val="Tahoma"/>
            <family val="2"/>
          </rPr>
          <t xml:space="preserve">
Enter to the nearest 0.1g total sugars</t>
        </r>
      </text>
    </comment>
    <comment ref="I1" authorId="0" shapeId="0" xr:uid="{00000000-0006-0000-0500-000005000000}">
      <text>
        <r>
          <rPr>
            <b/>
            <sz val="9"/>
            <color indexed="81"/>
            <rFont val="Tahoma"/>
            <family val="2"/>
          </rPr>
          <t>Note:</t>
        </r>
        <r>
          <rPr>
            <sz val="9"/>
            <color indexed="81"/>
            <rFont val="Tahoma"/>
            <family val="2"/>
          </rPr>
          <t xml:space="preserve">
Enter to the nearest 1mg sodium</t>
        </r>
      </text>
    </comment>
    <comment ref="J1" authorId="0" shapeId="0" xr:uid="{00000000-0006-0000-0500-000006000000}">
      <text>
        <r>
          <rPr>
            <b/>
            <sz val="9"/>
            <color indexed="81"/>
            <rFont val="Tahoma"/>
            <family val="2"/>
          </rPr>
          <t>Note:</t>
        </r>
        <r>
          <rPr>
            <sz val="9"/>
            <color indexed="81"/>
            <rFont val="Tahoma"/>
            <family val="2"/>
          </rPr>
          <t xml:space="preserve">
Enter to the nearest 0.1g fibre</t>
        </r>
      </text>
    </comment>
    <comment ref="K1" authorId="0" shapeId="0" xr:uid="{00000000-0006-0000-0500-000007000000}">
      <text>
        <r>
          <rPr>
            <b/>
            <sz val="9"/>
            <color indexed="81"/>
            <rFont val="Tahoma"/>
            <family val="2"/>
          </rPr>
          <t>Note:</t>
        </r>
        <r>
          <rPr>
            <sz val="9"/>
            <color indexed="81"/>
            <rFont val="Tahoma"/>
            <family val="2"/>
          </rPr>
          <t xml:space="preserve">
Enter to the nearest 0.1g protein</t>
        </r>
      </text>
    </comment>
    <comment ref="L1" authorId="0" shapeId="0" xr:uid="{00000000-0006-0000-0500-000008000000}">
      <text>
        <r>
          <rPr>
            <b/>
            <sz val="9"/>
            <color indexed="81"/>
            <rFont val="Tahoma"/>
            <family val="2"/>
          </rPr>
          <t>Note:</t>
        </r>
        <r>
          <rPr>
            <sz val="9"/>
            <color indexed="81"/>
            <rFont val="Tahoma"/>
            <family val="2"/>
          </rPr>
          <t xml:space="preserve">
Enter percentage of total product that is concentrated fruit or vegetable </t>
        </r>
      </text>
    </comment>
    <comment ref="M1" authorId="0" shapeId="0" xr:uid="{00000000-0006-0000-0500-000009000000}">
      <text>
        <r>
          <rPr>
            <b/>
            <sz val="9"/>
            <color indexed="81"/>
            <rFont val="Tahoma"/>
            <family val="2"/>
          </rPr>
          <t>Note:</t>
        </r>
        <r>
          <rPr>
            <sz val="9"/>
            <color indexed="81"/>
            <rFont val="Tahoma"/>
            <family val="2"/>
          </rPr>
          <t xml:space="preserve">
Enter percentage of total product that is (non concentrated) FVNL</t>
        </r>
      </text>
    </comment>
    <comment ref="S1" authorId="0" shapeId="0" xr:uid="{00000000-0006-0000-0500-00000A000000}">
      <text>
        <r>
          <rPr>
            <sz val="8"/>
            <color indexed="81"/>
            <rFont val="Tahoma"/>
            <family val="2"/>
          </rPr>
          <t>One should only answer '</t>
        </r>
        <r>
          <rPr>
            <b/>
            <sz val="8"/>
            <color indexed="81"/>
            <rFont val="Tahoma"/>
            <family val="2"/>
          </rPr>
          <t>Yes</t>
        </r>
        <r>
          <rPr>
            <sz val="8"/>
            <color indexed="81"/>
            <rFont val="Tahoma"/>
            <family val="2"/>
          </rPr>
          <t>'</t>
        </r>
        <r>
          <rPr>
            <sz val="8"/>
            <color indexed="81"/>
            <rFont val="Tahoma"/>
            <family val="2"/>
          </rPr>
          <t xml:space="preserve"> to this question where the concentrated fruit and vegetables eg: dried fruit and tomato paste etc are the only fruit, vegetable, nut and legume component of the food product.  If the food product contains a mixture of concentrated and unconcentrated fruit, vegetable, nut and legumes sources, you must still answer '</t>
        </r>
        <r>
          <rPr>
            <b/>
            <sz val="8"/>
            <color indexed="81"/>
            <rFont val="Tahoma"/>
            <family val="2"/>
          </rPr>
          <t>No</t>
        </r>
        <r>
          <rPr>
            <sz val="8"/>
            <color indexed="81"/>
            <rFont val="Tahoma"/>
            <family val="2"/>
          </rPr>
          <t>'.</t>
        </r>
      </text>
    </comment>
    <comment ref="U1" authorId="0" shapeId="0" xr:uid="{00000000-0006-0000-0500-00000B000000}">
      <text>
        <r>
          <rPr>
            <b/>
            <sz val="8"/>
            <color indexed="81"/>
            <rFont val="Tahoma"/>
            <family val="2"/>
          </rPr>
          <t>Note:</t>
        </r>
        <r>
          <rPr>
            <sz val="8"/>
            <color indexed="81"/>
            <rFont val="Tahoma"/>
            <family val="2"/>
          </rPr>
          <t xml:space="preserve">
Calculated to nearest whole %</t>
        </r>
      </text>
    </comment>
  </commentList>
</comments>
</file>

<file path=xl/sharedStrings.xml><?xml version="1.0" encoding="utf-8"?>
<sst xmlns="http://schemas.openxmlformats.org/spreadsheetml/2006/main" count="339" uniqueCount="224">
  <si>
    <t>Food</t>
  </si>
  <si>
    <t>Fruit Veg. Nuts, Pulses %</t>
  </si>
  <si>
    <t>Energy, kj</t>
  </si>
  <si>
    <t>Sat fat g</t>
  </si>
  <si>
    <t>Tot Sug g</t>
  </si>
  <si>
    <t>Na, mg</t>
  </si>
  <si>
    <t>Protein, g</t>
  </si>
  <si>
    <t>A Tipping point =</t>
  </si>
  <si>
    <t>Fruit/Veg tipping point</t>
  </si>
  <si>
    <t>Claim</t>
  </si>
  <si>
    <t>Cat 1</t>
  </si>
  <si>
    <t>Cat 3</t>
  </si>
  <si>
    <t>Fibre</t>
  </si>
  <si>
    <t>Saturated Fat</t>
  </si>
  <si>
    <t>Sodium</t>
  </si>
  <si>
    <t>Total Sugars</t>
  </si>
  <si>
    <t>Whole Food %</t>
  </si>
  <si>
    <t>W Fd</t>
  </si>
  <si>
    <t>fvnl</t>
  </si>
  <si>
    <t>Vegetables</t>
  </si>
  <si>
    <t>Protein</t>
  </si>
  <si>
    <t>Company</t>
  </si>
  <si>
    <t>Symbols</t>
  </si>
  <si>
    <t>²</t>
  </si>
  <si>
    <t>«</t>
  </si>
  <si>
    <t>««</t>
  </si>
  <si>
    <t>«²</t>
  </si>
  <si>
    <t>«««</t>
  </si>
  <si>
    <t>««««</t>
  </si>
  <si>
    <t>««²</t>
  </si>
  <si>
    <t>«««««</t>
  </si>
  <si>
    <t>«««²</t>
  </si>
  <si>
    <t>««««²</t>
  </si>
  <si>
    <t>Range</t>
  </si>
  <si>
    <t>Portion Size, default per 100g</t>
  </si>
  <si>
    <t>Energy, kJ</t>
  </si>
  <si>
    <t>Fat, g</t>
  </si>
  <si>
    <t>Saturated fatty acids, g</t>
  </si>
  <si>
    <t>Carbohydrate, g</t>
  </si>
  <si>
    <t>Sodium, mg</t>
  </si>
  <si>
    <t>Sugars, g</t>
  </si>
  <si>
    <t>Dietary fibre (if included), g</t>
  </si>
  <si>
    <t>Core Cereals</t>
  </si>
  <si>
    <t>Fruit</t>
  </si>
  <si>
    <t>Water</t>
  </si>
  <si>
    <t>All FVNL Concentrated</t>
  </si>
  <si>
    <t>Yes</t>
  </si>
  <si>
    <t>No</t>
  </si>
  <si>
    <t>All Fruit, Veg con-centrated?</t>
  </si>
  <si>
    <t>Constants used for NPSC purposes:</t>
  </si>
  <si>
    <t>Star Conversion Divisor</t>
  </si>
  <si>
    <t>Daily Intake References</t>
  </si>
  <si>
    <t>Actual % Foods maxima/minima based on new industry data</t>
  </si>
  <si>
    <t>% Foods Fibre</t>
  </si>
  <si>
    <t>%Foods Protein</t>
  </si>
  <si>
    <t>FVNL%</t>
  </si>
  <si>
    <t>Conc FVNL%</t>
  </si>
  <si>
    <t>NPSC Points</t>
  </si>
  <si>
    <t>Scaling Criteria:</t>
  </si>
  <si>
    <t>More healthy</t>
  </si>
  <si>
    <t>Less healthy</t>
  </si>
  <si>
    <t>If %Food range &lt; 9 then Range = Range + 0.999, else Range = 9.999</t>
  </si>
  <si>
    <t>"% Foods" Quantiles based on new industry data</t>
  </si>
  <si>
    <t>FoPL Category</t>
  </si>
  <si>
    <t>Fats, oils</t>
  </si>
  <si>
    <t>NPSC Category</t>
  </si>
  <si>
    <t>% Foods flexed end points based on new industry data</t>
  </si>
  <si>
    <t>Beverages, non-dairy</t>
  </si>
  <si>
    <t>Unprocessed vegetables</t>
  </si>
  <si>
    <t>Trimmed meat/fish, whole legumes, raw nuts</t>
  </si>
  <si>
    <t>Unprocessed fruit</t>
  </si>
  <si>
    <t>Extra lite spreads, canola, olive oils</t>
  </si>
  <si>
    <t>Lite yoghurt, cottage cheese</t>
  </si>
  <si>
    <t>Reduced fat cheese, reduced sodium</t>
  </si>
  <si>
    <t>Low fat milks and alternatives (typically &lt;2.1% sat fat and/or &gt; 3.1% protein)</t>
  </si>
  <si>
    <t>Typically whole grain biscuits and snacks, occasional foods low in saturated fat, sugar and sodium</t>
  </si>
  <si>
    <t>White sugar, table salt</t>
  </si>
  <si>
    <t>Salted butter, copha, coconut oil</t>
  </si>
  <si>
    <t>Beverages typically 0% FVNL, sugars &gt;13.6%</t>
  </si>
  <si>
    <t>Full fat, sweetened, flavoured milks, typically with protein &lt;3.2%, sugar &gt;9.1%</t>
  </si>
  <si>
    <t>Regular fat yoghurt, sugar typically &gt; 9.1%</t>
  </si>
  <si>
    <t>High sodium, high saturated fat cheese</t>
  </si>
  <si>
    <t>Typically highly refined, high sugar, low fibre ceral foods</t>
  </si>
  <si>
    <t>Highly seasoned, untrimmed and/or manufactured meats</t>
  </si>
  <si>
    <t>NPSC Food categories</t>
  </si>
  <si>
    <t>Core Dairy - beverages</t>
  </si>
  <si>
    <t>Core Dairy - cheese</t>
  </si>
  <si>
    <t>Jams, 0% FVNL, pastes &amp; spreads</t>
  </si>
  <si>
    <t>Salted (in brine, etc), processed vegetables</t>
  </si>
  <si>
    <t>Star score</t>
  </si>
  <si>
    <t>Whole fruit juices, typically &gt; 67% FVNL, &lt;13.6% total sugars</t>
  </si>
  <si>
    <t>Whole grain foods, high fibre, protein increased</t>
  </si>
  <si>
    <t>Non-core foods</t>
  </si>
  <si>
    <t>Less healthy reference foods =&lt;1 star:</t>
  </si>
  <si>
    <t>More healthy reference foods =&gt;4 stars:</t>
  </si>
  <si>
    <t>('More healthy' end point set at or below the 5% quantile of NPSC scores, less healthy at or above 95%)</t>
  </si>
  <si>
    <t>(2) Non-healthy reference foods in each category typically achieve half to one star</t>
  </si>
  <si>
    <t>(1) Healthy reference foods in each category typically achieve at least four stars</t>
  </si>
  <si>
    <t>Extended tables, category 1&amp;2 foods</t>
  </si>
  <si>
    <t>Extended tables, category 3 foods, as per 1.2.7</t>
  </si>
  <si>
    <t>Original NPSC profiler points table C, all per 100g</t>
  </si>
  <si>
    <t>Extended FoPL Profiler points table C, all per 100g</t>
  </si>
  <si>
    <t>Beverages</t>
  </si>
  <si>
    <t>Oils/cheese</t>
  </si>
  <si>
    <t>NPSC category</t>
  </si>
  <si>
    <r>
      <t xml:space="preserve">↑ = more </t>
    </r>
    <r>
      <rPr>
        <sz val="9"/>
        <color theme="1"/>
        <rFont val="Wingdings"/>
        <charset val="2"/>
      </rPr>
      <t>«««««</t>
    </r>
  </si>
  <si>
    <r>
      <t xml:space="preserve">↓ = more </t>
    </r>
    <r>
      <rPr>
        <sz val="9"/>
        <color theme="1"/>
        <rFont val="Wingdings"/>
        <charset val="2"/>
      </rPr>
      <t>²</t>
    </r>
  </si>
  <si>
    <t>MAX/MIN END-POINTS INCL NEW INDUSTRY DATA (sans anomaly foods)</t>
  </si>
  <si>
    <t>QUANTILES - INCL NEW INDUSTRY DATA (sans anomaly foods)</t>
  </si>
  <si>
    <t>End points</t>
  </si>
  <si>
    <t>99% - 1%</t>
  </si>
  <si>
    <t>99% - 5%</t>
  </si>
  <si>
    <t>Red typeface refers to interpolated values</t>
  </si>
  <si>
    <t>Data for calculation purposes - do not alter</t>
  </si>
  <si>
    <t>The above tables are all linear, as per HC Standard 1.2.7 for Cat 3 foods</t>
  </si>
  <si>
    <t>Graph for Cat 1&amp;2 foods - all Cat 3 tables are linear</t>
  </si>
  <si>
    <t>(3) Foods considered to be Core to score at least 3 stars</t>
  </si>
  <si>
    <t>(4) The star score range extends from five stars, downwards to least healthy scores in each NPSC category</t>
  </si>
  <si>
    <t>(5) Foods will score star points within the range of star points so established</t>
  </si>
  <si>
    <t>(6) Categories with a range of NPSC points &lt;10 (&lt;5 stars) will start at 5 stars and extend downwards</t>
  </si>
  <si>
    <t>(7) The 'most healthy' food will be set at an NPSC score at or below the 5% quantile of NPSC scores for the category</t>
  </si>
  <si>
    <t>(8) The 'least healthy' food will be set by an NPSC score at or above the 95% quantile of NPSC scores for the category</t>
  </si>
  <si>
    <t>Weighted Average quantiles at x(Np)</t>
  </si>
  <si>
    <t>Required because not all categories have HSRC range &gt;10</t>
  </si>
  <si>
    <t>Core Dairy foods</t>
  </si>
  <si>
    <t>FLEXED END-POINTS CAN BE ENTERED HERE, IN THE BLUE CELLS IMMEDIATELY BELOW!</t>
  </si>
  <si>
    <t>DO NOT CHANGE ANY OTHER NUMBERS ON THIS SHEET</t>
  </si>
  <si>
    <t>Core and non-core beverages (non-dairy)</t>
  </si>
  <si>
    <t>Core Foods (non-dairy)</t>
  </si>
  <si>
    <t>FoPL calibration category</t>
  </si>
  <si>
    <t>Other categories use NPSC category quantiles</t>
  </si>
  <si>
    <t>Core dairy uses FoPL category quantiles</t>
  </si>
  <si>
    <t>Note: All values have been inflated by 0.01 (one reportable increment) to match the 'greater than' requirements of the tables provided by FSANZ</t>
  </si>
  <si>
    <t>HSR Category</t>
  </si>
  <si>
    <t>Fats/Oils/Cheese</t>
  </si>
  <si>
    <t>Data for category entry validation:</t>
  </si>
  <si>
    <t>NPSC Group Number</t>
  </si>
  <si>
    <t>Product</t>
  </si>
  <si>
    <t>Energy (kJ/100mL)</t>
  </si>
  <si>
    <t>Total sugars (g/100mL)</t>
  </si>
  <si>
    <t>FVNL (%)</t>
  </si>
  <si>
    <t>Points</t>
  </si>
  <si>
    <t>HSR Star Points</t>
  </si>
  <si>
    <t>Health Star Rating</t>
  </si>
  <si>
    <t>Points tables for non-dairy beverages</t>
  </si>
  <si>
    <t>Score to star points table for non-dairy beverages</t>
  </si>
  <si>
    <t>Total sugars g/100mL</t>
  </si>
  <si>
    <t>Fruit &amp; veg (%)</t>
  </si>
  <si>
    <t>Score</t>
  </si>
  <si>
    <t>Star points</t>
  </si>
  <si>
    <t>Flavoured water</t>
  </si>
  <si>
    <t>Star points to HSR table for non-dairy beverages</t>
  </si>
  <si>
    <t>HSR</t>
  </si>
  <si>
    <t>Version 3</t>
  </si>
  <si>
    <t>1. To avoid data entry errors,  what was previously called 'HSR Calibration Category' information is now selected from a drop-down list at column F. This information is now simply termed the 'HSR Category'. The category names have not changed. Additional assistance with food categories is available by hovering over Cell F1 on this sheet, and in the table below this text box.</t>
  </si>
  <si>
    <t xml:space="preserve">2. The number 1, 2 or 3 entered previously as the 'HSRC Category for HSRC Calculations' is now determined internally. </t>
  </si>
  <si>
    <t>3. Dairy beverages now scale correctly for foods &lt;2 stars, and across the full 10 point range of star ratings.  There is no change for dairy beverage ratings of 2 stars and above, or for any other category ratings.</t>
  </si>
  <si>
    <t xml:space="preserve">Version 4 </t>
  </si>
  <si>
    <t xml:space="preserve">Implementing recommendations arising from the independent Five Year Review of the Health Star Rating System, as agreed by the Ministerial Forum on Food Regulation on 17 July 2020 </t>
  </si>
  <si>
    <t>Recommendation 4B: Total sugars are more strongly penalised. The sugars table for Categories 1D, 2 and 2D have been revised to a maximum of 25 points for &gt;99 g/100 g</t>
  </si>
  <si>
    <t>Recommendation 4C: Sodium sensitivity has been improved for products high in sodium by reducing the maximum sodium levels used to determine baseline points for products that contain sodium levels &gt;900 mg/100 g (a maximum of 30 baseline points is received for products with a sodium concentration of &gt;2700 mg/100 g).</t>
  </si>
  <si>
    <t>(Part of) Recommendation 4D:  Dairy categories (categories 2D and 3D) have been rescaled to ensure that healthier FFG options receive higher HSRs</t>
  </si>
  <si>
    <t>(Part of) Recommendation 5: A varied calculator has been developed for non-dairy beverages using a new points table that takes into account energy, sugar and FVNL content ONLY (saturated fat, protein, sodium and % conc. FVNL are no longer considered). The proposed points table is based on the French Nutri-Score System but with adjustments for FVNL based on Australian and New Zealand regulations regarding fruit and vegetable drinks and juices.</t>
  </si>
  <si>
    <t>Updated text in comment box associated with HSR Category column</t>
  </si>
  <si>
    <t>Points Table A tab:</t>
  </si>
  <si>
    <t>Lookups tab:</t>
  </si>
  <si>
    <t>Non-Dariy Beverages ONLY Calc</t>
  </si>
  <si>
    <t>New tab included</t>
  </si>
  <si>
    <t>Baseline Energy Points</t>
  </si>
  <si>
    <t>HSR Star points</t>
  </si>
  <si>
    <t>Baseline Sat Fat Points</t>
  </si>
  <si>
    <t>Baseline Total Sugars Points</t>
  </si>
  <si>
    <t>Baseline Sodium Points</t>
  </si>
  <si>
    <t>Total Baseline Points (Table  A)</t>
  </si>
  <si>
    <t>Modifying Points % FVNL</t>
  </si>
  <si>
    <t>Modifying Points % Fibre</t>
  </si>
  <si>
    <t>Modifying Points % Protein</t>
  </si>
  <si>
    <t>Total Modifying Points (Table C)</t>
  </si>
  <si>
    <t>Renamed tab to HSR Calculator from "Star Model"</t>
  </si>
  <si>
    <t>HSR Calculator tab:</t>
  </si>
  <si>
    <t>HSR Profiler Score</t>
  </si>
  <si>
    <t>Core Dairy - foods</t>
  </si>
  <si>
    <t>Row number (optional)</t>
  </si>
  <si>
    <t>Saturated Fat
(g/100 g)</t>
  </si>
  <si>
    <t>Fibre
(g/100 g)</t>
  </si>
  <si>
    <t>Sodium
(mg/100 g)</t>
  </si>
  <si>
    <t>Total Sugars
(g/100 g)</t>
  </si>
  <si>
    <t>Energy
(kJ/100 g)</t>
  </si>
  <si>
    <t>Protein
(g/100 g)</t>
  </si>
  <si>
    <t>Concentrated Fruit and Vegetable
(%)</t>
  </si>
  <si>
    <t>FVNL
(%)</t>
  </si>
  <si>
    <t>Row Number (optional)</t>
  </si>
  <si>
    <t>Amended Category 1 and 2 sodium baseline points table to a maximum of 2700 mg/kg at 30 points (as per Category 3 and 3D sodium baseline points table)</t>
  </si>
  <si>
    <t>Amended Category 1 and 2 total sugars baseline points table to a maximum of &gt;99 g total sugars at 25 points</t>
  </si>
  <si>
    <t>Specific amendments made to this calclulator as part of Version 4:</t>
  </si>
  <si>
    <t xml:space="preserve">Removed unnecessary columns </t>
  </si>
  <si>
    <t>Rearranged columns for ease of cut and paste for users</t>
  </si>
  <si>
    <t>Relabelled nutrient columns F to M to include units for ease of use (also in comment boxes)</t>
  </si>
  <si>
    <t>Instruction box updated</t>
  </si>
  <si>
    <t>Relabelled columns to something a bit more meaningful</t>
  </si>
  <si>
    <t>ORIGINAL Lookups with extra categories</t>
  </si>
  <si>
    <t>2 - Foods</t>
  </si>
  <si>
    <t>1D - Dairy beverages</t>
  </si>
  <si>
    <t>3D - Cheese</t>
  </si>
  <si>
    <t>2D - Dairy foods</t>
  </si>
  <si>
    <t>3 - Fats, oils</t>
  </si>
  <si>
    <t>1 - Non-dairy beverages</t>
  </si>
  <si>
    <t>Core Dairy - yoghurt, soft cheese</t>
  </si>
  <si>
    <t>AMENDED lookups with simplified categories</t>
  </si>
  <si>
    <t>ORIGINAL Lookups with extra categories for Category 2 - foods</t>
  </si>
  <si>
    <r>
      <t xml:space="preserve">HSR Classification lookup list </t>
    </r>
    <r>
      <rPr>
        <b/>
        <sz val="10"/>
        <rFont val="Arial"/>
        <family val="2"/>
      </rPr>
      <t>Cells A136:A145</t>
    </r>
    <r>
      <rPr>
        <sz val="10"/>
        <rFont val="Arial"/>
        <family val="2"/>
      </rPr>
      <t xml:space="preserve"> (for drop down list in HSR Calcluator tab) amended to remove:
Beverages, non-dairy
Core Cereals
Fruit
Protein
Vegetables
Names of remaining HSR Categories updated to:
1D - Dairy beverages
2 - Foods
2D - Dairy Foods
3 - Fats, oils
3D - Cheese</t>
    </r>
  </si>
  <si>
    <t>Updated and re-ordered (for vlookup purposes) HSR Categories in Cells A55-D64 to reflect name changes for HSR Classification lookups (as described above). References to Category names in Cells C2:C11 automatically updated by reference.</t>
  </si>
  <si>
    <t>Amended scaling for Category 3D - Cheese, cell C59 from 21 to 23 (range automatically adjusted from 20 to 18)</t>
  </si>
  <si>
    <t>Amended scaling for Category 2D Dairy foods, Cell B57 from 6 to 14, Cell C57 from -2 to -3 (range automatically adjusted from 8 to 17)</t>
  </si>
  <si>
    <t>Grey cells no longer referenced by the HSR Calculator</t>
  </si>
  <si>
    <t>Note: FoPL Categories are indicated in comments. Grey cells no longer referenced in the HSR Calculator</t>
  </si>
  <si>
    <t>Amended categories</t>
  </si>
  <si>
    <t>Version 4.1</t>
  </si>
  <si>
    <t>Forum decision in November 2020 to a minor adjustment to the HSR review calculator so that diet drinks with very low energy and total sugars score a maximum of 3.5 stars</t>
  </si>
  <si>
    <t>Non-Dairy Beverages ONLY calc:</t>
  </si>
  <si>
    <t>Update number in Cell L4 from 1.11 to 0</t>
  </si>
  <si>
    <t>Version 4.2</t>
  </si>
  <si>
    <t>Minor adjustment to the HSR review calculator so a star rating (the maximum of 3.5 stars) is calculated and displays for non-dairy beverages with an energy, total sugars and FVNL content of zero.</t>
  </si>
  <si>
    <t>Update formula in cells I2:I1001 to add additional condition: Where a product name has been entered in column B (Product) a star rating will be calculated and display.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</si>
</sst>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2" x14ac:knownFonts="1">
    <font>
      <sz val="10"/>
      <name val="Arial"/>
    </font>
    <font>
      <sz val="11"/>
      <color theme="1"/>
      <name val="Calibri"/>
      <family val="2"/>
      <scheme val="minor"/>
    </font>
    <font>
      <sz val="11"/>
      <color theme="1"/>
      <name val="Calibri"/>
      <family val="2"/>
      <scheme val="minor"/>
    </font>
    <font>
      <sz val="8"/>
      <color indexed="81"/>
      <name val="Tahoma"/>
      <family val="2"/>
    </font>
    <font>
      <b/>
      <sz val="8"/>
      <color indexed="81"/>
      <name val="Tahoma"/>
      <family val="2"/>
    </font>
    <font>
      <sz val="10"/>
      <name val="Arial"/>
      <family val="2"/>
    </font>
    <font>
      <sz val="10"/>
      <color theme="1"/>
      <name val="Calibri"/>
      <family val="2"/>
      <scheme val="minor"/>
    </font>
    <font>
      <sz val="11"/>
      <color theme="1"/>
      <name val="Calibri"/>
      <family val="2"/>
      <scheme val="minor"/>
    </font>
    <font>
      <sz val="8"/>
      <color theme="1"/>
      <name val="Calibri"/>
      <family val="2"/>
      <scheme val="minor"/>
    </font>
    <font>
      <b/>
      <sz val="8"/>
      <color theme="1"/>
      <name val="Calibri"/>
      <family val="2"/>
      <scheme val="minor"/>
    </font>
    <font>
      <sz val="8"/>
      <name val="Arial"/>
      <family val="2"/>
    </font>
    <font>
      <b/>
      <sz val="11"/>
      <color indexed="18"/>
      <name val="Arial Narrow"/>
      <family val="2"/>
    </font>
    <font>
      <sz val="8"/>
      <color rgb="FF000000"/>
      <name val="Arial"/>
      <family val="2"/>
    </font>
    <font>
      <sz val="8"/>
      <name val="Wingdings"/>
      <charset val="2"/>
    </font>
    <font>
      <sz val="8"/>
      <name val="Calibri"/>
      <family val="2"/>
      <scheme val="minor"/>
    </font>
    <font>
      <sz val="10"/>
      <name val="Wingdings"/>
      <charset val="2"/>
    </font>
    <font>
      <b/>
      <sz val="8"/>
      <name val="Arial"/>
      <family val="2"/>
    </font>
    <font>
      <b/>
      <sz val="8"/>
      <color rgb="FFFF0000"/>
      <name val="Calibri"/>
      <family val="2"/>
      <scheme val="minor"/>
    </font>
    <font>
      <b/>
      <sz val="10"/>
      <name val="Arial"/>
      <family val="2"/>
    </font>
    <font>
      <sz val="9"/>
      <color theme="1"/>
      <name val="Calibri"/>
      <family val="2"/>
    </font>
    <font>
      <sz val="9"/>
      <color theme="1"/>
      <name val="Wingdings"/>
      <charset val="2"/>
    </font>
    <font>
      <sz val="8"/>
      <color rgb="FFFF0000"/>
      <name val="Arial"/>
      <family val="2"/>
    </font>
    <font>
      <b/>
      <sz val="8"/>
      <color rgb="FFC00000"/>
      <name val="Calibri"/>
      <family val="2"/>
      <scheme val="minor"/>
    </font>
    <font>
      <sz val="9"/>
      <color indexed="81"/>
      <name val="Tahoma"/>
      <family val="2"/>
    </font>
    <font>
      <b/>
      <sz val="9"/>
      <color indexed="81"/>
      <name val="Tahoma"/>
      <family val="2"/>
    </font>
    <font>
      <b/>
      <sz val="11"/>
      <color theme="1"/>
      <name val="Calibri"/>
      <family val="2"/>
      <scheme val="minor"/>
    </font>
    <font>
      <sz val="11"/>
      <color rgb="FF000000"/>
      <name val="Calibri"/>
      <family val="2"/>
      <scheme val="minor"/>
    </font>
    <font>
      <b/>
      <sz val="11"/>
      <color rgb="FF000000"/>
      <name val="Calibri"/>
      <family val="2"/>
      <scheme val="minor"/>
    </font>
    <font>
      <i/>
      <sz val="9"/>
      <color indexed="81"/>
      <name val="Tahoma"/>
      <family val="2"/>
    </font>
    <font>
      <b/>
      <sz val="12"/>
      <name val="Arial"/>
      <family val="2"/>
    </font>
    <font>
      <i/>
      <sz val="10"/>
      <name val="Arial"/>
      <family val="2"/>
    </font>
    <font>
      <b/>
      <sz val="14"/>
      <name val="Arial"/>
      <family val="2"/>
    </font>
  </fonts>
  <fills count="29">
    <fill>
      <patternFill patternType="none"/>
    </fill>
    <fill>
      <patternFill patternType="gray125"/>
    </fill>
    <fill>
      <patternFill patternType="solid">
        <fgColor indexed="47"/>
        <bgColor indexed="64"/>
      </patternFill>
    </fill>
    <fill>
      <patternFill patternType="solid">
        <fgColor rgb="FFFFCC99"/>
        <bgColor indexed="64"/>
      </patternFill>
    </fill>
    <fill>
      <patternFill patternType="solid">
        <fgColor theme="6" tint="0.79998168889431442"/>
        <bgColor indexed="64"/>
      </patternFill>
    </fill>
    <fill>
      <patternFill patternType="solid">
        <fgColor indexed="41"/>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BDD7EE"/>
        <bgColor indexed="64"/>
      </patternFill>
    </fill>
    <fill>
      <patternFill patternType="solid">
        <fgColor rgb="FFF8CBAD"/>
        <bgColor indexed="64"/>
      </patternFill>
    </fill>
    <fill>
      <patternFill patternType="solid">
        <fgColor rgb="FFC6E0B4"/>
        <bgColor indexed="64"/>
      </patternFill>
    </fill>
    <fill>
      <patternFill patternType="solid">
        <fgColor rgb="FFDBDBDB"/>
        <bgColor indexed="64"/>
      </patternFill>
    </fill>
    <fill>
      <patternFill patternType="solid">
        <fgColor rgb="FFFBBBC1"/>
        <bgColor indexed="64"/>
      </patternFill>
    </fill>
    <fill>
      <patternFill patternType="solid">
        <fgColor rgb="FFF3C4FC"/>
        <bgColor indexed="64"/>
      </patternFill>
    </fill>
    <fill>
      <patternFill patternType="solid">
        <fgColor rgb="FF92D050"/>
        <bgColor indexed="64"/>
      </patternFill>
    </fill>
    <fill>
      <patternFill patternType="solid">
        <fgColor theme="5" tint="0.79998168889431442"/>
        <bgColor indexed="64"/>
      </patternFill>
    </fill>
    <fill>
      <patternFill patternType="solid">
        <fgColor theme="0" tint="-0.249977111117893"/>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thick">
        <color indexed="4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0" fontId="5" fillId="0" borderId="0"/>
    <xf numFmtId="0" fontId="6" fillId="0" borderId="0"/>
    <xf numFmtId="0" fontId="7" fillId="0" borderId="0"/>
    <xf numFmtId="4" fontId="11" fillId="5" borderId="2">
      <alignment horizontal="left" vertical="center" indent="1"/>
    </xf>
    <xf numFmtId="0" fontId="2" fillId="0" borderId="0"/>
    <xf numFmtId="0" fontId="2" fillId="0" borderId="0"/>
    <xf numFmtId="0" fontId="1" fillId="0" borderId="0"/>
  </cellStyleXfs>
  <cellXfs count="197">
    <xf numFmtId="0" fontId="0" fillId="0" borderId="0" xfId="0"/>
    <xf numFmtId="0" fontId="8" fillId="0" borderId="0" xfId="3" applyFont="1" applyAlignment="1">
      <alignment horizontal="center"/>
    </xf>
    <xf numFmtId="0" fontId="8" fillId="0" borderId="0" xfId="3" applyFont="1"/>
    <xf numFmtId="0" fontId="9" fillId="0" borderId="0" xfId="3" applyFont="1"/>
    <xf numFmtId="0" fontId="10" fillId="0" borderId="0" xfId="0" applyFont="1" applyAlignment="1">
      <alignment horizontal="center"/>
    </xf>
    <xf numFmtId="0" fontId="10" fillId="0" borderId="0" xfId="0" applyFont="1"/>
    <xf numFmtId="0" fontId="10" fillId="0" borderId="0" xfId="0" applyFont="1" applyAlignment="1">
      <alignment vertical="top" wrapText="1"/>
    </xf>
    <xf numFmtId="0" fontId="10" fillId="0" borderId="0" xfId="0" applyFont="1" applyAlignment="1">
      <alignment wrapText="1"/>
    </xf>
    <xf numFmtId="0" fontId="10" fillId="0" borderId="0" xfId="0" applyFont="1" applyAlignment="1">
      <alignment horizontal="left"/>
    </xf>
    <xf numFmtId="0" fontId="13" fillId="0" borderId="0" xfId="3" applyFont="1"/>
    <xf numFmtId="0" fontId="10" fillId="3" borderId="1" xfId="0" applyFont="1" applyFill="1" applyBorder="1" applyAlignment="1">
      <alignment wrapText="1"/>
    </xf>
    <xf numFmtId="0" fontId="9" fillId="0" borderId="0" xfId="3" applyFont="1" applyAlignment="1">
      <alignment horizontal="center"/>
    </xf>
    <xf numFmtId="0" fontId="9" fillId="0" borderId="0" xfId="3" applyFont="1" applyAlignment="1">
      <alignment horizontal="left"/>
    </xf>
    <xf numFmtId="0" fontId="15" fillId="0" borderId="0" xfId="0" applyFont="1"/>
    <xf numFmtId="0" fontId="10" fillId="2" borderId="1" xfId="0" applyFont="1" applyFill="1" applyBorder="1" applyAlignment="1">
      <alignment horizontal="center" wrapText="1"/>
    </xf>
    <xf numFmtId="0" fontId="10" fillId="6" borderId="0" xfId="0" applyFont="1" applyFill="1" applyAlignment="1">
      <alignment horizontal="center"/>
    </xf>
    <xf numFmtId="0" fontId="16" fillId="8" borderId="0" xfId="0" applyFont="1" applyFill="1" applyAlignment="1">
      <alignment horizontal="center"/>
    </xf>
    <xf numFmtId="164" fontId="10" fillId="9" borderId="0" xfId="0" applyNumberFormat="1" applyFont="1" applyFill="1" applyAlignment="1">
      <alignment horizontal="center"/>
    </xf>
    <xf numFmtId="0" fontId="10" fillId="10" borderId="0" xfId="0" applyFont="1" applyFill="1" applyAlignment="1">
      <alignment horizontal="center"/>
    </xf>
    <xf numFmtId="0" fontId="16" fillId="0" borderId="0" xfId="0" applyFont="1"/>
    <xf numFmtId="0" fontId="16" fillId="0" borderId="0" xfId="0" applyFont="1" applyAlignment="1">
      <alignment horizontal="left"/>
    </xf>
    <xf numFmtId="1" fontId="10" fillId="0" borderId="0" xfId="0" applyNumberFormat="1" applyFont="1" applyAlignment="1">
      <alignment horizontal="center"/>
    </xf>
    <xf numFmtId="0" fontId="10" fillId="11" borderId="0" xfId="0" applyFont="1" applyFill="1" applyAlignment="1">
      <alignment horizontal="center"/>
    </xf>
    <xf numFmtId="0" fontId="16" fillId="0" borderId="0" xfId="0" applyFont="1" applyAlignment="1">
      <alignment horizontal="center"/>
    </xf>
    <xf numFmtId="0" fontId="10" fillId="4" borderId="0" xfId="0" applyFont="1" applyFill="1" applyAlignment="1">
      <alignment horizontal="center"/>
    </xf>
    <xf numFmtId="0" fontId="16" fillId="4" borderId="0" xfId="0" applyFont="1" applyFill="1" applyAlignment="1">
      <alignment horizontal="center"/>
    </xf>
    <xf numFmtId="0" fontId="10" fillId="4" borderId="0" xfId="0" applyFont="1" applyFill="1" applyAlignment="1">
      <alignment horizontal="left"/>
    </xf>
    <xf numFmtId="1" fontId="8" fillId="0" borderId="0" xfId="3" applyNumberFormat="1" applyFont="1" applyAlignment="1">
      <alignment horizontal="center"/>
    </xf>
    <xf numFmtId="0" fontId="17" fillId="0" borderId="0" xfId="3" applyFont="1"/>
    <xf numFmtId="0" fontId="14" fillId="0" borderId="0" xfId="3" applyFont="1"/>
    <xf numFmtId="0" fontId="8" fillId="6" borderId="5" xfId="3" applyFont="1" applyFill="1" applyBorder="1"/>
    <xf numFmtId="0" fontId="14" fillId="6" borderId="6" xfId="3" applyFont="1" applyFill="1" applyBorder="1" applyAlignment="1">
      <alignment horizontal="center"/>
    </xf>
    <xf numFmtId="0" fontId="14" fillId="6" borderId="8" xfId="3" applyFont="1" applyFill="1" applyBorder="1" applyAlignment="1">
      <alignment horizontal="center"/>
    </xf>
    <xf numFmtId="0" fontId="8" fillId="6" borderId="7" xfId="3" applyFont="1" applyFill="1" applyBorder="1"/>
    <xf numFmtId="0" fontId="8" fillId="0" borderId="0" xfId="3" applyFont="1" applyAlignment="1">
      <alignment horizontal="right"/>
    </xf>
    <xf numFmtId="0" fontId="9" fillId="13" borderId="5" xfId="3" applyFont="1" applyFill="1" applyBorder="1"/>
    <xf numFmtId="0" fontId="8" fillId="13" borderId="3" xfId="3" applyFont="1" applyFill="1" applyBorder="1"/>
    <xf numFmtId="0" fontId="8" fillId="13" borderId="6" xfId="3" applyFont="1" applyFill="1" applyBorder="1"/>
    <xf numFmtId="0" fontId="8" fillId="13" borderId="7" xfId="3" applyFont="1" applyFill="1" applyBorder="1"/>
    <xf numFmtId="0" fontId="8" fillId="13" borderId="0" xfId="3" applyFont="1" applyFill="1" applyAlignment="1">
      <alignment horizontal="center"/>
    </xf>
    <xf numFmtId="0" fontId="8" fillId="13" borderId="8" xfId="3" applyFont="1" applyFill="1" applyBorder="1" applyAlignment="1">
      <alignment horizontal="center"/>
    </xf>
    <xf numFmtId="0" fontId="10" fillId="15" borderId="1" xfId="0" applyFont="1" applyFill="1" applyBorder="1" applyAlignment="1">
      <alignment wrapText="1"/>
    </xf>
    <xf numFmtId="0" fontId="14" fillId="0" borderId="0" xfId="0" applyFont="1"/>
    <xf numFmtId="0" fontId="9" fillId="13" borderId="8" xfId="3" applyFont="1" applyFill="1" applyBorder="1" applyAlignment="1">
      <alignment horizontal="center"/>
    </xf>
    <xf numFmtId="0" fontId="8" fillId="0" borderId="5" xfId="3" applyFont="1" applyBorder="1"/>
    <xf numFmtId="0" fontId="8" fillId="0" borderId="7" xfId="3" applyFont="1" applyBorder="1"/>
    <xf numFmtId="0" fontId="8" fillId="0" borderId="9" xfId="3" applyFont="1" applyBorder="1"/>
    <xf numFmtId="0" fontId="8" fillId="0" borderId="6" xfId="3" applyFont="1" applyBorder="1" applyAlignment="1">
      <alignment horizontal="center"/>
    </xf>
    <xf numFmtId="0" fontId="8" fillId="0" borderId="8" xfId="3" applyFont="1" applyBorder="1" applyAlignment="1">
      <alignment horizontal="center"/>
    </xf>
    <xf numFmtId="0" fontId="8" fillId="0" borderId="10" xfId="3" applyFont="1" applyBorder="1" applyAlignment="1">
      <alignment horizontal="center"/>
    </xf>
    <xf numFmtId="9" fontId="9" fillId="0" borderId="0" xfId="3" applyNumberFormat="1" applyFont="1" applyAlignment="1">
      <alignment horizontal="center"/>
    </xf>
    <xf numFmtId="0" fontId="8" fillId="16" borderId="7" xfId="3" applyFont="1" applyFill="1" applyBorder="1"/>
    <xf numFmtId="0" fontId="8" fillId="18" borderId="7" xfId="3" applyFont="1" applyFill="1" applyBorder="1"/>
    <xf numFmtId="0" fontId="19" fillId="13" borderId="0" xfId="3" applyFont="1" applyFill="1" applyAlignment="1">
      <alignment horizontal="center"/>
    </xf>
    <xf numFmtId="0" fontId="8" fillId="16" borderId="14" xfId="3" applyFont="1" applyFill="1" applyBorder="1"/>
    <xf numFmtId="0" fontId="8" fillId="18" borderId="14" xfId="3" applyFont="1" applyFill="1" applyBorder="1"/>
    <xf numFmtId="9" fontId="8" fillId="6" borderId="14" xfId="3" applyNumberFormat="1" applyFont="1" applyFill="1" applyBorder="1" applyAlignment="1">
      <alignment horizontal="center"/>
    </xf>
    <xf numFmtId="9" fontId="8" fillId="6" borderId="15" xfId="3" applyNumberFormat="1" applyFont="1" applyFill="1" applyBorder="1" applyAlignment="1">
      <alignment horizontal="center"/>
    </xf>
    <xf numFmtId="9" fontId="8" fillId="19" borderId="14" xfId="3" applyNumberFormat="1" applyFont="1" applyFill="1" applyBorder="1" applyAlignment="1">
      <alignment horizontal="center"/>
    </xf>
    <xf numFmtId="9" fontId="8" fillId="19" borderId="15" xfId="3" applyNumberFormat="1" applyFont="1" applyFill="1" applyBorder="1" applyAlignment="1">
      <alignment horizontal="center"/>
    </xf>
    <xf numFmtId="0" fontId="9" fillId="0" borderId="3" xfId="3" applyFont="1" applyBorder="1" applyAlignment="1">
      <alignment horizontal="center"/>
    </xf>
    <xf numFmtId="0" fontId="9" fillId="0" borderId="6" xfId="3" applyFont="1" applyBorder="1" applyAlignment="1">
      <alignment horizontal="center"/>
    </xf>
    <xf numFmtId="0" fontId="9" fillId="0" borderId="8" xfId="3" applyFont="1" applyBorder="1" applyAlignment="1">
      <alignment horizontal="center"/>
    </xf>
    <xf numFmtId="0" fontId="9" fillId="0" borderId="4" xfId="3" applyFont="1" applyBorder="1" applyAlignment="1">
      <alignment horizontal="center"/>
    </xf>
    <xf numFmtId="0" fontId="9" fillId="0" borderId="10" xfId="3" applyFont="1" applyBorder="1" applyAlignment="1">
      <alignment horizontal="center"/>
    </xf>
    <xf numFmtId="0" fontId="9" fillId="6" borderId="16" xfId="3" applyFont="1" applyFill="1" applyBorder="1" applyAlignment="1">
      <alignment horizontal="center"/>
    </xf>
    <xf numFmtId="0" fontId="9" fillId="6" borderId="17" xfId="3" applyFont="1" applyFill="1" applyBorder="1" applyAlignment="1">
      <alignment horizontal="center"/>
    </xf>
    <xf numFmtId="0" fontId="9" fillId="6" borderId="18" xfId="3" applyFont="1" applyFill="1" applyBorder="1" applyAlignment="1">
      <alignment horizontal="center"/>
    </xf>
    <xf numFmtId="0" fontId="9" fillId="19" borderId="18" xfId="3" applyFont="1" applyFill="1" applyBorder="1" applyAlignment="1">
      <alignment horizontal="center"/>
    </xf>
    <xf numFmtId="0" fontId="8" fillId="13" borderId="9" xfId="3" applyFont="1" applyFill="1" applyBorder="1"/>
    <xf numFmtId="9" fontId="9" fillId="13" borderId="4" xfId="3" applyNumberFormat="1" applyFont="1" applyFill="1" applyBorder="1" applyAlignment="1">
      <alignment horizontal="center"/>
    </xf>
    <xf numFmtId="9" fontId="9" fillId="13" borderId="10" xfId="3" applyNumberFormat="1" applyFont="1" applyFill="1" applyBorder="1" applyAlignment="1">
      <alignment horizontal="center"/>
    </xf>
    <xf numFmtId="0" fontId="9" fillId="19" borderId="19" xfId="3" applyFont="1" applyFill="1" applyBorder="1" applyAlignment="1">
      <alignment horizontal="center"/>
    </xf>
    <xf numFmtId="0" fontId="9" fillId="19" borderId="20" xfId="3" applyFont="1" applyFill="1" applyBorder="1" applyAlignment="1">
      <alignment horizontal="center"/>
    </xf>
    <xf numFmtId="0" fontId="9" fillId="19" borderId="21" xfId="3" applyFont="1" applyFill="1" applyBorder="1" applyAlignment="1">
      <alignment horizontal="center"/>
    </xf>
    <xf numFmtId="1" fontId="16" fillId="0" borderId="0" xfId="0" applyNumberFormat="1" applyFont="1" applyAlignment="1">
      <alignment horizontal="center"/>
    </xf>
    <xf numFmtId="0" fontId="21" fillId="10" borderId="0" xfId="0" applyFont="1" applyFill="1" applyAlignment="1">
      <alignment horizontal="center"/>
    </xf>
    <xf numFmtId="0" fontId="21" fillId="0" borderId="0" xfId="0" applyFont="1" applyAlignment="1">
      <alignment horizontal="center"/>
    </xf>
    <xf numFmtId="0" fontId="21" fillId="0" borderId="0" xfId="0" applyFont="1" applyAlignment="1">
      <alignment horizontal="left"/>
    </xf>
    <xf numFmtId="0" fontId="14" fillId="0" borderId="0" xfId="0" applyFont="1" applyAlignment="1">
      <alignment horizontal="left" vertical="top" wrapText="1"/>
    </xf>
    <xf numFmtId="0" fontId="14" fillId="0" borderId="0" xfId="0" applyFont="1" applyAlignment="1">
      <alignment horizontal="left"/>
    </xf>
    <xf numFmtId="0" fontId="14" fillId="0" borderId="0" xfId="0" applyFont="1" applyAlignment="1">
      <alignment horizontal="center"/>
    </xf>
    <xf numFmtId="0" fontId="9" fillId="0" borderId="26" xfId="3" applyFont="1" applyBorder="1"/>
    <xf numFmtId="0" fontId="8" fillId="0" borderId="27" xfId="3" applyFont="1" applyBorder="1"/>
    <xf numFmtId="0" fontId="8" fillId="0" borderId="28" xfId="3" applyFont="1" applyBorder="1"/>
    <xf numFmtId="0" fontId="8" fillId="0" borderId="29" xfId="3" applyFont="1" applyBorder="1"/>
    <xf numFmtId="0" fontId="8" fillId="0" borderId="30" xfId="3" applyFont="1" applyBorder="1"/>
    <xf numFmtId="0" fontId="9" fillId="0" borderId="29" xfId="0" applyFont="1" applyBorder="1"/>
    <xf numFmtId="0" fontId="14" fillId="0" borderId="29" xfId="0" applyFont="1" applyBorder="1"/>
    <xf numFmtId="0" fontId="9" fillId="0" borderId="29" xfId="3" applyFont="1" applyBorder="1"/>
    <xf numFmtId="0" fontId="14" fillId="0" borderId="29" xfId="0" applyFont="1" applyBorder="1" applyAlignment="1">
      <alignment vertical="top" wrapText="1"/>
    </xf>
    <xf numFmtId="0" fontId="14" fillId="0" borderId="29" xfId="0" applyFont="1" applyBorder="1" applyAlignment="1">
      <alignment horizontal="left"/>
    </xf>
    <xf numFmtId="0" fontId="14" fillId="0" borderId="29" xfId="0" applyFont="1" applyBorder="1" applyAlignment="1">
      <alignment horizontal="center"/>
    </xf>
    <xf numFmtId="0" fontId="14" fillId="0" borderId="30" xfId="0" applyFont="1" applyBorder="1" applyAlignment="1">
      <alignment horizontal="center"/>
    </xf>
    <xf numFmtId="0" fontId="14" fillId="0" borderId="31" xfId="0" applyFont="1" applyBorder="1" applyAlignment="1">
      <alignment horizontal="center"/>
    </xf>
    <xf numFmtId="0" fontId="14" fillId="0" borderId="32" xfId="0" applyFont="1" applyBorder="1" applyAlignment="1">
      <alignment horizontal="center"/>
    </xf>
    <xf numFmtId="0" fontId="14" fillId="0" borderId="33" xfId="0" applyFont="1" applyBorder="1" applyAlignment="1">
      <alignment horizontal="center"/>
    </xf>
    <xf numFmtId="0" fontId="22" fillId="19" borderId="5" xfId="3" applyFont="1" applyFill="1" applyBorder="1" applyAlignment="1">
      <alignment horizontal="center"/>
    </xf>
    <xf numFmtId="0" fontId="22" fillId="19" borderId="6" xfId="3" applyFont="1" applyFill="1" applyBorder="1" applyAlignment="1">
      <alignment horizontal="center"/>
    </xf>
    <xf numFmtId="0" fontId="22" fillId="19" borderId="7" xfId="3" applyFont="1" applyFill="1" applyBorder="1" applyAlignment="1">
      <alignment horizontal="center"/>
    </xf>
    <xf numFmtId="0" fontId="22" fillId="19" borderId="8" xfId="3" applyFont="1" applyFill="1" applyBorder="1" applyAlignment="1">
      <alignment horizontal="center"/>
    </xf>
    <xf numFmtId="0" fontId="22" fillId="6" borderId="24" xfId="3" applyFont="1" applyFill="1" applyBorder="1" applyAlignment="1">
      <alignment horizontal="center"/>
    </xf>
    <xf numFmtId="0" fontId="22" fillId="6" borderId="22" xfId="3" applyFont="1" applyFill="1" applyBorder="1" applyAlignment="1">
      <alignment horizontal="center"/>
    </xf>
    <xf numFmtId="0" fontId="22" fillId="19" borderId="9" xfId="3" applyFont="1" applyFill="1" applyBorder="1" applyAlignment="1">
      <alignment horizontal="center"/>
    </xf>
    <xf numFmtId="0" fontId="22" fillId="19" borderId="10" xfId="3" applyFont="1" applyFill="1" applyBorder="1" applyAlignment="1">
      <alignment horizontal="center"/>
    </xf>
    <xf numFmtId="2" fontId="10" fillId="10" borderId="0" xfId="0" applyNumberFormat="1" applyFont="1" applyFill="1" applyAlignment="1">
      <alignment horizontal="center"/>
    </xf>
    <xf numFmtId="2" fontId="21" fillId="10" borderId="0" xfId="0" applyNumberFormat="1" applyFont="1" applyFill="1" applyAlignment="1">
      <alignment horizontal="center"/>
    </xf>
    <xf numFmtId="2" fontId="10" fillId="0" borderId="0" xfId="0" applyNumberFormat="1" applyFont="1"/>
    <xf numFmtId="2" fontId="10" fillId="6" borderId="0" xfId="0" applyNumberFormat="1" applyFont="1" applyFill="1" applyAlignment="1">
      <alignment horizontal="center"/>
    </xf>
    <xf numFmtId="0" fontId="17" fillId="0" borderId="5" xfId="3" applyFont="1" applyBorder="1"/>
    <xf numFmtId="0" fontId="8" fillId="0" borderId="3" xfId="3" applyFont="1" applyBorder="1"/>
    <xf numFmtId="0" fontId="8" fillId="0" borderId="6" xfId="3" applyFont="1" applyBorder="1"/>
    <xf numFmtId="0" fontId="8" fillId="0" borderId="8" xfId="3" applyFont="1" applyBorder="1"/>
    <xf numFmtId="0" fontId="8" fillId="0" borderId="4" xfId="3" applyFont="1" applyBorder="1"/>
    <xf numFmtId="0" fontId="8" fillId="0" borderId="10" xfId="3" applyFont="1" applyBorder="1"/>
    <xf numFmtId="0" fontId="8" fillId="0" borderId="4" xfId="3" applyFont="1" applyBorder="1" applyAlignment="1">
      <alignment horizontal="center"/>
    </xf>
    <xf numFmtId="9" fontId="9" fillId="0" borderId="4" xfId="3" applyNumberFormat="1" applyFont="1" applyBorder="1" applyAlignment="1">
      <alignment horizontal="center"/>
    </xf>
    <xf numFmtId="0" fontId="8" fillId="17" borderId="7" xfId="3" applyFont="1" applyFill="1" applyBorder="1"/>
    <xf numFmtId="0" fontId="8" fillId="17" borderId="9" xfId="3" applyFont="1" applyFill="1" applyBorder="1"/>
    <xf numFmtId="0" fontId="8" fillId="7" borderId="5" xfId="3" applyFont="1" applyFill="1" applyBorder="1"/>
    <xf numFmtId="0" fontId="8" fillId="17" borderId="1" xfId="3" applyFont="1" applyFill="1" applyBorder="1"/>
    <xf numFmtId="0" fontId="8" fillId="7" borderId="1" xfId="3" applyFont="1" applyFill="1" applyBorder="1"/>
    <xf numFmtId="0" fontId="10" fillId="10" borderId="1" xfId="0" applyFont="1" applyFill="1" applyBorder="1" applyAlignment="1">
      <alignment wrapText="1"/>
    </xf>
    <xf numFmtId="0" fontId="10" fillId="10" borderId="0" xfId="0" applyFont="1" applyFill="1" applyAlignment="1">
      <alignment wrapText="1"/>
    </xf>
    <xf numFmtId="2" fontId="10" fillId="9" borderId="0" xfId="0" applyNumberFormat="1" applyFont="1" applyFill="1" applyAlignment="1">
      <alignment horizontal="center"/>
    </xf>
    <xf numFmtId="2" fontId="10" fillId="0" borderId="0" xfId="0" applyNumberFormat="1" applyFont="1" applyAlignment="1">
      <alignment horizontal="center"/>
    </xf>
    <xf numFmtId="0" fontId="10" fillId="3" borderId="1" xfId="5" applyFont="1" applyFill="1" applyBorder="1" applyAlignment="1">
      <alignment horizontal="left" wrapText="1"/>
    </xf>
    <xf numFmtId="0" fontId="10" fillId="2" borderId="1" xfId="5" applyFont="1" applyFill="1" applyBorder="1" applyAlignment="1">
      <alignment horizontal="center" wrapText="1"/>
    </xf>
    <xf numFmtId="0" fontId="16" fillId="13" borderId="1" xfId="5" applyFont="1" applyFill="1" applyBorder="1" applyAlignment="1">
      <alignment horizontal="left" wrapText="1"/>
    </xf>
    <xf numFmtId="0" fontId="2" fillId="0" borderId="0" xfId="5"/>
    <xf numFmtId="0" fontId="26" fillId="0" borderId="0" xfId="5" applyFont="1" applyAlignment="1">
      <alignment vertical="center"/>
    </xf>
    <xf numFmtId="0" fontId="10" fillId="0" borderId="0" xfId="5" applyFont="1" applyAlignment="1">
      <alignment horizontal="left" vertical="top"/>
    </xf>
    <xf numFmtId="0" fontId="10" fillId="0" borderId="0" xfId="5" applyFont="1"/>
    <xf numFmtId="0" fontId="10" fillId="0" borderId="0" xfId="5" applyFont="1" applyAlignment="1">
      <alignment horizontal="center"/>
    </xf>
    <xf numFmtId="164" fontId="10" fillId="0" borderId="0" xfId="5" applyNumberFormat="1" applyFont="1" applyAlignment="1">
      <alignment horizontal="center"/>
    </xf>
    <xf numFmtId="1" fontId="10" fillId="0" borderId="0" xfId="5" applyNumberFormat="1" applyFont="1" applyAlignment="1">
      <alignment horizontal="center"/>
    </xf>
    <xf numFmtId="0" fontId="10" fillId="0" borderId="0" xfId="5" applyFont="1" applyAlignment="1">
      <alignment horizontal="left"/>
    </xf>
    <xf numFmtId="0" fontId="13" fillId="0" borderId="0" xfId="5" applyFont="1" applyAlignment="1">
      <alignment horizontal="left"/>
    </xf>
    <xf numFmtId="0" fontId="27" fillId="20" borderId="34" xfId="5" applyFont="1" applyFill="1" applyBorder="1" applyAlignment="1">
      <alignment vertical="center"/>
    </xf>
    <xf numFmtId="0" fontId="27" fillId="21" borderId="11" xfId="5" applyFont="1" applyFill="1" applyBorder="1" applyAlignment="1">
      <alignment vertical="center" wrapText="1"/>
    </xf>
    <xf numFmtId="0" fontId="27" fillId="22" borderId="11" xfId="5" applyFont="1" applyFill="1" applyBorder="1" applyAlignment="1">
      <alignment vertical="center" wrapText="1"/>
    </xf>
    <xf numFmtId="0" fontId="27" fillId="23" borderId="34" xfId="5" applyFont="1" applyFill="1" applyBorder="1" applyAlignment="1">
      <alignment vertical="center"/>
    </xf>
    <xf numFmtId="0" fontId="27" fillId="24" borderId="12" xfId="5" applyFont="1" applyFill="1" applyBorder="1" applyAlignment="1">
      <alignment vertical="center" wrapText="1"/>
    </xf>
    <xf numFmtId="0" fontId="27" fillId="7" borderId="6" xfId="5" applyFont="1" applyFill="1" applyBorder="1" applyAlignment="1">
      <alignment vertical="center" wrapText="1"/>
    </xf>
    <xf numFmtId="0" fontId="26" fillId="20" borderId="13" xfId="5" applyFont="1" applyFill="1" applyBorder="1" applyAlignment="1">
      <alignment vertical="center"/>
    </xf>
    <xf numFmtId="0" fontId="26" fillId="21" borderId="10" xfId="5" applyFont="1" applyFill="1" applyBorder="1" applyAlignment="1">
      <alignment vertical="center"/>
    </xf>
    <xf numFmtId="0" fontId="26" fillId="22" borderId="10" xfId="5" applyFont="1" applyFill="1" applyBorder="1" applyAlignment="1">
      <alignment vertical="center"/>
    </xf>
    <xf numFmtId="0" fontId="26" fillId="23" borderId="13" xfId="5" applyFont="1" applyFill="1" applyBorder="1" applyAlignment="1">
      <alignment horizontal="right" vertical="center"/>
    </xf>
    <xf numFmtId="0" fontId="26" fillId="24" borderId="34" xfId="5" applyFont="1" applyFill="1" applyBorder="1" applyAlignment="1">
      <alignment vertical="center"/>
    </xf>
    <xf numFmtId="0" fontId="26" fillId="7" borderId="11" xfId="5" applyFont="1" applyFill="1" applyBorder="1" applyAlignment="1">
      <alignment vertical="center"/>
    </xf>
    <xf numFmtId="0" fontId="2" fillId="7" borderId="11" xfId="5" applyFill="1" applyBorder="1"/>
    <xf numFmtId="0" fontId="2" fillId="7" borderId="10" xfId="5" applyFill="1" applyBorder="1"/>
    <xf numFmtId="0" fontId="26" fillId="24" borderId="13" xfId="5" applyFont="1" applyFill="1" applyBorder="1" applyAlignment="1">
      <alignment vertical="center"/>
    </xf>
    <xf numFmtId="0" fontId="10" fillId="0" borderId="0" xfId="6" applyFont="1" applyAlignment="1" applyProtection="1">
      <alignment horizontal="left" vertical="top" wrapText="1"/>
      <protection locked="0"/>
    </xf>
    <xf numFmtId="0" fontId="10" fillId="0" borderId="0" xfId="5" applyFont="1" applyAlignment="1">
      <alignment horizontal="left" vertical="top" wrapText="1"/>
    </xf>
    <xf numFmtId="0" fontId="27" fillId="25" borderId="12" xfId="5" applyFont="1" applyFill="1" applyBorder="1" applyAlignment="1">
      <alignment vertical="center" wrapText="1"/>
    </xf>
    <xf numFmtId="0" fontId="25" fillId="14" borderId="34" xfId="5" applyFont="1" applyFill="1" applyBorder="1"/>
    <xf numFmtId="0" fontId="26" fillId="25" borderId="34" xfId="5" applyFont="1" applyFill="1" applyBorder="1" applyAlignment="1">
      <alignment vertical="center"/>
    </xf>
    <xf numFmtId="0" fontId="13" fillId="14" borderId="13" xfId="5" applyFont="1" applyFill="1" applyBorder="1" applyAlignment="1">
      <alignment horizontal="center"/>
    </xf>
    <xf numFmtId="0" fontId="2" fillId="25" borderId="34" xfId="5" applyFill="1" applyBorder="1"/>
    <xf numFmtId="0" fontId="13" fillId="14" borderId="34" xfId="5" applyFont="1" applyFill="1" applyBorder="1" applyAlignment="1">
      <alignment horizontal="center"/>
    </xf>
    <xf numFmtId="0" fontId="2" fillId="25" borderId="13" xfId="5" applyFill="1" applyBorder="1"/>
    <xf numFmtId="0" fontId="22" fillId="12" borderId="7" xfId="3" applyFont="1" applyFill="1" applyBorder="1" applyAlignment="1">
      <alignment horizontal="center"/>
    </xf>
    <xf numFmtId="0" fontId="22" fillId="12" borderId="8" xfId="3" applyFont="1" applyFill="1" applyBorder="1" applyAlignment="1">
      <alignment horizontal="center"/>
    </xf>
    <xf numFmtId="0" fontId="22" fillId="12" borderId="25" xfId="3" applyFont="1" applyFill="1" applyBorder="1" applyAlignment="1">
      <alignment horizontal="center"/>
    </xf>
    <xf numFmtId="0" fontId="22" fillId="12" borderId="23" xfId="3" applyFont="1" applyFill="1" applyBorder="1" applyAlignment="1">
      <alignment horizontal="center"/>
    </xf>
    <xf numFmtId="0" fontId="5" fillId="0" borderId="0" xfId="0" applyFont="1"/>
    <xf numFmtId="0" fontId="18" fillId="0" borderId="0" xfId="0" applyFont="1"/>
    <xf numFmtId="0" fontId="5" fillId="0" borderId="0" xfId="0" applyFont="1" applyAlignment="1">
      <alignment wrapText="1"/>
    </xf>
    <xf numFmtId="0" fontId="18" fillId="0" borderId="0" xfId="0" applyFont="1" applyAlignment="1">
      <alignment wrapText="1"/>
    </xf>
    <xf numFmtId="0" fontId="10" fillId="12" borderId="0" xfId="0" applyFont="1" applyFill="1" applyAlignment="1">
      <alignment horizontal="center"/>
    </xf>
    <xf numFmtId="2" fontId="10" fillId="12" borderId="0" xfId="0" applyNumberFormat="1" applyFont="1" applyFill="1" applyAlignment="1">
      <alignment horizontal="center"/>
    </xf>
    <xf numFmtId="0" fontId="16" fillId="26" borderId="1" xfId="0" applyFont="1" applyFill="1" applyBorder="1" applyAlignment="1">
      <alignment wrapText="1"/>
    </xf>
    <xf numFmtId="0" fontId="16" fillId="10" borderId="0" xfId="0" applyFont="1" applyFill="1" applyAlignment="1">
      <alignment wrapText="1"/>
    </xf>
    <xf numFmtId="164" fontId="10" fillId="0" borderId="0" xfId="0" applyNumberFormat="1" applyFont="1" applyAlignment="1">
      <alignment horizontal="left" vertical="top"/>
    </xf>
    <xf numFmtId="0" fontId="16" fillId="26" borderId="1" xfId="5" applyFont="1" applyFill="1" applyBorder="1" applyAlignment="1">
      <alignment horizontal="left" wrapText="1"/>
    </xf>
    <xf numFmtId="0" fontId="12" fillId="0" borderId="0" xfId="0" applyFont="1" applyAlignment="1">
      <alignment horizontal="left"/>
    </xf>
    <xf numFmtId="0" fontId="9" fillId="8" borderId="0" xfId="3" applyFont="1" applyFill="1"/>
    <xf numFmtId="0" fontId="8" fillId="8" borderId="0" xfId="3" applyFont="1" applyFill="1"/>
    <xf numFmtId="0" fontId="8" fillId="27" borderId="0" xfId="3" applyFont="1" applyFill="1"/>
    <xf numFmtId="0" fontId="22" fillId="28" borderId="7" xfId="3" applyFont="1" applyFill="1" applyBorder="1" applyAlignment="1">
      <alignment horizontal="center"/>
    </xf>
    <xf numFmtId="0" fontId="22" fillId="28" borderId="8" xfId="3" applyFont="1" applyFill="1" applyBorder="1" applyAlignment="1">
      <alignment horizontal="center"/>
    </xf>
    <xf numFmtId="0" fontId="22" fillId="28" borderId="5" xfId="3" applyFont="1" applyFill="1" applyBorder="1" applyAlignment="1">
      <alignment horizontal="center"/>
    </xf>
    <xf numFmtId="0" fontId="22" fillId="28" borderId="6" xfId="3" applyFont="1" applyFill="1" applyBorder="1" applyAlignment="1">
      <alignment horizontal="center"/>
    </xf>
    <xf numFmtId="0" fontId="22" fillId="28" borderId="9" xfId="3" applyFont="1" applyFill="1" applyBorder="1" applyAlignment="1">
      <alignment horizontal="center"/>
    </xf>
    <xf numFmtId="0" fontId="22" fillId="28" borderId="10" xfId="3" applyFont="1" applyFill="1" applyBorder="1" applyAlignment="1">
      <alignment horizontal="center"/>
    </xf>
    <xf numFmtId="0" fontId="14" fillId="28" borderId="7" xfId="3" applyFont="1" applyFill="1" applyBorder="1" applyAlignment="1">
      <alignment horizontal="left"/>
    </xf>
    <xf numFmtId="0" fontId="14" fillId="28" borderId="8" xfId="3" applyFont="1" applyFill="1" applyBorder="1" applyAlignment="1">
      <alignment horizontal="center"/>
    </xf>
    <xf numFmtId="0" fontId="14" fillId="28" borderId="9" xfId="3" applyFont="1" applyFill="1" applyBorder="1" applyAlignment="1">
      <alignment horizontal="left"/>
    </xf>
    <xf numFmtId="0" fontId="14" fillId="28" borderId="10" xfId="3" applyFont="1" applyFill="1" applyBorder="1" applyAlignment="1">
      <alignment horizontal="center"/>
    </xf>
    <xf numFmtId="0" fontId="9" fillId="16" borderId="0" xfId="3" applyFont="1" applyFill="1"/>
    <xf numFmtId="0" fontId="8" fillId="16" borderId="0" xfId="3" applyFont="1" applyFill="1"/>
    <xf numFmtId="164" fontId="10" fillId="0" borderId="0" xfId="0" applyNumberFormat="1" applyFont="1"/>
    <xf numFmtId="0" fontId="29" fillId="0" borderId="0" xfId="0" applyFont="1"/>
    <xf numFmtId="0" fontId="0" fillId="0" borderId="0" xfId="0" applyAlignment="1">
      <alignment wrapText="1"/>
    </xf>
    <xf numFmtId="0" fontId="30" fillId="0" borderId="0" xfId="0" applyFont="1"/>
    <xf numFmtId="0" fontId="31" fillId="0" borderId="0" xfId="0" applyFont="1"/>
  </cellXfs>
  <cellStyles count="8">
    <cellStyle name="Normal" xfId="0" builtinId="0"/>
    <cellStyle name="Normal 18" xfId="5" xr:uid="{00000000-0005-0000-0000-000001000000}"/>
    <cellStyle name="Normal 2" xfId="1" xr:uid="{00000000-0005-0000-0000-000002000000}"/>
    <cellStyle name="Normal 3" xfId="2" xr:uid="{00000000-0005-0000-0000-000003000000}"/>
    <cellStyle name="Normal 4" xfId="3" xr:uid="{00000000-0005-0000-0000-000004000000}"/>
    <cellStyle name="Normal 7" xfId="7" xr:uid="{00000000-0005-0000-0000-000005000000}"/>
    <cellStyle name="Normal 7 8" xfId="6" xr:uid="{00000000-0005-0000-0000-000006000000}"/>
    <cellStyle name="SAPBEXstdItem" xfId="4" xr:uid="{00000000-0005-0000-0000-000007000000}"/>
  </cellStyles>
  <dxfs count="31">
    <dxf>
      <font>
        <condense val="0"/>
        <extend val="0"/>
        <color indexed="10"/>
      </font>
    </dxf>
    <dxf>
      <font>
        <condense val="0"/>
        <extend val="0"/>
        <color indexed="21"/>
      </font>
    </dxf>
    <dxf>
      <font>
        <condense val="0"/>
        <extend val="0"/>
        <color indexed="10"/>
      </font>
    </dxf>
    <dxf>
      <font>
        <condense val="0"/>
        <extend val="0"/>
        <color indexed="21"/>
      </font>
    </dxf>
    <dxf>
      <font>
        <condense val="0"/>
        <extend val="0"/>
        <color indexed="10"/>
      </font>
    </dxf>
    <dxf>
      <font>
        <condense val="0"/>
        <extend val="0"/>
        <color indexed="21"/>
      </font>
    </dxf>
    <dxf>
      <font>
        <condense val="0"/>
        <extend val="0"/>
        <color indexed="10"/>
      </font>
    </dxf>
    <dxf>
      <font>
        <condense val="0"/>
        <extend val="0"/>
        <color indexed="21"/>
      </font>
    </dxf>
    <dxf>
      <font>
        <condense val="0"/>
        <extend val="0"/>
        <color indexed="10"/>
      </font>
    </dxf>
    <dxf>
      <font>
        <condense val="0"/>
        <extend val="0"/>
        <color indexed="21"/>
      </font>
    </dxf>
    <dxf>
      <font>
        <condense val="0"/>
        <extend val="0"/>
        <color indexed="10"/>
      </font>
    </dxf>
    <dxf>
      <font>
        <condense val="0"/>
        <extend val="0"/>
        <color indexed="21"/>
      </font>
    </dxf>
    <dxf>
      <font>
        <condense val="0"/>
        <extend val="0"/>
        <color indexed="10"/>
      </font>
    </dxf>
    <dxf>
      <font>
        <condense val="0"/>
        <extend val="0"/>
        <color indexed="21"/>
      </font>
    </dxf>
    <dxf>
      <font>
        <condense val="0"/>
        <extend val="0"/>
        <color indexed="10"/>
      </font>
    </dxf>
    <dxf>
      <font>
        <condense val="0"/>
        <extend val="0"/>
        <color indexed="21"/>
      </font>
    </dxf>
    <dxf>
      <font>
        <condense val="0"/>
        <extend val="0"/>
        <color indexed="10"/>
      </font>
    </dxf>
    <dxf>
      <font>
        <condense val="0"/>
        <extend val="0"/>
        <color indexed="21"/>
      </font>
    </dxf>
    <dxf>
      <font>
        <condense val="0"/>
        <extend val="0"/>
        <color indexed="10"/>
      </font>
    </dxf>
    <dxf>
      <font>
        <condense val="0"/>
        <extend val="0"/>
        <color indexed="21"/>
      </font>
    </dxf>
    <dxf>
      <font>
        <condense val="0"/>
        <extend val="0"/>
        <color indexed="10"/>
      </font>
    </dxf>
    <dxf>
      <font>
        <condense val="0"/>
        <extend val="0"/>
        <color indexed="21"/>
      </font>
    </dxf>
    <dxf>
      <font>
        <condense val="0"/>
        <extend val="0"/>
        <color indexed="10"/>
      </font>
    </dxf>
    <dxf>
      <font>
        <condense val="0"/>
        <extend val="0"/>
        <color indexed="21"/>
      </font>
    </dxf>
    <dxf>
      <font>
        <color theme="6" tint="0.79998168889431442"/>
      </font>
      <fill>
        <patternFill>
          <bgColor theme="6" tint="-0.24994659260841701"/>
        </patternFill>
      </fill>
    </dxf>
    <dxf>
      <font>
        <color theme="9" tint="0.79998168889431442"/>
      </font>
      <fill>
        <patternFill>
          <bgColor theme="9" tint="-0.24994659260841701"/>
        </patternFill>
      </fill>
    </dxf>
    <dxf>
      <font>
        <color theme="5" tint="0.79998168889431442"/>
      </font>
      <fill>
        <patternFill>
          <bgColor rgb="FFFF0000"/>
        </patternFill>
      </fill>
    </dxf>
    <dxf>
      <font>
        <condense val="0"/>
        <extend val="0"/>
        <color indexed="10"/>
      </font>
    </dxf>
    <dxf>
      <font>
        <condense val="0"/>
        <extend val="0"/>
        <color indexed="21"/>
      </font>
    </dxf>
    <dxf>
      <font>
        <condense val="0"/>
        <extend val="0"/>
        <color indexed="10"/>
      </font>
    </dxf>
    <dxf>
      <font>
        <condense val="0"/>
        <extend val="0"/>
        <color indexed="21"/>
      </font>
    </dxf>
  </dxfs>
  <tableStyles count="0" defaultTableStyle="TableStyleMedium9" defaultPivotStyle="PivotStyleLight16"/>
  <colors>
    <mruColors>
      <color rgb="FFFF9900"/>
      <color rgb="FFFFCC99"/>
      <color rgb="FF8AAB47"/>
      <color rgb="FF74913B"/>
      <color rgb="FF009900"/>
      <color rgb="FFFE304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calcChain" Target="calcChain.xml"/><Relationship Id="rId23" Type="http://schemas.microsoft.com/office/2006/relationships/vbaProject" Target="vbaProject.bin"/><Relationship Id="rId10" Type="http://schemas.openxmlformats.org/officeDocument/2006/relationships/externalLink" Target="externalLinks/externalLink3.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aredStrings" Target="sharedStrings.xml"/><Relationship Id="rId22" Type="http://schemas.openxmlformats.org/officeDocument/2006/relationships/customXml" Target="../customXml/item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Energy</a:t>
            </a:r>
          </a:p>
        </c:rich>
      </c:tx>
      <c:overlay val="0"/>
    </c:title>
    <c:autoTitleDeleted val="0"/>
    <c:plotArea>
      <c:layout/>
      <c:scatterChart>
        <c:scatterStyle val="lineMarker"/>
        <c:varyColors val="0"/>
        <c:ser>
          <c:idx val="0"/>
          <c:order val="0"/>
          <c:spPr>
            <a:ln w="28575">
              <a:noFill/>
            </a:ln>
          </c:spPr>
          <c:trendline>
            <c:trendlineType val="linear"/>
            <c:dispRSqr val="1"/>
            <c:dispEq val="1"/>
            <c:trendlineLbl>
              <c:numFmt formatCode="General" sourceLinked="0"/>
            </c:trendlineLbl>
          </c:trendline>
          <c:xVal>
            <c:numRef>
              <c:f>'Points Table A'!$B$3:$B$14</c:f>
              <c:numCache>
                <c:formatCode>General</c:formatCode>
                <c:ptCount val="12"/>
                <c:pt idx="0">
                  <c:v>0</c:v>
                </c:pt>
                <c:pt idx="1">
                  <c:v>335.01</c:v>
                </c:pt>
                <c:pt idx="2">
                  <c:v>670.01</c:v>
                </c:pt>
                <c:pt idx="3">
                  <c:v>1005.01</c:v>
                </c:pt>
                <c:pt idx="4">
                  <c:v>1340.01</c:v>
                </c:pt>
                <c:pt idx="5">
                  <c:v>1675.01</c:v>
                </c:pt>
                <c:pt idx="6">
                  <c:v>2010.01</c:v>
                </c:pt>
                <c:pt idx="7">
                  <c:v>2345.0100000000002</c:v>
                </c:pt>
                <c:pt idx="8">
                  <c:v>2680.01</c:v>
                </c:pt>
                <c:pt idx="9">
                  <c:v>3015.01</c:v>
                </c:pt>
                <c:pt idx="10">
                  <c:v>3350.01</c:v>
                </c:pt>
                <c:pt idx="11">
                  <c:v>3685.01</c:v>
                </c:pt>
              </c:numCache>
            </c:numRef>
          </c:xVal>
          <c:yVal>
            <c:numRef>
              <c:f>'Points Table A'!$F$3:$F$14</c:f>
              <c:numCache>
                <c:formatCode>General</c:formatCode>
                <c:ptCount val="12"/>
                <c:pt idx="0">
                  <c:v>0</c:v>
                </c:pt>
                <c:pt idx="1">
                  <c:v>1</c:v>
                </c:pt>
                <c:pt idx="2">
                  <c:v>2</c:v>
                </c:pt>
                <c:pt idx="3">
                  <c:v>3</c:v>
                </c:pt>
                <c:pt idx="4">
                  <c:v>4</c:v>
                </c:pt>
                <c:pt idx="5">
                  <c:v>5</c:v>
                </c:pt>
                <c:pt idx="6">
                  <c:v>6</c:v>
                </c:pt>
                <c:pt idx="7">
                  <c:v>7</c:v>
                </c:pt>
                <c:pt idx="8">
                  <c:v>8</c:v>
                </c:pt>
                <c:pt idx="9">
                  <c:v>9</c:v>
                </c:pt>
                <c:pt idx="10">
                  <c:v>10</c:v>
                </c:pt>
                <c:pt idx="11">
                  <c:v>11</c:v>
                </c:pt>
              </c:numCache>
            </c:numRef>
          </c:yVal>
          <c:smooth val="0"/>
          <c:extLst>
            <c:ext xmlns:c16="http://schemas.microsoft.com/office/drawing/2014/chart" uri="{C3380CC4-5D6E-409C-BE32-E72D297353CC}">
              <c16:uniqueId val="{00000000-4F39-4B17-96AD-1EF5CE8707AE}"/>
            </c:ext>
          </c:extLst>
        </c:ser>
        <c:dLbls>
          <c:showLegendKey val="0"/>
          <c:showVal val="0"/>
          <c:showCatName val="0"/>
          <c:showSerName val="0"/>
          <c:showPercent val="0"/>
          <c:showBubbleSize val="0"/>
        </c:dLbls>
        <c:axId val="273523840"/>
        <c:axId val="273559552"/>
      </c:scatterChart>
      <c:valAx>
        <c:axId val="273523840"/>
        <c:scaling>
          <c:orientation val="minMax"/>
        </c:scaling>
        <c:delete val="0"/>
        <c:axPos val="b"/>
        <c:title>
          <c:tx>
            <c:rich>
              <a:bodyPr/>
              <a:lstStyle/>
              <a:p>
                <a:pPr>
                  <a:defRPr/>
                </a:pPr>
                <a:r>
                  <a:rPr lang="en-AU"/>
                  <a:t>Energy</a:t>
                </a:r>
                <a:r>
                  <a:rPr lang="en-AU" baseline="0"/>
                  <a:t> kJ/100g</a:t>
                </a:r>
                <a:endParaRPr lang="en-AU"/>
              </a:p>
            </c:rich>
          </c:tx>
          <c:overlay val="0"/>
        </c:title>
        <c:numFmt formatCode="General" sourceLinked="1"/>
        <c:majorTickMark val="out"/>
        <c:minorTickMark val="none"/>
        <c:tickLblPos val="nextTo"/>
        <c:crossAx val="273559552"/>
        <c:crosses val="autoZero"/>
        <c:crossBetween val="midCat"/>
      </c:valAx>
      <c:valAx>
        <c:axId val="273559552"/>
        <c:scaling>
          <c:orientation val="minMax"/>
        </c:scaling>
        <c:delete val="0"/>
        <c:axPos val="l"/>
        <c:majorGridlines/>
        <c:title>
          <c:tx>
            <c:rich>
              <a:bodyPr rot="-5400000" vert="horz"/>
              <a:lstStyle/>
              <a:p>
                <a:pPr>
                  <a:defRPr/>
                </a:pPr>
                <a:r>
                  <a:rPr lang="en-AU"/>
                  <a:t>Points</a:t>
                </a:r>
              </a:p>
            </c:rich>
          </c:tx>
          <c:overlay val="0"/>
        </c:title>
        <c:numFmt formatCode="General" sourceLinked="1"/>
        <c:majorTickMark val="out"/>
        <c:minorTickMark val="none"/>
        <c:tickLblPos val="nextTo"/>
        <c:crossAx val="273523840"/>
        <c:crosses val="autoZero"/>
        <c:crossBetween val="midCat"/>
      </c:valAx>
    </c:plotArea>
    <c:legend>
      <c:legendPos val="r"/>
      <c:overlay val="0"/>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Saturated</a:t>
            </a:r>
            <a:r>
              <a:rPr lang="en-AU" baseline="0"/>
              <a:t> Fat</a:t>
            </a:r>
            <a:endParaRPr lang="en-AU"/>
          </a:p>
        </c:rich>
      </c:tx>
      <c:overlay val="0"/>
    </c:title>
    <c:autoTitleDeleted val="0"/>
    <c:plotArea>
      <c:layout/>
      <c:scatterChart>
        <c:scatterStyle val="lineMarker"/>
        <c:varyColors val="0"/>
        <c:ser>
          <c:idx val="0"/>
          <c:order val="0"/>
          <c:spPr>
            <a:ln w="28575">
              <a:noFill/>
            </a:ln>
          </c:spPr>
          <c:trendline>
            <c:trendlineType val="log"/>
            <c:dispRSqr val="0"/>
            <c:dispEq val="0"/>
          </c:trendline>
          <c:trendline>
            <c:trendlineType val="poly"/>
            <c:order val="4"/>
            <c:dispRSqr val="1"/>
            <c:dispEq val="1"/>
            <c:trendlineLbl>
              <c:layout>
                <c:manualLayout>
                  <c:x val="7.3122922134733481E-2"/>
                  <c:y val="-6.5173884514435704E-2"/>
                </c:manualLayout>
              </c:layout>
              <c:numFmt formatCode="General" sourceLinked="0"/>
            </c:trendlineLbl>
          </c:trendline>
          <c:xVal>
            <c:numRef>
              <c:f>'Points Table A'!$C$3:$C$33</c:f>
              <c:numCache>
                <c:formatCode>General</c:formatCode>
                <c:ptCount val="31"/>
                <c:pt idx="0">
                  <c:v>0</c:v>
                </c:pt>
                <c:pt idx="1">
                  <c:v>1.01</c:v>
                </c:pt>
                <c:pt idx="2">
                  <c:v>2.0100000000000002</c:v>
                </c:pt>
                <c:pt idx="3">
                  <c:v>3.0100000000000002</c:v>
                </c:pt>
                <c:pt idx="4">
                  <c:v>4.01</c:v>
                </c:pt>
                <c:pt idx="5">
                  <c:v>5.01</c:v>
                </c:pt>
                <c:pt idx="6">
                  <c:v>6.01</c:v>
                </c:pt>
                <c:pt idx="7">
                  <c:v>7.01</c:v>
                </c:pt>
                <c:pt idx="8">
                  <c:v>8.01</c:v>
                </c:pt>
                <c:pt idx="9">
                  <c:v>9.01</c:v>
                </c:pt>
                <c:pt idx="10">
                  <c:v>10.01</c:v>
                </c:pt>
                <c:pt idx="11" formatCode="0.00">
                  <c:v>11.209999999999999</c:v>
                </c:pt>
                <c:pt idx="12" formatCode="0.00">
                  <c:v>12.51</c:v>
                </c:pt>
                <c:pt idx="13" formatCode="0.00">
                  <c:v>13.91</c:v>
                </c:pt>
                <c:pt idx="14" formatCode="0.00">
                  <c:v>15.51</c:v>
                </c:pt>
                <c:pt idx="15" formatCode="0.00">
                  <c:v>17.310000000000002</c:v>
                </c:pt>
                <c:pt idx="16" formatCode="0.00">
                  <c:v>19.310000000000002</c:v>
                </c:pt>
                <c:pt idx="17" formatCode="0.00">
                  <c:v>21.610000000000003</c:v>
                </c:pt>
                <c:pt idx="18" formatCode="0.00">
                  <c:v>24.110000000000003</c:v>
                </c:pt>
                <c:pt idx="19" formatCode="0.00">
                  <c:v>26.91</c:v>
                </c:pt>
                <c:pt idx="20" formatCode="0.00">
                  <c:v>30.01</c:v>
                </c:pt>
                <c:pt idx="21" formatCode="0.00">
                  <c:v>33.51</c:v>
                </c:pt>
                <c:pt idx="22" formatCode="0.00">
                  <c:v>37.409999999999997</c:v>
                </c:pt>
                <c:pt idx="23" formatCode="0.00">
                  <c:v>41.71</c:v>
                </c:pt>
                <c:pt idx="24" formatCode="0.00">
                  <c:v>46.61</c:v>
                </c:pt>
                <c:pt idx="25" formatCode="0.00">
                  <c:v>52.01</c:v>
                </c:pt>
                <c:pt idx="26" formatCode="0.00">
                  <c:v>58.01</c:v>
                </c:pt>
                <c:pt idx="27" formatCode="0.00">
                  <c:v>64.710000000000008</c:v>
                </c:pt>
                <c:pt idx="28" formatCode="0.00">
                  <c:v>72.31</c:v>
                </c:pt>
                <c:pt idx="29" formatCode="0.00">
                  <c:v>80.61</c:v>
                </c:pt>
                <c:pt idx="30" formatCode="0.00">
                  <c:v>90.01</c:v>
                </c:pt>
              </c:numCache>
            </c:numRef>
          </c:xVal>
          <c:yVal>
            <c:numRef>
              <c:f>'Points Table A'!$F$3:$F$33</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yVal>
          <c:smooth val="0"/>
          <c:extLst>
            <c:ext xmlns:c16="http://schemas.microsoft.com/office/drawing/2014/chart" uri="{C3380CC4-5D6E-409C-BE32-E72D297353CC}">
              <c16:uniqueId val="{00000000-A18E-499D-80ED-C4346EE775C1}"/>
            </c:ext>
          </c:extLst>
        </c:ser>
        <c:dLbls>
          <c:showLegendKey val="0"/>
          <c:showVal val="0"/>
          <c:showCatName val="0"/>
          <c:showSerName val="0"/>
          <c:showPercent val="0"/>
          <c:showBubbleSize val="0"/>
        </c:dLbls>
        <c:axId val="277406464"/>
        <c:axId val="277409152"/>
      </c:scatterChart>
      <c:valAx>
        <c:axId val="277406464"/>
        <c:scaling>
          <c:orientation val="minMax"/>
        </c:scaling>
        <c:delete val="0"/>
        <c:axPos val="b"/>
        <c:title>
          <c:tx>
            <c:rich>
              <a:bodyPr/>
              <a:lstStyle/>
              <a:p>
                <a:pPr>
                  <a:defRPr/>
                </a:pPr>
                <a:r>
                  <a:rPr lang="en-AU"/>
                  <a:t>%Saturated</a:t>
                </a:r>
                <a:r>
                  <a:rPr lang="en-AU" baseline="0"/>
                  <a:t> Fat</a:t>
                </a:r>
                <a:endParaRPr lang="en-AU"/>
              </a:p>
            </c:rich>
          </c:tx>
          <c:overlay val="0"/>
        </c:title>
        <c:numFmt formatCode="General" sourceLinked="1"/>
        <c:majorTickMark val="out"/>
        <c:minorTickMark val="none"/>
        <c:tickLblPos val="nextTo"/>
        <c:crossAx val="277409152"/>
        <c:crosses val="autoZero"/>
        <c:crossBetween val="midCat"/>
      </c:valAx>
      <c:valAx>
        <c:axId val="277409152"/>
        <c:scaling>
          <c:orientation val="minMax"/>
        </c:scaling>
        <c:delete val="0"/>
        <c:axPos val="l"/>
        <c:majorGridlines/>
        <c:title>
          <c:tx>
            <c:rich>
              <a:bodyPr rot="-5400000" vert="horz"/>
              <a:lstStyle/>
              <a:p>
                <a:pPr>
                  <a:defRPr/>
                </a:pPr>
                <a:r>
                  <a:rPr lang="en-AU"/>
                  <a:t>Points</a:t>
                </a:r>
              </a:p>
            </c:rich>
          </c:tx>
          <c:overlay val="0"/>
        </c:title>
        <c:numFmt formatCode="General" sourceLinked="1"/>
        <c:majorTickMark val="out"/>
        <c:minorTickMark val="none"/>
        <c:tickLblPos val="nextTo"/>
        <c:crossAx val="277406464"/>
        <c:crosses val="autoZero"/>
        <c:crossBetween val="midCat"/>
      </c:valAx>
    </c:plotArea>
    <c:legend>
      <c:legendPos val="r"/>
      <c:overlay val="0"/>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Sugar</a:t>
            </a:r>
          </a:p>
        </c:rich>
      </c:tx>
      <c:overlay val="0"/>
    </c:title>
    <c:autoTitleDeleted val="0"/>
    <c:plotArea>
      <c:layout/>
      <c:scatterChart>
        <c:scatterStyle val="lineMarker"/>
        <c:varyColors val="0"/>
        <c:ser>
          <c:idx val="0"/>
          <c:order val="0"/>
          <c:spPr>
            <a:ln w="28575">
              <a:noFill/>
            </a:ln>
          </c:spPr>
          <c:trendline>
            <c:trendlineType val="linear"/>
            <c:dispRSqr val="1"/>
            <c:dispEq val="1"/>
            <c:trendlineLbl>
              <c:numFmt formatCode="General" sourceLinked="0"/>
            </c:trendlineLbl>
          </c:trendline>
          <c:xVal>
            <c:numRef>
              <c:f>'Points Table A'!$D$3:$D$25</c:f>
              <c:numCache>
                <c:formatCode>General</c:formatCode>
                <c:ptCount val="23"/>
                <c:pt idx="0">
                  <c:v>0</c:v>
                </c:pt>
                <c:pt idx="1">
                  <c:v>5.01</c:v>
                </c:pt>
                <c:pt idx="2">
                  <c:v>8.91</c:v>
                </c:pt>
                <c:pt idx="3">
                  <c:v>12.81</c:v>
                </c:pt>
                <c:pt idx="4">
                  <c:v>16.809999999999999</c:v>
                </c:pt>
                <c:pt idx="5">
                  <c:v>20.71</c:v>
                </c:pt>
                <c:pt idx="6">
                  <c:v>24.61</c:v>
                </c:pt>
                <c:pt idx="7">
                  <c:v>28.51</c:v>
                </c:pt>
                <c:pt idx="8">
                  <c:v>32.409999999999997</c:v>
                </c:pt>
                <c:pt idx="9">
                  <c:v>36.31</c:v>
                </c:pt>
                <c:pt idx="10">
                  <c:v>40.31</c:v>
                </c:pt>
                <c:pt idx="11">
                  <c:v>44.21</c:v>
                </c:pt>
                <c:pt idx="12">
                  <c:v>48.11</c:v>
                </c:pt>
                <c:pt idx="13">
                  <c:v>52.009999999999991</c:v>
                </c:pt>
                <c:pt idx="14">
                  <c:v>55.91</c:v>
                </c:pt>
                <c:pt idx="15">
                  <c:v>59.81</c:v>
                </c:pt>
                <c:pt idx="16">
                  <c:v>63.81</c:v>
                </c:pt>
                <c:pt idx="17">
                  <c:v>67.709999999999994</c:v>
                </c:pt>
                <c:pt idx="18">
                  <c:v>71.61</c:v>
                </c:pt>
                <c:pt idx="19">
                  <c:v>75.509999999999991</c:v>
                </c:pt>
                <c:pt idx="20">
                  <c:v>79.41</c:v>
                </c:pt>
                <c:pt idx="21">
                  <c:v>83.31</c:v>
                </c:pt>
                <c:pt idx="22">
                  <c:v>87.31</c:v>
                </c:pt>
              </c:numCache>
            </c:numRef>
          </c:xVal>
          <c:yVal>
            <c:numRef>
              <c:f>'Points Table A'!$F$3:$F$25</c:f>
              <c:numCache>
                <c:formatCode>General</c:formatCode>
                <c:ptCount val="23"/>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numCache>
            </c:numRef>
          </c:yVal>
          <c:smooth val="0"/>
          <c:extLst>
            <c:ext xmlns:c16="http://schemas.microsoft.com/office/drawing/2014/chart" uri="{C3380CC4-5D6E-409C-BE32-E72D297353CC}">
              <c16:uniqueId val="{00000000-7757-4D7C-8E5E-43228C308B29}"/>
            </c:ext>
          </c:extLst>
        </c:ser>
        <c:dLbls>
          <c:showLegendKey val="0"/>
          <c:showVal val="0"/>
          <c:showCatName val="0"/>
          <c:showSerName val="0"/>
          <c:showPercent val="0"/>
          <c:showBubbleSize val="0"/>
        </c:dLbls>
        <c:axId val="277551360"/>
        <c:axId val="279982848"/>
      </c:scatterChart>
      <c:valAx>
        <c:axId val="277551360"/>
        <c:scaling>
          <c:orientation val="minMax"/>
        </c:scaling>
        <c:delete val="0"/>
        <c:axPos val="b"/>
        <c:title>
          <c:tx>
            <c:rich>
              <a:bodyPr/>
              <a:lstStyle/>
              <a:p>
                <a:pPr>
                  <a:defRPr/>
                </a:pPr>
                <a:r>
                  <a:rPr lang="en-AU"/>
                  <a:t>%Sugar</a:t>
                </a:r>
              </a:p>
            </c:rich>
          </c:tx>
          <c:overlay val="0"/>
        </c:title>
        <c:numFmt formatCode="General" sourceLinked="1"/>
        <c:majorTickMark val="out"/>
        <c:minorTickMark val="none"/>
        <c:tickLblPos val="nextTo"/>
        <c:crossAx val="279982848"/>
        <c:crosses val="autoZero"/>
        <c:crossBetween val="midCat"/>
      </c:valAx>
      <c:valAx>
        <c:axId val="279982848"/>
        <c:scaling>
          <c:orientation val="minMax"/>
        </c:scaling>
        <c:delete val="0"/>
        <c:axPos val="l"/>
        <c:majorGridlines/>
        <c:title>
          <c:tx>
            <c:rich>
              <a:bodyPr rot="-5400000" vert="horz"/>
              <a:lstStyle/>
              <a:p>
                <a:pPr>
                  <a:defRPr/>
                </a:pPr>
                <a:r>
                  <a:rPr lang="en-AU"/>
                  <a:t>Points</a:t>
                </a:r>
              </a:p>
            </c:rich>
          </c:tx>
          <c:overlay val="0"/>
        </c:title>
        <c:numFmt formatCode="General" sourceLinked="1"/>
        <c:majorTickMark val="out"/>
        <c:minorTickMark val="none"/>
        <c:tickLblPos val="nextTo"/>
        <c:crossAx val="277551360"/>
        <c:crosses val="autoZero"/>
        <c:crossBetween val="midCat"/>
      </c:valAx>
    </c:plotArea>
    <c:legend>
      <c:legendPos val="r"/>
      <c:overlay val="0"/>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Sodium</a:t>
            </a:r>
          </a:p>
        </c:rich>
      </c:tx>
      <c:overlay val="0"/>
    </c:title>
    <c:autoTitleDeleted val="0"/>
    <c:plotArea>
      <c:layout/>
      <c:scatterChart>
        <c:scatterStyle val="lineMarker"/>
        <c:varyColors val="0"/>
        <c:ser>
          <c:idx val="0"/>
          <c:order val="0"/>
          <c:spPr>
            <a:ln w="28575">
              <a:noFill/>
            </a:ln>
          </c:spPr>
          <c:trendline>
            <c:trendlineType val="linear"/>
            <c:dispRSqr val="1"/>
            <c:dispEq val="1"/>
            <c:trendlineLbl>
              <c:layout>
                <c:manualLayout>
                  <c:x val="0.18645975503062198"/>
                  <c:y val="0.30056685622630502"/>
                </c:manualLayout>
              </c:layout>
              <c:numFmt formatCode="General" sourceLinked="0"/>
            </c:trendlineLbl>
          </c:trendline>
          <c:xVal>
            <c:numRef>
              <c:f>'Points Table A'!$E$3:$E$33</c:f>
              <c:numCache>
                <c:formatCode>General</c:formatCode>
                <c:ptCount val="31"/>
                <c:pt idx="0">
                  <c:v>0</c:v>
                </c:pt>
                <c:pt idx="1">
                  <c:v>90.01</c:v>
                </c:pt>
                <c:pt idx="2">
                  <c:v>180.01</c:v>
                </c:pt>
                <c:pt idx="3">
                  <c:v>270.01</c:v>
                </c:pt>
                <c:pt idx="4">
                  <c:v>360.01</c:v>
                </c:pt>
                <c:pt idx="5">
                  <c:v>450.01</c:v>
                </c:pt>
                <c:pt idx="6">
                  <c:v>540.01</c:v>
                </c:pt>
                <c:pt idx="7">
                  <c:v>630.01</c:v>
                </c:pt>
                <c:pt idx="8">
                  <c:v>720.01</c:v>
                </c:pt>
                <c:pt idx="9">
                  <c:v>810.01</c:v>
                </c:pt>
                <c:pt idx="10">
                  <c:v>900.01</c:v>
                </c:pt>
                <c:pt idx="11" formatCode="0.00">
                  <c:v>990.01</c:v>
                </c:pt>
                <c:pt idx="12" formatCode="0.00">
                  <c:v>1080.01</c:v>
                </c:pt>
                <c:pt idx="13" formatCode="0.00">
                  <c:v>1170.01</c:v>
                </c:pt>
                <c:pt idx="14" formatCode="0.00">
                  <c:v>1260.01</c:v>
                </c:pt>
                <c:pt idx="15" formatCode="0.00">
                  <c:v>1350.01</c:v>
                </c:pt>
                <c:pt idx="16" formatCode="0.00">
                  <c:v>1440.01</c:v>
                </c:pt>
                <c:pt idx="17" formatCode="0.00">
                  <c:v>1530.01</c:v>
                </c:pt>
                <c:pt idx="18" formatCode="0.00">
                  <c:v>1620.01</c:v>
                </c:pt>
                <c:pt idx="19" formatCode="0.00">
                  <c:v>1710.01</c:v>
                </c:pt>
                <c:pt idx="20" formatCode="0.00">
                  <c:v>1800.01</c:v>
                </c:pt>
                <c:pt idx="21" formatCode="0.00">
                  <c:v>1890.01</c:v>
                </c:pt>
                <c:pt idx="22" formatCode="0.00">
                  <c:v>1980.01</c:v>
                </c:pt>
                <c:pt idx="23" formatCode="0.00">
                  <c:v>2070.0100000000002</c:v>
                </c:pt>
                <c:pt idx="24" formatCode="0.00">
                  <c:v>2160.0100000000002</c:v>
                </c:pt>
                <c:pt idx="25" formatCode="0.00">
                  <c:v>2250.0100000000002</c:v>
                </c:pt>
                <c:pt idx="26" formatCode="0.00">
                  <c:v>2340.0100000000002</c:v>
                </c:pt>
                <c:pt idx="27" formatCode="0.00">
                  <c:v>2430.0100000000002</c:v>
                </c:pt>
                <c:pt idx="28" formatCode="0.00">
                  <c:v>2520.0100000000002</c:v>
                </c:pt>
                <c:pt idx="29" formatCode="0.00">
                  <c:v>2610.0100000000002</c:v>
                </c:pt>
                <c:pt idx="30" formatCode="0.00">
                  <c:v>2700.01</c:v>
                </c:pt>
              </c:numCache>
            </c:numRef>
          </c:xVal>
          <c:yVal>
            <c:numRef>
              <c:f>'Points Table A'!$F$3:$F$33</c:f>
              <c:numCache>
                <c:formatCode>General</c:formatCod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numCache>
            </c:numRef>
          </c:yVal>
          <c:smooth val="0"/>
          <c:extLst>
            <c:ext xmlns:c16="http://schemas.microsoft.com/office/drawing/2014/chart" uri="{C3380CC4-5D6E-409C-BE32-E72D297353CC}">
              <c16:uniqueId val="{00000000-4941-491D-A024-BE8D27881FAA}"/>
            </c:ext>
          </c:extLst>
        </c:ser>
        <c:dLbls>
          <c:showLegendKey val="0"/>
          <c:showVal val="0"/>
          <c:showCatName val="0"/>
          <c:showSerName val="0"/>
          <c:showPercent val="0"/>
          <c:showBubbleSize val="0"/>
        </c:dLbls>
        <c:axId val="298975232"/>
        <c:axId val="298977536"/>
      </c:scatterChart>
      <c:valAx>
        <c:axId val="298975232"/>
        <c:scaling>
          <c:orientation val="minMax"/>
        </c:scaling>
        <c:delete val="0"/>
        <c:axPos val="b"/>
        <c:title>
          <c:tx>
            <c:rich>
              <a:bodyPr/>
              <a:lstStyle/>
              <a:p>
                <a:pPr>
                  <a:defRPr/>
                </a:pPr>
                <a:r>
                  <a:rPr lang="en-AU"/>
                  <a:t>Sodium</a:t>
                </a:r>
                <a:r>
                  <a:rPr lang="en-AU" baseline="0"/>
                  <a:t> mg/100g</a:t>
                </a:r>
                <a:endParaRPr lang="en-AU"/>
              </a:p>
            </c:rich>
          </c:tx>
          <c:overlay val="0"/>
        </c:title>
        <c:numFmt formatCode="General" sourceLinked="1"/>
        <c:majorTickMark val="out"/>
        <c:minorTickMark val="none"/>
        <c:tickLblPos val="nextTo"/>
        <c:crossAx val="298977536"/>
        <c:crosses val="autoZero"/>
        <c:crossBetween val="midCat"/>
      </c:valAx>
      <c:valAx>
        <c:axId val="298977536"/>
        <c:scaling>
          <c:orientation val="minMax"/>
        </c:scaling>
        <c:delete val="0"/>
        <c:axPos val="l"/>
        <c:majorGridlines/>
        <c:title>
          <c:tx>
            <c:rich>
              <a:bodyPr rot="-5400000" vert="horz"/>
              <a:lstStyle/>
              <a:p>
                <a:pPr>
                  <a:defRPr/>
                </a:pPr>
                <a:r>
                  <a:rPr lang="en-AU"/>
                  <a:t>Points</a:t>
                </a:r>
              </a:p>
            </c:rich>
          </c:tx>
          <c:overlay val="0"/>
        </c:title>
        <c:numFmt formatCode="General" sourceLinked="1"/>
        <c:majorTickMark val="out"/>
        <c:minorTickMark val="none"/>
        <c:tickLblPos val="nextTo"/>
        <c:crossAx val="298975232"/>
        <c:crosses val="autoZero"/>
        <c:crossBetween val="midCat"/>
      </c:valAx>
    </c:plotArea>
    <c:legend>
      <c:legendPos val="r"/>
      <c:overlay val="0"/>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FVNL</a:t>
            </a:r>
          </a:p>
        </c:rich>
      </c:tx>
      <c:overlay val="0"/>
    </c:title>
    <c:autoTitleDeleted val="0"/>
    <c:plotArea>
      <c:layout/>
      <c:scatterChart>
        <c:scatterStyle val="lineMarker"/>
        <c:varyColors val="0"/>
        <c:ser>
          <c:idx val="0"/>
          <c:order val="0"/>
          <c:spPr>
            <a:ln w="28575">
              <a:noFill/>
            </a:ln>
          </c:spPr>
          <c:trendline>
            <c:trendlineType val="log"/>
            <c:dispRSqr val="0"/>
            <c:dispEq val="0"/>
          </c:trendline>
          <c:trendline>
            <c:trendlineType val="poly"/>
            <c:order val="3"/>
            <c:dispRSqr val="1"/>
            <c:dispEq val="1"/>
            <c:trendlineLbl>
              <c:layout>
                <c:manualLayout>
                  <c:x val="7.2111767279090119E-2"/>
                  <c:y val="2.7418708078157012E-2"/>
                </c:manualLayout>
              </c:layout>
              <c:numFmt formatCode="General" sourceLinked="0"/>
            </c:trendlineLbl>
          </c:trendline>
          <c:xVal>
            <c:numRef>
              <c:f>'Points Table C'!$B$3:$B$11</c:f>
              <c:numCache>
                <c:formatCode>0.00</c:formatCode>
                <c:ptCount val="9"/>
                <c:pt idx="0">
                  <c:v>0</c:v>
                </c:pt>
                <c:pt idx="1">
                  <c:v>40.01</c:v>
                </c:pt>
                <c:pt idx="2" formatCode="General">
                  <c:v>60.01</c:v>
                </c:pt>
                <c:pt idx="3" formatCode="General">
                  <c:v>67.009999999999991</c:v>
                </c:pt>
                <c:pt idx="4" formatCode="General">
                  <c:v>75.009999999999991</c:v>
                </c:pt>
                <c:pt idx="5" formatCode="General">
                  <c:v>80.009999999999991</c:v>
                </c:pt>
                <c:pt idx="6" formatCode="General">
                  <c:v>90.009999999999991</c:v>
                </c:pt>
                <c:pt idx="7" formatCode="General">
                  <c:v>95.009999999999991</c:v>
                </c:pt>
                <c:pt idx="8" formatCode="General">
                  <c:v>99.51</c:v>
                </c:pt>
              </c:numCache>
            </c:numRef>
          </c:xVal>
          <c:yVal>
            <c:numRef>
              <c:f>'Points Table C'!$E$3:$E$11</c:f>
              <c:numCache>
                <c:formatCode>General</c:formatCode>
                <c:ptCount val="9"/>
                <c:pt idx="0">
                  <c:v>0</c:v>
                </c:pt>
                <c:pt idx="1">
                  <c:v>1</c:v>
                </c:pt>
                <c:pt idx="2">
                  <c:v>2</c:v>
                </c:pt>
                <c:pt idx="3">
                  <c:v>3</c:v>
                </c:pt>
                <c:pt idx="4">
                  <c:v>4</c:v>
                </c:pt>
                <c:pt idx="5">
                  <c:v>5</c:v>
                </c:pt>
                <c:pt idx="6">
                  <c:v>6</c:v>
                </c:pt>
                <c:pt idx="7">
                  <c:v>7</c:v>
                </c:pt>
                <c:pt idx="8">
                  <c:v>8</c:v>
                </c:pt>
              </c:numCache>
            </c:numRef>
          </c:yVal>
          <c:smooth val="0"/>
          <c:extLst>
            <c:ext xmlns:c16="http://schemas.microsoft.com/office/drawing/2014/chart" uri="{C3380CC4-5D6E-409C-BE32-E72D297353CC}">
              <c16:uniqueId val="{00000000-A1ED-479C-8A40-8B0D69D45CA0}"/>
            </c:ext>
          </c:extLst>
        </c:ser>
        <c:dLbls>
          <c:showLegendKey val="0"/>
          <c:showVal val="0"/>
          <c:showCatName val="0"/>
          <c:showSerName val="0"/>
          <c:showPercent val="0"/>
          <c:showBubbleSize val="0"/>
        </c:dLbls>
        <c:axId val="266326400"/>
        <c:axId val="266328320"/>
      </c:scatterChart>
      <c:valAx>
        <c:axId val="266326400"/>
        <c:scaling>
          <c:orientation val="minMax"/>
        </c:scaling>
        <c:delete val="0"/>
        <c:axPos val="b"/>
        <c:title>
          <c:tx>
            <c:rich>
              <a:bodyPr/>
              <a:lstStyle/>
              <a:p>
                <a:pPr>
                  <a:defRPr/>
                </a:pPr>
                <a:r>
                  <a:rPr lang="en-AU"/>
                  <a:t>%FVNL</a:t>
                </a:r>
              </a:p>
            </c:rich>
          </c:tx>
          <c:overlay val="0"/>
        </c:title>
        <c:numFmt formatCode="0.00" sourceLinked="1"/>
        <c:majorTickMark val="out"/>
        <c:minorTickMark val="none"/>
        <c:tickLblPos val="nextTo"/>
        <c:crossAx val="266328320"/>
        <c:crosses val="autoZero"/>
        <c:crossBetween val="midCat"/>
      </c:valAx>
      <c:valAx>
        <c:axId val="266328320"/>
        <c:scaling>
          <c:orientation val="minMax"/>
        </c:scaling>
        <c:delete val="0"/>
        <c:axPos val="l"/>
        <c:majorGridlines/>
        <c:title>
          <c:tx>
            <c:rich>
              <a:bodyPr rot="-5400000" vert="horz"/>
              <a:lstStyle/>
              <a:p>
                <a:pPr>
                  <a:defRPr/>
                </a:pPr>
                <a:r>
                  <a:rPr lang="en-AU"/>
                  <a:t>Points</a:t>
                </a:r>
              </a:p>
            </c:rich>
          </c:tx>
          <c:overlay val="0"/>
        </c:title>
        <c:numFmt formatCode="General" sourceLinked="1"/>
        <c:majorTickMark val="out"/>
        <c:minorTickMark val="none"/>
        <c:tickLblPos val="nextTo"/>
        <c:crossAx val="266326400"/>
        <c:crosses val="autoZero"/>
        <c:crossBetween val="midCat"/>
      </c:valAx>
    </c:plotArea>
    <c:legend>
      <c:legendPos val="r"/>
      <c:overlay val="0"/>
    </c:legend>
    <c:plotVisOnly val="1"/>
    <c:dispBlanksAs val="gap"/>
    <c:showDLblsOverMax val="0"/>
  </c:chart>
  <c:printSettings>
    <c:headerFooter/>
    <c:pageMargins b="0.75000000000000355" l="0.70000000000000062" r="0.70000000000000062" t="0.750000000000003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Conc</a:t>
            </a:r>
            <a:r>
              <a:rPr lang="en-AU" baseline="0"/>
              <a:t> FVNL</a:t>
            </a:r>
            <a:endParaRPr lang="en-AU"/>
          </a:p>
        </c:rich>
      </c:tx>
      <c:overlay val="0"/>
    </c:title>
    <c:autoTitleDeleted val="0"/>
    <c:plotArea>
      <c:layout/>
      <c:scatterChart>
        <c:scatterStyle val="lineMarker"/>
        <c:varyColors val="0"/>
        <c:ser>
          <c:idx val="0"/>
          <c:order val="0"/>
          <c:spPr>
            <a:ln w="28575">
              <a:noFill/>
            </a:ln>
          </c:spPr>
          <c:trendline>
            <c:trendlineType val="poly"/>
            <c:order val="3"/>
            <c:intercept val="0"/>
            <c:dispRSqr val="1"/>
            <c:dispEq val="1"/>
            <c:trendlineLbl>
              <c:layout>
                <c:manualLayout>
                  <c:x val="8.7646544181977266E-3"/>
                  <c:y val="2.7418708078157012E-2"/>
                </c:manualLayout>
              </c:layout>
              <c:numFmt formatCode="General" sourceLinked="0"/>
            </c:trendlineLbl>
          </c:trendline>
          <c:xVal>
            <c:numRef>
              <c:f>'Points Table C'!$A$3:$A$11</c:f>
              <c:numCache>
                <c:formatCode>0.00</c:formatCode>
                <c:ptCount val="9"/>
                <c:pt idx="0">
                  <c:v>0</c:v>
                </c:pt>
                <c:pt idx="1">
                  <c:v>25</c:v>
                </c:pt>
                <c:pt idx="2">
                  <c:v>43</c:v>
                </c:pt>
                <c:pt idx="3">
                  <c:v>52</c:v>
                </c:pt>
                <c:pt idx="4">
                  <c:v>63</c:v>
                </c:pt>
                <c:pt idx="5">
                  <c:v>67</c:v>
                </c:pt>
                <c:pt idx="6">
                  <c:v>80</c:v>
                </c:pt>
                <c:pt idx="7">
                  <c:v>90</c:v>
                </c:pt>
                <c:pt idx="8">
                  <c:v>99.5</c:v>
                </c:pt>
              </c:numCache>
            </c:numRef>
          </c:xVal>
          <c:yVal>
            <c:numRef>
              <c:f>'Points Table C'!$E$3:$E$11</c:f>
              <c:numCache>
                <c:formatCode>General</c:formatCode>
                <c:ptCount val="9"/>
                <c:pt idx="0">
                  <c:v>0</c:v>
                </c:pt>
                <c:pt idx="1">
                  <c:v>1</c:v>
                </c:pt>
                <c:pt idx="2">
                  <c:v>2</c:v>
                </c:pt>
                <c:pt idx="3">
                  <c:v>3</c:v>
                </c:pt>
                <c:pt idx="4">
                  <c:v>4</c:v>
                </c:pt>
                <c:pt idx="5">
                  <c:v>5</c:v>
                </c:pt>
                <c:pt idx="6">
                  <c:v>6</c:v>
                </c:pt>
                <c:pt idx="7">
                  <c:v>7</c:v>
                </c:pt>
                <c:pt idx="8">
                  <c:v>8</c:v>
                </c:pt>
              </c:numCache>
            </c:numRef>
          </c:yVal>
          <c:smooth val="0"/>
          <c:extLst>
            <c:ext xmlns:c16="http://schemas.microsoft.com/office/drawing/2014/chart" uri="{C3380CC4-5D6E-409C-BE32-E72D297353CC}">
              <c16:uniqueId val="{00000000-0FE3-47BA-B4B0-7ED84C8FB0AF}"/>
            </c:ext>
          </c:extLst>
        </c:ser>
        <c:dLbls>
          <c:showLegendKey val="0"/>
          <c:showVal val="0"/>
          <c:showCatName val="0"/>
          <c:showSerName val="0"/>
          <c:showPercent val="0"/>
          <c:showBubbleSize val="0"/>
        </c:dLbls>
        <c:axId val="272519168"/>
        <c:axId val="272521088"/>
      </c:scatterChart>
      <c:valAx>
        <c:axId val="272519168"/>
        <c:scaling>
          <c:orientation val="minMax"/>
        </c:scaling>
        <c:delete val="0"/>
        <c:axPos val="b"/>
        <c:title>
          <c:tx>
            <c:rich>
              <a:bodyPr/>
              <a:lstStyle/>
              <a:p>
                <a:pPr>
                  <a:defRPr/>
                </a:pPr>
                <a:r>
                  <a:rPr lang="en-AU"/>
                  <a:t>%Conc</a:t>
                </a:r>
                <a:r>
                  <a:rPr lang="en-AU" baseline="0"/>
                  <a:t> FVNL</a:t>
                </a:r>
                <a:endParaRPr lang="en-AU"/>
              </a:p>
            </c:rich>
          </c:tx>
          <c:overlay val="0"/>
        </c:title>
        <c:numFmt formatCode="0.00" sourceLinked="1"/>
        <c:majorTickMark val="out"/>
        <c:minorTickMark val="none"/>
        <c:tickLblPos val="nextTo"/>
        <c:crossAx val="272521088"/>
        <c:crosses val="autoZero"/>
        <c:crossBetween val="midCat"/>
      </c:valAx>
      <c:valAx>
        <c:axId val="272521088"/>
        <c:scaling>
          <c:orientation val="minMax"/>
        </c:scaling>
        <c:delete val="0"/>
        <c:axPos val="l"/>
        <c:majorGridlines/>
        <c:title>
          <c:tx>
            <c:rich>
              <a:bodyPr rot="-5400000" vert="horz"/>
              <a:lstStyle/>
              <a:p>
                <a:pPr>
                  <a:defRPr/>
                </a:pPr>
                <a:r>
                  <a:rPr lang="en-AU"/>
                  <a:t>Points</a:t>
                </a:r>
              </a:p>
            </c:rich>
          </c:tx>
          <c:overlay val="0"/>
        </c:title>
        <c:numFmt formatCode="General" sourceLinked="1"/>
        <c:majorTickMark val="out"/>
        <c:minorTickMark val="none"/>
        <c:tickLblPos val="nextTo"/>
        <c:crossAx val="272519168"/>
        <c:crosses val="autoZero"/>
        <c:crossBetween val="midCat"/>
      </c:valAx>
    </c:plotArea>
    <c:legend>
      <c:legendPos val="r"/>
      <c:overlay val="0"/>
    </c:legend>
    <c:plotVisOnly val="1"/>
    <c:dispBlanksAs val="gap"/>
    <c:showDLblsOverMax val="0"/>
  </c:chart>
  <c:printSettings>
    <c:headerFooter/>
    <c:pageMargins b="0.75000000000000355" l="0.70000000000000062" r="0.70000000000000062" t="0.7500000000000035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%Foods</a:t>
            </a:r>
            <a:r>
              <a:rPr lang="en-AU" baseline="0"/>
              <a:t> Fibre</a:t>
            </a:r>
            <a:endParaRPr lang="en-AU"/>
          </a:p>
        </c:rich>
      </c:tx>
      <c:overlay val="0"/>
    </c:title>
    <c:autoTitleDeleted val="0"/>
    <c:plotArea>
      <c:layout/>
      <c:scatterChart>
        <c:scatterStyle val="lineMarker"/>
        <c:varyColors val="0"/>
        <c:ser>
          <c:idx val="0"/>
          <c:order val="0"/>
          <c:spPr>
            <a:ln w="28575">
              <a:noFill/>
            </a:ln>
          </c:spPr>
          <c:trendline>
            <c:trendlineType val="log"/>
            <c:dispRSqr val="0"/>
            <c:dispEq val="0"/>
          </c:trendline>
          <c:trendline>
            <c:trendlineType val="poly"/>
            <c:order val="3"/>
            <c:dispRSqr val="1"/>
            <c:dispEq val="1"/>
            <c:trendlineLbl>
              <c:layout>
                <c:manualLayout>
                  <c:x val="0.12285870516185475"/>
                  <c:y val="0.27741870807815688"/>
                </c:manualLayout>
              </c:layout>
              <c:numFmt formatCode="General" sourceLinked="0"/>
            </c:trendlineLbl>
          </c:trendline>
          <c:xVal>
            <c:numRef>
              <c:f>'Points Table C'!$C$3:$C$18</c:f>
              <c:numCache>
                <c:formatCode>General</c:formatCode>
                <c:ptCount val="16"/>
                <c:pt idx="0" formatCode="0.00">
                  <c:v>0</c:v>
                </c:pt>
                <c:pt idx="1">
                  <c:v>0.91</c:v>
                </c:pt>
                <c:pt idx="2">
                  <c:v>1.91</c:v>
                </c:pt>
                <c:pt idx="3">
                  <c:v>2.81</c:v>
                </c:pt>
                <c:pt idx="4">
                  <c:v>3.71</c:v>
                </c:pt>
                <c:pt idx="5">
                  <c:v>4.71</c:v>
                </c:pt>
                <c:pt idx="6" formatCode="0.00">
                  <c:v>5.41</c:v>
                </c:pt>
                <c:pt idx="7" formatCode="0.00">
                  <c:v>6.31</c:v>
                </c:pt>
                <c:pt idx="8" formatCode="0.00">
                  <c:v>7.31</c:v>
                </c:pt>
                <c:pt idx="9" formatCode="0.00">
                  <c:v>8.41</c:v>
                </c:pt>
                <c:pt idx="10" formatCode="0.00">
                  <c:v>9.7099999999999991</c:v>
                </c:pt>
                <c:pt idx="11" formatCode="0.00">
                  <c:v>11.209999999999999</c:v>
                </c:pt>
                <c:pt idx="12" formatCode="0.00">
                  <c:v>13.01</c:v>
                </c:pt>
                <c:pt idx="13" formatCode="0.00">
                  <c:v>15.01</c:v>
                </c:pt>
                <c:pt idx="14" formatCode="0.00">
                  <c:v>17.310000000000002</c:v>
                </c:pt>
                <c:pt idx="15" formatCode="0.00">
                  <c:v>20.010000000000002</c:v>
                </c:pt>
              </c:numCache>
            </c:numRef>
          </c:xVal>
          <c:yVal>
            <c:numRef>
              <c:f>'Points Table C'!$E$3:$E$18</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yVal>
          <c:smooth val="0"/>
          <c:extLst>
            <c:ext xmlns:c16="http://schemas.microsoft.com/office/drawing/2014/chart" uri="{C3380CC4-5D6E-409C-BE32-E72D297353CC}">
              <c16:uniqueId val="{00000000-27CB-406E-BA14-912D6396070B}"/>
            </c:ext>
          </c:extLst>
        </c:ser>
        <c:dLbls>
          <c:showLegendKey val="0"/>
          <c:showVal val="0"/>
          <c:showCatName val="0"/>
          <c:showSerName val="0"/>
          <c:showPercent val="0"/>
          <c:showBubbleSize val="0"/>
        </c:dLbls>
        <c:axId val="272539648"/>
        <c:axId val="272541568"/>
      </c:scatterChart>
      <c:valAx>
        <c:axId val="272539648"/>
        <c:scaling>
          <c:orientation val="minMax"/>
        </c:scaling>
        <c:delete val="0"/>
        <c:axPos val="b"/>
        <c:title>
          <c:tx>
            <c:rich>
              <a:bodyPr/>
              <a:lstStyle/>
              <a:p>
                <a:pPr>
                  <a:defRPr/>
                </a:pPr>
                <a:r>
                  <a:rPr lang="en-AU"/>
                  <a:t>%Fibre</a:t>
                </a:r>
              </a:p>
            </c:rich>
          </c:tx>
          <c:overlay val="0"/>
        </c:title>
        <c:numFmt formatCode="0.00" sourceLinked="1"/>
        <c:majorTickMark val="out"/>
        <c:minorTickMark val="none"/>
        <c:tickLblPos val="nextTo"/>
        <c:crossAx val="272541568"/>
        <c:crosses val="autoZero"/>
        <c:crossBetween val="midCat"/>
      </c:valAx>
      <c:valAx>
        <c:axId val="272541568"/>
        <c:scaling>
          <c:orientation val="minMax"/>
        </c:scaling>
        <c:delete val="0"/>
        <c:axPos val="l"/>
        <c:majorGridlines/>
        <c:title>
          <c:tx>
            <c:rich>
              <a:bodyPr rot="-5400000" vert="horz"/>
              <a:lstStyle/>
              <a:p>
                <a:pPr>
                  <a:defRPr/>
                </a:pPr>
                <a:r>
                  <a:rPr lang="en-AU"/>
                  <a:t>Points</a:t>
                </a:r>
              </a:p>
            </c:rich>
          </c:tx>
          <c:overlay val="0"/>
        </c:title>
        <c:numFmt formatCode="General" sourceLinked="1"/>
        <c:majorTickMark val="out"/>
        <c:minorTickMark val="none"/>
        <c:tickLblPos val="nextTo"/>
        <c:crossAx val="272539648"/>
        <c:crosses val="autoZero"/>
        <c:crossBetween val="midCat"/>
      </c:valAx>
    </c:plotArea>
    <c:legend>
      <c:legendPos val="r"/>
      <c:overlay val="0"/>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%Foods</a:t>
            </a:r>
            <a:r>
              <a:rPr lang="en-AU" baseline="0"/>
              <a:t> Protein</a:t>
            </a:r>
            <a:endParaRPr lang="en-AU"/>
          </a:p>
        </c:rich>
      </c:tx>
      <c:overlay val="0"/>
    </c:title>
    <c:autoTitleDeleted val="0"/>
    <c:plotArea>
      <c:layout/>
      <c:scatterChart>
        <c:scatterStyle val="lineMarker"/>
        <c:varyColors val="0"/>
        <c:ser>
          <c:idx val="0"/>
          <c:order val="0"/>
          <c:spPr>
            <a:ln w="28575">
              <a:noFill/>
            </a:ln>
          </c:spPr>
          <c:trendline>
            <c:trendlineType val="poly"/>
            <c:order val="3"/>
            <c:dispRSqr val="1"/>
            <c:dispEq val="1"/>
            <c:trendlineLbl>
              <c:layout>
                <c:manualLayout>
                  <c:x val="0.13057961504811827"/>
                  <c:y val="0.12927055993000805"/>
                </c:manualLayout>
              </c:layout>
              <c:numFmt formatCode="General" sourceLinked="0"/>
            </c:trendlineLbl>
          </c:trendline>
          <c:xVal>
            <c:numRef>
              <c:f>'Points Table C'!$D$3:$D$18</c:f>
              <c:numCache>
                <c:formatCode>General</c:formatCode>
                <c:ptCount val="16"/>
                <c:pt idx="0" formatCode="0.00">
                  <c:v>0</c:v>
                </c:pt>
                <c:pt idx="1">
                  <c:v>1.61</c:v>
                </c:pt>
                <c:pt idx="2" formatCode="0.00">
                  <c:v>3.2</c:v>
                </c:pt>
                <c:pt idx="3">
                  <c:v>4.8099999999999996</c:v>
                </c:pt>
                <c:pt idx="4">
                  <c:v>6.41</c:v>
                </c:pt>
                <c:pt idx="5" formatCode="0.00">
                  <c:v>8.01</c:v>
                </c:pt>
                <c:pt idx="6" formatCode="0.00">
                  <c:v>9.61</c:v>
                </c:pt>
                <c:pt idx="7" formatCode="0.00">
                  <c:v>11.61</c:v>
                </c:pt>
                <c:pt idx="8" formatCode="0.00">
                  <c:v>13.91</c:v>
                </c:pt>
                <c:pt idx="9" formatCode="0.00">
                  <c:v>16.71</c:v>
                </c:pt>
                <c:pt idx="10" formatCode="0.00">
                  <c:v>20.010000000000002</c:v>
                </c:pt>
                <c:pt idx="11" formatCode="0.00">
                  <c:v>24.01</c:v>
                </c:pt>
                <c:pt idx="12" formatCode="0.00">
                  <c:v>28.91</c:v>
                </c:pt>
                <c:pt idx="13" formatCode="0.00">
                  <c:v>34.71</c:v>
                </c:pt>
                <c:pt idx="14" formatCode="0.00">
                  <c:v>41.61</c:v>
                </c:pt>
                <c:pt idx="15" formatCode="0.00">
                  <c:v>50.01</c:v>
                </c:pt>
              </c:numCache>
            </c:numRef>
          </c:xVal>
          <c:yVal>
            <c:numRef>
              <c:f>'Points Table C'!$E$3:$E$18</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yVal>
          <c:smooth val="0"/>
          <c:extLst>
            <c:ext xmlns:c16="http://schemas.microsoft.com/office/drawing/2014/chart" uri="{C3380CC4-5D6E-409C-BE32-E72D297353CC}">
              <c16:uniqueId val="{00000000-5DE4-42BF-948A-5F30E3245C37}"/>
            </c:ext>
          </c:extLst>
        </c:ser>
        <c:dLbls>
          <c:showLegendKey val="0"/>
          <c:showVal val="0"/>
          <c:showCatName val="0"/>
          <c:showSerName val="0"/>
          <c:showPercent val="0"/>
          <c:showBubbleSize val="0"/>
        </c:dLbls>
        <c:axId val="272550528"/>
        <c:axId val="272552704"/>
      </c:scatterChart>
      <c:valAx>
        <c:axId val="272550528"/>
        <c:scaling>
          <c:orientation val="minMax"/>
        </c:scaling>
        <c:delete val="0"/>
        <c:axPos val="b"/>
        <c:title>
          <c:tx>
            <c:rich>
              <a:bodyPr/>
              <a:lstStyle/>
              <a:p>
                <a:pPr>
                  <a:defRPr/>
                </a:pPr>
                <a:r>
                  <a:rPr lang="en-AU"/>
                  <a:t>%Protein</a:t>
                </a:r>
              </a:p>
            </c:rich>
          </c:tx>
          <c:overlay val="0"/>
        </c:title>
        <c:numFmt formatCode="0.00" sourceLinked="1"/>
        <c:majorTickMark val="out"/>
        <c:minorTickMark val="none"/>
        <c:tickLblPos val="nextTo"/>
        <c:crossAx val="272552704"/>
        <c:crosses val="autoZero"/>
        <c:crossBetween val="midCat"/>
      </c:valAx>
      <c:valAx>
        <c:axId val="272552704"/>
        <c:scaling>
          <c:orientation val="minMax"/>
        </c:scaling>
        <c:delete val="0"/>
        <c:axPos val="l"/>
        <c:majorGridlines/>
        <c:title>
          <c:tx>
            <c:rich>
              <a:bodyPr rot="-5400000" vert="horz"/>
              <a:lstStyle/>
              <a:p>
                <a:pPr>
                  <a:defRPr/>
                </a:pPr>
                <a:r>
                  <a:rPr lang="en-AU"/>
                  <a:t>Points</a:t>
                </a:r>
              </a:p>
            </c:rich>
          </c:tx>
          <c:overlay val="0"/>
        </c:title>
        <c:numFmt formatCode="General" sourceLinked="1"/>
        <c:majorTickMark val="out"/>
        <c:minorTickMark val="none"/>
        <c:tickLblPos val="nextTo"/>
        <c:crossAx val="272550528"/>
        <c:crosses val="autoZero"/>
        <c:crossBetween val="midCat"/>
      </c:valAx>
    </c:plotArea>
    <c:legend>
      <c:legendPos val="r"/>
      <c:overlay val="0"/>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123825</xdr:colOff>
      <xdr:row>0</xdr:row>
      <xdr:rowOff>104774</xdr:rowOff>
    </xdr:from>
    <xdr:to>
      <xdr:col>22</xdr:col>
      <xdr:colOff>572625</xdr:colOff>
      <xdr:row>37</xdr:row>
      <xdr:rowOff>123825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3825" y="104774"/>
          <a:ext cx="13860000" cy="6010276"/>
        </a:xfrm>
        <a:prstGeom prst="rect">
          <a:avLst/>
        </a:prstGeom>
        <a:solidFill>
          <a:srgbClr val="FEF7CE"/>
        </a:solidFill>
        <a:ln w="9525" cmpd="sng">
          <a:solidFill>
            <a:schemeClr val="tx1">
              <a:lumMod val="50000"/>
              <a:lumOff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b="1">
              <a:solidFill>
                <a:schemeClr val="tx1"/>
              </a:solidFill>
            </a:rPr>
            <a:t>HSR</a:t>
          </a:r>
          <a:r>
            <a:rPr lang="en-AU" sz="1400" b="1" baseline="0">
              <a:solidFill>
                <a:schemeClr val="tx1"/>
              </a:solidFill>
            </a:rPr>
            <a:t> C</a:t>
          </a:r>
          <a:r>
            <a:rPr lang="en-AU" sz="1400" b="1">
              <a:solidFill>
                <a:schemeClr val="tx1"/>
              </a:solidFill>
            </a:rPr>
            <a:t>alculator version 4</a:t>
          </a:r>
        </a:p>
        <a:p>
          <a:endParaRPr lang="en-AU" sz="1400" b="1">
            <a:solidFill>
              <a:schemeClr val="tx1"/>
            </a:solidFill>
          </a:endParaRPr>
        </a:p>
        <a:p>
          <a:r>
            <a:rPr lang="en-AU" sz="1400">
              <a:solidFill>
                <a:schemeClr val="tx1"/>
              </a:solidFill>
            </a:rPr>
            <a:t>This calculator incorporates the following</a:t>
          </a:r>
          <a:r>
            <a:rPr lang="en-AU" sz="1400" baseline="0">
              <a:solidFill>
                <a:schemeClr val="tx1"/>
              </a:solidFill>
            </a:rPr>
            <a:t> system enhancements as recommended in </a:t>
          </a:r>
          <a:r>
            <a:rPr lang="en-AU" sz="1400" baseline="0">
              <a:solidFill>
                <a:schemeClr val="tx1"/>
              </a:solidFill>
              <a:latin typeface="+mn-lt"/>
              <a:ea typeface="+mn-ea"/>
              <a:cs typeface="+mn-cs"/>
            </a:rPr>
            <a:t>the Final Report of the Five Year Review of the Health Star Rating System and agreed by the Australia and New Zealand Ministerial Forum on Food Regulation (Forum)</a:t>
          </a:r>
          <a:r>
            <a:rPr lang="en-AU" sz="1400" baseline="0">
              <a:solidFill>
                <a:schemeClr val="tx1"/>
              </a:solidFill>
            </a:rPr>
            <a:t>:</a:t>
          </a:r>
        </a:p>
        <a:p>
          <a:endParaRPr lang="en-AU" sz="1400" baseline="0">
            <a:solidFill>
              <a:schemeClr val="tx1"/>
            </a:solidFill>
          </a:endParaRPr>
        </a:p>
        <a:p>
          <a:pPr lvl="1"/>
          <a:r>
            <a:rPr lang="en-AU" sz="1400" baseline="0">
              <a:solidFill>
                <a:schemeClr val="tx1"/>
              </a:solidFill>
            </a:rPr>
            <a:t>Recommendation 4B: </a:t>
          </a:r>
          <a:r>
            <a:rPr lang="en-AU" sz="1400"/>
            <a:t>Total sugars are more strongly penalised. The sugars table for Categories 1D, 2 and 2D have been revised to a maximum of 25 points for &gt;99 g/100 g. </a:t>
          </a:r>
          <a:endParaRPr lang="en-AU" sz="1400" baseline="0">
            <a:solidFill>
              <a:schemeClr val="tx1"/>
            </a:solidFill>
          </a:endParaRPr>
        </a:p>
        <a:p>
          <a:pPr lvl="1"/>
          <a:endParaRPr lang="en-AU" sz="1400" baseline="0">
            <a:solidFill>
              <a:schemeClr val="tx1"/>
            </a:solidFill>
          </a:endParaRPr>
        </a:p>
        <a:p>
          <a:pPr lvl="1"/>
          <a:r>
            <a:rPr lang="en-AU" sz="1400" baseline="0">
              <a:solidFill>
                <a:schemeClr val="tx1"/>
              </a:solidFill>
            </a:rPr>
            <a:t>Recommendation 4C: Sodium sensitivity has been improved for products high in sodium by reducing the maximum sodium levels used to determine baseline points for products that contain sodium levels &gt;900 mg/100 g (a maximum of 30 baseline points is received for products with a sodium concentration of &gt;2700 mg/100 g).</a:t>
          </a:r>
        </a:p>
        <a:p>
          <a:pPr lvl="1"/>
          <a:endParaRPr lang="en-AU" sz="1400" baseline="0">
            <a:solidFill>
              <a:schemeClr val="tx1"/>
            </a:solidFill>
          </a:endParaRPr>
        </a:p>
        <a:p>
          <a:pPr lvl="1"/>
          <a:r>
            <a:rPr lang="en-AU" sz="1400" baseline="0">
              <a:solidFill>
                <a:schemeClr val="tx1"/>
              </a:solidFill>
            </a:rPr>
            <a:t>(part of) Recommendation 4D:  Dairy categories (categories 2D and 3D) have been rescaled</a:t>
          </a:r>
          <a:r>
            <a:rPr lang="en-AU" sz="1400"/>
            <a:t> to ensure that healthier FFG options receive higher HSRs.</a:t>
          </a:r>
        </a:p>
        <a:p>
          <a:pPr lvl="1"/>
          <a:endParaRPr lang="en-AU" sz="1400" baseline="0">
            <a:solidFill>
              <a:schemeClr val="tx1"/>
            </a:solidFill>
          </a:endParaRPr>
        </a:p>
        <a:p>
          <a:pPr lvl="1"/>
          <a:r>
            <a:rPr lang="en-AU" sz="1400" baseline="0">
              <a:solidFill>
                <a:schemeClr val="tx1"/>
              </a:solidFill>
            </a:rPr>
            <a:t>(part of) Recommendation 5: A varied calculator has been developed for non-dairy beverages </a:t>
          </a:r>
          <a:r>
            <a:rPr lang="en-AU" sz="1400"/>
            <a:t>using a new points table that takes into account energy, sugar and FVNL content ONLY</a:t>
          </a:r>
          <a:r>
            <a:rPr lang="en-AU" sz="1400" baseline="0"/>
            <a:t> (saturated fat, protein, sodium and % conc</a:t>
          </a:r>
          <a:r>
            <a:rPr lang="en-AU" sz="1400" baseline="0">
              <a:solidFill>
                <a:sysClr val="windowText" lastClr="000000"/>
              </a:solidFill>
            </a:rPr>
            <a:t>entrated</a:t>
          </a:r>
          <a:r>
            <a:rPr lang="en-AU" sz="1400" baseline="0">
              <a:solidFill>
                <a:srgbClr val="FF0000"/>
              </a:solidFill>
            </a:rPr>
            <a:t> </a:t>
          </a:r>
          <a:r>
            <a:rPr lang="en-AU" sz="1400" baseline="0"/>
            <a:t>FVNL are no longer considered). </a:t>
          </a:r>
          <a:r>
            <a:rPr lang="en-AU" sz="1400"/>
            <a:t>The proposed points table is based on the French Nutri-Score System but with adjustments for FVNL based on Australian and New Zealand regulations regarding fruit and vegetable drinks and juices.</a:t>
          </a:r>
          <a:endParaRPr lang="en-AU" sz="1400" baseline="0">
            <a:solidFill>
              <a:schemeClr val="tx1"/>
            </a:solidFill>
          </a:endParaRPr>
        </a:p>
        <a:p>
          <a:pPr lvl="1"/>
          <a:endParaRPr lang="en-AU" sz="1400" baseline="0">
            <a:solidFill>
              <a:schemeClr val="tx1"/>
            </a:solidFill>
          </a:endParaRPr>
        </a:p>
        <a:p>
          <a:r>
            <a:rPr lang="en-AU" sz="1400" i="1" baseline="0">
              <a:solidFill>
                <a:sysClr val="windowText" lastClr="000000"/>
              </a:solidFill>
            </a:rPr>
            <a:t>This </a:t>
          </a:r>
          <a:r>
            <a:rPr lang="en-AU" sz="1400" b="1" i="1" u="sng" baseline="0">
              <a:solidFill>
                <a:sysClr val="windowText" lastClr="000000"/>
              </a:solidFill>
            </a:rPr>
            <a:t>calculator does not account for </a:t>
          </a:r>
          <a:r>
            <a:rPr lang="en-AU" sz="1400" i="1" baseline="0">
              <a:solidFill>
                <a:sysClr val="windowText" lastClr="000000"/>
              </a:solidFill>
            </a:rPr>
            <a:t>the following definitional or categorisation changes recommended in the Five Year Review Final Report and agreed by the Forum. These </a:t>
          </a:r>
          <a:r>
            <a:rPr lang="en-AU" sz="1400" i="1" u="sng" baseline="0">
              <a:solidFill>
                <a:sysClr val="windowText" lastClr="000000"/>
              </a:solidFill>
            </a:rPr>
            <a:t>must be accounted for by the user</a:t>
          </a:r>
          <a:r>
            <a:rPr lang="en-AU" sz="1400" i="1" baseline="0">
              <a:solidFill>
                <a:sysClr val="windowText" lastClr="000000"/>
              </a:solidFill>
            </a:rPr>
            <a:t>.</a:t>
          </a:r>
        </a:p>
        <a:p>
          <a:endParaRPr lang="en-AU" sz="1400" i="1" baseline="0">
            <a:solidFill>
              <a:sysClr val="windowText" lastClr="000000"/>
            </a:solidFill>
            <a:latin typeface="+mn-lt"/>
            <a:ea typeface="+mn-ea"/>
            <a:cs typeface="+mn-cs"/>
          </a:endParaRPr>
        </a:p>
        <a:p>
          <a:r>
            <a:rPr lang="en-AU" sz="1400" i="1" baseline="0">
              <a:solidFill>
                <a:sysClr val="windowText" lastClr="000000"/>
              </a:solidFill>
              <a:latin typeface="+mn-lt"/>
              <a:ea typeface="+mn-ea"/>
              <a:cs typeface="+mn-cs"/>
            </a:rPr>
            <a:t>Recommendation 4A: </a:t>
          </a:r>
          <a:r>
            <a:rPr lang="en-AU" sz="1400" i="1">
              <a:solidFill>
                <a:sysClr val="windowText" lastClr="000000"/>
              </a:solidFill>
            </a:rPr>
            <a:t>Eligible fruits and vegetables automatically receive an HSR of 5 (further detail provided below). </a:t>
          </a:r>
        </a:p>
        <a:p>
          <a:endParaRPr lang="en-AU" sz="1400" i="1" baseline="0">
            <a:solidFill>
              <a:sysClr val="windowText" lastClr="000000"/>
            </a:solidFill>
            <a:latin typeface="+mn-lt"/>
            <a:ea typeface="+mn-ea"/>
            <a:cs typeface="+mn-cs"/>
          </a:endParaRPr>
        </a:p>
        <a:p>
          <a:r>
            <a:rPr lang="en-AU" sz="1400" i="1" baseline="0">
              <a:solidFill>
                <a:sysClr val="windowText" lastClr="000000"/>
              </a:solidFill>
              <a:latin typeface="+mn-lt"/>
              <a:ea typeface="+mn-ea"/>
              <a:cs typeface="+mn-cs"/>
            </a:rPr>
            <a:t>(part of) Recommendation 4D: Dairy categories have been redefined/clarified so that Category 2D includes dairy desserts and other chilled dairy products and Category 3D includes surface ripened cheeses (refer to category explanations below).</a:t>
          </a:r>
        </a:p>
        <a:p>
          <a:endParaRPr lang="en-AU" sz="1400" i="1" baseline="0">
            <a:solidFill>
              <a:sysClr val="windowText" lastClr="000000"/>
            </a:solidFill>
            <a:latin typeface="+mn-lt"/>
            <a:ea typeface="+mn-ea"/>
            <a:cs typeface="+mn-cs"/>
          </a:endParaRPr>
        </a:p>
        <a:p>
          <a:r>
            <a:rPr lang="en-AU" sz="1400" i="1" baseline="0">
              <a:solidFill>
                <a:sysClr val="windowText" lastClr="000000"/>
              </a:solidFill>
              <a:latin typeface="+mn-lt"/>
              <a:ea typeface="+mn-ea"/>
              <a:cs typeface="+mn-cs"/>
            </a:rPr>
            <a:t>Recommendation 4E: Jellies and water-based ice confections be included in the Category 1 definition to decrease their HSRs and align them with nutritionally similar non-dairy beverages.</a:t>
          </a:r>
        </a:p>
        <a:p>
          <a:endParaRPr lang="en-AU" sz="1400" i="1" baseline="0">
            <a:solidFill>
              <a:sysClr val="windowText" lastClr="000000"/>
            </a:solidFill>
            <a:latin typeface="+mn-lt"/>
            <a:ea typeface="+mn-ea"/>
            <a:cs typeface="+mn-cs"/>
          </a:endParaRPr>
        </a:p>
        <a:p>
          <a:r>
            <a:rPr lang="en-AU" sz="1400" i="1">
              <a:solidFill>
                <a:sysClr val="windowText" lastClr="000000"/>
              </a:solidFill>
            </a:rPr>
            <a:t>(part of) Recommendation 5: A policy decision that all unsweetened flavoured waters (still or carbonated)</a:t>
          </a:r>
          <a:r>
            <a:rPr lang="en-AU" sz="1400" i="1" baseline="0">
              <a:solidFill>
                <a:sysClr val="windowText" lastClr="000000"/>
              </a:solidFill>
            </a:rPr>
            <a:t> </a:t>
          </a:r>
          <a:r>
            <a:rPr lang="en-AU" sz="1400" i="1">
              <a:solidFill>
                <a:sysClr val="windowText" lastClr="000000"/>
              </a:solidFill>
            </a:rPr>
            <a:t>receive an automatic HSR of 4.5 (further detail provided below).</a:t>
          </a:r>
          <a:endParaRPr lang="en-AU" sz="1400" i="1" baseline="0">
            <a:solidFill>
              <a:sysClr val="windowText" lastClr="000000"/>
            </a:solidFill>
            <a:latin typeface="+mn-lt"/>
            <a:ea typeface="+mn-ea"/>
            <a:cs typeface="+mn-cs"/>
          </a:endParaRPr>
        </a:p>
        <a:p>
          <a:endParaRPr lang="en-AU" sz="1400" baseline="0">
            <a:solidFill>
              <a:schemeClr val="tx1"/>
            </a:solidFill>
            <a:latin typeface="+mn-lt"/>
            <a:ea typeface="+mn-ea"/>
            <a:cs typeface="+mn-cs"/>
          </a:endParaRPr>
        </a:p>
        <a:p>
          <a:endParaRPr lang="en-AU" sz="1400" baseline="0">
            <a:solidFill>
              <a:schemeClr val="tx1"/>
            </a:solidFill>
          </a:endParaRPr>
        </a:p>
        <a:p>
          <a:endParaRPr lang="en-AU" sz="1400" baseline="0">
            <a:solidFill>
              <a:schemeClr val="tx1"/>
            </a:solidFill>
          </a:endParaRPr>
        </a:p>
      </xdr:txBody>
    </xdr:sp>
    <xdr:clientData/>
  </xdr:twoCellAnchor>
  <xdr:twoCellAnchor>
    <xdr:from>
      <xdr:col>0</xdr:col>
      <xdr:colOff>123825</xdr:colOff>
      <xdr:row>38</xdr:row>
      <xdr:rowOff>114299</xdr:rowOff>
    </xdr:from>
    <xdr:to>
      <xdr:col>22</xdr:col>
      <xdr:colOff>572625</xdr:colOff>
      <xdr:row>121</xdr:row>
      <xdr:rowOff>133349</xdr:rowOff>
    </xdr:to>
    <xdr:sp macro="" textlink="">
      <xdr:nvSpPr>
        <xdr:cNvPr id="3" name="TextBox 7">
          <a:extLst>
            <a:ext uri="{FF2B5EF4-FFF2-40B4-BE49-F238E27FC236}">
              <a16:creationId xmlns:a16="http://schemas.microsoft.com/office/drawing/2014/main" id="{00000000-0008-0000-0000-000003000000}"/>
            </a:ext>
          </a:extLst>
        </xdr:cNvPr>
        <xdr:cNvSpPr txBox="1"/>
      </xdr:nvSpPr>
      <xdr:spPr>
        <a:xfrm>
          <a:off x="123825" y="6267449"/>
          <a:ext cx="13860000" cy="13458825"/>
        </a:xfrm>
        <a:prstGeom prst="rect">
          <a:avLst/>
        </a:prstGeom>
        <a:solidFill>
          <a:srgbClr val="FEF7CE"/>
        </a:solidFill>
        <a:ln w="3175">
          <a:solidFill>
            <a:schemeClr val="tx1">
              <a:lumMod val="50000"/>
              <a:lumOff val="50000"/>
            </a:schemeClr>
          </a:solidFill>
        </a:ln>
      </xdr:spPr>
      <xdr:style>
        <a:lnRef idx="0">
          <a:scrgbClr r="0" g="0" b="0"/>
        </a:lnRef>
        <a:fillRef idx="0">
          <a:scrgbClr r="0" g="0" b="0"/>
        </a:fillRef>
        <a:effectRef idx="0">
          <a:scrgbClr r="0" g="0" b="0"/>
        </a:effectRef>
        <a:fontRef idx="minor">
          <a:schemeClr val="tx1"/>
        </a:fontRef>
      </xdr:style>
      <xdr:txBody>
        <a:bodyPr wrap="square" rtlCol="0" anchor="t">
          <a:noAutofit/>
        </a:bodyPr>
        <a:lstStyle/>
        <a:p>
          <a:pPr>
            <a:spcAft>
              <a:spcPts val="0"/>
            </a:spcAft>
          </a:pPr>
          <a:r>
            <a:rPr lang="en-AU" sz="1600" b="1">
              <a:solidFill>
                <a:srgbClr val="000000"/>
              </a:solidFill>
              <a:effectLst/>
              <a:ea typeface="Calibri" panose="020F0502020204030204" pitchFamily="34" charset="0"/>
              <a:cs typeface="Times New Roman" panose="02020603050405020304" pitchFamily="18" charset="0"/>
            </a:rPr>
            <a:t>HSR categories</a:t>
          </a:r>
          <a:endParaRPr lang="en-GB" sz="1200">
            <a:effectLst/>
            <a:latin typeface="Times New Roman" panose="02020603050405020304" pitchFamily="18" charset="0"/>
            <a:ea typeface="Times New Roman" panose="02020603050405020304" pitchFamily="18" charset="0"/>
          </a:endParaRPr>
        </a:p>
        <a:p>
          <a:pPr>
            <a:spcAft>
              <a:spcPts val="0"/>
            </a:spcAft>
          </a:pPr>
          <a:endParaRPr lang="en-AU" sz="1400">
            <a:solidFill>
              <a:srgbClr val="000000"/>
            </a:solidFill>
            <a:effectLst/>
            <a:ea typeface="Calibri" panose="020F0502020204030204" pitchFamily="34" charset="0"/>
            <a:cs typeface="Times New Roman" panose="02020603050405020304" pitchFamily="18" charset="0"/>
          </a:endParaRPr>
        </a:p>
        <a:p>
          <a:pPr>
            <a:spcAft>
              <a:spcPts val="0"/>
            </a:spcAft>
          </a:pPr>
          <a:r>
            <a:rPr lang="en-AU" sz="1400" b="1" u="sng">
              <a:solidFill>
                <a:srgbClr val="000000"/>
              </a:solidFill>
              <a:effectLst/>
              <a:ea typeface="Calibri" panose="020F0502020204030204" pitchFamily="34" charset="0"/>
              <a:cs typeface="Times New Roman" panose="02020603050405020304" pitchFamily="18" charset="0"/>
            </a:rPr>
            <a:t>Category 1</a:t>
          </a:r>
          <a:endParaRPr lang="en-GB" sz="1200">
            <a:effectLst/>
            <a:latin typeface="Times New Roman" panose="02020603050405020304" pitchFamily="18" charset="0"/>
            <a:ea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Non-dairy beverages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All beverages (other than dairy beverages), cordials and jelly (as prepared) and ice confections.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i="0">
              <a:solidFill>
                <a:sysClr val="windowText" lastClr="000000"/>
              </a:solidFill>
              <a:effectLst/>
              <a:ea typeface="Calibri" panose="020F0502020204030204" pitchFamily="34" charset="0"/>
              <a:cs typeface="Times New Roman" panose="02020603050405020304" pitchFamily="18" charset="0"/>
            </a:rPr>
            <a:t>An automatic HSR of 5 applies to packaged water as regulated in the FSC Standard 2.6.2 – Non-alcoholic Beverages and Brewed Soft Drinks</a:t>
          </a:r>
          <a:r>
            <a:rPr lang="en-AU" sz="1100" i="0">
              <a:solidFill>
                <a:sysClr val="windowText" lastClr="000000"/>
              </a:solidFill>
              <a:effectLst/>
              <a:ea typeface="Calibri" panose="020F0502020204030204" pitchFamily="34" charset="0"/>
              <a:cs typeface="Times New Roman" panose="02020603050405020304" pitchFamily="18" charset="0"/>
            </a:rPr>
            <a:t>.</a:t>
          </a:r>
          <a:endParaRPr lang="en-GB" sz="1200" i="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i="0">
              <a:solidFill>
                <a:sysClr val="windowText" lastClr="000000"/>
              </a:solidFill>
              <a:effectLst/>
              <a:ea typeface="Calibri" panose="020F0502020204030204" pitchFamily="34" charset="0"/>
              <a:cs typeface="Times New Roman" panose="02020603050405020304" pitchFamily="18" charset="0"/>
            </a:rPr>
            <a:t>If a flavoured water meets the following definition it is eligible for an </a:t>
          </a:r>
          <a:r>
            <a:rPr lang="en-AU" sz="1400" i="0" u="sng">
              <a:solidFill>
                <a:sysClr val="windowText" lastClr="000000"/>
              </a:solidFill>
              <a:effectLst/>
              <a:ea typeface="Calibri" panose="020F0502020204030204" pitchFamily="34" charset="0"/>
              <a:cs typeface="Times New Roman" panose="02020603050405020304" pitchFamily="18" charset="0"/>
            </a:rPr>
            <a:t>automatic HSR of 4.5</a:t>
          </a:r>
          <a:r>
            <a:rPr lang="en-AU" sz="1400" i="0">
              <a:solidFill>
                <a:sysClr val="windowText" lastClr="000000"/>
              </a:solidFill>
              <a:effectLst/>
              <a:ea typeface="Calibri" panose="020F0502020204030204" pitchFamily="34" charset="0"/>
              <a:cs typeface="Times New Roman" panose="02020603050405020304" pitchFamily="18" charset="0"/>
            </a:rPr>
            <a:t>. </a:t>
          </a:r>
          <a:endParaRPr lang="en-GB" sz="1200" i="0">
            <a:solidFill>
              <a:sysClr val="windowText" lastClr="000000"/>
            </a:solidFill>
            <a:effectLst/>
            <a:latin typeface="Times New Roman" panose="02020603050405020304" pitchFamily="18" charset="0"/>
            <a:ea typeface="Times New Roman" panose="02020603050405020304" pitchFamily="18" charset="0"/>
          </a:endParaRPr>
        </a:p>
        <a:p>
          <a:pPr marL="457200">
            <a:spcAft>
              <a:spcPts val="0"/>
            </a:spcAft>
          </a:pPr>
          <a:r>
            <a:rPr lang="en-AU" sz="1400" i="1">
              <a:solidFill>
                <a:sysClr val="windowText" lastClr="000000"/>
              </a:solidFill>
              <a:effectLst/>
              <a:ea typeface="Calibri" panose="020F0502020204030204" pitchFamily="34" charset="0"/>
              <a:cs typeface="Times New Roman" panose="02020603050405020304" pitchFamily="18" charset="0"/>
            </a:rPr>
            <a:t>Flavoured waters are packaged beverages similar in nutritional profile to water that:  </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marL="457200">
            <a:spcAft>
              <a:spcPts val="0"/>
            </a:spcAft>
          </a:pPr>
          <a:r>
            <a:rPr lang="en-AU" sz="1400" i="1">
              <a:solidFill>
                <a:sysClr val="windowText" lastClr="000000"/>
              </a:solidFill>
              <a:effectLst/>
              <a:ea typeface="Calibri" panose="020F0502020204030204" pitchFamily="34" charset="0"/>
              <a:cs typeface="Times New Roman" panose="02020603050405020304" pitchFamily="18" charset="0"/>
            </a:rPr>
            <a:t>	- may contain carbon dioxide, whether added or naturally occurring; and </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marL="457200">
            <a:spcAft>
              <a:spcPts val="0"/>
            </a:spcAft>
          </a:pPr>
          <a:r>
            <a:rPr lang="en-GB" sz="1200">
              <a:solidFill>
                <a:sysClr val="windowText" lastClr="000000"/>
              </a:solidFill>
              <a:effectLst/>
              <a:latin typeface="Times New Roman" panose="02020603050405020304" pitchFamily="18" charset="0"/>
              <a:ea typeface="Calibri" panose="020F0502020204030204" pitchFamily="34" charset="0"/>
              <a:cs typeface="Times New Roman" panose="02020603050405020304" pitchFamily="18" charset="0"/>
            </a:rPr>
            <a:t>	- </a:t>
          </a:r>
          <a:r>
            <a:rPr lang="en-AU" sz="1400" i="1">
              <a:solidFill>
                <a:sysClr val="windowText" lastClr="000000"/>
              </a:solidFill>
              <a:effectLst/>
              <a:ea typeface="Calibri" panose="020F0502020204030204" pitchFamily="34" charset="0"/>
              <a:cs typeface="Times New Roman" panose="02020603050405020304" pitchFamily="18" charset="0"/>
            </a:rPr>
            <a:t>contain no added sugars, sweeteners or salt; and </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marL="457200">
            <a:spcAft>
              <a:spcPts val="0"/>
            </a:spcAft>
          </a:pPr>
          <a:r>
            <a:rPr lang="en-AU" sz="1400" i="1">
              <a:solidFill>
                <a:sysClr val="windowText" lastClr="000000"/>
              </a:solidFill>
              <a:effectLst/>
              <a:ea typeface="Calibri" panose="020F0502020204030204" pitchFamily="34" charset="0"/>
              <a:cs typeface="Times New Roman" panose="02020603050405020304" pitchFamily="18" charset="0"/>
            </a:rPr>
            <a:t>	- contains only the following additives: permitted flavouring substances, excluding quinine and caffeine and flavouring</a:t>
          </a:r>
          <a:r>
            <a:rPr lang="en-AU" sz="1400" i="1" baseline="0">
              <a:solidFill>
                <a:sysClr val="windowText" lastClr="000000"/>
              </a:solidFill>
              <a:effectLst/>
              <a:ea typeface="Calibri" panose="020F0502020204030204" pitchFamily="34" charset="0"/>
              <a:cs typeface="Times New Roman" panose="02020603050405020304" pitchFamily="18" charset="0"/>
            </a:rPr>
            <a:t> substances that can also be used as sweeteners</a:t>
          </a:r>
          <a:r>
            <a:rPr lang="en-AU" sz="1400" i="1">
              <a:solidFill>
                <a:sysClr val="windowText" lastClr="000000"/>
              </a:solidFill>
              <a:effectLst/>
              <a:ea typeface="Calibri" panose="020F0502020204030204" pitchFamily="34" charset="0"/>
              <a:cs typeface="Times New Roman" panose="02020603050405020304" pitchFamily="18" charset="0"/>
            </a:rPr>
            <a:t>. </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endParaRPr lang="en-AU" sz="1400" i="0">
            <a:solidFill>
              <a:sysClr val="windowText" lastClr="000000"/>
            </a:solidFill>
            <a:effectLst/>
            <a:latin typeface="+mn-lt"/>
            <a:ea typeface="Calibri" panose="020F0502020204030204" pitchFamily="34" charset="0"/>
            <a:cs typeface="Times New Roman" panose="02020603050405020304" pitchFamily="18" charset="0"/>
          </a:endParaRPr>
        </a:p>
        <a:p>
          <a:pPr>
            <a:spcAft>
              <a:spcPts val="0"/>
            </a:spcAft>
          </a:pPr>
          <a:r>
            <a:rPr lang="en-AU" sz="1400" i="0">
              <a:solidFill>
                <a:sysClr val="windowText" lastClr="000000"/>
              </a:solidFill>
              <a:effectLst/>
              <a:latin typeface="+mn-lt"/>
              <a:ea typeface="Calibri" panose="020F0502020204030204" pitchFamily="34" charset="0"/>
              <a:cs typeface="Times New Roman" panose="02020603050405020304" pitchFamily="18" charset="0"/>
            </a:rPr>
            <a:t>The calculator should not be used in the above</a:t>
          </a:r>
          <a:r>
            <a:rPr lang="en-AU" sz="1400" i="0" baseline="0">
              <a:solidFill>
                <a:sysClr val="windowText" lastClr="000000"/>
              </a:solidFill>
              <a:effectLst/>
              <a:latin typeface="+mn-lt"/>
              <a:ea typeface="Calibri" panose="020F0502020204030204" pitchFamily="34" charset="0"/>
              <a:cs typeface="Times New Roman" panose="02020603050405020304" pitchFamily="18" charset="0"/>
            </a:rPr>
            <a:t> two instances (water and flavoured water) </a:t>
          </a:r>
          <a:r>
            <a:rPr lang="en-AU" sz="1400" i="0">
              <a:solidFill>
                <a:sysClr val="windowText" lastClr="000000"/>
              </a:solidFill>
              <a:effectLst/>
              <a:latin typeface="+mn-lt"/>
              <a:ea typeface="Calibri" panose="020F0502020204030204" pitchFamily="34" charset="0"/>
              <a:cs typeface="Times New Roman" panose="02020603050405020304" pitchFamily="18" charset="0"/>
            </a:rPr>
            <a:t>- doing so may provide you with a different rating.</a:t>
          </a:r>
        </a:p>
        <a:p>
          <a:pPr>
            <a:spcAft>
              <a:spcPts val="0"/>
            </a:spcAft>
          </a:pPr>
          <a:endParaRPr lang="en-GB" sz="1400" i="0">
            <a:solidFill>
              <a:sysClr val="windowText" lastClr="000000"/>
            </a:solidFill>
            <a:effectLst/>
            <a:latin typeface="+mn-lt"/>
            <a:ea typeface="Calibri" panose="020F0502020204030204" pitchFamily="34" charset="0"/>
            <a:cs typeface="Times New Roman" panose="02020603050405020304" pitchFamily="18" charset="0"/>
          </a:endParaRPr>
        </a:p>
        <a:p>
          <a:pPr>
            <a:spcAft>
              <a:spcPts val="0"/>
            </a:spcAft>
          </a:pPr>
          <a:r>
            <a:rPr lang="en-AU" sz="1400" b="1" u="sng">
              <a:solidFill>
                <a:sysClr val="windowText" lastClr="000000"/>
              </a:solidFill>
              <a:effectLst/>
              <a:ea typeface="Calibri" panose="020F0502020204030204" pitchFamily="34" charset="0"/>
              <a:cs typeface="Times New Roman" panose="02020603050405020304" pitchFamily="18" charset="0"/>
            </a:rPr>
            <a:t>Category 1D</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Core Dairy - beverages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a:t>
          </a:r>
          <a:r>
            <a:rPr lang="en-AU" sz="1400" baseline="0">
              <a:solidFill>
                <a:sysClr val="windowText" lastClr="000000"/>
              </a:solidFill>
              <a:effectLst/>
              <a:ea typeface="Calibri" panose="020F0502020204030204" pitchFamily="34" charset="0"/>
              <a:cs typeface="Times New Roman" panose="02020603050405020304" pitchFamily="18" charset="0"/>
            </a:rPr>
            <a:t> </a:t>
          </a:r>
          <a:r>
            <a:rPr lang="en-AU" sz="1400" u="sng">
              <a:solidFill>
                <a:schemeClr val="tx1"/>
              </a:solidFill>
              <a:effectLst/>
              <a:latin typeface="+mn-lt"/>
              <a:ea typeface="+mn-ea"/>
              <a:cs typeface="+mn-cs"/>
            </a:rPr>
            <a:t>Milks and dairy beverages that have sufficient calcium to meet the requirements for a ‘source of calcium’ claim, as set out in Schedule 4 of the Australia New Zealand Food Standards Code; AND dairy beverage alternatives derived from legumes, cereals, nuts or seeds that have ≥100mg calcium per 100ml.</a:t>
          </a:r>
          <a:r>
            <a:rPr lang="en-AU" sz="1400">
              <a:solidFill>
                <a:sysClr val="windowText" lastClr="000000"/>
              </a:solidFill>
              <a:effectLst/>
              <a:ea typeface="Calibri" panose="020F0502020204030204" pitchFamily="34" charset="0"/>
              <a:cs typeface="Times New Roman" panose="02020603050405020304" pitchFamily="18" charset="0"/>
            </a:rPr>
            <a:t> </a:t>
          </a:r>
        </a:p>
        <a:p>
          <a:pPr>
            <a:spcAft>
              <a:spcPts val="0"/>
            </a:spcAft>
          </a:pPr>
          <a:endParaRPr lang="en-GB" sz="14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b="1" u="sng">
              <a:solidFill>
                <a:sysClr val="windowText" lastClr="000000"/>
              </a:solidFill>
              <a:effectLst/>
              <a:ea typeface="Calibri" panose="020F0502020204030204" pitchFamily="34" charset="0"/>
              <a:cs typeface="Times New Roman" panose="02020603050405020304" pitchFamily="18" charset="0"/>
            </a:rPr>
            <a:t>Category 2</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All products that do not fall within Category 1, 1D, 2D, 3 or 3D. Further explanation of the types of products captured is detailed below (noting</a:t>
          </a:r>
          <a:r>
            <a:rPr lang="en-AU" sz="1400" u="sng" baseline="0">
              <a:solidFill>
                <a:sysClr val="windowText" lastClr="000000"/>
              </a:solidFill>
              <a:effectLst/>
              <a:ea typeface="Calibri" panose="020F0502020204030204" pitchFamily="34" charset="0"/>
              <a:cs typeface="Times New Roman" panose="02020603050405020304" pitchFamily="18" charset="0"/>
            </a:rPr>
            <a:t> that the list is not exhaustive).</a:t>
          </a:r>
          <a:endParaRPr lang="en-AU" sz="1400" u="sng">
            <a:solidFill>
              <a:sysClr val="windowText" lastClr="000000"/>
            </a:solidFill>
            <a:effectLst/>
            <a:ea typeface="Calibri" panose="020F0502020204030204" pitchFamily="34" charset="0"/>
            <a:cs typeface="Times New Roman" panose="02020603050405020304" pitchFamily="18" charset="0"/>
          </a:endParaRPr>
        </a:p>
        <a:p>
          <a:pPr>
            <a:spcAft>
              <a:spcPts val="0"/>
            </a:spcAft>
          </a:pPr>
          <a:endParaRPr lang="en-AU" sz="1400" u="sng">
            <a:solidFill>
              <a:sysClr val="windowText" lastClr="000000"/>
            </a:solidFill>
            <a:effectLst/>
            <a:ea typeface="Calibri" panose="020F0502020204030204" pitchFamily="34" charset="0"/>
            <a:cs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Core Cereals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Breads, buns, wraps, breakfast cereals, pasta, flour, rice, grains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Fruit </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Processed fruit</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i="0">
              <a:solidFill>
                <a:sysClr val="windowText" lastClr="000000"/>
              </a:solidFill>
              <a:effectLst/>
              <a:ea typeface="Calibri" panose="020F0502020204030204" pitchFamily="34" charset="0"/>
              <a:cs typeface="Times New Roman" panose="02020603050405020304" pitchFamily="18" charset="0"/>
            </a:rPr>
            <a:t>- Minimally</a:t>
          </a:r>
          <a:r>
            <a:rPr lang="en-AU" sz="1400" i="0" baseline="0">
              <a:solidFill>
                <a:sysClr val="windowText" lastClr="000000"/>
              </a:solidFill>
              <a:effectLst/>
              <a:ea typeface="Calibri" panose="020F0502020204030204" pitchFamily="34" charset="0"/>
              <a:cs typeface="Times New Roman" panose="02020603050405020304" pitchFamily="18" charset="0"/>
            </a:rPr>
            <a:t> </a:t>
          </a:r>
          <a:r>
            <a:rPr lang="en-AU" sz="1400" i="0">
              <a:solidFill>
                <a:sysClr val="windowText" lastClr="000000"/>
              </a:solidFill>
              <a:effectLst/>
              <a:ea typeface="Calibri" panose="020F0502020204030204" pitchFamily="34" charset="0"/>
              <a:cs typeface="Times New Roman" panose="02020603050405020304" pitchFamily="18" charset="0"/>
            </a:rPr>
            <a:t>processed fruit: if a fruit product is minimally processed and meets the following definition it is eligible for an </a:t>
          </a:r>
          <a:r>
            <a:rPr lang="en-AU" sz="1400" i="0" u="sng">
              <a:solidFill>
                <a:sysClr val="windowText" lastClr="000000"/>
              </a:solidFill>
              <a:effectLst/>
              <a:ea typeface="Calibri" panose="020F0502020204030204" pitchFamily="34" charset="0"/>
              <a:cs typeface="Times New Roman" panose="02020603050405020304" pitchFamily="18" charset="0"/>
            </a:rPr>
            <a:t>automatic HSR of 5</a:t>
          </a:r>
          <a:r>
            <a:rPr lang="en-AU" sz="1400" i="0">
              <a:solidFill>
                <a:sysClr val="windowText" lastClr="000000"/>
              </a:solidFill>
              <a:effectLst/>
              <a:ea typeface="Calibri" panose="020F0502020204030204" pitchFamily="34" charset="0"/>
              <a:cs typeface="Times New Roman" panose="02020603050405020304" pitchFamily="18" charset="0"/>
            </a:rPr>
            <a:t>. The calculator does not need to be used in this instance - doing so may provide you with a different rating.</a:t>
          </a:r>
          <a:endParaRPr lang="en-GB" sz="1200" i="0">
            <a:solidFill>
              <a:sysClr val="windowText" lastClr="000000"/>
            </a:solidFill>
            <a:effectLst/>
            <a:latin typeface="Times New Roman" panose="02020603050405020304" pitchFamily="18" charset="0"/>
            <a:ea typeface="Times New Roman" panose="02020603050405020304" pitchFamily="18" charset="0"/>
          </a:endParaRPr>
        </a:p>
        <a:p>
          <a:pPr marL="457200">
            <a:spcAft>
              <a:spcPts val="0"/>
            </a:spcAft>
          </a:pPr>
          <a:r>
            <a:rPr lang="en-AU" sz="1400" i="1">
              <a:solidFill>
                <a:sysClr val="windowText" lastClr="000000"/>
              </a:solidFill>
              <a:effectLst/>
              <a:ea typeface="Calibri" panose="020F0502020204030204" pitchFamily="34" charset="0"/>
              <a:cs typeface="Times New Roman" panose="02020603050405020304" pitchFamily="18" charset="0"/>
            </a:rPr>
            <a:t>Minimally processed fruit and vegetables means: Fruit (excluding coconut), vegetables, fungi and legumes (except peanuts) that have only been peeled, cut and/or surface treated, and/or blanched and/or frozen, or canned without the addition of fat, sugars, sweeteners or salt.</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Non-core foods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Specialty bakery foods, cake and other bakery mixes, biscuits (sweet and savoury), confectionery, dips, dressings, ice cream, ready-to-eat meals, meal bases (liquid and dry), pizza, sauces and condiments, sweet and savoury snacks (e.g. potato crisps, muesli bars, cheese and crackers, popcorn), soups and stocks, yeast spread</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i="1">
              <a:solidFill>
                <a:sysClr val="windowText" lastClr="000000"/>
              </a:solidFill>
              <a:effectLst/>
              <a:ea typeface="Calibri" panose="020F0502020204030204" pitchFamily="34" charset="0"/>
              <a:cs typeface="Times New Roman" panose="02020603050405020304" pitchFamily="18" charset="0"/>
            </a:rPr>
            <a:t>This category </a:t>
          </a:r>
          <a:r>
            <a:rPr lang="en-AU" sz="1400" i="1" u="sng">
              <a:solidFill>
                <a:sysClr val="windowText" lastClr="000000"/>
              </a:solidFill>
              <a:effectLst/>
              <a:ea typeface="Calibri" panose="020F0502020204030204" pitchFamily="34" charset="0"/>
              <a:cs typeface="Times New Roman" panose="02020603050405020304" pitchFamily="18" charset="0"/>
            </a:rPr>
            <a:t>no longer includes jelly,  ice confections, chilled dairy desserts, cream and cream cheese</a:t>
          </a:r>
          <a:r>
            <a:rPr lang="en-AU" sz="1400" i="1">
              <a:solidFill>
                <a:sysClr val="windowText" lastClr="000000"/>
              </a:solidFill>
              <a:effectLst/>
              <a:ea typeface="Calibri" panose="020F0502020204030204" pitchFamily="34" charset="0"/>
              <a:cs typeface="Times New Roman" panose="02020603050405020304" pitchFamily="18" charset="0"/>
            </a:rPr>
            <a:t>. These products have been re-classified and now belong in alternative categories. Frozen dairy-based products remain in this category.</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Protein</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Meats and fish (raw and processed), eggs, nuts (including spreads), plant protein (e.g. tofu, meat alternatives)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Vegetables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Processed vegetables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i="0">
              <a:solidFill>
                <a:sysClr val="windowText" lastClr="000000"/>
              </a:solidFill>
              <a:effectLst/>
              <a:ea typeface="Calibri" panose="020F0502020204030204" pitchFamily="34" charset="0"/>
              <a:cs typeface="Times New Roman" panose="02020603050405020304" pitchFamily="18" charset="0"/>
            </a:rPr>
            <a:t>- Minimally</a:t>
          </a:r>
          <a:r>
            <a:rPr lang="en-AU" sz="1400" i="0" baseline="0">
              <a:solidFill>
                <a:sysClr val="windowText" lastClr="000000"/>
              </a:solidFill>
              <a:effectLst/>
              <a:ea typeface="Calibri" panose="020F0502020204030204" pitchFamily="34" charset="0"/>
              <a:cs typeface="Times New Roman" panose="02020603050405020304" pitchFamily="18" charset="0"/>
            </a:rPr>
            <a:t> </a:t>
          </a:r>
          <a:r>
            <a:rPr lang="en-AU" sz="1400" i="0">
              <a:solidFill>
                <a:sysClr val="windowText" lastClr="000000"/>
              </a:solidFill>
              <a:effectLst/>
              <a:ea typeface="Calibri" panose="020F0502020204030204" pitchFamily="34" charset="0"/>
              <a:cs typeface="Times New Roman" panose="02020603050405020304" pitchFamily="18" charset="0"/>
            </a:rPr>
            <a:t>processed vegetables: if a vegetable product is minimally processed and meets the following definition it is eligible for an automatic HSR of 5. The calculator does not need to be used in this instance - doing so may provide you with a different rating.</a:t>
          </a:r>
          <a:endParaRPr lang="en-GB" sz="1200" i="0">
            <a:solidFill>
              <a:sysClr val="windowText" lastClr="000000"/>
            </a:solidFill>
            <a:effectLst/>
            <a:latin typeface="Times New Roman" panose="02020603050405020304" pitchFamily="18" charset="0"/>
            <a:ea typeface="Times New Roman" panose="02020603050405020304" pitchFamily="18" charset="0"/>
          </a:endParaRPr>
        </a:p>
        <a:p>
          <a:pPr marL="457200">
            <a:spcAft>
              <a:spcPts val="0"/>
            </a:spcAft>
          </a:pPr>
          <a:r>
            <a:rPr lang="en-AU" sz="1400" i="1">
              <a:solidFill>
                <a:sysClr val="windowText" lastClr="000000"/>
              </a:solidFill>
              <a:effectLst/>
              <a:ea typeface="Calibri" panose="020F0502020204030204" pitchFamily="34" charset="0"/>
              <a:cs typeface="Times New Roman" panose="02020603050405020304" pitchFamily="18" charset="0"/>
            </a:rPr>
            <a:t>Minimally processed fruit and vegetables means: Fruit (excluding coconut), vegetables, fungi and legumes (except peanuts) that have only been peeled, cut and/or surface treated, and/or</a:t>
          </a:r>
          <a:r>
            <a:rPr lang="en-AU" sz="1400" i="1" baseline="0">
              <a:solidFill>
                <a:sysClr val="windowText" lastClr="000000"/>
              </a:solidFill>
              <a:effectLst/>
              <a:ea typeface="Calibri" panose="020F0502020204030204" pitchFamily="34" charset="0"/>
              <a:cs typeface="Times New Roman" panose="02020603050405020304" pitchFamily="18" charset="0"/>
            </a:rPr>
            <a:t> </a:t>
          </a:r>
          <a:r>
            <a:rPr lang="en-AU" sz="1400" i="1">
              <a:solidFill>
                <a:sysClr val="windowText" lastClr="000000"/>
              </a:solidFill>
              <a:effectLst/>
              <a:ea typeface="Calibri" panose="020F0502020204030204" pitchFamily="34" charset="0"/>
              <a:cs typeface="Times New Roman" panose="02020603050405020304" pitchFamily="18" charset="0"/>
            </a:rPr>
            <a:t>blanched and/or frozen or canned without the addition of fat, sugars, sweeteners or salt.</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b="1" u="sng">
              <a:solidFill>
                <a:sysClr val="windowText" lastClr="000000"/>
              </a:solidFill>
              <a:effectLst/>
              <a:ea typeface="Calibri" panose="020F0502020204030204" pitchFamily="34" charset="0"/>
              <a:cs typeface="Times New Roman" panose="02020603050405020304" pitchFamily="18" charset="0"/>
            </a:rPr>
            <a:t>Category 2D</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Core Dairy - foods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All dairy foods not included in</a:t>
          </a:r>
          <a:r>
            <a:rPr lang="en-AU" sz="1400" baseline="0">
              <a:solidFill>
                <a:sysClr val="windowText" lastClr="000000"/>
              </a:solidFill>
              <a:effectLst/>
              <a:ea typeface="Calibri" panose="020F0502020204030204" pitchFamily="34" charset="0"/>
              <a:cs typeface="Times New Roman" panose="02020603050405020304" pitchFamily="18" charset="0"/>
            </a:rPr>
            <a:t> HSR Categories 1D or 3D: a</a:t>
          </a:r>
          <a:r>
            <a:rPr lang="en-AU" sz="1400">
              <a:solidFill>
                <a:sysClr val="windowText" lastClr="000000"/>
              </a:solidFill>
              <a:effectLst/>
              <a:ea typeface="Calibri" panose="020F0502020204030204" pitchFamily="34" charset="0"/>
              <a:cs typeface="Times New Roman" panose="02020603050405020304" pitchFamily="18" charset="0"/>
            </a:rPr>
            <a:t>ll cheeses with a</a:t>
          </a:r>
          <a:r>
            <a:rPr lang="en-AU" sz="1400" baseline="0">
              <a:solidFill>
                <a:sysClr val="windowText" lastClr="000000"/>
              </a:solidFill>
              <a:effectLst/>
              <a:ea typeface="Calibri" panose="020F0502020204030204" pitchFamily="34" charset="0"/>
              <a:cs typeface="Times New Roman" panose="02020603050405020304" pitchFamily="18" charset="0"/>
            </a:rPr>
            <a:t> calcium concentration</a:t>
          </a:r>
          <a:r>
            <a:rPr lang="en-AU" sz="1400">
              <a:solidFill>
                <a:sysClr val="windowText" lastClr="000000"/>
              </a:solidFill>
              <a:effectLst/>
              <a:ea typeface="Calibri" panose="020F0502020204030204" pitchFamily="34" charset="0"/>
              <a:cs typeface="Times New Roman" panose="02020603050405020304" pitchFamily="18" charset="0"/>
            </a:rPr>
            <a:t> ≤320 mg/100 g</a:t>
          </a:r>
          <a:r>
            <a:rPr lang="en-AU" sz="1400" baseline="0">
              <a:solidFill>
                <a:sysClr val="windowText" lastClr="000000"/>
              </a:solidFill>
              <a:effectLst/>
              <a:ea typeface="Calibri" panose="020F0502020204030204" pitchFamily="34" charset="0"/>
              <a:cs typeface="Times New Roman" panose="02020603050405020304" pitchFamily="18" charset="0"/>
            </a:rPr>
            <a:t> (e.g. ricotta, cottage cheese, cream cheese)</a:t>
          </a:r>
          <a:r>
            <a:rPr lang="en-AU" sz="1400">
              <a:solidFill>
                <a:sysClr val="windowText" lastClr="000000"/>
              </a:solidFill>
              <a:effectLst/>
              <a:ea typeface="Calibri" panose="020F0502020204030204" pitchFamily="34" charset="0"/>
              <a:cs typeface="Times New Roman" panose="02020603050405020304" pitchFamily="18" charset="0"/>
            </a:rPr>
            <a:t>, yoghurt, fermented milk products,</a:t>
          </a:r>
          <a:r>
            <a:rPr lang="en-AU" sz="1400" baseline="0">
              <a:solidFill>
                <a:sysClr val="windowText" lastClr="000000"/>
              </a:solidFill>
              <a:effectLst/>
              <a:ea typeface="Calibri" panose="020F0502020204030204" pitchFamily="34" charset="0"/>
              <a:cs typeface="Times New Roman" panose="02020603050405020304" pitchFamily="18" charset="0"/>
            </a:rPr>
            <a:t> </a:t>
          </a:r>
          <a:r>
            <a:rPr lang="en-AU" sz="1400">
              <a:solidFill>
                <a:sysClr val="windowText" lastClr="000000"/>
              </a:solidFill>
              <a:effectLst/>
              <a:ea typeface="Calibri" panose="020F0502020204030204" pitchFamily="34" charset="0"/>
              <a:cs typeface="Times New Roman" panose="02020603050405020304" pitchFamily="18" charset="0"/>
            </a:rPr>
            <a:t>cream, dairy desserts and other chilled dairy products, with &gt;75% dairy ingredients.</a:t>
          </a:r>
        </a:p>
        <a:p>
          <a:pPr>
            <a:spcAft>
              <a:spcPts val="0"/>
            </a:spcAft>
          </a:pPr>
          <a:endParaRPr lang="en-AU" sz="1400">
            <a:solidFill>
              <a:sysClr val="windowText" lastClr="000000"/>
            </a:solidFill>
            <a:effectLst/>
            <a:latin typeface="Times New Roman" panose="02020603050405020304" pitchFamily="18" charset="0"/>
            <a:ea typeface="Times New Roman" panose="02020603050405020304" pitchFamily="18" charset="0"/>
            <a:cs typeface="Times New Roman" panose="02020603050405020304" pitchFamily="18" charset="0"/>
          </a:endParaRPr>
        </a:p>
        <a:p>
          <a:r>
            <a:rPr lang="en-AU" sz="1400" u="sng">
              <a:solidFill>
                <a:schemeClr val="tx1"/>
              </a:solidFill>
              <a:effectLst/>
              <a:latin typeface="+mn-lt"/>
              <a:ea typeface="+mn-ea"/>
              <a:cs typeface="+mn-cs"/>
            </a:rPr>
            <a:t>Category 2D may include cheese and yoghurt alternatives derived from legumes providing the cheeses meet the above criterion for 2D foods for calcium content.</a:t>
          </a:r>
          <a:endParaRPr lang="en-GB" sz="1400">
            <a:solidFill>
              <a:schemeClr val="tx1"/>
            </a:solidFill>
            <a:effectLst/>
            <a:latin typeface="+mn-lt"/>
            <a:ea typeface="+mn-ea"/>
            <a:cs typeface="+mn-cs"/>
          </a:endParaRPr>
        </a:p>
        <a:p>
          <a:r>
            <a:rPr lang="en-AU" sz="1400" i="1" u="sng">
              <a:solidFill>
                <a:schemeClr val="tx1"/>
              </a:solidFill>
              <a:effectLst/>
              <a:latin typeface="+mn-lt"/>
              <a:ea typeface="+mn-ea"/>
              <a:cs typeface="+mn-cs"/>
            </a:rPr>
            <a:t>This category does not includes alternatives derived from cereals, nuts or seeds</a:t>
          </a:r>
          <a:endParaRPr lang="en-GB" sz="14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a:t>
          </a:r>
          <a:endParaRPr lang="en-GB" sz="14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b="1" u="sng">
              <a:solidFill>
                <a:sysClr val="windowText" lastClr="000000"/>
              </a:solidFill>
              <a:effectLst/>
              <a:ea typeface="Calibri" panose="020F0502020204030204" pitchFamily="34" charset="0"/>
              <a:cs typeface="Times New Roman" panose="02020603050405020304" pitchFamily="18" charset="0"/>
            </a:rPr>
            <a:t>Category 3</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Fats, oils</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Fats, extracted oils, fat/oil based spreads (e.g. butter, margarine)</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b="1">
              <a:solidFill>
                <a:sysClr val="windowText" lastClr="000000"/>
              </a:solidFill>
              <a:effectLst/>
              <a:ea typeface="Calibri" panose="020F0502020204030204" pitchFamily="34" charset="0"/>
              <a:cs typeface="Times New Roman" panose="02020603050405020304" pitchFamily="18" charset="0"/>
            </a:rPr>
            <a:t> </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b="1" u="sng">
              <a:solidFill>
                <a:sysClr val="windowText" lastClr="000000"/>
              </a:solidFill>
              <a:effectLst/>
              <a:ea typeface="Calibri" panose="020F0502020204030204" pitchFamily="34" charset="0"/>
              <a:cs typeface="Times New Roman" panose="02020603050405020304" pitchFamily="18" charset="0"/>
            </a:rPr>
            <a:t>Category 3D</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u="sng">
              <a:solidFill>
                <a:sysClr val="windowText" lastClr="000000"/>
              </a:solidFill>
              <a:effectLst/>
              <a:ea typeface="Calibri" panose="020F0502020204030204" pitchFamily="34" charset="0"/>
              <a:cs typeface="Times New Roman" panose="02020603050405020304" pitchFamily="18" charset="0"/>
            </a:rPr>
            <a:t>Core Dairy – cheese</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a:solidFill>
                <a:sysClr val="windowText" lastClr="000000"/>
              </a:solidFill>
              <a:effectLst/>
              <a:ea typeface="Calibri" panose="020F0502020204030204" pitchFamily="34" charset="0"/>
              <a:cs typeface="Times New Roman" panose="02020603050405020304" pitchFamily="18" charset="0"/>
            </a:rPr>
            <a:t>- All cheeses, processed cheeses and alternatives derived from legumes with &gt;320 mg/100 g calcium</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i="1">
              <a:solidFill>
                <a:sysClr val="windowText" lastClr="000000"/>
              </a:solidFill>
              <a:effectLst/>
              <a:ea typeface="Calibri" panose="020F0502020204030204" pitchFamily="34" charset="0"/>
              <a:cs typeface="Times New Roman" panose="02020603050405020304" pitchFamily="18" charset="0"/>
            </a:rPr>
            <a:t>This category </a:t>
          </a:r>
          <a:r>
            <a:rPr lang="en-AU" sz="1400" i="1" u="sng">
              <a:solidFill>
                <a:sysClr val="windowText" lastClr="000000"/>
              </a:solidFill>
              <a:effectLst/>
              <a:ea typeface="Calibri" panose="020F0502020204030204" pitchFamily="34" charset="0"/>
              <a:cs typeface="Times New Roman" panose="02020603050405020304" pitchFamily="18" charset="0"/>
            </a:rPr>
            <a:t>includes all cheeses </a:t>
          </a:r>
          <a:r>
            <a:rPr lang="en-AU" sz="1400" i="1">
              <a:solidFill>
                <a:sysClr val="windowText" lastClr="000000"/>
              </a:solidFill>
              <a:effectLst/>
              <a:ea typeface="Calibri" panose="020F0502020204030204" pitchFamily="34" charset="0"/>
              <a:cs typeface="Times New Roman" panose="02020603050405020304" pitchFamily="18" charset="0"/>
            </a:rPr>
            <a:t>which meet the calcium requirement, including ripened "soft cheeses" such as brie and camembert.</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AU" sz="1400" i="1">
              <a:solidFill>
                <a:sysClr val="windowText" lastClr="000000"/>
              </a:solidFill>
              <a:effectLst/>
              <a:ea typeface="Calibri" panose="020F0502020204030204" pitchFamily="34" charset="0"/>
              <a:cs typeface="Times New Roman" panose="02020603050405020304" pitchFamily="18" charset="0"/>
            </a:rPr>
            <a:t>This category </a:t>
          </a:r>
          <a:r>
            <a:rPr lang="en-AU" sz="1400" i="1" u="sng">
              <a:solidFill>
                <a:sysClr val="windowText" lastClr="000000"/>
              </a:solidFill>
              <a:effectLst/>
              <a:ea typeface="Calibri" panose="020F0502020204030204" pitchFamily="34" charset="0"/>
              <a:cs typeface="Times New Roman" panose="02020603050405020304" pitchFamily="18" charset="0"/>
            </a:rPr>
            <a:t>does not includes alternatives derived from  cereals, nuts or seeds</a:t>
          </a:r>
          <a:r>
            <a:rPr lang="en-AU" sz="1400" i="1">
              <a:solidFill>
                <a:sysClr val="windowText" lastClr="000000"/>
              </a:solidFill>
              <a:effectLst/>
              <a:ea typeface="Calibri" panose="020F0502020204030204" pitchFamily="34" charset="0"/>
              <a:cs typeface="Times New Roman" panose="02020603050405020304" pitchFamily="18" charset="0"/>
            </a:rPr>
            <a:t>.</a:t>
          </a:r>
          <a:endParaRPr lang="en-GB" sz="1200">
            <a:solidFill>
              <a:sysClr val="windowText" lastClr="000000"/>
            </a:solidFill>
            <a:effectLst/>
            <a:latin typeface="Times New Roman" panose="02020603050405020304" pitchFamily="18" charset="0"/>
            <a:ea typeface="Times New Roman" panose="02020603050405020304" pitchFamily="18" charset="0"/>
          </a:endParaRPr>
        </a:p>
        <a:p>
          <a:pPr>
            <a:spcAft>
              <a:spcPts val="0"/>
            </a:spcAft>
          </a:pPr>
          <a:r>
            <a:rPr lang="en-GB" sz="1200">
              <a:solidFill>
                <a:sysClr val="windowText" lastClr="000000"/>
              </a:solidFill>
              <a:effectLst/>
              <a:latin typeface="Times New Roman" panose="02020603050405020304" pitchFamily="18" charset="0"/>
              <a:ea typeface="Calibri" panose="020F0502020204030204" pitchFamily="34" charset="0"/>
              <a:cs typeface="Times New Roman" panose="02020603050405020304" pitchFamily="18" charset="0"/>
            </a:rPr>
            <a:t> </a:t>
          </a:r>
          <a:endParaRPr lang="en-GB" sz="1200">
            <a:solidFill>
              <a:sysClr val="windowText" lastClr="000000"/>
            </a:solidFill>
            <a:effectLst/>
            <a:latin typeface="Times New Roman" panose="02020603050405020304" pitchFamily="18" charset="0"/>
            <a:ea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3</xdr:row>
      <xdr:rowOff>0</xdr:rowOff>
    </xdr:from>
    <xdr:to>
      <xdr:col>20</xdr:col>
      <xdr:colOff>304800</xdr:colOff>
      <xdr:row>22</xdr:row>
      <xdr:rowOff>28575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9525</xdr:colOff>
      <xdr:row>23</xdr:row>
      <xdr:rowOff>19050</xdr:rowOff>
    </xdr:from>
    <xdr:to>
      <xdr:col>20</xdr:col>
      <xdr:colOff>314325</xdr:colOff>
      <xdr:row>42</xdr:row>
      <xdr:rowOff>47625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9525</xdr:colOff>
      <xdr:row>43</xdr:row>
      <xdr:rowOff>38100</xdr:rowOff>
    </xdr:from>
    <xdr:to>
      <xdr:col>20</xdr:col>
      <xdr:colOff>314325</xdr:colOff>
      <xdr:row>62</xdr:row>
      <xdr:rowOff>66675</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xdr:colOff>
      <xdr:row>63</xdr:row>
      <xdr:rowOff>9525</xdr:rowOff>
    </xdr:from>
    <xdr:to>
      <xdr:col>20</xdr:col>
      <xdr:colOff>314325</xdr:colOff>
      <xdr:row>82</xdr:row>
      <xdr:rowOff>38100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485775</xdr:colOff>
      <xdr:row>1</xdr:row>
      <xdr:rowOff>28575</xdr:rowOff>
    </xdr:from>
    <xdr:to>
      <xdr:col>11</xdr:col>
      <xdr:colOff>142875</xdr:colOff>
      <xdr:row>20</xdr:row>
      <xdr:rowOff>57150</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514350</xdr:colOff>
      <xdr:row>21</xdr:row>
      <xdr:rowOff>57150</xdr:rowOff>
    </xdr:from>
    <xdr:to>
      <xdr:col>11</xdr:col>
      <xdr:colOff>152400</xdr:colOff>
      <xdr:row>40</xdr:row>
      <xdr:rowOff>85725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600075</xdr:colOff>
      <xdr:row>1</xdr:row>
      <xdr:rowOff>19050</xdr:rowOff>
    </xdr:from>
    <xdr:to>
      <xdr:col>19</xdr:col>
      <xdr:colOff>295275</xdr:colOff>
      <xdr:row>20</xdr:row>
      <xdr:rowOff>47625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600075</xdr:colOff>
      <xdr:row>21</xdr:row>
      <xdr:rowOff>57150</xdr:rowOff>
    </xdr:from>
    <xdr:to>
      <xdr:col>19</xdr:col>
      <xdr:colOff>295275</xdr:colOff>
      <xdr:row>40</xdr:row>
      <xdr:rowOff>85725</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32</xdr:col>
      <xdr:colOff>95250</xdr:colOff>
      <xdr:row>3</xdr:row>
      <xdr:rowOff>57148</xdr:rowOff>
    </xdr:from>
    <xdr:to>
      <xdr:col>39</xdr:col>
      <xdr:colOff>504825</xdr:colOff>
      <xdr:row>26</xdr:row>
      <xdr:rowOff>133350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477750" y="952498"/>
          <a:ext cx="4657725" cy="3800477"/>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b="1"/>
            <a:t>Instructions</a:t>
          </a:r>
        </a:p>
        <a:p>
          <a:pPr marL="0" marR="0" indent="0" defTabSz="914400" eaLnBrk="1" fontAlgn="auto" latinLnBrk="0" hangingPunct="1">
            <a:lnSpc>
              <a:spcPct val="100000"/>
            </a:lnSpc>
            <a:spcBef>
              <a:spcPts val="0"/>
            </a:spcBef>
            <a:spcAft>
              <a:spcPts val="0"/>
            </a:spcAft>
            <a:buClrTx/>
            <a:buSzTx/>
            <a:buFontTx/>
            <a:buNone/>
            <a:tabLst/>
            <a:defRPr/>
          </a:pPr>
          <a:r>
            <a:rPr lang="en-AU" sz="1400">
              <a:solidFill>
                <a:schemeClr val="dk1"/>
              </a:solidFill>
              <a:effectLst/>
              <a:latin typeface="+mn-lt"/>
              <a:ea typeface="+mn-ea"/>
              <a:cs typeface="+mn-cs"/>
            </a:rPr>
            <a:t>Please enter data in the </a:t>
          </a:r>
          <a:r>
            <a:rPr lang="en-AU" sz="1400" b="1">
              <a:solidFill>
                <a:schemeClr val="accent6">
                  <a:lumMod val="75000"/>
                </a:schemeClr>
              </a:solidFill>
              <a:effectLst/>
              <a:latin typeface="+mn-lt"/>
              <a:ea typeface="+mn-ea"/>
              <a:cs typeface="+mn-cs"/>
            </a:rPr>
            <a:t>ORANGE </a:t>
          </a:r>
          <a:r>
            <a:rPr lang="en-AU" sz="1400">
              <a:solidFill>
                <a:schemeClr val="dk1"/>
              </a:solidFill>
              <a:effectLst/>
              <a:latin typeface="+mn-lt"/>
              <a:ea typeface="+mn-ea"/>
              <a:cs typeface="+mn-cs"/>
            </a:rPr>
            <a:t>columns only. Modifications made</a:t>
          </a:r>
          <a:r>
            <a:rPr lang="en-AU" sz="1400" baseline="0">
              <a:solidFill>
                <a:schemeClr val="dk1"/>
              </a:solidFill>
              <a:effectLst/>
              <a:latin typeface="+mn-lt"/>
              <a:ea typeface="+mn-ea"/>
              <a:cs typeface="+mn-cs"/>
            </a:rPr>
            <a:t> in other areas of the calculator </a:t>
          </a:r>
          <a:r>
            <a:rPr lang="en-AU" sz="1400">
              <a:solidFill>
                <a:schemeClr val="dk1"/>
              </a:solidFill>
              <a:effectLst/>
              <a:latin typeface="+mn-lt"/>
              <a:ea typeface="+mn-ea"/>
              <a:cs typeface="+mn-cs"/>
            </a:rPr>
            <a:t>may result in errors.</a:t>
          </a:r>
          <a:endParaRPr lang="en-AU" sz="1400">
            <a:effectLst/>
          </a:endParaRPr>
        </a:p>
        <a:p>
          <a:endParaRPr lang="en-AU" sz="1400"/>
        </a:p>
        <a:p>
          <a:pPr marL="0" marR="0" lvl="0" indent="0" defTabSz="914400" eaLnBrk="1" fontAlgn="auto" latinLnBrk="0" hangingPunct="1">
            <a:lnSpc>
              <a:spcPct val="100000"/>
            </a:lnSpc>
            <a:spcBef>
              <a:spcPts val="0"/>
            </a:spcBef>
            <a:spcAft>
              <a:spcPts val="0"/>
            </a:spcAft>
            <a:buClrTx/>
            <a:buSzTx/>
            <a:buFontTx/>
            <a:buNone/>
            <a:tabLst/>
            <a:defRPr/>
          </a:pPr>
          <a:r>
            <a:rPr lang="en-AU" sz="1400" baseline="0">
              <a:solidFill>
                <a:schemeClr val="dk1"/>
              </a:solidFill>
              <a:effectLst/>
              <a:latin typeface="+mn-lt"/>
              <a:ea typeface="+mn-ea"/>
              <a:cs typeface="+mn-cs"/>
            </a:rPr>
            <a:t>There is space for 1000 products to be entered. To add more products copy a full row</a:t>
          </a:r>
          <a:r>
            <a:rPr lang="en-AU" sz="1400">
              <a:solidFill>
                <a:schemeClr val="dk1"/>
              </a:solidFill>
              <a:effectLst/>
              <a:latin typeface="+mn-lt"/>
              <a:ea typeface="+mn-ea"/>
              <a:cs typeface="+mn-cs"/>
            </a:rPr>
            <a:t> (right-click the row number &amp; select copy), then paste to a blank row (right-click the empty row number &amp; select paste). Enter the food data into the newly created fields.</a:t>
          </a:r>
          <a:endParaRPr lang="en-GB" sz="14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AU" sz="14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AU" sz="1400" baseline="0">
              <a:solidFill>
                <a:schemeClr val="dk1"/>
              </a:solidFill>
              <a:effectLst/>
              <a:latin typeface="+mn-lt"/>
              <a:ea typeface="+mn-ea"/>
              <a:cs typeface="+mn-cs"/>
            </a:rPr>
            <a:t>Please avoid altering the hidden columns in this sheet or formulas in columns G, H and I as this may lead to strange, unexpected and inappropriate results. Should this inadvertently happen, please delete this document and download anew to ensure the correct results are returned.</a:t>
          </a:r>
          <a:endParaRPr lang="en-GB" sz="1400">
            <a:effectLst/>
          </a:endParaRPr>
        </a:p>
        <a:p>
          <a:endParaRPr lang="en-AU" sz="1400" baseline="0"/>
        </a:p>
        <a:p>
          <a:endParaRPr lang="en-AU" sz="1400" baseline="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22</xdr:col>
      <xdr:colOff>257175</xdr:colOff>
      <xdr:row>1</xdr:row>
      <xdr:rowOff>76200</xdr:rowOff>
    </xdr:from>
    <xdr:to>
      <xdr:col>31</xdr:col>
      <xdr:colOff>76200</xdr:colOff>
      <xdr:row>19</xdr:row>
      <xdr:rowOff>180976</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9648825" y="523875"/>
          <a:ext cx="5133975" cy="3895726"/>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b="1">
              <a:solidFill>
                <a:schemeClr val="tx1"/>
              </a:solidFill>
            </a:rPr>
            <a:t>Instructions</a:t>
          </a:r>
        </a:p>
        <a:p>
          <a:endParaRPr lang="en-AU" sz="1400" baseline="0">
            <a:solidFill>
              <a:schemeClr val="tx1"/>
            </a:solidFill>
          </a:endParaRPr>
        </a:p>
        <a:p>
          <a:r>
            <a:rPr lang="en-AU" sz="1400" baseline="0">
              <a:solidFill>
                <a:schemeClr val="tx1"/>
              </a:solidFill>
            </a:rPr>
            <a:t>This calculator is for products classified as HSR Category 1 non-dairy beverages including: Fruit juices and drinks, flavoured and/or fortified beverages (carbonated or still), cordial (as prepared), lifestyle beverages (protein, energy drinks), vegetable juices and drinks, ice confections, jelly (as prepared)</a:t>
          </a:r>
        </a:p>
        <a:p>
          <a:endParaRPr lang="en-AU" sz="1400" baseline="0">
            <a:solidFill>
              <a:schemeClr val="tx1"/>
            </a:solidFill>
          </a:endParaRPr>
        </a:p>
        <a:p>
          <a:r>
            <a:rPr lang="en-AU" sz="1400">
              <a:solidFill>
                <a:schemeClr val="dk1"/>
              </a:solidFill>
              <a:effectLst/>
              <a:latin typeface="+mn-lt"/>
              <a:ea typeface="+mn-ea"/>
              <a:cs typeface="+mn-cs"/>
            </a:rPr>
            <a:t>Please enter data in the </a:t>
          </a:r>
          <a:r>
            <a:rPr lang="en-AU" sz="1400" b="1">
              <a:solidFill>
                <a:srgbClr val="FF9900"/>
              </a:solidFill>
              <a:effectLst/>
              <a:latin typeface="+mn-lt"/>
              <a:ea typeface="+mn-ea"/>
              <a:cs typeface="+mn-cs"/>
            </a:rPr>
            <a:t>ORANGE</a:t>
          </a:r>
          <a:r>
            <a:rPr lang="en-AU" sz="1400" b="1">
              <a:solidFill>
                <a:schemeClr val="dk1"/>
              </a:solidFill>
              <a:effectLst/>
              <a:latin typeface="+mn-lt"/>
              <a:ea typeface="+mn-ea"/>
              <a:cs typeface="+mn-cs"/>
            </a:rPr>
            <a:t> </a:t>
          </a:r>
          <a:r>
            <a:rPr lang="en-AU" sz="1400">
              <a:solidFill>
                <a:schemeClr val="dk1"/>
              </a:solidFill>
              <a:effectLst/>
              <a:latin typeface="+mn-lt"/>
              <a:ea typeface="+mn-ea"/>
              <a:cs typeface="+mn-cs"/>
            </a:rPr>
            <a:t>columns only. </a:t>
          </a:r>
          <a:r>
            <a:rPr lang="en-AU" sz="1400" baseline="0">
              <a:solidFill>
                <a:schemeClr val="tx1"/>
              </a:solidFill>
            </a:rPr>
            <a:t>There is space for 1000 products to be entered. To add more products copy a full row (by clicking on a row number) and paste into the row below.</a:t>
          </a:r>
        </a:p>
        <a:p>
          <a:endParaRPr lang="en-AU" sz="1400" baseline="0">
            <a:solidFill>
              <a:schemeClr val="tx1"/>
            </a:solidFill>
          </a:endParaRPr>
        </a:p>
        <a:p>
          <a:r>
            <a:rPr lang="en-AU" sz="1400" baseline="0">
              <a:solidFill>
                <a:schemeClr val="tx1"/>
              </a:solidFill>
            </a:rPr>
            <a:t>Please avoid altering the hidden columns in this sheet or formulas in columns G, H and I as this may lead to strange, unexpected and inappropriate results. Should this inadvertently happen, please delete this document and download anew to ensure the correct results are returned.</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teams/WG/FOPL/Shared%20Documents/HSR%20Implementation%20WG/FINAL%20TEST%20CALCULATORS%20May20/Test%20Calculator%201%20-%205%20Year%20Review%20FINAL.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ntral.health\DfsUserEnv\central.health\Users\User_05\MAGAND\Desktop\TAG\Calculators,%20draft%20report\20190220%20-%20HSR%20calculator%20-%20total%20system%20enhancements,%20sodium%20=%20max.%202700mg.xlsb"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ntral.health\DfsUserEnv\D:\Mac\Work\Mac\var\folders\c_\64_cqp5n4wq82c1y0gzplryw0000gn\T\com.microsoft.Outlook\Outlook%20Temp\HSRC_IndustryData_TAGreadyDataActive_6Oct_Validation_5-digit%20classification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ac\Work\Mac\var\folders\c_\64_cqp5n4wq82c1y0gzplryw0000gn\T\com.microsoft.Outlook\Outlook%20Temp\HSRC_IndustryData_TAGreadyDataActive_6Oct_Validation_5-digit%20classific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s and conditions"/>
      <sheetName val="Details and Instructions"/>
      <sheetName val="HSR Calc - 1D, 2, 2D, 3 + 3D"/>
      <sheetName val="Non-dairy bev. calc - cat1 ONLY"/>
      <sheetName val="Design"/>
      <sheetName val="Lookups"/>
      <sheetName val="Points Table A"/>
      <sheetName val="Points Table C"/>
    </sheetNames>
    <sheetDataSet>
      <sheetData sheetId="0"/>
      <sheetData sheetId="1"/>
      <sheetData sheetId="2"/>
      <sheetData sheetId="3"/>
      <sheetData sheetId="4"/>
      <sheetData sheetId="5">
        <row r="126">
          <cell r="A126" t="str">
            <v>Beverages, non-dairy</v>
          </cell>
        </row>
        <row r="127">
          <cell r="A127" t="str">
            <v>Core Cereals</v>
          </cell>
        </row>
        <row r="128">
          <cell r="A128" t="str">
            <v>Core Dairy - beverages</v>
          </cell>
        </row>
        <row r="129">
          <cell r="A129" t="str">
            <v>Core Dairy - cheese</v>
          </cell>
        </row>
        <row r="130">
          <cell r="A130" t="str">
            <v>Core Dairy - yoghurt, soft cheese</v>
          </cell>
        </row>
        <row r="131">
          <cell r="A131" t="str">
            <v>Fats, oils</v>
          </cell>
        </row>
        <row r="132">
          <cell r="A132" t="str">
            <v>Fruit</v>
          </cell>
        </row>
        <row r="133">
          <cell r="A133" t="str">
            <v>Non-core foods</v>
          </cell>
        </row>
        <row r="134">
          <cell r="A134" t="str">
            <v>Protein</v>
          </cell>
        </row>
        <row r="135">
          <cell r="A135" t="str">
            <v>Vegetables</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okup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s and conditions"/>
      <sheetName val="Design"/>
      <sheetName val="Lookups"/>
      <sheetName val="Points Table A"/>
      <sheetName val="Points Table C"/>
      <sheetName val="TAG-ready Data"/>
      <sheetName val="AHS classifications"/>
      <sheetName val="AHS discretionary flags"/>
    </sheetNames>
    <sheetDataSet>
      <sheetData sheetId="0" refreshError="1"/>
      <sheetData sheetId="1" refreshError="1"/>
      <sheetData sheetId="2" refreshError="1">
        <row r="1">
          <cell r="A1" t="str">
            <v>Star score</v>
          </cell>
        </row>
        <row r="126">
          <cell r="A126" t="str">
            <v>Beverages, non-dairy</v>
          </cell>
        </row>
        <row r="127">
          <cell r="A127" t="str">
            <v>Core Cereals</v>
          </cell>
        </row>
        <row r="128">
          <cell r="A128" t="str">
            <v>Core Dairy - beverages</v>
          </cell>
        </row>
        <row r="129">
          <cell r="A129" t="str">
            <v>Core Dairy - cheese</v>
          </cell>
        </row>
        <row r="130">
          <cell r="A130" t="str">
            <v>Core Dairy - yoghurt, soft cheese</v>
          </cell>
        </row>
        <row r="131">
          <cell r="A131" t="str">
            <v>Fats, oils</v>
          </cell>
        </row>
        <row r="132">
          <cell r="A132" t="str">
            <v>Fruit</v>
          </cell>
        </row>
        <row r="133">
          <cell r="A133" t="str">
            <v>Non-core foods</v>
          </cell>
        </row>
        <row r="134">
          <cell r="A134" t="str">
            <v>Protein</v>
          </cell>
        </row>
        <row r="135">
          <cell r="A135" t="str">
            <v>Vegetables</v>
          </cell>
        </row>
      </sheetData>
      <sheetData sheetId="3" refreshError="1"/>
      <sheetData sheetId="4" refreshError="1"/>
      <sheetData sheetId="5" refreshError="1"/>
      <sheetData sheetId="6" refreshError="1"/>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rms and conditions"/>
      <sheetName val="Design"/>
      <sheetName val="Lookups"/>
      <sheetName val="Points Table A"/>
      <sheetName val="Points Table C"/>
      <sheetName val="TAG-ready Data"/>
      <sheetName val="AHS classifications"/>
      <sheetName val="AHS discretionary flags"/>
    </sheetNames>
    <sheetDataSet>
      <sheetData sheetId="0" refreshError="1"/>
      <sheetData sheetId="1" refreshError="1"/>
      <sheetData sheetId="2" refreshError="1">
        <row r="1">
          <cell r="A1" t="str">
            <v>Star score</v>
          </cell>
        </row>
        <row r="126">
          <cell r="A126" t="str">
            <v>Beverages, non-dairy</v>
          </cell>
        </row>
        <row r="127">
          <cell r="A127" t="str">
            <v>Core Cereals</v>
          </cell>
        </row>
        <row r="128">
          <cell r="A128" t="str">
            <v>Core Dairy - beverages</v>
          </cell>
        </row>
        <row r="129">
          <cell r="A129" t="str">
            <v>Core Dairy - cheese</v>
          </cell>
        </row>
        <row r="130">
          <cell r="A130" t="str">
            <v>Core Dairy - yoghurt, soft cheese</v>
          </cell>
        </row>
        <row r="131">
          <cell r="A131" t="str">
            <v>Fats, oils</v>
          </cell>
        </row>
        <row r="132">
          <cell r="A132" t="str">
            <v>Fruit</v>
          </cell>
        </row>
        <row r="133">
          <cell r="A133" t="str">
            <v>Non-core foods</v>
          </cell>
        </row>
        <row r="134">
          <cell r="A134" t="str">
            <v>Protein</v>
          </cell>
        </row>
        <row r="135">
          <cell r="A135" t="str">
            <v>Vegetables</v>
          </cell>
        </row>
      </sheetData>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
  <sheetViews>
    <sheetView workbookViewId="0"/>
  </sheetViews>
  <sheetFormatPr defaultRowHeight="12.75" x14ac:dyDescent="0.2"/>
  <sheetData/>
  <pageMargins left="0.7" right="0.7" top="0.75" bottom="0.75" header="0.3" footer="0.3"/>
  <pageSetup paperSize="9" orientation="portrait" r:id="rId1"/>
  <headerFooter>
    <oddHeader xml:space="preserve">&amp;C&amp;"Calibri,Regular"&amp;12&amp;B&amp;KF00000OFFICIAL
 </oddHeader>
    <oddFooter xml:space="preserve">&amp;C&amp;"Calibri,Regular"&amp;12&amp;B&amp;KF00000OFFICIAL
 </oddFooter>
    <evenHeader xml:space="preserve">&amp;C&amp;"Calibri,Regular"&amp;12&amp;B&amp;KF00000OFFICIAL
 </evenHeader>
    <evenFooter xml:space="preserve">&amp;C&amp;"Calibri,Regular"&amp;12&amp;B&amp;KF00000OFFICIAL
 </evenFooter>
    <firstHeader xml:space="preserve">&amp;C&amp;"Calibri,Regular"&amp;12&amp;B&amp;KF00000OFFICIAL
 </firstHeader>
    <firstFooter xml:space="preserve">&amp;C&amp;"Calibri,Regular"&amp;12&amp;B&amp;KF00000OFFICIAL
 </first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2:G51"/>
  <sheetViews>
    <sheetView topLeftCell="A22" workbookViewId="0">
      <selection activeCell="A73" sqref="A73"/>
    </sheetView>
  </sheetViews>
  <sheetFormatPr defaultRowHeight="12.75" x14ac:dyDescent="0.2"/>
  <cols>
    <col min="1" max="1" width="118.140625" customWidth="1"/>
  </cols>
  <sheetData>
    <row r="2" spans="1:7" ht="18" x14ac:dyDescent="0.25">
      <c r="A2" s="196" t="s">
        <v>153</v>
      </c>
    </row>
    <row r="3" spans="1:7" ht="38.25" x14ac:dyDescent="0.2">
      <c r="A3" s="168" t="s">
        <v>154</v>
      </c>
    </row>
    <row r="4" spans="1:7" x14ac:dyDescent="0.2">
      <c r="A4" s="168" t="s">
        <v>155</v>
      </c>
    </row>
    <row r="5" spans="1:7" ht="25.5" x14ac:dyDescent="0.2">
      <c r="A5" s="168" t="s">
        <v>156</v>
      </c>
    </row>
    <row r="6" spans="1:7" x14ac:dyDescent="0.2">
      <c r="A6" s="166"/>
    </row>
    <row r="7" spans="1:7" x14ac:dyDescent="0.2">
      <c r="A7" s="166"/>
    </row>
    <row r="8" spans="1:7" ht="18" x14ac:dyDescent="0.25">
      <c r="A8" s="196" t="s">
        <v>157</v>
      </c>
    </row>
    <row r="9" spans="1:7" ht="25.5" x14ac:dyDescent="0.2">
      <c r="A9" s="168" t="s">
        <v>158</v>
      </c>
    </row>
    <row r="10" spans="1:7" ht="25.5" x14ac:dyDescent="0.2">
      <c r="A10" s="168" t="s">
        <v>159</v>
      </c>
    </row>
    <row r="11" spans="1:7" ht="38.25" x14ac:dyDescent="0.2">
      <c r="A11" s="168" t="s">
        <v>160</v>
      </c>
    </row>
    <row r="12" spans="1:7" ht="25.5" x14ac:dyDescent="0.2">
      <c r="A12" s="168" t="s">
        <v>161</v>
      </c>
    </row>
    <row r="13" spans="1:7" ht="51" x14ac:dyDescent="0.2">
      <c r="A13" s="168" t="s">
        <v>162</v>
      </c>
    </row>
    <row r="14" spans="1:7" x14ac:dyDescent="0.2">
      <c r="A14" s="168"/>
      <c r="G14" s="2"/>
    </row>
    <row r="15" spans="1:7" x14ac:dyDescent="0.2">
      <c r="A15" s="169" t="s">
        <v>194</v>
      </c>
      <c r="G15" s="2"/>
    </row>
    <row r="16" spans="1:7" x14ac:dyDescent="0.2">
      <c r="A16" s="169" t="s">
        <v>165</v>
      </c>
      <c r="G16" s="2"/>
    </row>
    <row r="17" spans="1:7" ht="153" x14ac:dyDescent="0.2">
      <c r="A17" s="168" t="s">
        <v>210</v>
      </c>
      <c r="G17" s="2"/>
    </row>
    <row r="18" spans="1:7" ht="25.5" x14ac:dyDescent="0.2">
      <c r="A18" s="168" t="s">
        <v>211</v>
      </c>
      <c r="G18" s="2"/>
    </row>
    <row r="19" spans="1:7" x14ac:dyDescent="0.2">
      <c r="A19" s="168" t="s">
        <v>212</v>
      </c>
      <c r="G19" s="2"/>
    </row>
    <row r="20" spans="1:7" x14ac:dyDescent="0.2">
      <c r="A20" s="168" t="s">
        <v>213</v>
      </c>
      <c r="G20" s="2"/>
    </row>
    <row r="21" spans="1:7" x14ac:dyDescent="0.2">
      <c r="A21" s="168"/>
      <c r="G21" s="2"/>
    </row>
    <row r="22" spans="1:7" x14ac:dyDescent="0.2">
      <c r="G22" s="2"/>
    </row>
    <row r="23" spans="1:7" x14ac:dyDescent="0.2">
      <c r="A23" s="167" t="s">
        <v>164</v>
      </c>
      <c r="G23" s="2"/>
    </row>
    <row r="24" spans="1:7" ht="25.5" x14ac:dyDescent="0.2">
      <c r="A24" s="168" t="s">
        <v>192</v>
      </c>
    </row>
    <row r="25" spans="1:7" x14ac:dyDescent="0.2">
      <c r="A25" s="168" t="s">
        <v>193</v>
      </c>
    </row>
    <row r="26" spans="1:7" x14ac:dyDescent="0.2">
      <c r="A26" s="168"/>
    </row>
    <row r="27" spans="1:7" x14ac:dyDescent="0.2">
      <c r="A27" s="168"/>
    </row>
    <row r="28" spans="1:7" x14ac:dyDescent="0.2">
      <c r="A28" s="167" t="s">
        <v>179</v>
      </c>
    </row>
    <row r="29" spans="1:7" x14ac:dyDescent="0.2">
      <c r="A29" s="166" t="s">
        <v>178</v>
      </c>
    </row>
    <row r="30" spans="1:7" x14ac:dyDescent="0.2">
      <c r="A30" s="168" t="s">
        <v>163</v>
      </c>
    </row>
    <row r="31" spans="1:7" x14ac:dyDescent="0.2">
      <c r="A31" s="168" t="s">
        <v>195</v>
      </c>
    </row>
    <row r="32" spans="1:7" x14ac:dyDescent="0.2">
      <c r="A32" s="168" t="s">
        <v>196</v>
      </c>
    </row>
    <row r="33" spans="1:1" x14ac:dyDescent="0.2">
      <c r="A33" s="168" t="s">
        <v>199</v>
      </c>
    </row>
    <row r="34" spans="1:1" x14ac:dyDescent="0.2">
      <c r="A34" s="168" t="s">
        <v>197</v>
      </c>
    </row>
    <row r="35" spans="1:1" x14ac:dyDescent="0.2">
      <c r="A35" s="168"/>
    </row>
    <row r="37" spans="1:1" x14ac:dyDescent="0.2">
      <c r="A37" s="167" t="s">
        <v>166</v>
      </c>
    </row>
    <row r="38" spans="1:1" x14ac:dyDescent="0.2">
      <c r="A38" t="s">
        <v>167</v>
      </c>
    </row>
    <row r="39" spans="1:1" x14ac:dyDescent="0.2">
      <c r="A39" s="166" t="s">
        <v>198</v>
      </c>
    </row>
    <row r="42" spans="1:1" ht="15.75" x14ac:dyDescent="0.25">
      <c r="A42" s="193" t="s">
        <v>217</v>
      </c>
    </row>
    <row r="43" spans="1:1" ht="25.5" x14ac:dyDescent="0.2">
      <c r="A43" s="194" t="s">
        <v>218</v>
      </c>
    </row>
    <row r="44" spans="1:1" x14ac:dyDescent="0.2">
      <c r="A44" s="195" t="s">
        <v>219</v>
      </c>
    </row>
    <row r="45" spans="1:1" x14ac:dyDescent="0.2">
      <c r="A45" s="166" t="s">
        <v>220</v>
      </c>
    </row>
    <row r="48" spans="1:1" ht="15.75" x14ac:dyDescent="0.25">
      <c r="A48" s="193" t="s">
        <v>221</v>
      </c>
    </row>
    <row r="49" spans="1:1" x14ac:dyDescent="0.2">
      <c r="A49" t="s">
        <v>222</v>
      </c>
    </row>
    <row r="50" spans="1:1" x14ac:dyDescent="0.2">
      <c r="A50" s="195" t="s">
        <v>219</v>
      </c>
    </row>
    <row r="51" spans="1:1" x14ac:dyDescent="0.2">
      <c r="A51" t="s">
        <v>223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Q67"/>
  <sheetViews>
    <sheetView zoomScale="130" zoomScaleNormal="130" workbookViewId="0">
      <selection activeCell="G49" sqref="G49"/>
    </sheetView>
  </sheetViews>
  <sheetFormatPr defaultColWidth="9.140625" defaultRowHeight="11.25" x14ac:dyDescent="0.2"/>
  <cols>
    <col min="1" max="1" width="11" style="5" customWidth="1"/>
    <col min="2" max="3" width="10.28515625" style="4" customWidth="1"/>
    <col min="4" max="4" width="9.85546875" style="4" customWidth="1"/>
    <col min="5" max="5" width="8.28515625" style="4" customWidth="1"/>
    <col min="6" max="7" width="12.7109375" style="4" customWidth="1"/>
    <col min="8" max="11" width="9.140625" style="5"/>
    <col min="12" max="12" width="12.28515625" style="5" customWidth="1"/>
    <col min="13" max="16384" width="9.140625" style="5"/>
  </cols>
  <sheetData>
    <row r="1" spans="1:17" ht="12.75" customHeight="1" x14ac:dyDescent="0.2">
      <c r="A1" s="20"/>
      <c r="B1" s="20" t="s">
        <v>98</v>
      </c>
      <c r="F1" s="23"/>
      <c r="G1" s="23"/>
      <c r="H1" s="20" t="s">
        <v>99</v>
      </c>
      <c r="I1" s="4"/>
      <c r="J1" s="4"/>
      <c r="K1" s="4"/>
      <c r="N1" s="20"/>
      <c r="O1" s="4"/>
      <c r="P1" s="4"/>
      <c r="Q1" s="4"/>
    </row>
    <row r="2" spans="1:17" x14ac:dyDescent="0.2">
      <c r="A2" s="19"/>
      <c r="B2" s="24" t="s">
        <v>2</v>
      </c>
      <c r="C2" s="24" t="s">
        <v>3</v>
      </c>
      <c r="D2" s="24" t="s">
        <v>4</v>
      </c>
      <c r="E2" s="24" t="s">
        <v>5</v>
      </c>
      <c r="F2" s="24" t="s">
        <v>57</v>
      </c>
      <c r="G2" s="23"/>
      <c r="H2" s="24" t="s">
        <v>2</v>
      </c>
      <c r="I2" s="24" t="s">
        <v>3</v>
      </c>
      <c r="J2" s="24" t="s">
        <v>4</v>
      </c>
      <c r="K2" s="24" t="s">
        <v>5</v>
      </c>
      <c r="L2" s="24" t="s">
        <v>57</v>
      </c>
      <c r="N2" s="8" t="s">
        <v>115</v>
      </c>
      <c r="O2" s="4"/>
      <c r="P2" s="4"/>
      <c r="Q2" s="4"/>
    </row>
    <row r="3" spans="1:17" x14ac:dyDescent="0.2">
      <c r="A3" s="19"/>
      <c r="B3" s="18">
        <v>0</v>
      </c>
      <c r="C3" s="18">
        <v>0</v>
      </c>
      <c r="D3" s="18">
        <v>0</v>
      </c>
      <c r="E3" s="18">
        <v>0</v>
      </c>
      <c r="F3" s="16">
        <v>0</v>
      </c>
      <c r="G3" s="23"/>
      <c r="H3" s="18">
        <v>0</v>
      </c>
      <c r="I3" s="18">
        <v>0</v>
      </c>
      <c r="J3" s="18">
        <v>0</v>
      </c>
      <c r="K3" s="18">
        <v>0</v>
      </c>
      <c r="L3" s="16">
        <v>0</v>
      </c>
      <c r="N3" s="4"/>
      <c r="O3" s="4"/>
      <c r="P3" s="4"/>
      <c r="Q3" s="4"/>
    </row>
    <row r="4" spans="1:17" x14ac:dyDescent="0.2">
      <c r="A4" s="19"/>
      <c r="B4" s="18">
        <v>335.01</v>
      </c>
      <c r="C4" s="18">
        <v>1.01</v>
      </c>
      <c r="D4" s="18">
        <v>5.01</v>
      </c>
      <c r="E4" s="18">
        <v>90.01</v>
      </c>
      <c r="F4" s="16">
        <v>1</v>
      </c>
      <c r="G4" s="23"/>
      <c r="H4" s="18">
        <v>335.01</v>
      </c>
      <c r="I4" s="18">
        <v>1.01</v>
      </c>
      <c r="J4" s="18">
        <v>5.01</v>
      </c>
      <c r="K4" s="18">
        <v>90.01</v>
      </c>
      <c r="L4" s="16">
        <v>1</v>
      </c>
      <c r="N4" s="4"/>
      <c r="O4" s="4"/>
      <c r="P4" s="4"/>
      <c r="Q4" s="4"/>
    </row>
    <row r="5" spans="1:17" x14ac:dyDescent="0.2">
      <c r="A5" s="19"/>
      <c r="B5" s="18">
        <v>670.01</v>
      </c>
      <c r="C5" s="18">
        <v>2.0100000000000002</v>
      </c>
      <c r="D5" s="18">
        <v>8.91</v>
      </c>
      <c r="E5" s="18">
        <v>180.01</v>
      </c>
      <c r="F5" s="16">
        <v>2</v>
      </c>
      <c r="G5" s="23"/>
      <c r="H5" s="18">
        <v>670.01</v>
      </c>
      <c r="I5" s="18">
        <v>2.0100000000000002</v>
      </c>
      <c r="J5" s="18">
        <v>9.01</v>
      </c>
      <c r="K5" s="18">
        <v>180.01</v>
      </c>
      <c r="L5" s="16">
        <v>2</v>
      </c>
      <c r="N5" s="4"/>
      <c r="O5" s="4"/>
      <c r="P5" s="4"/>
      <c r="Q5" s="4"/>
    </row>
    <row r="6" spans="1:17" x14ac:dyDescent="0.2">
      <c r="A6" s="19"/>
      <c r="B6" s="18">
        <v>1005.01</v>
      </c>
      <c r="C6" s="18">
        <v>3.0100000000000002</v>
      </c>
      <c r="D6" s="18">
        <v>12.81</v>
      </c>
      <c r="E6" s="18">
        <v>270.01</v>
      </c>
      <c r="F6" s="16">
        <v>3</v>
      </c>
      <c r="G6" s="23"/>
      <c r="H6" s="18">
        <v>1005.01</v>
      </c>
      <c r="I6" s="18">
        <v>3.0100000000000002</v>
      </c>
      <c r="J6" s="18">
        <v>13.51</v>
      </c>
      <c r="K6" s="18">
        <v>270.01</v>
      </c>
      <c r="L6" s="16">
        <v>3</v>
      </c>
      <c r="N6" s="4"/>
      <c r="O6" s="4"/>
      <c r="P6" s="4"/>
      <c r="Q6" s="4"/>
    </row>
    <row r="7" spans="1:17" x14ac:dyDescent="0.2">
      <c r="A7" s="19"/>
      <c r="B7" s="18">
        <v>1340.01</v>
      </c>
      <c r="C7" s="18">
        <v>4.01</v>
      </c>
      <c r="D7" s="18">
        <v>16.809999999999999</v>
      </c>
      <c r="E7" s="18">
        <v>360.01</v>
      </c>
      <c r="F7" s="16">
        <v>4</v>
      </c>
      <c r="G7" s="23"/>
      <c r="H7" s="18">
        <v>1340.01</v>
      </c>
      <c r="I7" s="18">
        <v>4.01</v>
      </c>
      <c r="J7" s="18">
        <v>18.010000000000002</v>
      </c>
      <c r="K7" s="18">
        <v>360.01</v>
      </c>
      <c r="L7" s="16">
        <v>4</v>
      </c>
      <c r="N7" s="4"/>
      <c r="O7" s="4"/>
      <c r="P7" s="4"/>
      <c r="Q7" s="4"/>
    </row>
    <row r="8" spans="1:17" x14ac:dyDescent="0.2">
      <c r="A8" s="19"/>
      <c r="B8" s="18">
        <v>1675.01</v>
      </c>
      <c r="C8" s="18">
        <v>5.01</v>
      </c>
      <c r="D8" s="18">
        <v>20.71</v>
      </c>
      <c r="E8" s="18">
        <v>450.01</v>
      </c>
      <c r="F8" s="16">
        <v>5</v>
      </c>
      <c r="G8" s="23"/>
      <c r="H8" s="18">
        <v>1675.01</v>
      </c>
      <c r="I8" s="18">
        <v>5.01</v>
      </c>
      <c r="J8" s="18">
        <v>22.51</v>
      </c>
      <c r="K8" s="18">
        <v>450.01</v>
      </c>
      <c r="L8" s="16">
        <v>5</v>
      </c>
      <c r="N8" s="4"/>
      <c r="O8" s="4"/>
      <c r="P8" s="4"/>
      <c r="Q8" s="4"/>
    </row>
    <row r="9" spans="1:17" x14ac:dyDescent="0.2">
      <c r="A9" s="19"/>
      <c r="B9" s="18">
        <v>2010.01</v>
      </c>
      <c r="C9" s="18">
        <v>6.01</v>
      </c>
      <c r="D9" s="18">
        <v>24.61</v>
      </c>
      <c r="E9" s="18">
        <v>540.01</v>
      </c>
      <c r="F9" s="16">
        <v>6</v>
      </c>
      <c r="G9" s="23"/>
      <c r="H9" s="18">
        <v>2010.01</v>
      </c>
      <c r="I9" s="18">
        <v>6.01</v>
      </c>
      <c r="J9" s="18">
        <v>27.01</v>
      </c>
      <c r="K9" s="18">
        <v>540.01</v>
      </c>
      <c r="L9" s="16">
        <v>6</v>
      </c>
      <c r="N9" s="4"/>
      <c r="O9" s="4"/>
      <c r="P9" s="4"/>
      <c r="Q9" s="4"/>
    </row>
    <row r="10" spans="1:17" x14ac:dyDescent="0.2">
      <c r="A10" s="19"/>
      <c r="B10" s="18">
        <v>2345.0100000000002</v>
      </c>
      <c r="C10" s="18">
        <v>7.01</v>
      </c>
      <c r="D10" s="18">
        <v>28.51</v>
      </c>
      <c r="E10" s="18">
        <v>630.01</v>
      </c>
      <c r="F10" s="16">
        <v>7</v>
      </c>
      <c r="G10" s="23"/>
      <c r="H10" s="18">
        <v>2345.0100000000002</v>
      </c>
      <c r="I10" s="18">
        <v>7.01</v>
      </c>
      <c r="J10" s="18">
        <v>31.01</v>
      </c>
      <c r="K10" s="18">
        <v>630.01</v>
      </c>
      <c r="L10" s="16">
        <v>7</v>
      </c>
      <c r="N10" s="4"/>
      <c r="O10" s="4"/>
      <c r="P10" s="4"/>
      <c r="Q10" s="4"/>
    </row>
    <row r="11" spans="1:17" x14ac:dyDescent="0.2">
      <c r="A11" s="19"/>
      <c r="B11" s="18">
        <v>2680.01</v>
      </c>
      <c r="C11" s="18">
        <v>8.01</v>
      </c>
      <c r="D11" s="18">
        <v>32.409999999999997</v>
      </c>
      <c r="E11" s="18">
        <v>720.01</v>
      </c>
      <c r="F11" s="16">
        <v>8</v>
      </c>
      <c r="G11" s="23"/>
      <c r="H11" s="18">
        <v>2680.01</v>
      </c>
      <c r="I11" s="18">
        <v>8.01</v>
      </c>
      <c r="J11" s="18">
        <v>36.01</v>
      </c>
      <c r="K11" s="18">
        <v>720.01</v>
      </c>
      <c r="L11" s="16">
        <v>8</v>
      </c>
      <c r="N11" s="4"/>
      <c r="O11" s="4"/>
      <c r="P11" s="4"/>
      <c r="Q11" s="4"/>
    </row>
    <row r="12" spans="1:17" x14ac:dyDescent="0.2">
      <c r="A12" s="19"/>
      <c r="B12" s="18">
        <v>3015.01</v>
      </c>
      <c r="C12" s="18">
        <v>9.01</v>
      </c>
      <c r="D12" s="18">
        <v>36.31</v>
      </c>
      <c r="E12" s="18">
        <v>810.01</v>
      </c>
      <c r="F12" s="16">
        <v>9</v>
      </c>
      <c r="G12" s="23"/>
      <c r="H12" s="18">
        <v>3015.01</v>
      </c>
      <c r="I12" s="18">
        <v>9.01</v>
      </c>
      <c r="J12" s="18">
        <v>40.01</v>
      </c>
      <c r="K12" s="18">
        <v>810.01</v>
      </c>
      <c r="L12" s="16">
        <v>9</v>
      </c>
      <c r="N12" s="4"/>
      <c r="O12" s="4"/>
      <c r="P12" s="4"/>
      <c r="Q12" s="4"/>
    </row>
    <row r="13" spans="1:17" x14ac:dyDescent="0.2">
      <c r="A13" s="19"/>
      <c r="B13" s="18">
        <v>3350.01</v>
      </c>
      <c r="C13" s="18">
        <v>10.01</v>
      </c>
      <c r="D13" s="18">
        <v>40.31</v>
      </c>
      <c r="E13" s="18">
        <v>900.01</v>
      </c>
      <c r="F13" s="16">
        <v>10</v>
      </c>
      <c r="G13" s="23"/>
      <c r="H13" s="18">
        <v>3350.01</v>
      </c>
      <c r="I13" s="18">
        <v>10.01</v>
      </c>
      <c r="J13" s="18">
        <v>45.01</v>
      </c>
      <c r="K13" s="18">
        <v>900.01</v>
      </c>
      <c r="L13" s="16">
        <v>10</v>
      </c>
      <c r="N13" s="4"/>
      <c r="O13" s="4"/>
      <c r="P13" s="4"/>
      <c r="Q13" s="4"/>
    </row>
    <row r="14" spans="1:17" x14ac:dyDescent="0.2">
      <c r="A14" s="4"/>
      <c r="B14" s="18">
        <v>3685.01</v>
      </c>
      <c r="C14" s="108">
        <v>11.209999999999999</v>
      </c>
      <c r="D14" s="15">
        <v>44.21</v>
      </c>
      <c r="E14" s="108">
        <v>990.01</v>
      </c>
      <c r="F14" s="16">
        <v>11</v>
      </c>
      <c r="G14" s="23"/>
      <c r="H14" s="18">
        <v>3685.01</v>
      </c>
      <c r="I14" s="18">
        <v>11.01</v>
      </c>
      <c r="J14" s="15"/>
      <c r="K14" s="105">
        <v>990.01</v>
      </c>
      <c r="L14" s="16">
        <v>11</v>
      </c>
      <c r="N14" s="4"/>
      <c r="O14" s="21"/>
      <c r="P14" s="4"/>
      <c r="Q14" s="21"/>
    </row>
    <row r="15" spans="1:17" x14ac:dyDescent="0.2">
      <c r="A15" s="4"/>
      <c r="B15" s="15"/>
      <c r="C15" s="108">
        <v>12.51</v>
      </c>
      <c r="D15" s="15">
        <v>48.11</v>
      </c>
      <c r="E15" s="108">
        <v>1080.01</v>
      </c>
      <c r="F15" s="16">
        <v>12</v>
      </c>
      <c r="G15" s="23"/>
      <c r="H15" s="15"/>
      <c r="I15" s="18">
        <v>12.01</v>
      </c>
      <c r="J15" s="15"/>
      <c r="K15" s="105">
        <v>1080.01</v>
      </c>
      <c r="L15" s="16">
        <v>12</v>
      </c>
      <c r="N15" s="4"/>
      <c r="O15" s="21"/>
      <c r="P15" s="4"/>
      <c r="Q15" s="21"/>
    </row>
    <row r="16" spans="1:17" x14ac:dyDescent="0.2">
      <c r="A16" s="4"/>
      <c r="B16" s="15"/>
      <c r="C16" s="108">
        <v>13.91</v>
      </c>
      <c r="D16" s="15">
        <v>52.009999999999991</v>
      </c>
      <c r="E16" s="108">
        <v>1170.01</v>
      </c>
      <c r="F16" s="16">
        <v>13</v>
      </c>
      <c r="G16" s="23"/>
      <c r="H16" s="15"/>
      <c r="I16" s="18">
        <v>13.01</v>
      </c>
      <c r="J16" s="15"/>
      <c r="K16" s="105">
        <v>1170.01</v>
      </c>
      <c r="L16" s="16">
        <v>13</v>
      </c>
      <c r="N16" s="4"/>
      <c r="O16" s="21"/>
      <c r="P16" s="4"/>
      <c r="Q16" s="21"/>
    </row>
    <row r="17" spans="1:17" x14ac:dyDescent="0.2">
      <c r="A17" s="4"/>
      <c r="B17" s="15"/>
      <c r="C17" s="108">
        <v>15.51</v>
      </c>
      <c r="D17" s="15">
        <v>55.91</v>
      </c>
      <c r="E17" s="108">
        <v>1260.01</v>
      </c>
      <c r="F17" s="16">
        <v>14</v>
      </c>
      <c r="G17" s="23"/>
      <c r="H17" s="15"/>
      <c r="I17" s="18">
        <v>14.01</v>
      </c>
      <c r="J17" s="15"/>
      <c r="K17" s="105">
        <v>1260.01</v>
      </c>
      <c r="L17" s="16">
        <v>14</v>
      </c>
      <c r="N17" s="4"/>
      <c r="O17" s="21"/>
      <c r="P17" s="4"/>
      <c r="Q17" s="21"/>
    </row>
    <row r="18" spans="1:17" x14ac:dyDescent="0.2">
      <c r="A18" s="4"/>
      <c r="B18" s="15"/>
      <c r="C18" s="108">
        <v>17.310000000000002</v>
      </c>
      <c r="D18" s="15">
        <v>59.81</v>
      </c>
      <c r="E18" s="108">
        <v>1350.01</v>
      </c>
      <c r="F18" s="16">
        <v>15</v>
      </c>
      <c r="G18" s="23"/>
      <c r="H18" s="15"/>
      <c r="I18" s="18">
        <v>15.01</v>
      </c>
      <c r="J18" s="15"/>
      <c r="K18" s="105">
        <v>1350.01</v>
      </c>
      <c r="L18" s="16">
        <v>15</v>
      </c>
      <c r="N18" s="4"/>
      <c r="O18" s="21"/>
      <c r="P18" s="4"/>
      <c r="Q18" s="21"/>
    </row>
    <row r="19" spans="1:17" x14ac:dyDescent="0.2">
      <c r="A19" s="4"/>
      <c r="B19" s="15"/>
      <c r="C19" s="108">
        <v>19.310000000000002</v>
      </c>
      <c r="D19" s="15">
        <v>63.81</v>
      </c>
      <c r="E19" s="108">
        <v>1440.01</v>
      </c>
      <c r="F19" s="16">
        <v>16</v>
      </c>
      <c r="G19" s="23"/>
      <c r="H19" s="15"/>
      <c r="I19" s="18">
        <v>16.010000000000002</v>
      </c>
      <c r="J19" s="15"/>
      <c r="K19" s="105">
        <v>1440.01</v>
      </c>
      <c r="L19" s="16">
        <v>16</v>
      </c>
      <c r="N19" s="4"/>
      <c r="O19" s="21"/>
      <c r="P19" s="4"/>
      <c r="Q19" s="21"/>
    </row>
    <row r="20" spans="1:17" x14ac:dyDescent="0.2">
      <c r="A20" s="4"/>
      <c r="B20" s="15"/>
      <c r="C20" s="108">
        <v>21.610000000000003</v>
      </c>
      <c r="D20" s="15">
        <v>67.709999999999994</v>
      </c>
      <c r="E20" s="108">
        <v>1530.01</v>
      </c>
      <c r="F20" s="16">
        <v>17</v>
      </c>
      <c r="G20" s="23"/>
      <c r="H20" s="15"/>
      <c r="I20" s="18">
        <v>17.010000000000002</v>
      </c>
      <c r="J20" s="15"/>
      <c r="K20" s="105">
        <v>1530.01</v>
      </c>
      <c r="L20" s="16">
        <v>17</v>
      </c>
      <c r="N20" s="4"/>
      <c r="O20" s="21"/>
      <c r="P20" s="4"/>
      <c r="Q20" s="21"/>
    </row>
    <row r="21" spans="1:17" x14ac:dyDescent="0.2">
      <c r="A21" s="4"/>
      <c r="B21" s="15"/>
      <c r="C21" s="108">
        <v>24.110000000000003</v>
      </c>
      <c r="D21" s="15">
        <v>71.61</v>
      </c>
      <c r="E21" s="108">
        <v>1620.01</v>
      </c>
      <c r="F21" s="16">
        <v>18</v>
      </c>
      <c r="G21" s="23"/>
      <c r="H21" s="15"/>
      <c r="I21" s="18">
        <v>18.010000000000002</v>
      </c>
      <c r="J21" s="15"/>
      <c r="K21" s="105">
        <v>1620.01</v>
      </c>
      <c r="L21" s="16">
        <v>18</v>
      </c>
      <c r="N21" s="4"/>
      <c r="O21" s="21"/>
      <c r="P21" s="4"/>
      <c r="Q21" s="21"/>
    </row>
    <row r="22" spans="1:17" x14ac:dyDescent="0.2">
      <c r="A22" s="4"/>
      <c r="B22" s="15"/>
      <c r="C22" s="108">
        <v>26.91</v>
      </c>
      <c r="D22" s="15">
        <v>75.509999999999991</v>
      </c>
      <c r="E22" s="108">
        <v>1710.01</v>
      </c>
      <c r="F22" s="16">
        <v>19</v>
      </c>
      <c r="G22" s="23"/>
      <c r="H22" s="15"/>
      <c r="I22" s="18">
        <v>19.010000000000002</v>
      </c>
      <c r="J22" s="15"/>
      <c r="K22" s="105">
        <v>1710.01</v>
      </c>
      <c r="L22" s="16">
        <v>19</v>
      </c>
      <c r="N22" s="4"/>
      <c r="O22" s="21"/>
      <c r="P22" s="4"/>
      <c r="Q22" s="21"/>
    </row>
    <row r="23" spans="1:17" x14ac:dyDescent="0.2">
      <c r="A23" s="4"/>
      <c r="B23" s="15"/>
      <c r="C23" s="108">
        <v>30.01</v>
      </c>
      <c r="D23" s="15">
        <v>79.41</v>
      </c>
      <c r="E23" s="108">
        <v>1800.01</v>
      </c>
      <c r="F23" s="16">
        <v>20</v>
      </c>
      <c r="G23" s="23"/>
      <c r="H23" s="15"/>
      <c r="I23" s="18">
        <v>20.010000000000002</v>
      </c>
      <c r="J23" s="15"/>
      <c r="K23" s="105">
        <v>1800.01</v>
      </c>
      <c r="L23" s="16">
        <v>20</v>
      </c>
      <c r="N23" s="4"/>
      <c r="O23" s="21"/>
      <c r="P23" s="4"/>
      <c r="Q23" s="21"/>
    </row>
    <row r="24" spans="1:17" x14ac:dyDescent="0.2">
      <c r="A24" s="4"/>
      <c r="B24" s="15"/>
      <c r="C24" s="108">
        <v>33.51</v>
      </c>
      <c r="D24" s="15">
        <v>83.31</v>
      </c>
      <c r="E24" s="108">
        <v>1890.01</v>
      </c>
      <c r="F24" s="16">
        <v>21</v>
      </c>
      <c r="G24" s="23"/>
      <c r="H24" s="15"/>
      <c r="I24" s="18">
        <v>21.01</v>
      </c>
      <c r="J24" s="15"/>
      <c r="K24" s="108">
        <v>1890.01</v>
      </c>
      <c r="L24" s="16">
        <v>21</v>
      </c>
      <c r="N24" s="4"/>
      <c r="O24" s="21"/>
      <c r="P24" s="4"/>
      <c r="Q24" s="21"/>
    </row>
    <row r="25" spans="1:17" x14ac:dyDescent="0.2">
      <c r="A25" s="4"/>
      <c r="B25" s="15"/>
      <c r="C25" s="108">
        <v>37.409999999999997</v>
      </c>
      <c r="D25" s="15">
        <v>87.31</v>
      </c>
      <c r="E25" s="108">
        <v>1980.01</v>
      </c>
      <c r="F25" s="16">
        <v>22</v>
      </c>
      <c r="G25" s="23"/>
      <c r="H25" s="15"/>
      <c r="I25" s="18">
        <v>22.01</v>
      </c>
      <c r="J25" s="15"/>
      <c r="K25" s="108">
        <v>1980.01</v>
      </c>
      <c r="L25" s="16">
        <v>22</v>
      </c>
      <c r="N25" s="4"/>
      <c r="O25" s="21"/>
      <c r="P25" s="4"/>
      <c r="Q25" s="21"/>
    </row>
    <row r="26" spans="1:17" x14ac:dyDescent="0.2">
      <c r="A26" s="4"/>
      <c r="B26" s="15"/>
      <c r="C26" s="108">
        <v>41.71</v>
      </c>
      <c r="D26" s="15">
        <v>91.21</v>
      </c>
      <c r="E26" s="108">
        <v>2070.0100000000002</v>
      </c>
      <c r="F26" s="16">
        <v>23</v>
      </c>
      <c r="G26" s="23"/>
      <c r="H26" s="15"/>
      <c r="I26" s="18">
        <v>23.01</v>
      </c>
      <c r="J26" s="15"/>
      <c r="K26" s="108">
        <v>2070.0100000000002</v>
      </c>
      <c r="L26" s="16">
        <v>23</v>
      </c>
      <c r="N26" s="4"/>
      <c r="O26" s="21"/>
      <c r="P26" s="4"/>
      <c r="Q26" s="21"/>
    </row>
    <row r="27" spans="1:17" x14ac:dyDescent="0.2">
      <c r="A27" s="4"/>
      <c r="B27" s="15"/>
      <c r="C27" s="108">
        <v>46.61</v>
      </c>
      <c r="D27" s="15">
        <v>95.11</v>
      </c>
      <c r="E27" s="108">
        <v>2160.0100000000002</v>
      </c>
      <c r="F27" s="16">
        <v>24</v>
      </c>
      <c r="G27" s="23"/>
      <c r="H27" s="15"/>
      <c r="I27" s="18">
        <v>24.01</v>
      </c>
      <c r="J27" s="15"/>
      <c r="K27" s="108">
        <v>2160.0100000000002</v>
      </c>
      <c r="L27" s="16">
        <v>24</v>
      </c>
      <c r="N27" s="4"/>
      <c r="O27" s="21"/>
      <c r="P27" s="4"/>
      <c r="Q27" s="21"/>
    </row>
    <row r="28" spans="1:17" x14ac:dyDescent="0.2">
      <c r="A28" s="4"/>
      <c r="B28" s="15"/>
      <c r="C28" s="108">
        <v>52.01</v>
      </c>
      <c r="D28" s="170">
        <v>99.01</v>
      </c>
      <c r="E28" s="108">
        <v>2250.0100000000002</v>
      </c>
      <c r="F28" s="16">
        <v>25</v>
      </c>
      <c r="G28" s="23"/>
      <c r="H28" s="15"/>
      <c r="I28" s="18">
        <v>25.01</v>
      </c>
      <c r="J28" s="15"/>
      <c r="K28" s="108">
        <v>2250.0100000000002</v>
      </c>
      <c r="L28" s="16">
        <v>25</v>
      </c>
      <c r="N28" s="4"/>
      <c r="O28" s="21"/>
      <c r="P28" s="4"/>
      <c r="Q28" s="21"/>
    </row>
    <row r="29" spans="1:17" x14ac:dyDescent="0.2">
      <c r="A29" s="4"/>
      <c r="B29" s="15"/>
      <c r="C29" s="108">
        <v>58.01</v>
      </c>
      <c r="D29" s="15"/>
      <c r="E29" s="108">
        <v>2340.0100000000002</v>
      </c>
      <c r="F29" s="16">
        <v>26</v>
      </c>
      <c r="G29" s="23"/>
      <c r="H29" s="15"/>
      <c r="I29" s="18">
        <v>26.01</v>
      </c>
      <c r="J29" s="15"/>
      <c r="K29" s="108">
        <v>2340.0100000000002</v>
      </c>
      <c r="L29" s="16">
        <v>26</v>
      </c>
      <c r="N29" s="4"/>
      <c r="O29" s="21"/>
      <c r="P29" s="4"/>
      <c r="Q29" s="21"/>
    </row>
    <row r="30" spans="1:17" x14ac:dyDescent="0.2">
      <c r="A30" s="4"/>
      <c r="B30" s="15"/>
      <c r="C30" s="108">
        <v>64.710000000000008</v>
      </c>
      <c r="D30" s="15"/>
      <c r="E30" s="108">
        <v>2430.0100000000002</v>
      </c>
      <c r="F30" s="16">
        <v>27</v>
      </c>
      <c r="G30" s="23"/>
      <c r="H30" s="15"/>
      <c r="I30" s="18">
        <v>27.01</v>
      </c>
      <c r="J30" s="15"/>
      <c r="K30" s="108">
        <v>2430.0100000000002</v>
      </c>
      <c r="L30" s="16">
        <v>27</v>
      </c>
      <c r="N30" s="4"/>
      <c r="O30" s="21"/>
      <c r="P30" s="4"/>
      <c r="Q30" s="21"/>
    </row>
    <row r="31" spans="1:17" x14ac:dyDescent="0.2">
      <c r="A31" s="4"/>
      <c r="B31" s="15"/>
      <c r="C31" s="108">
        <v>72.31</v>
      </c>
      <c r="D31" s="15"/>
      <c r="E31" s="108">
        <v>2520.0100000000002</v>
      </c>
      <c r="F31" s="16">
        <v>28</v>
      </c>
      <c r="G31" s="23"/>
      <c r="H31" s="15"/>
      <c r="I31" s="18">
        <v>28.01</v>
      </c>
      <c r="J31" s="15"/>
      <c r="K31" s="108">
        <v>2520.0100000000002</v>
      </c>
      <c r="L31" s="16">
        <v>28</v>
      </c>
      <c r="N31" s="4"/>
      <c r="O31" s="21"/>
      <c r="P31" s="4"/>
      <c r="Q31" s="21"/>
    </row>
    <row r="32" spans="1:17" x14ac:dyDescent="0.2">
      <c r="A32" s="4"/>
      <c r="B32" s="15"/>
      <c r="C32" s="108">
        <v>80.61</v>
      </c>
      <c r="D32" s="15"/>
      <c r="E32" s="108">
        <v>2610.0100000000002</v>
      </c>
      <c r="F32" s="16">
        <v>29</v>
      </c>
      <c r="G32" s="23"/>
      <c r="H32" s="15"/>
      <c r="I32" s="18">
        <v>29.01</v>
      </c>
      <c r="J32" s="15"/>
      <c r="K32" s="108">
        <v>2610.0100000000002</v>
      </c>
      <c r="L32" s="16">
        <v>29</v>
      </c>
      <c r="N32" s="4"/>
      <c r="O32" s="21"/>
      <c r="P32" s="4"/>
      <c r="Q32" s="21"/>
    </row>
    <row r="33" spans="1:17" x14ac:dyDescent="0.2">
      <c r="A33" s="4"/>
      <c r="B33" s="15"/>
      <c r="C33" s="108">
        <v>90.01</v>
      </c>
      <c r="D33" s="15"/>
      <c r="E33" s="171">
        <v>2700.01</v>
      </c>
      <c r="F33" s="16">
        <v>30</v>
      </c>
      <c r="G33" s="23"/>
      <c r="H33" s="15"/>
      <c r="I33" s="18">
        <v>30.01</v>
      </c>
      <c r="J33" s="15"/>
      <c r="K33" s="108">
        <v>2700.01</v>
      </c>
      <c r="L33" s="16">
        <v>30</v>
      </c>
      <c r="N33" s="4"/>
      <c r="O33" s="21"/>
      <c r="P33" s="4"/>
      <c r="Q33" s="21"/>
    </row>
    <row r="35" spans="1:17" x14ac:dyDescent="0.2">
      <c r="C35" s="8"/>
      <c r="H35" s="5" t="s">
        <v>114</v>
      </c>
    </row>
    <row r="37" spans="1:17" x14ac:dyDescent="0.2">
      <c r="B37" s="8" t="s">
        <v>132</v>
      </c>
    </row>
    <row r="40" spans="1:17" x14ac:dyDescent="0.2">
      <c r="B40" s="4">
        <f>B4-B3</f>
        <v>335.01</v>
      </c>
      <c r="C40" s="4">
        <f>C4-C3</f>
        <v>1.01</v>
      </c>
      <c r="D40" s="4">
        <f>D4-D3</f>
        <v>5.01</v>
      </c>
      <c r="E40" s="4">
        <f>E4-E3</f>
        <v>90.01</v>
      </c>
      <c r="H40" s="4">
        <f>H4-H3</f>
        <v>335.01</v>
      </c>
      <c r="I40" s="4">
        <f>I4-I3</f>
        <v>1.01</v>
      </c>
      <c r="J40" s="4">
        <f>J4-J3</f>
        <v>5.01</v>
      </c>
      <c r="K40" s="4">
        <f>K4-K3</f>
        <v>90.01</v>
      </c>
    </row>
    <row r="41" spans="1:17" x14ac:dyDescent="0.2">
      <c r="B41" s="4">
        <f t="shared" ref="B41:C52" si="0">B5-B4</f>
        <v>335</v>
      </c>
      <c r="C41" s="4">
        <f t="shared" si="0"/>
        <v>1.0000000000000002</v>
      </c>
      <c r="D41" s="4">
        <f t="shared" ref="D41:E41" si="1">D5-D4</f>
        <v>3.9000000000000004</v>
      </c>
      <c r="E41" s="4">
        <f t="shared" si="1"/>
        <v>89.999999999999986</v>
      </c>
      <c r="H41" s="4">
        <f t="shared" ref="H41:K41" si="2">H5-H4</f>
        <v>335</v>
      </c>
      <c r="I41" s="4">
        <f t="shared" si="2"/>
        <v>1.0000000000000002</v>
      </c>
      <c r="J41" s="4">
        <f t="shared" si="2"/>
        <v>4</v>
      </c>
      <c r="K41" s="4">
        <f t="shared" si="2"/>
        <v>89.999999999999986</v>
      </c>
    </row>
    <row r="42" spans="1:17" x14ac:dyDescent="0.2">
      <c r="B42" s="4">
        <f t="shared" si="0"/>
        <v>335</v>
      </c>
      <c r="C42" s="4">
        <f t="shared" si="0"/>
        <v>1</v>
      </c>
      <c r="D42" s="4">
        <f t="shared" ref="D42:E42" si="3">D6-D5</f>
        <v>3.9000000000000004</v>
      </c>
      <c r="E42" s="4">
        <f t="shared" si="3"/>
        <v>90</v>
      </c>
      <c r="H42" s="4">
        <f t="shared" ref="H42:K42" si="4">H6-H5</f>
        <v>335</v>
      </c>
      <c r="I42" s="4">
        <f t="shared" si="4"/>
        <v>1</v>
      </c>
      <c r="J42" s="4">
        <f t="shared" si="4"/>
        <v>4.5</v>
      </c>
      <c r="K42" s="4">
        <f t="shared" si="4"/>
        <v>90</v>
      </c>
    </row>
    <row r="43" spans="1:17" x14ac:dyDescent="0.2">
      <c r="B43" s="4">
        <f t="shared" si="0"/>
        <v>335</v>
      </c>
      <c r="C43" s="4">
        <f t="shared" si="0"/>
        <v>0.99999999999999956</v>
      </c>
      <c r="D43" s="4">
        <f t="shared" ref="D43:E43" si="5">D7-D6</f>
        <v>3.9999999999999982</v>
      </c>
      <c r="E43" s="4">
        <f t="shared" si="5"/>
        <v>90</v>
      </c>
      <c r="H43" s="4">
        <f t="shared" ref="H43:K43" si="6">H7-H6</f>
        <v>335</v>
      </c>
      <c r="I43" s="4">
        <f t="shared" si="6"/>
        <v>0.99999999999999956</v>
      </c>
      <c r="J43" s="4">
        <f t="shared" si="6"/>
        <v>4.5000000000000018</v>
      </c>
      <c r="K43" s="4">
        <f t="shared" si="6"/>
        <v>90</v>
      </c>
    </row>
    <row r="44" spans="1:17" x14ac:dyDescent="0.2">
      <c r="B44" s="4">
        <f t="shared" si="0"/>
        <v>335</v>
      </c>
      <c r="C44" s="4">
        <f t="shared" si="0"/>
        <v>1</v>
      </c>
      <c r="D44" s="4">
        <f t="shared" ref="D44:E44" si="7">D8-D7</f>
        <v>3.9000000000000021</v>
      </c>
      <c r="E44" s="4">
        <f t="shared" si="7"/>
        <v>90</v>
      </c>
      <c r="H44" s="4">
        <f t="shared" ref="H44:K44" si="8">H8-H7</f>
        <v>335</v>
      </c>
      <c r="I44" s="4">
        <f t="shared" si="8"/>
        <v>1</v>
      </c>
      <c r="J44" s="4">
        <f t="shared" si="8"/>
        <v>4.5</v>
      </c>
      <c r="K44" s="4">
        <f t="shared" si="8"/>
        <v>90</v>
      </c>
    </row>
    <row r="45" spans="1:17" x14ac:dyDescent="0.2">
      <c r="B45" s="4">
        <f t="shared" si="0"/>
        <v>335</v>
      </c>
      <c r="C45" s="4">
        <f t="shared" si="0"/>
        <v>1</v>
      </c>
      <c r="D45" s="4">
        <f t="shared" ref="D45:E45" si="9">D9-D8</f>
        <v>3.8999999999999986</v>
      </c>
      <c r="E45" s="4">
        <f t="shared" si="9"/>
        <v>90</v>
      </c>
      <c r="H45" s="4">
        <f t="shared" ref="H45:K45" si="10">H9-H8</f>
        <v>335</v>
      </c>
      <c r="I45" s="4">
        <f t="shared" si="10"/>
        <v>1</v>
      </c>
      <c r="J45" s="4">
        <f t="shared" si="10"/>
        <v>4.5</v>
      </c>
      <c r="K45" s="4">
        <f t="shared" si="10"/>
        <v>90</v>
      </c>
    </row>
    <row r="46" spans="1:17" x14ac:dyDescent="0.2">
      <c r="B46" s="4">
        <f t="shared" si="0"/>
        <v>335.00000000000023</v>
      </c>
      <c r="C46" s="4">
        <f t="shared" si="0"/>
        <v>1</v>
      </c>
      <c r="D46" s="4">
        <f t="shared" ref="D46:E46" si="11">D10-D9</f>
        <v>3.9000000000000021</v>
      </c>
      <c r="E46" s="4">
        <f t="shared" si="11"/>
        <v>90</v>
      </c>
      <c r="H46" s="4">
        <f t="shared" ref="H46:K46" si="12">H10-H9</f>
        <v>335.00000000000023</v>
      </c>
      <c r="I46" s="4">
        <f t="shared" si="12"/>
        <v>1</v>
      </c>
      <c r="J46" s="4">
        <f t="shared" si="12"/>
        <v>4</v>
      </c>
      <c r="K46" s="4">
        <f t="shared" si="12"/>
        <v>90</v>
      </c>
    </row>
    <row r="47" spans="1:17" x14ac:dyDescent="0.2">
      <c r="B47" s="4">
        <f t="shared" si="0"/>
        <v>335</v>
      </c>
      <c r="C47" s="4">
        <f t="shared" si="0"/>
        <v>1</v>
      </c>
      <c r="D47" s="4">
        <f t="shared" ref="D47:E47" si="13">D11-D10</f>
        <v>3.899999999999995</v>
      </c>
      <c r="E47" s="4">
        <f t="shared" si="13"/>
        <v>90</v>
      </c>
      <c r="H47" s="4">
        <f t="shared" ref="H47:K47" si="14">H11-H10</f>
        <v>335</v>
      </c>
      <c r="I47" s="4">
        <f t="shared" si="14"/>
        <v>1</v>
      </c>
      <c r="J47" s="4">
        <f t="shared" si="14"/>
        <v>4.9999999999999964</v>
      </c>
      <c r="K47" s="4">
        <f t="shared" si="14"/>
        <v>90</v>
      </c>
    </row>
    <row r="48" spans="1:17" x14ac:dyDescent="0.2">
      <c r="B48" s="4">
        <f t="shared" si="0"/>
        <v>335</v>
      </c>
      <c r="C48" s="4">
        <f t="shared" si="0"/>
        <v>1</v>
      </c>
      <c r="D48" s="4">
        <f t="shared" ref="D48:E48" si="15">D12-D11</f>
        <v>3.9000000000000057</v>
      </c>
      <c r="E48" s="4">
        <f t="shared" si="15"/>
        <v>90</v>
      </c>
      <c r="H48" s="4">
        <f t="shared" ref="H48:K48" si="16">H12-H11</f>
        <v>335</v>
      </c>
      <c r="I48" s="4">
        <f t="shared" si="16"/>
        <v>1</v>
      </c>
      <c r="J48" s="4">
        <f t="shared" si="16"/>
        <v>4</v>
      </c>
      <c r="K48" s="4">
        <f t="shared" si="16"/>
        <v>90</v>
      </c>
    </row>
    <row r="49" spans="2:11" x14ac:dyDescent="0.2">
      <c r="B49" s="4">
        <f t="shared" si="0"/>
        <v>335</v>
      </c>
      <c r="C49" s="4">
        <f t="shared" si="0"/>
        <v>1</v>
      </c>
      <c r="D49" s="4">
        <f t="shared" ref="D49:E49" si="17">D13-D12</f>
        <v>4</v>
      </c>
      <c r="E49" s="4">
        <f t="shared" si="17"/>
        <v>90</v>
      </c>
      <c r="H49" s="4">
        <f t="shared" ref="H49:K49" si="18">H13-H12</f>
        <v>335</v>
      </c>
      <c r="I49" s="4">
        <f t="shared" si="18"/>
        <v>1</v>
      </c>
      <c r="J49" s="4">
        <f t="shared" si="18"/>
        <v>5</v>
      </c>
      <c r="K49" s="4">
        <f t="shared" si="18"/>
        <v>90</v>
      </c>
    </row>
    <row r="50" spans="2:11" x14ac:dyDescent="0.2">
      <c r="B50" s="4">
        <f t="shared" si="0"/>
        <v>335</v>
      </c>
      <c r="C50" s="4">
        <f t="shared" si="0"/>
        <v>1.1999999999999993</v>
      </c>
      <c r="D50" s="4">
        <f t="shared" ref="D50:E50" si="19">D14-D13</f>
        <v>3.8999999999999986</v>
      </c>
      <c r="E50" s="4">
        <f t="shared" si="19"/>
        <v>90</v>
      </c>
      <c r="H50" s="4">
        <f t="shared" ref="H50:K50" si="20">H14-H13</f>
        <v>335</v>
      </c>
      <c r="I50" s="4">
        <f t="shared" si="20"/>
        <v>1</v>
      </c>
      <c r="J50" s="4"/>
      <c r="K50" s="4">
        <f t="shared" si="20"/>
        <v>90</v>
      </c>
    </row>
    <row r="51" spans="2:11" x14ac:dyDescent="0.2">
      <c r="B51" s="4">
        <f t="shared" si="0"/>
        <v>-3685.01</v>
      </c>
      <c r="C51" s="4">
        <f t="shared" si="0"/>
        <v>1.3000000000000007</v>
      </c>
      <c r="D51" s="4">
        <f t="shared" ref="D51:E51" si="21">D15-D14</f>
        <v>3.8999999999999986</v>
      </c>
      <c r="E51" s="4">
        <f t="shared" si="21"/>
        <v>90</v>
      </c>
      <c r="H51" s="4"/>
      <c r="I51" s="4">
        <f t="shared" ref="H51:K51" si="22">I15-I14</f>
        <v>1</v>
      </c>
      <c r="J51" s="4"/>
      <c r="K51" s="4">
        <f t="shared" si="22"/>
        <v>90</v>
      </c>
    </row>
    <row r="52" spans="2:11" x14ac:dyDescent="0.2">
      <c r="B52" s="4">
        <f t="shared" si="0"/>
        <v>0</v>
      </c>
      <c r="C52" s="4">
        <f t="shared" si="0"/>
        <v>1.4000000000000004</v>
      </c>
      <c r="D52" s="4">
        <f t="shared" ref="D52:E52" si="23">D16-D15</f>
        <v>3.8999999999999915</v>
      </c>
      <c r="E52" s="4">
        <f t="shared" si="23"/>
        <v>90</v>
      </c>
      <c r="H52" s="4"/>
      <c r="I52" s="4">
        <f t="shared" ref="H52:K52" si="24">I16-I15</f>
        <v>1</v>
      </c>
      <c r="J52" s="4"/>
      <c r="K52" s="4">
        <f t="shared" si="24"/>
        <v>90</v>
      </c>
    </row>
    <row r="53" spans="2:11" x14ac:dyDescent="0.2">
      <c r="C53" s="4">
        <f t="shared" ref="C53:C56" si="25">C17-C16</f>
        <v>1.5999999999999996</v>
      </c>
      <c r="D53" s="4">
        <f t="shared" ref="D53:E53" si="26">D17-D16</f>
        <v>3.9000000000000057</v>
      </c>
      <c r="E53" s="4">
        <f t="shared" si="26"/>
        <v>90</v>
      </c>
      <c r="H53" s="4"/>
      <c r="I53" s="4">
        <f t="shared" ref="H53:K53" si="27">I17-I16</f>
        <v>1</v>
      </c>
      <c r="J53" s="4"/>
      <c r="K53" s="4">
        <f t="shared" si="27"/>
        <v>90</v>
      </c>
    </row>
    <row r="54" spans="2:11" x14ac:dyDescent="0.2">
      <c r="C54" s="4">
        <f t="shared" si="25"/>
        <v>1.8000000000000025</v>
      </c>
      <c r="D54" s="4">
        <f t="shared" ref="D54:E54" si="28">D18-D17</f>
        <v>3.9000000000000057</v>
      </c>
      <c r="E54" s="4">
        <f t="shared" si="28"/>
        <v>90</v>
      </c>
      <c r="H54" s="4"/>
      <c r="I54" s="4">
        <f t="shared" ref="H54:K54" si="29">I18-I17</f>
        <v>1</v>
      </c>
      <c r="J54" s="4"/>
      <c r="K54" s="4">
        <f t="shared" si="29"/>
        <v>90</v>
      </c>
    </row>
    <row r="55" spans="2:11" x14ac:dyDescent="0.2">
      <c r="C55" s="4">
        <f t="shared" si="25"/>
        <v>2</v>
      </c>
      <c r="D55" s="4">
        <f t="shared" ref="D55:E55" si="30">D19-D18</f>
        <v>4</v>
      </c>
      <c r="E55" s="4">
        <f t="shared" si="30"/>
        <v>90</v>
      </c>
      <c r="H55" s="4"/>
      <c r="I55" s="4">
        <f t="shared" ref="H55:K55" si="31">I19-I18</f>
        <v>1.0000000000000018</v>
      </c>
      <c r="J55" s="4"/>
      <c r="K55" s="4">
        <f t="shared" si="31"/>
        <v>90</v>
      </c>
    </row>
    <row r="56" spans="2:11" x14ac:dyDescent="0.2">
      <c r="C56" s="4">
        <f t="shared" si="25"/>
        <v>2.3000000000000007</v>
      </c>
      <c r="D56" s="4">
        <f t="shared" ref="D56:E56" si="32">D20-D19</f>
        <v>3.8999999999999915</v>
      </c>
      <c r="E56" s="4">
        <f t="shared" si="32"/>
        <v>90</v>
      </c>
      <c r="H56" s="4"/>
      <c r="I56" s="4">
        <f t="shared" ref="H56:K56" si="33">I20-I19</f>
        <v>1</v>
      </c>
      <c r="J56" s="4"/>
      <c r="K56" s="4">
        <f t="shared" si="33"/>
        <v>90</v>
      </c>
    </row>
    <row r="57" spans="2:11" x14ac:dyDescent="0.2">
      <c r="H57" s="4"/>
      <c r="I57" s="4">
        <f t="shared" ref="H57:K57" si="34">I21-I20</f>
        <v>1</v>
      </c>
      <c r="J57" s="4"/>
      <c r="K57" s="4">
        <f t="shared" si="34"/>
        <v>90</v>
      </c>
    </row>
    <row r="58" spans="2:11" x14ac:dyDescent="0.2">
      <c r="K58" s="107"/>
    </row>
    <row r="59" spans="2:11" x14ac:dyDescent="0.2">
      <c r="K59" s="107"/>
    </row>
    <row r="60" spans="2:11" x14ac:dyDescent="0.2">
      <c r="K60" s="107"/>
    </row>
    <row r="61" spans="2:11" x14ac:dyDescent="0.2">
      <c r="K61" s="107"/>
    </row>
    <row r="62" spans="2:11" x14ac:dyDescent="0.2">
      <c r="K62" s="107"/>
    </row>
    <row r="63" spans="2:11" x14ac:dyDescent="0.2">
      <c r="K63" s="107"/>
    </row>
    <row r="64" spans="2:11" x14ac:dyDescent="0.2">
      <c r="K64" s="107"/>
    </row>
    <row r="65" spans="11:11" x14ac:dyDescent="0.2">
      <c r="K65" s="107"/>
    </row>
    <row r="66" spans="11:11" x14ac:dyDescent="0.2">
      <c r="K66" s="107"/>
    </row>
    <row r="67" spans="11:11" x14ac:dyDescent="0.2">
      <c r="K67" s="107"/>
    </row>
  </sheetData>
  <sheetProtection selectLockedCells="1" selectUnlockedCells="1"/>
  <sortState xmlns:xlrd2="http://schemas.microsoft.com/office/spreadsheetml/2017/richdata2" ref="H3:L33">
    <sortCondition ref="L3:L33"/>
  </sortState>
  <phoneticPr fontId="0" type="noConversion"/>
  <pageMargins left="0.75" right="0.75" top="1" bottom="1" header="0.5" footer="0.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37"/>
  <sheetViews>
    <sheetView workbookViewId="0">
      <selection activeCell="A2" sqref="A2:D18"/>
    </sheetView>
  </sheetViews>
  <sheetFormatPr defaultColWidth="9.140625" defaultRowHeight="11.25" x14ac:dyDescent="0.2"/>
  <cols>
    <col min="1" max="1" width="16.7109375" style="4" customWidth="1"/>
    <col min="2" max="2" width="15.85546875" style="4" customWidth="1"/>
    <col min="3" max="3" width="15.42578125" style="4" customWidth="1"/>
    <col min="4" max="4" width="15.7109375" style="4" customWidth="1"/>
    <col min="5" max="5" width="12.5703125" style="4" customWidth="1"/>
    <col min="6" max="6" width="7.5703125" style="4" customWidth="1"/>
    <col min="7" max="7" width="15" style="4" customWidth="1"/>
    <col min="8" max="8" width="13.28515625" style="4" customWidth="1"/>
    <col min="9" max="10" width="12" style="4" customWidth="1"/>
    <col min="11" max="16384" width="9.140625" style="5"/>
  </cols>
  <sheetData>
    <row r="1" spans="1:10" x14ac:dyDescent="0.2">
      <c r="A1" s="26" t="s">
        <v>100</v>
      </c>
      <c r="B1" s="24"/>
      <c r="C1" s="26" t="s">
        <v>101</v>
      </c>
      <c r="D1" s="24"/>
      <c r="E1" s="25"/>
      <c r="F1" s="23"/>
      <c r="G1" s="19"/>
      <c r="H1" s="5"/>
      <c r="I1" s="5"/>
      <c r="J1" s="5"/>
    </row>
    <row r="2" spans="1:10" x14ac:dyDescent="0.2">
      <c r="A2" s="22" t="s">
        <v>56</v>
      </c>
      <c r="B2" s="22" t="s">
        <v>55</v>
      </c>
      <c r="C2" s="17" t="s">
        <v>53</v>
      </c>
      <c r="D2" s="17" t="s">
        <v>54</v>
      </c>
      <c r="E2" s="16" t="s">
        <v>57</v>
      </c>
      <c r="F2" s="23"/>
    </row>
    <row r="3" spans="1:10" x14ac:dyDescent="0.2">
      <c r="A3" s="105">
        <v>0</v>
      </c>
      <c r="B3" s="105">
        <v>0</v>
      </c>
      <c r="C3" s="105">
        <v>0</v>
      </c>
      <c r="D3" s="105">
        <v>0</v>
      </c>
      <c r="E3" s="16">
        <v>0</v>
      </c>
      <c r="F3" s="75"/>
      <c r="G3" s="75"/>
      <c r="H3" s="75"/>
      <c r="I3" s="75"/>
      <c r="J3" s="75"/>
    </row>
    <row r="4" spans="1:10" x14ac:dyDescent="0.2">
      <c r="A4" s="105">
        <v>25</v>
      </c>
      <c r="B4" s="105">
        <v>40.01</v>
      </c>
      <c r="C4" s="18">
        <v>0.91</v>
      </c>
      <c r="D4" s="18">
        <v>1.61</v>
      </c>
      <c r="E4" s="16">
        <v>1</v>
      </c>
      <c r="F4" s="75"/>
      <c r="G4" s="75"/>
      <c r="H4" s="75"/>
      <c r="I4" s="75"/>
      <c r="J4" s="75"/>
    </row>
    <row r="5" spans="1:10" x14ac:dyDescent="0.2">
      <c r="A5" s="105">
        <v>43</v>
      </c>
      <c r="B5" s="18">
        <v>60.01</v>
      </c>
      <c r="C5" s="18">
        <v>1.91</v>
      </c>
      <c r="D5" s="105">
        <v>3.2</v>
      </c>
      <c r="E5" s="16">
        <v>2</v>
      </c>
      <c r="F5" s="75"/>
      <c r="G5" s="75"/>
      <c r="H5" s="75"/>
      <c r="I5" s="75"/>
      <c r="J5" s="75"/>
    </row>
    <row r="6" spans="1:10" x14ac:dyDescent="0.2">
      <c r="A6" s="106">
        <v>52</v>
      </c>
      <c r="B6" s="76">
        <v>67.009999999999991</v>
      </c>
      <c r="C6" s="18">
        <v>2.81</v>
      </c>
      <c r="D6" s="18">
        <v>4.8099999999999996</v>
      </c>
      <c r="E6" s="16">
        <v>3</v>
      </c>
      <c r="F6" s="75"/>
      <c r="G6" s="75"/>
      <c r="H6" s="75"/>
      <c r="I6" s="75"/>
      <c r="J6" s="75"/>
    </row>
    <row r="7" spans="1:10" x14ac:dyDescent="0.2">
      <c r="A7" s="106">
        <v>63</v>
      </c>
      <c r="B7" s="76">
        <v>75.009999999999991</v>
      </c>
      <c r="C7" s="18">
        <v>3.71</v>
      </c>
      <c r="D7" s="18">
        <v>6.41</v>
      </c>
      <c r="E7" s="16">
        <v>4</v>
      </c>
      <c r="F7" s="75"/>
      <c r="G7" s="75"/>
      <c r="H7" s="75"/>
      <c r="I7" s="75"/>
      <c r="J7" s="75"/>
    </row>
    <row r="8" spans="1:10" x14ac:dyDescent="0.2">
      <c r="A8" s="105">
        <v>67</v>
      </c>
      <c r="B8" s="18">
        <v>80.009999999999991</v>
      </c>
      <c r="C8" s="18">
        <v>4.71</v>
      </c>
      <c r="D8" s="105">
        <v>8.01</v>
      </c>
      <c r="E8" s="16">
        <v>5</v>
      </c>
      <c r="F8" s="75"/>
      <c r="G8" s="75"/>
      <c r="H8" s="75"/>
      <c r="I8" s="75"/>
      <c r="J8" s="75"/>
    </row>
    <row r="9" spans="1:10" x14ac:dyDescent="0.2">
      <c r="A9" s="106">
        <v>80</v>
      </c>
      <c r="B9" s="76">
        <v>90.009999999999991</v>
      </c>
      <c r="C9" s="124">
        <v>5.41</v>
      </c>
      <c r="D9" s="124">
        <v>9.61</v>
      </c>
      <c r="E9" s="16">
        <v>6</v>
      </c>
      <c r="F9" s="75"/>
      <c r="G9" s="75"/>
      <c r="H9" s="75"/>
      <c r="I9" s="75"/>
      <c r="J9" s="75"/>
    </row>
    <row r="10" spans="1:10" x14ac:dyDescent="0.2">
      <c r="A10" s="106">
        <v>90</v>
      </c>
      <c r="B10" s="76">
        <v>95.009999999999991</v>
      </c>
      <c r="C10" s="124">
        <v>6.31</v>
      </c>
      <c r="D10" s="124">
        <v>11.61</v>
      </c>
      <c r="E10" s="16">
        <v>7</v>
      </c>
      <c r="F10" s="75"/>
      <c r="G10" s="75"/>
      <c r="H10" s="75"/>
      <c r="I10" s="75"/>
      <c r="J10" s="75"/>
    </row>
    <row r="11" spans="1:10" x14ac:dyDescent="0.2">
      <c r="A11" s="105">
        <v>99.5</v>
      </c>
      <c r="B11" s="18">
        <v>99.51</v>
      </c>
      <c r="C11" s="124">
        <v>7.31</v>
      </c>
      <c r="D11" s="124">
        <v>13.91</v>
      </c>
      <c r="E11" s="16">
        <v>8</v>
      </c>
      <c r="F11" s="75"/>
      <c r="G11" s="75"/>
      <c r="H11" s="75"/>
      <c r="I11" s="75"/>
      <c r="J11" s="75"/>
    </row>
    <row r="12" spans="1:10" x14ac:dyDescent="0.2">
      <c r="A12" s="15">
        <v>100</v>
      </c>
      <c r="B12" s="15">
        <v>100</v>
      </c>
      <c r="C12" s="124">
        <v>8.41</v>
      </c>
      <c r="D12" s="124">
        <v>16.71</v>
      </c>
      <c r="E12" s="16">
        <v>9</v>
      </c>
      <c r="F12" s="75"/>
      <c r="G12" s="75"/>
      <c r="H12" s="75"/>
      <c r="I12" s="75"/>
      <c r="J12" s="75"/>
    </row>
    <row r="13" spans="1:10" x14ac:dyDescent="0.2">
      <c r="A13" s="15"/>
      <c r="B13" s="15"/>
      <c r="C13" s="124">
        <v>9.7099999999999991</v>
      </c>
      <c r="D13" s="124">
        <v>20.010000000000002</v>
      </c>
      <c r="E13" s="16">
        <v>10</v>
      </c>
      <c r="F13" s="75"/>
      <c r="G13" s="75"/>
      <c r="H13" s="75"/>
      <c r="I13" s="75"/>
      <c r="J13" s="75"/>
    </row>
    <row r="14" spans="1:10" x14ac:dyDescent="0.2">
      <c r="A14" s="15"/>
      <c r="B14" s="15"/>
      <c r="C14" s="124">
        <v>11.209999999999999</v>
      </c>
      <c r="D14" s="124">
        <v>24.01</v>
      </c>
      <c r="E14" s="16">
        <v>11</v>
      </c>
      <c r="F14" s="75"/>
      <c r="G14" s="75"/>
      <c r="H14" s="75"/>
      <c r="I14" s="75"/>
      <c r="J14" s="75"/>
    </row>
    <row r="15" spans="1:10" x14ac:dyDescent="0.2">
      <c r="A15" s="15"/>
      <c r="B15" s="15"/>
      <c r="C15" s="124">
        <v>13.01</v>
      </c>
      <c r="D15" s="124">
        <v>28.91</v>
      </c>
      <c r="E15" s="16">
        <v>12</v>
      </c>
      <c r="F15" s="75"/>
      <c r="G15" s="75"/>
      <c r="H15" s="75"/>
      <c r="I15" s="75"/>
      <c r="J15" s="75"/>
    </row>
    <row r="16" spans="1:10" x14ac:dyDescent="0.2">
      <c r="A16" s="15"/>
      <c r="B16" s="15"/>
      <c r="C16" s="124">
        <v>15.01</v>
      </c>
      <c r="D16" s="124">
        <v>34.71</v>
      </c>
      <c r="E16" s="16">
        <v>13</v>
      </c>
      <c r="F16" s="75"/>
      <c r="G16" s="75"/>
      <c r="H16" s="75"/>
      <c r="I16" s="75"/>
      <c r="J16" s="75"/>
    </row>
    <row r="17" spans="1:10" x14ac:dyDescent="0.2">
      <c r="A17" s="15"/>
      <c r="B17" s="15"/>
      <c r="C17" s="124">
        <v>17.310000000000002</v>
      </c>
      <c r="D17" s="124">
        <v>41.61</v>
      </c>
      <c r="E17" s="16">
        <v>14</v>
      </c>
      <c r="F17" s="75"/>
      <c r="G17" s="75"/>
      <c r="H17" s="75"/>
      <c r="I17" s="75"/>
      <c r="J17" s="75"/>
    </row>
    <row r="18" spans="1:10" x14ac:dyDescent="0.2">
      <c r="A18" s="15"/>
      <c r="B18" s="15"/>
      <c r="C18" s="124">
        <v>20.010000000000002</v>
      </c>
      <c r="D18" s="124">
        <v>50.01</v>
      </c>
      <c r="E18" s="16">
        <v>15</v>
      </c>
      <c r="F18" s="75"/>
      <c r="G18" s="75"/>
      <c r="H18" s="75"/>
      <c r="I18" s="75"/>
      <c r="J18" s="75"/>
    </row>
    <row r="21" spans="1:10" x14ac:dyDescent="0.2">
      <c r="A21" s="78" t="s">
        <v>112</v>
      </c>
      <c r="C21" s="8"/>
    </row>
    <row r="23" spans="1:10" x14ac:dyDescent="0.2">
      <c r="A23" s="8" t="s">
        <v>132</v>
      </c>
    </row>
    <row r="28" spans="1:10" x14ac:dyDescent="0.2">
      <c r="A28" s="20"/>
    </row>
    <row r="37" spans="2:2" x14ac:dyDescent="0.2">
      <c r="B37" s="77"/>
    </row>
  </sheetData>
  <sheetProtection selectLockedCells="1" selectUnlockedCells="1"/>
  <phoneticPr fontId="0" type="noConversion"/>
  <pageMargins left="0.74803149606299213" right="0.74803149606299213" top="0.98425196850393704" bottom="0.98425196850393704" header="0.51181102362204722" footer="0.51181102362204722"/>
  <pageSetup paperSize="9" orientation="landscape"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B050"/>
  </sheetPr>
  <dimension ref="A1:Y145"/>
  <sheetViews>
    <sheetView topLeftCell="A82" zoomScale="115" zoomScaleNormal="115" workbookViewId="0">
      <selection activeCell="C120" sqref="C120"/>
    </sheetView>
  </sheetViews>
  <sheetFormatPr defaultColWidth="9.140625" defaultRowHeight="11.25" x14ac:dyDescent="0.2"/>
  <cols>
    <col min="1" max="1" width="24.5703125" style="2" customWidth="1"/>
    <col min="2" max="2" width="22" style="2" customWidth="1"/>
    <col min="3" max="3" width="22.7109375" style="2" customWidth="1"/>
    <col min="4" max="4" width="9.7109375" style="2" customWidth="1"/>
    <col min="5" max="5" width="3" style="2" customWidth="1"/>
    <col min="6" max="6" width="22.5703125" style="2" customWidth="1"/>
    <col min="7" max="7" width="12.140625" style="2" customWidth="1"/>
    <col min="8" max="8" width="13.5703125" style="2" customWidth="1"/>
    <col min="9" max="9" width="3.42578125" style="2" customWidth="1"/>
    <col min="10" max="10" width="22.85546875" style="2" customWidth="1"/>
    <col min="11" max="12" width="11.42578125" style="2" customWidth="1"/>
    <col min="13" max="13" width="11.85546875" style="2" customWidth="1"/>
    <col min="14" max="14" width="10.7109375" style="2" customWidth="1"/>
    <col min="15" max="16" width="6.140625" style="2" customWidth="1"/>
    <col min="17" max="17" width="23.85546875" style="2" customWidth="1"/>
    <col min="18" max="18" width="16.7109375" style="2" customWidth="1"/>
    <col min="19" max="19" width="19.7109375" style="2" customWidth="1"/>
    <col min="20" max="20" width="9.140625" style="2" customWidth="1"/>
    <col min="21" max="21" width="25.5703125" style="2" customWidth="1"/>
    <col min="22" max="16384" width="9.140625" style="2"/>
  </cols>
  <sheetData>
    <row r="1" spans="1:9" ht="12" thickBot="1" x14ac:dyDescent="0.25">
      <c r="A1" s="11" t="s">
        <v>89</v>
      </c>
      <c r="B1" s="11" t="s">
        <v>22</v>
      </c>
      <c r="C1" s="12" t="s">
        <v>50</v>
      </c>
      <c r="D1" s="29"/>
      <c r="E1" s="29"/>
      <c r="I1" s="3"/>
    </row>
    <row r="2" spans="1:9" x14ac:dyDescent="0.2">
      <c r="A2" s="1">
        <v>1</v>
      </c>
      <c r="B2" s="9" t="s">
        <v>23</v>
      </c>
      <c r="C2" s="30" t="str">
        <f t="shared" ref="C2:C11" si="0">A55</f>
        <v>1D - Dairy beverages</v>
      </c>
      <c r="D2" s="31">
        <f t="shared" ref="D2:D11" si="1">IF(D55&lt;9,D55+0.999,9.999)</f>
        <v>8.9990000000000006</v>
      </c>
    </row>
    <row r="3" spans="1:9" x14ac:dyDescent="0.2">
      <c r="A3" s="1">
        <v>2</v>
      </c>
      <c r="B3" s="9" t="s">
        <v>24</v>
      </c>
      <c r="C3" s="33" t="str">
        <f t="shared" si="0"/>
        <v>2 - Foods</v>
      </c>
      <c r="D3" s="32">
        <f t="shared" si="1"/>
        <v>9.9990000000000006</v>
      </c>
    </row>
    <row r="4" spans="1:9" x14ac:dyDescent="0.2">
      <c r="A4" s="1">
        <v>3</v>
      </c>
      <c r="B4" s="9" t="s">
        <v>26</v>
      </c>
      <c r="C4" s="33" t="str">
        <f t="shared" si="0"/>
        <v>2D - Dairy foods</v>
      </c>
      <c r="D4" s="32">
        <f t="shared" si="1"/>
        <v>9.9990000000000006</v>
      </c>
    </row>
    <row r="5" spans="1:9" x14ac:dyDescent="0.2">
      <c r="A5" s="1">
        <v>4</v>
      </c>
      <c r="B5" s="9" t="s">
        <v>25</v>
      </c>
      <c r="C5" s="33" t="str">
        <f t="shared" si="0"/>
        <v>3 - Fats, oils</v>
      </c>
      <c r="D5" s="32">
        <f t="shared" si="1"/>
        <v>9.9990000000000006</v>
      </c>
    </row>
    <row r="6" spans="1:9" x14ac:dyDescent="0.2">
      <c r="A6" s="1">
        <v>5</v>
      </c>
      <c r="B6" s="9" t="s">
        <v>29</v>
      </c>
      <c r="C6" s="33" t="str">
        <f t="shared" si="0"/>
        <v>3D - Cheese</v>
      </c>
      <c r="D6" s="32">
        <f t="shared" si="1"/>
        <v>9.9990000000000006</v>
      </c>
    </row>
    <row r="7" spans="1:9" x14ac:dyDescent="0.2">
      <c r="A7" s="1">
        <v>6</v>
      </c>
      <c r="B7" s="9" t="s">
        <v>27</v>
      </c>
      <c r="C7" s="186" t="str">
        <f t="shared" si="0"/>
        <v>Core Cereals</v>
      </c>
      <c r="D7" s="187">
        <f t="shared" si="1"/>
        <v>9.9990000000000006</v>
      </c>
      <c r="F7" s="2" t="s">
        <v>214</v>
      </c>
    </row>
    <row r="8" spans="1:9" x14ac:dyDescent="0.2">
      <c r="A8" s="1">
        <v>7</v>
      </c>
      <c r="B8" s="9" t="s">
        <v>31</v>
      </c>
      <c r="C8" s="186" t="str">
        <f t="shared" si="0"/>
        <v>Beverages, non-dairy</v>
      </c>
      <c r="D8" s="187">
        <f t="shared" si="1"/>
        <v>9.9990000000000006</v>
      </c>
      <c r="E8" s="34"/>
    </row>
    <row r="9" spans="1:9" x14ac:dyDescent="0.2">
      <c r="A9" s="1">
        <v>8</v>
      </c>
      <c r="B9" s="9" t="s">
        <v>28</v>
      </c>
      <c r="C9" s="186" t="str">
        <f t="shared" si="0"/>
        <v>Non-core foods</v>
      </c>
      <c r="D9" s="187">
        <f t="shared" si="1"/>
        <v>9.9990000000000006</v>
      </c>
      <c r="E9" s="29"/>
    </row>
    <row r="10" spans="1:9" x14ac:dyDescent="0.2">
      <c r="A10" s="1">
        <v>9</v>
      </c>
      <c r="B10" s="9" t="s">
        <v>32</v>
      </c>
      <c r="C10" s="186" t="str">
        <f t="shared" si="0"/>
        <v>Protein</v>
      </c>
      <c r="D10" s="187">
        <f t="shared" si="1"/>
        <v>9.9990000000000006</v>
      </c>
      <c r="E10" s="29"/>
    </row>
    <row r="11" spans="1:9" ht="12" thickBot="1" x14ac:dyDescent="0.25">
      <c r="A11" s="1">
        <v>10</v>
      </c>
      <c r="B11" s="9" t="s">
        <v>30</v>
      </c>
      <c r="C11" s="188" t="str">
        <f t="shared" si="0"/>
        <v>Vegetables</v>
      </c>
      <c r="D11" s="189">
        <f t="shared" si="1"/>
        <v>9.9990000000000006</v>
      </c>
    </row>
    <row r="12" spans="1:9" x14ac:dyDescent="0.2">
      <c r="A12" s="1"/>
      <c r="B12" s="29"/>
      <c r="C12" s="2" t="s">
        <v>61</v>
      </c>
    </row>
    <row r="13" spans="1:9" x14ac:dyDescent="0.2">
      <c r="C13" s="2" t="s">
        <v>123</v>
      </c>
    </row>
    <row r="14" spans="1:9" x14ac:dyDescent="0.2">
      <c r="A14" s="3" t="s">
        <v>58</v>
      </c>
    </row>
    <row r="15" spans="1:9" x14ac:dyDescent="0.2">
      <c r="A15" s="2" t="s">
        <v>97</v>
      </c>
    </row>
    <row r="16" spans="1:9" x14ac:dyDescent="0.2">
      <c r="A16" s="2" t="s">
        <v>96</v>
      </c>
    </row>
    <row r="17" spans="1:10" x14ac:dyDescent="0.2">
      <c r="A17" s="2" t="s">
        <v>116</v>
      </c>
    </row>
    <row r="18" spans="1:10" x14ac:dyDescent="0.2">
      <c r="A18" s="2" t="s">
        <v>117</v>
      </c>
    </row>
    <row r="19" spans="1:10" x14ac:dyDescent="0.2">
      <c r="A19" s="2" t="s">
        <v>118</v>
      </c>
    </row>
    <row r="20" spans="1:10" x14ac:dyDescent="0.2">
      <c r="A20" s="2" t="s">
        <v>119</v>
      </c>
    </row>
    <row r="21" spans="1:10" x14ac:dyDescent="0.2">
      <c r="A21" s="2" t="s">
        <v>120</v>
      </c>
    </row>
    <row r="22" spans="1:10" x14ac:dyDescent="0.2">
      <c r="A22" s="2" t="s">
        <v>121</v>
      </c>
    </row>
    <row r="24" spans="1:10" x14ac:dyDescent="0.2">
      <c r="A24" s="3" t="s">
        <v>94</v>
      </c>
    </row>
    <row r="25" spans="1:10" x14ac:dyDescent="0.2">
      <c r="A25" s="2" t="str">
        <f>A55</f>
        <v>1D - Dairy beverages</v>
      </c>
      <c r="B25" s="2" t="s">
        <v>90</v>
      </c>
    </row>
    <row r="26" spans="1:10" x14ac:dyDescent="0.2">
      <c r="A26" s="2" t="str">
        <f t="shared" ref="A26:A34" si="2">A56</f>
        <v>2 - Foods</v>
      </c>
      <c r="B26" s="2" t="s">
        <v>91</v>
      </c>
      <c r="G26" s="1"/>
      <c r="H26" s="27"/>
      <c r="J26" s="1"/>
    </row>
    <row r="27" spans="1:10" x14ac:dyDescent="0.2">
      <c r="A27" s="2" t="str">
        <f t="shared" si="2"/>
        <v>2D - Dairy foods</v>
      </c>
      <c r="B27" s="2" t="s">
        <v>74</v>
      </c>
      <c r="G27" s="1"/>
      <c r="H27" s="27"/>
      <c r="J27" s="1"/>
    </row>
    <row r="28" spans="1:10" x14ac:dyDescent="0.2">
      <c r="A28" s="2" t="str">
        <f t="shared" si="2"/>
        <v>3 - Fats, oils</v>
      </c>
      <c r="B28" s="2" t="s">
        <v>73</v>
      </c>
      <c r="G28" s="1"/>
      <c r="H28" s="27"/>
      <c r="J28" s="1"/>
    </row>
    <row r="29" spans="1:10" x14ac:dyDescent="0.2">
      <c r="A29" s="2" t="str">
        <f t="shared" si="2"/>
        <v>3D - Cheese</v>
      </c>
      <c r="B29" s="2" t="s">
        <v>72</v>
      </c>
      <c r="G29" s="1"/>
      <c r="H29" s="27"/>
      <c r="J29" s="1"/>
    </row>
    <row r="30" spans="1:10" x14ac:dyDescent="0.2">
      <c r="A30" s="2" t="str">
        <f t="shared" si="2"/>
        <v>Core Cereals</v>
      </c>
      <c r="B30" s="2" t="s">
        <v>71</v>
      </c>
      <c r="G30" s="1"/>
      <c r="H30" s="27"/>
      <c r="J30" s="1"/>
    </row>
    <row r="31" spans="1:10" x14ac:dyDescent="0.2">
      <c r="A31" s="2" t="str">
        <f t="shared" si="2"/>
        <v>Beverages, non-dairy</v>
      </c>
      <c r="B31" s="2" t="s">
        <v>70</v>
      </c>
      <c r="G31" s="1"/>
      <c r="H31" s="27"/>
      <c r="J31" s="1"/>
    </row>
    <row r="32" spans="1:10" x14ac:dyDescent="0.2">
      <c r="A32" s="2" t="str">
        <f t="shared" si="2"/>
        <v>Non-core foods</v>
      </c>
      <c r="B32" s="2" t="s">
        <v>75</v>
      </c>
      <c r="G32" s="1"/>
      <c r="H32" s="27"/>
      <c r="J32" s="1"/>
    </row>
    <row r="33" spans="1:14" x14ac:dyDescent="0.2">
      <c r="A33" s="2" t="str">
        <f t="shared" si="2"/>
        <v>Protein</v>
      </c>
      <c r="B33" s="2" t="s">
        <v>69</v>
      </c>
      <c r="G33" s="1"/>
      <c r="H33" s="27"/>
      <c r="J33" s="1"/>
    </row>
    <row r="34" spans="1:14" x14ac:dyDescent="0.2">
      <c r="A34" s="2" t="str">
        <f t="shared" si="2"/>
        <v>Vegetables</v>
      </c>
      <c r="B34" s="2" t="s">
        <v>68</v>
      </c>
      <c r="G34" s="1"/>
      <c r="H34" s="27"/>
      <c r="J34" s="1"/>
    </row>
    <row r="35" spans="1:14" x14ac:dyDescent="0.2">
      <c r="G35" s="1"/>
      <c r="H35" s="27"/>
      <c r="J35" s="1"/>
    </row>
    <row r="36" spans="1:14" x14ac:dyDescent="0.2">
      <c r="G36" s="1"/>
      <c r="H36" s="27"/>
      <c r="J36" s="1"/>
    </row>
    <row r="37" spans="1:14" x14ac:dyDescent="0.2">
      <c r="A37" s="3" t="s">
        <v>93</v>
      </c>
      <c r="G37" s="1"/>
      <c r="H37" s="27"/>
      <c r="J37" s="1"/>
    </row>
    <row r="38" spans="1:14" x14ac:dyDescent="0.2">
      <c r="A38" s="2" t="str">
        <f>A55</f>
        <v>1D - Dairy beverages</v>
      </c>
      <c r="B38" s="2" t="s">
        <v>78</v>
      </c>
      <c r="G38" s="1"/>
      <c r="H38" s="27"/>
      <c r="J38" s="1"/>
    </row>
    <row r="39" spans="1:14" x14ac:dyDescent="0.2">
      <c r="A39" s="2" t="str">
        <f t="shared" ref="A39:A47" si="3">A56</f>
        <v>2 - Foods</v>
      </c>
      <c r="B39" s="2" t="s">
        <v>82</v>
      </c>
      <c r="G39" s="1"/>
      <c r="H39" s="27"/>
      <c r="J39" s="1"/>
    </row>
    <row r="40" spans="1:14" x14ac:dyDescent="0.2">
      <c r="A40" s="2" t="str">
        <f t="shared" si="3"/>
        <v>2D - Dairy foods</v>
      </c>
      <c r="B40" s="2" t="s">
        <v>79</v>
      </c>
      <c r="G40" s="1"/>
      <c r="H40" s="27"/>
      <c r="J40" s="1"/>
    </row>
    <row r="41" spans="1:14" x14ac:dyDescent="0.2">
      <c r="A41" s="2" t="str">
        <f t="shared" si="3"/>
        <v>3 - Fats, oils</v>
      </c>
      <c r="B41" s="2" t="s">
        <v>81</v>
      </c>
      <c r="G41" s="1"/>
      <c r="H41" s="27"/>
      <c r="J41" s="1"/>
    </row>
    <row r="42" spans="1:14" x14ac:dyDescent="0.2">
      <c r="A42" s="2" t="str">
        <f t="shared" si="3"/>
        <v>3D - Cheese</v>
      </c>
      <c r="B42" s="2" t="s">
        <v>80</v>
      </c>
      <c r="G42" s="1"/>
      <c r="H42" s="27"/>
      <c r="J42" s="1"/>
      <c r="L42" s="50"/>
      <c r="N42" s="50"/>
    </row>
    <row r="43" spans="1:14" x14ac:dyDescent="0.2">
      <c r="A43" s="2" t="str">
        <f t="shared" si="3"/>
        <v>Core Cereals</v>
      </c>
      <c r="B43" s="2" t="s">
        <v>77</v>
      </c>
      <c r="G43" s="1"/>
      <c r="H43" s="27"/>
      <c r="J43" s="1"/>
      <c r="L43" s="11"/>
      <c r="N43" s="11"/>
    </row>
    <row r="44" spans="1:14" x14ac:dyDescent="0.2">
      <c r="A44" s="2" t="str">
        <f t="shared" si="3"/>
        <v>Beverages, non-dairy</v>
      </c>
      <c r="B44" s="2" t="s">
        <v>87</v>
      </c>
      <c r="G44" s="1"/>
      <c r="H44" s="27"/>
      <c r="J44" s="1"/>
      <c r="L44" s="11"/>
      <c r="N44" s="11"/>
    </row>
    <row r="45" spans="1:14" x14ac:dyDescent="0.2">
      <c r="A45" s="2" t="str">
        <f t="shared" si="3"/>
        <v>Non-core foods</v>
      </c>
      <c r="B45" s="2" t="s">
        <v>76</v>
      </c>
      <c r="G45" s="1"/>
      <c r="H45" s="27"/>
      <c r="J45" s="1"/>
      <c r="L45" s="11"/>
      <c r="N45" s="11"/>
    </row>
    <row r="46" spans="1:14" x14ac:dyDescent="0.2">
      <c r="A46" s="2" t="str">
        <f t="shared" si="3"/>
        <v>Protein</v>
      </c>
      <c r="B46" s="2" t="s">
        <v>83</v>
      </c>
      <c r="G46" s="1"/>
      <c r="H46" s="27"/>
      <c r="J46" s="1"/>
      <c r="L46" s="11"/>
      <c r="N46" s="11"/>
    </row>
    <row r="47" spans="1:14" x14ac:dyDescent="0.2">
      <c r="A47" s="2" t="str">
        <f t="shared" si="3"/>
        <v>Vegetables</v>
      </c>
      <c r="B47" s="2" t="s">
        <v>88</v>
      </c>
      <c r="G47" s="1"/>
      <c r="H47" s="27"/>
      <c r="J47" s="1"/>
      <c r="L47" s="11"/>
      <c r="N47" s="11"/>
    </row>
    <row r="48" spans="1:14" x14ac:dyDescent="0.2">
      <c r="G48" s="1"/>
      <c r="H48" s="27"/>
      <c r="J48" s="1"/>
      <c r="L48" s="11"/>
      <c r="N48" s="11"/>
    </row>
    <row r="49" spans="1:25" x14ac:dyDescent="0.2">
      <c r="G49" s="1"/>
      <c r="H49" s="27"/>
      <c r="J49" s="1"/>
      <c r="L49" s="11"/>
      <c r="N49" s="11"/>
    </row>
    <row r="50" spans="1:25" ht="12" thickBot="1" x14ac:dyDescent="0.25">
      <c r="A50" s="28" t="s">
        <v>125</v>
      </c>
      <c r="B50" s="1"/>
      <c r="C50" s="27"/>
      <c r="J50" s="1"/>
      <c r="L50" s="11"/>
      <c r="N50" s="11"/>
    </row>
    <row r="51" spans="1:25" x14ac:dyDescent="0.2">
      <c r="A51" s="28" t="s">
        <v>126</v>
      </c>
      <c r="F51" s="109" t="s">
        <v>122</v>
      </c>
      <c r="G51" s="110"/>
      <c r="H51" s="110"/>
      <c r="I51" s="110"/>
      <c r="J51" s="110"/>
      <c r="K51" s="110"/>
      <c r="L51" s="60"/>
      <c r="M51" s="110"/>
      <c r="N51" s="60"/>
      <c r="O51" s="111"/>
      <c r="Q51" s="28"/>
    </row>
    <row r="52" spans="1:25" ht="12" thickBot="1" x14ac:dyDescent="0.25">
      <c r="A52" s="29" t="s">
        <v>95</v>
      </c>
      <c r="F52" s="45" t="s">
        <v>107</v>
      </c>
      <c r="J52" s="2" t="s">
        <v>108</v>
      </c>
      <c r="O52" s="112"/>
    </row>
    <row r="53" spans="1:25" x14ac:dyDescent="0.2">
      <c r="A53" s="35" t="s">
        <v>66</v>
      </c>
      <c r="B53" s="36"/>
      <c r="C53" s="36"/>
      <c r="D53" s="37"/>
      <c r="F53" s="35" t="s">
        <v>52</v>
      </c>
      <c r="G53" s="36"/>
      <c r="H53" s="37"/>
      <c r="J53" s="35" t="s">
        <v>62</v>
      </c>
      <c r="K53" s="36"/>
      <c r="L53" s="36"/>
      <c r="M53" s="36"/>
      <c r="N53" s="37"/>
      <c r="O53" s="112"/>
      <c r="Q53" s="3"/>
      <c r="U53" s="3"/>
    </row>
    <row r="54" spans="1:25" ht="12.75" thickBot="1" x14ac:dyDescent="0.25">
      <c r="A54" s="38" t="s">
        <v>129</v>
      </c>
      <c r="B54" s="53" t="s">
        <v>106</v>
      </c>
      <c r="C54" s="53" t="s">
        <v>105</v>
      </c>
      <c r="D54" s="43" t="s">
        <v>33</v>
      </c>
      <c r="E54" s="1"/>
      <c r="F54" s="38" t="s">
        <v>63</v>
      </c>
      <c r="G54" s="39" t="s">
        <v>60</v>
      </c>
      <c r="H54" s="40" t="s">
        <v>59</v>
      </c>
      <c r="I54" s="1"/>
      <c r="J54" s="69" t="s">
        <v>63</v>
      </c>
      <c r="K54" s="70">
        <v>0.99</v>
      </c>
      <c r="L54" s="70">
        <v>0.95</v>
      </c>
      <c r="M54" s="70">
        <v>0.05</v>
      </c>
      <c r="N54" s="71">
        <v>0.01</v>
      </c>
      <c r="O54" s="112"/>
      <c r="R54" s="1"/>
      <c r="S54" s="1"/>
      <c r="T54" s="1"/>
      <c r="V54" s="50"/>
      <c r="W54" s="50"/>
      <c r="X54" s="50"/>
      <c r="Y54" s="50"/>
    </row>
    <row r="55" spans="1:25" x14ac:dyDescent="0.2">
      <c r="A55" s="179" t="s">
        <v>202</v>
      </c>
      <c r="B55" s="101">
        <v>6</v>
      </c>
      <c r="C55" s="102">
        <v>-2</v>
      </c>
      <c r="D55" s="47">
        <f t="shared" ref="D55:D64" si="4">B55-C55</f>
        <v>8</v>
      </c>
      <c r="E55" s="1"/>
      <c r="F55" s="119" t="s">
        <v>67</v>
      </c>
      <c r="G55" s="60">
        <v>3</v>
      </c>
      <c r="H55" s="61">
        <v>-7</v>
      </c>
      <c r="I55" s="1"/>
      <c r="J55" s="119" t="s">
        <v>67</v>
      </c>
      <c r="K55" s="60">
        <v>2</v>
      </c>
      <c r="L55" s="60">
        <v>2</v>
      </c>
      <c r="M55" s="60">
        <v>-5</v>
      </c>
      <c r="N55" s="61">
        <v>-6</v>
      </c>
      <c r="O55" s="112"/>
      <c r="R55" s="11"/>
      <c r="S55" s="11"/>
      <c r="T55" s="1"/>
      <c r="V55" s="11"/>
      <c r="W55" s="11"/>
      <c r="X55" s="11"/>
      <c r="Y55" s="11"/>
    </row>
    <row r="56" spans="1:25" x14ac:dyDescent="0.2">
      <c r="A56" s="179" t="s">
        <v>201</v>
      </c>
      <c r="B56" s="99">
        <v>29</v>
      </c>
      <c r="C56" s="100">
        <v>-15</v>
      </c>
      <c r="D56" s="48">
        <f t="shared" si="4"/>
        <v>44</v>
      </c>
      <c r="E56" s="1"/>
      <c r="F56" s="117" t="s">
        <v>42</v>
      </c>
      <c r="G56" s="11">
        <v>19</v>
      </c>
      <c r="H56" s="62">
        <v>-21</v>
      </c>
      <c r="I56" s="1"/>
      <c r="J56" s="117" t="s">
        <v>42</v>
      </c>
      <c r="K56" s="11">
        <v>15</v>
      </c>
      <c r="L56" s="11">
        <v>12</v>
      </c>
      <c r="M56" s="11">
        <v>-11</v>
      </c>
      <c r="N56" s="62">
        <v>-14</v>
      </c>
      <c r="O56" s="112"/>
      <c r="R56" s="11"/>
      <c r="S56" s="11"/>
      <c r="T56" s="1"/>
      <c r="V56" s="11"/>
      <c r="W56" s="11"/>
      <c r="X56" s="11"/>
      <c r="Y56" s="11"/>
    </row>
    <row r="57" spans="1:25" x14ac:dyDescent="0.2">
      <c r="A57" s="179" t="s">
        <v>204</v>
      </c>
      <c r="B57" s="164">
        <v>14</v>
      </c>
      <c r="C57" s="165">
        <v>-3</v>
      </c>
      <c r="D57" s="48">
        <f t="shared" si="4"/>
        <v>17</v>
      </c>
      <c r="E57" s="1"/>
      <c r="F57" s="51" t="s">
        <v>85</v>
      </c>
      <c r="G57" s="11">
        <v>4</v>
      </c>
      <c r="H57" s="62">
        <v>-3</v>
      </c>
      <c r="I57" s="1"/>
      <c r="J57" s="51" t="s">
        <v>85</v>
      </c>
      <c r="K57" s="65">
        <v>4</v>
      </c>
      <c r="L57" s="11">
        <v>3</v>
      </c>
      <c r="M57" s="65">
        <v>-2</v>
      </c>
      <c r="N57" s="62">
        <v>-3</v>
      </c>
      <c r="O57" s="112"/>
      <c r="R57" s="11"/>
      <c r="S57" s="11"/>
      <c r="T57" s="1"/>
      <c r="V57" s="11"/>
      <c r="W57" s="11"/>
      <c r="X57" s="11"/>
      <c r="Y57" s="11"/>
    </row>
    <row r="58" spans="1:25" x14ac:dyDescent="0.2">
      <c r="A58" s="179" t="s">
        <v>205</v>
      </c>
      <c r="B58" s="99">
        <v>45</v>
      </c>
      <c r="C58" s="100">
        <v>10</v>
      </c>
      <c r="D58" s="48">
        <f t="shared" si="4"/>
        <v>35</v>
      </c>
      <c r="E58" s="1"/>
      <c r="F58" s="51" t="s">
        <v>86</v>
      </c>
      <c r="G58" s="11">
        <v>44</v>
      </c>
      <c r="H58" s="62">
        <v>14</v>
      </c>
      <c r="I58" s="1"/>
      <c r="J58" s="51" t="s">
        <v>86</v>
      </c>
      <c r="K58" s="67">
        <v>41</v>
      </c>
      <c r="L58" s="11">
        <v>37</v>
      </c>
      <c r="M58" s="67">
        <v>21</v>
      </c>
      <c r="N58" s="62">
        <v>15</v>
      </c>
      <c r="O58" s="112"/>
      <c r="R58" s="11"/>
      <c r="S58" s="11"/>
      <c r="T58" s="1"/>
      <c r="V58" s="11"/>
      <c r="W58" s="11"/>
      <c r="X58" s="11"/>
      <c r="Y58" s="11"/>
    </row>
    <row r="59" spans="1:25" x14ac:dyDescent="0.2">
      <c r="A59" s="179" t="s">
        <v>203</v>
      </c>
      <c r="B59" s="162">
        <v>41</v>
      </c>
      <c r="C59" s="163">
        <v>23</v>
      </c>
      <c r="D59" s="48">
        <f t="shared" si="4"/>
        <v>18</v>
      </c>
      <c r="E59" s="1"/>
      <c r="F59" s="51" t="s">
        <v>181</v>
      </c>
      <c r="G59" s="11">
        <v>6</v>
      </c>
      <c r="H59" s="62">
        <v>-4</v>
      </c>
      <c r="I59" s="1"/>
      <c r="J59" s="51" t="s">
        <v>181</v>
      </c>
      <c r="K59" s="66">
        <v>6</v>
      </c>
      <c r="L59" s="11">
        <v>5</v>
      </c>
      <c r="M59" s="66">
        <v>-2</v>
      </c>
      <c r="N59" s="62">
        <v>-4</v>
      </c>
      <c r="O59" s="112"/>
      <c r="R59" s="11"/>
      <c r="S59" s="11"/>
      <c r="T59" s="1"/>
      <c r="V59" s="11"/>
      <c r="W59" s="11"/>
      <c r="X59" s="11"/>
      <c r="Y59" s="11"/>
    </row>
    <row r="60" spans="1:25" ht="12" thickBot="1" x14ac:dyDescent="0.25">
      <c r="A60" s="117" t="s">
        <v>42</v>
      </c>
      <c r="B60" s="180">
        <v>29</v>
      </c>
      <c r="C60" s="181">
        <v>-15</v>
      </c>
      <c r="D60" s="48">
        <f t="shared" si="4"/>
        <v>44</v>
      </c>
      <c r="E60" s="1"/>
      <c r="F60" s="52" t="s">
        <v>64</v>
      </c>
      <c r="G60" s="11">
        <v>47</v>
      </c>
      <c r="H60" s="62">
        <v>9</v>
      </c>
      <c r="I60" s="1"/>
      <c r="J60" s="52" t="s">
        <v>64</v>
      </c>
      <c r="K60" s="11">
        <v>46</v>
      </c>
      <c r="L60" s="11">
        <v>45</v>
      </c>
      <c r="M60" s="11">
        <v>10</v>
      </c>
      <c r="N60" s="62">
        <v>10</v>
      </c>
      <c r="O60" s="112"/>
      <c r="R60" s="11"/>
      <c r="S60" s="11"/>
      <c r="T60" s="1"/>
      <c r="V60" s="11"/>
      <c r="W60" s="11"/>
      <c r="X60" s="11"/>
      <c r="Y60" s="11"/>
    </row>
    <row r="61" spans="1:25" x14ac:dyDescent="0.2">
      <c r="A61" s="119" t="s">
        <v>67</v>
      </c>
      <c r="B61" s="182">
        <v>3</v>
      </c>
      <c r="C61" s="183">
        <v>-6</v>
      </c>
      <c r="D61" s="48">
        <f t="shared" si="4"/>
        <v>9</v>
      </c>
      <c r="E61" s="1"/>
      <c r="F61" s="117" t="s">
        <v>43</v>
      </c>
      <c r="G61" s="11">
        <v>17</v>
      </c>
      <c r="H61" s="62">
        <v>-14</v>
      </c>
      <c r="I61" s="1"/>
      <c r="J61" s="117" t="s">
        <v>43</v>
      </c>
      <c r="K61" s="11">
        <v>17</v>
      </c>
      <c r="L61" s="11">
        <v>14</v>
      </c>
      <c r="M61" s="11">
        <v>-9</v>
      </c>
      <c r="N61" s="62">
        <v>-13</v>
      </c>
      <c r="O61" s="112"/>
      <c r="R61" s="11"/>
      <c r="S61" s="11"/>
      <c r="T61" s="1"/>
      <c r="V61" s="11"/>
      <c r="W61" s="11"/>
      <c r="X61" s="11"/>
      <c r="Y61" s="11"/>
    </row>
    <row r="62" spans="1:25" x14ac:dyDescent="0.2">
      <c r="A62" s="52" t="s">
        <v>92</v>
      </c>
      <c r="B62" s="180">
        <v>29</v>
      </c>
      <c r="C62" s="181">
        <v>-15</v>
      </c>
      <c r="D62" s="48">
        <f t="shared" si="4"/>
        <v>44</v>
      </c>
      <c r="E62" s="1"/>
      <c r="F62" s="52" t="s">
        <v>92</v>
      </c>
      <c r="G62" s="11">
        <v>39</v>
      </c>
      <c r="H62" s="62">
        <v>-15</v>
      </c>
      <c r="I62" s="1"/>
      <c r="J62" s="52" t="s">
        <v>92</v>
      </c>
      <c r="K62" s="11">
        <v>31</v>
      </c>
      <c r="L62" s="11">
        <v>27</v>
      </c>
      <c r="M62" s="11">
        <v>-2</v>
      </c>
      <c r="N62" s="62">
        <v>-6</v>
      </c>
      <c r="O62" s="112"/>
      <c r="R62" s="11"/>
      <c r="S62" s="11"/>
      <c r="T62" s="1"/>
      <c r="V62" s="11"/>
      <c r="W62" s="11"/>
      <c r="X62" s="11"/>
      <c r="Y62" s="11"/>
    </row>
    <row r="63" spans="1:25" x14ac:dyDescent="0.2">
      <c r="A63" s="117" t="s">
        <v>20</v>
      </c>
      <c r="B63" s="180">
        <v>29</v>
      </c>
      <c r="C63" s="181">
        <v>-15</v>
      </c>
      <c r="D63" s="48">
        <f t="shared" si="4"/>
        <v>44</v>
      </c>
      <c r="E63" s="1"/>
      <c r="F63" s="117" t="s">
        <v>20</v>
      </c>
      <c r="G63" s="11">
        <v>32</v>
      </c>
      <c r="H63" s="62">
        <v>-20</v>
      </c>
      <c r="I63" s="1"/>
      <c r="J63" s="117" t="s">
        <v>20</v>
      </c>
      <c r="K63" s="11">
        <v>21</v>
      </c>
      <c r="L63" s="11">
        <v>15</v>
      </c>
      <c r="M63" s="11">
        <v>-12</v>
      </c>
      <c r="N63" s="62">
        <v>-18</v>
      </c>
      <c r="O63" s="112"/>
      <c r="R63" s="11"/>
      <c r="S63" s="11"/>
      <c r="T63" s="1"/>
      <c r="V63" s="11"/>
      <c r="W63" s="11"/>
      <c r="X63" s="11"/>
      <c r="Y63" s="11"/>
    </row>
    <row r="64" spans="1:25" ht="12" thickBot="1" x14ac:dyDescent="0.25">
      <c r="A64" s="118" t="s">
        <v>19</v>
      </c>
      <c r="B64" s="184">
        <v>29</v>
      </c>
      <c r="C64" s="185">
        <v>-15</v>
      </c>
      <c r="D64" s="49">
        <f t="shared" si="4"/>
        <v>44</v>
      </c>
      <c r="E64" s="1"/>
      <c r="F64" s="118" t="s">
        <v>19</v>
      </c>
      <c r="G64" s="63">
        <v>13</v>
      </c>
      <c r="H64" s="64">
        <v>-23</v>
      </c>
      <c r="J64" s="118" t="s">
        <v>19</v>
      </c>
      <c r="K64" s="63">
        <v>8</v>
      </c>
      <c r="L64" s="63">
        <v>3</v>
      </c>
      <c r="M64" s="63">
        <v>-16</v>
      </c>
      <c r="N64" s="64">
        <v>-19</v>
      </c>
      <c r="O64" s="112"/>
      <c r="R64" s="11"/>
      <c r="S64" s="11"/>
      <c r="V64" s="11"/>
      <c r="W64" s="11"/>
      <c r="X64" s="11"/>
      <c r="Y64" s="11"/>
    </row>
    <row r="65" spans="1:25" x14ac:dyDescent="0.2">
      <c r="A65" s="3" t="s">
        <v>215</v>
      </c>
      <c r="E65" s="1"/>
      <c r="F65" s="45" t="str">
        <f t="shared" ref="F65" si="5">A65</f>
        <v>Note: FoPL Categories are indicated in comments. Grey cells no longer referenced in the HSR Calculator</v>
      </c>
      <c r="J65" s="2" t="str">
        <f t="shared" ref="J65" si="6">A65</f>
        <v>Note: FoPL Categories are indicated in comments. Grey cells no longer referenced in the HSR Calculator</v>
      </c>
      <c r="O65" s="112"/>
    </row>
    <row r="66" spans="1:25" ht="12" thickBot="1" x14ac:dyDescent="0.25">
      <c r="E66" s="1"/>
      <c r="F66" s="45" t="s">
        <v>107</v>
      </c>
      <c r="J66" s="2" t="s">
        <v>108</v>
      </c>
      <c r="O66" s="112"/>
    </row>
    <row r="67" spans="1:25" x14ac:dyDescent="0.2">
      <c r="A67" s="2" t="s">
        <v>124</v>
      </c>
      <c r="B67" s="2" t="s">
        <v>131</v>
      </c>
      <c r="D67" s="1" t="s">
        <v>109</v>
      </c>
      <c r="E67" s="1"/>
      <c r="F67" s="35" t="s">
        <v>52</v>
      </c>
      <c r="G67" s="36"/>
      <c r="H67" s="37"/>
      <c r="J67" s="35" t="s">
        <v>62</v>
      </c>
      <c r="K67" s="36"/>
      <c r="L67" s="36"/>
      <c r="M67" s="36"/>
      <c r="N67" s="37"/>
      <c r="O67" s="112"/>
      <c r="Q67" s="3"/>
      <c r="U67" s="3"/>
    </row>
    <row r="68" spans="1:25" ht="12" thickBot="1" x14ac:dyDescent="0.25">
      <c r="A68" s="54"/>
      <c r="B68" s="56">
        <v>0.99</v>
      </c>
      <c r="C68" s="57">
        <v>0.05</v>
      </c>
      <c r="D68" s="1" t="s">
        <v>111</v>
      </c>
      <c r="F68" s="38" t="s">
        <v>65</v>
      </c>
      <c r="G68" s="39" t="s">
        <v>60</v>
      </c>
      <c r="H68" s="40" t="s">
        <v>59</v>
      </c>
      <c r="J68" s="69" t="s">
        <v>104</v>
      </c>
      <c r="K68" s="70">
        <v>0.99</v>
      </c>
      <c r="L68" s="70">
        <v>0.95</v>
      </c>
      <c r="M68" s="70">
        <v>0.05</v>
      </c>
      <c r="N68" s="71">
        <v>0.01</v>
      </c>
      <c r="O68" s="112"/>
      <c r="R68" s="1"/>
      <c r="S68" s="1"/>
      <c r="V68" s="50"/>
      <c r="W68" s="50"/>
      <c r="X68" s="50"/>
      <c r="Y68" s="50"/>
    </row>
    <row r="69" spans="1:25" x14ac:dyDescent="0.2">
      <c r="D69" s="1"/>
      <c r="F69" s="44" t="s">
        <v>102</v>
      </c>
      <c r="G69" s="60">
        <v>4</v>
      </c>
      <c r="H69" s="61">
        <v>-7</v>
      </c>
      <c r="J69" s="45" t="s">
        <v>102</v>
      </c>
      <c r="K69" s="68">
        <v>3</v>
      </c>
      <c r="L69" s="11">
        <v>3</v>
      </c>
      <c r="M69" s="11">
        <v>-5</v>
      </c>
      <c r="N69" s="72">
        <v>-6</v>
      </c>
      <c r="O69" s="112"/>
      <c r="R69" s="11"/>
      <c r="S69" s="11"/>
      <c r="V69" s="11"/>
      <c r="W69" s="11"/>
      <c r="X69" s="11"/>
      <c r="Y69" s="11"/>
    </row>
    <row r="70" spans="1:25" x14ac:dyDescent="0.2">
      <c r="A70" s="2" t="s">
        <v>92</v>
      </c>
      <c r="B70" s="2" t="s">
        <v>130</v>
      </c>
      <c r="D70" s="1"/>
      <c r="F70" s="45" t="s">
        <v>0</v>
      </c>
      <c r="G70" s="11">
        <v>39</v>
      </c>
      <c r="H70" s="62">
        <v>-23</v>
      </c>
      <c r="J70" s="45" t="s">
        <v>0</v>
      </c>
      <c r="K70" s="68">
        <v>29</v>
      </c>
      <c r="L70" s="11">
        <v>23</v>
      </c>
      <c r="M70" s="11">
        <v>-11</v>
      </c>
      <c r="N70" s="72">
        <v>-15</v>
      </c>
      <c r="O70" s="112"/>
      <c r="R70" s="11"/>
      <c r="S70" s="11"/>
      <c r="V70" s="11"/>
      <c r="W70" s="11"/>
      <c r="X70" s="11"/>
      <c r="Y70" s="11"/>
    </row>
    <row r="71" spans="1:25" ht="12" thickBot="1" x14ac:dyDescent="0.25">
      <c r="A71" s="55"/>
      <c r="B71" s="58">
        <v>0.99</v>
      </c>
      <c r="C71" s="59">
        <v>0.01</v>
      </c>
      <c r="D71" s="1" t="s">
        <v>110</v>
      </c>
      <c r="F71" s="46" t="s">
        <v>103</v>
      </c>
      <c r="G71" s="63">
        <v>47</v>
      </c>
      <c r="H71" s="64">
        <v>9</v>
      </c>
      <c r="J71" s="46" t="s">
        <v>103</v>
      </c>
      <c r="K71" s="73">
        <v>45</v>
      </c>
      <c r="L71" s="63">
        <v>41</v>
      </c>
      <c r="M71" s="63">
        <v>17</v>
      </c>
      <c r="N71" s="74">
        <v>10</v>
      </c>
      <c r="O71" s="112"/>
      <c r="R71" s="11"/>
      <c r="S71" s="11"/>
      <c r="V71" s="11"/>
      <c r="W71" s="11"/>
      <c r="X71" s="11"/>
      <c r="Y71" s="11"/>
    </row>
    <row r="72" spans="1:25" ht="12" thickBot="1" x14ac:dyDescent="0.25">
      <c r="D72" s="1"/>
      <c r="F72" s="46"/>
      <c r="G72" s="115"/>
      <c r="H72" s="115"/>
      <c r="I72" s="113"/>
      <c r="J72" s="113"/>
      <c r="K72" s="116"/>
      <c r="L72" s="116"/>
      <c r="M72" s="113"/>
      <c r="N72" s="113"/>
      <c r="O72" s="114"/>
    </row>
    <row r="73" spans="1:25" x14ac:dyDescent="0.2">
      <c r="A73" s="2" t="s">
        <v>128</v>
      </c>
      <c r="G73" s="1"/>
      <c r="H73" s="1"/>
      <c r="K73" s="50"/>
      <c r="L73" s="50"/>
    </row>
    <row r="74" spans="1:25" ht="12" thickBot="1" x14ac:dyDescent="0.25">
      <c r="A74" s="120"/>
      <c r="B74" s="58">
        <v>0.99</v>
      </c>
      <c r="C74" s="59">
        <v>0.01</v>
      </c>
      <c r="D74" s="1" t="s">
        <v>110</v>
      </c>
      <c r="G74" s="1"/>
      <c r="H74" s="1"/>
      <c r="J74" s="28" t="s">
        <v>200</v>
      </c>
      <c r="K74" s="50"/>
      <c r="L74" s="50"/>
    </row>
    <row r="75" spans="1:25" x14ac:dyDescent="0.2">
      <c r="G75" s="1"/>
      <c r="H75" s="1"/>
      <c r="J75" s="35" t="s">
        <v>66</v>
      </c>
      <c r="K75" s="36"/>
      <c r="L75" s="36"/>
      <c r="M75" s="37"/>
    </row>
    <row r="76" spans="1:25" ht="12.75" thickBot="1" x14ac:dyDescent="0.25">
      <c r="A76" s="2" t="s">
        <v>127</v>
      </c>
      <c r="G76" s="1"/>
      <c r="H76" s="1"/>
      <c r="J76" s="38" t="s">
        <v>129</v>
      </c>
      <c r="K76" s="53" t="s">
        <v>106</v>
      </c>
      <c r="L76" s="53" t="s">
        <v>105</v>
      </c>
      <c r="M76" s="43" t="s">
        <v>33</v>
      </c>
    </row>
    <row r="77" spans="1:25" x14ac:dyDescent="0.2">
      <c r="A77" s="121"/>
      <c r="B77" s="58">
        <v>0.99</v>
      </c>
      <c r="C77" s="59">
        <v>0.01</v>
      </c>
      <c r="D77" s="1" t="s">
        <v>110</v>
      </c>
      <c r="G77" s="1"/>
      <c r="H77" s="1"/>
      <c r="J77" s="119" t="s">
        <v>67</v>
      </c>
      <c r="K77" s="97">
        <v>3</v>
      </c>
      <c r="L77" s="98">
        <v>-6</v>
      </c>
      <c r="M77" s="47">
        <f t="shared" ref="M77:M86" si="7">K77-L77</f>
        <v>9</v>
      </c>
    </row>
    <row r="78" spans="1:25" x14ac:dyDescent="0.2">
      <c r="G78" s="1"/>
      <c r="H78" s="1"/>
      <c r="J78" s="117" t="s">
        <v>42</v>
      </c>
      <c r="K78" s="99">
        <v>29</v>
      </c>
      <c r="L78" s="100">
        <v>-15</v>
      </c>
      <c r="M78" s="48">
        <f t="shared" si="7"/>
        <v>44</v>
      </c>
    </row>
    <row r="79" spans="1:25" ht="12" thickBot="1" x14ac:dyDescent="0.25">
      <c r="A79" s="28" t="s">
        <v>113</v>
      </c>
      <c r="G79" s="1"/>
      <c r="H79" s="1"/>
      <c r="J79" s="51" t="s">
        <v>85</v>
      </c>
      <c r="K79" s="101">
        <v>6</v>
      </c>
      <c r="L79" s="102">
        <v>-2</v>
      </c>
      <c r="M79" s="48">
        <f t="shared" si="7"/>
        <v>8</v>
      </c>
    </row>
    <row r="80" spans="1:25" x14ac:dyDescent="0.2">
      <c r="A80" s="82" t="s">
        <v>51</v>
      </c>
      <c r="B80" s="83"/>
      <c r="C80" s="83"/>
      <c r="D80" s="83"/>
      <c r="E80" s="83"/>
      <c r="F80" s="84"/>
      <c r="J80" s="51" t="s">
        <v>86</v>
      </c>
      <c r="K80" s="162">
        <v>41</v>
      </c>
      <c r="L80" s="163">
        <v>23</v>
      </c>
      <c r="M80" s="48">
        <f t="shared" si="7"/>
        <v>18</v>
      </c>
    </row>
    <row r="81" spans="1:13" x14ac:dyDescent="0.2">
      <c r="A81" s="85" t="s">
        <v>35</v>
      </c>
      <c r="B81" s="1">
        <v>8700</v>
      </c>
      <c r="F81" s="86"/>
      <c r="J81" s="51" t="s">
        <v>181</v>
      </c>
      <c r="K81" s="164">
        <v>14</v>
      </c>
      <c r="L81" s="165">
        <v>-3</v>
      </c>
      <c r="M81" s="48">
        <f t="shared" si="7"/>
        <v>17</v>
      </c>
    </row>
    <row r="82" spans="1:13" x14ac:dyDescent="0.2">
      <c r="A82" s="85" t="s">
        <v>6</v>
      </c>
      <c r="B82" s="1">
        <v>50</v>
      </c>
      <c r="F82" s="86"/>
      <c r="J82" s="52" t="s">
        <v>64</v>
      </c>
      <c r="K82" s="99">
        <v>45</v>
      </c>
      <c r="L82" s="100">
        <v>10</v>
      </c>
      <c r="M82" s="48">
        <f t="shared" si="7"/>
        <v>35</v>
      </c>
    </row>
    <row r="83" spans="1:13" x14ac:dyDescent="0.2">
      <c r="A83" s="85" t="s">
        <v>36</v>
      </c>
      <c r="B83" s="1">
        <v>70</v>
      </c>
      <c r="F83" s="86"/>
      <c r="J83" s="117" t="s">
        <v>43</v>
      </c>
      <c r="K83" s="99">
        <v>29</v>
      </c>
      <c r="L83" s="100">
        <v>-15</v>
      </c>
      <c r="M83" s="48">
        <f t="shared" si="7"/>
        <v>44</v>
      </c>
    </row>
    <row r="84" spans="1:13" x14ac:dyDescent="0.2">
      <c r="A84" s="85" t="s">
        <v>37</v>
      </c>
      <c r="B84" s="1">
        <v>24</v>
      </c>
      <c r="F84" s="86"/>
      <c r="J84" s="52" t="s">
        <v>92</v>
      </c>
      <c r="K84" s="99">
        <v>29</v>
      </c>
      <c r="L84" s="100">
        <v>-15</v>
      </c>
      <c r="M84" s="48">
        <f t="shared" si="7"/>
        <v>44</v>
      </c>
    </row>
    <row r="85" spans="1:13" x14ac:dyDescent="0.2">
      <c r="A85" s="85" t="s">
        <v>38</v>
      </c>
      <c r="B85" s="1">
        <v>310</v>
      </c>
      <c r="F85" s="86"/>
      <c r="J85" s="117" t="s">
        <v>20</v>
      </c>
      <c r="K85" s="99">
        <v>29</v>
      </c>
      <c r="L85" s="100">
        <v>-15</v>
      </c>
      <c r="M85" s="48">
        <f t="shared" si="7"/>
        <v>44</v>
      </c>
    </row>
    <row r="86" spans="1:13" ht="12" thickBot="1" x14ac:dyDescent="0.25">
      <c r="A86" s="85" t="s">
        <v>39</v>
      </c>
      <c r="B86" s="1">
        <v>2300</v>
      </c>
      <c r="F86" s="86"/>
      <c r="J86" s="118" t="s">
        <v>19</v>
      </c>
      <c r="K86" s="103">
        <v>29</v>
      </c>
      <c r="L86" s="104">
        <v>-15</v>
      </c>
      <c r="M86" s="49">
        <f t="shared" si="7"/>
        <v>44</v>
      </c>
    </row>
    <row r="87" spans="1:13" x14ac:dyDescent="0.2">
      <c r="A87" s="85" t="s">
        <v>40</v>
      </c>
      <c r="B87" s="1">
        <v>90</v>
      </c>
      <c r="F87" s="86"/>
      <c r="J87" s="11"/>
      <c r="M87" s="11"/>
    </row>
    <row r="88" spans="1:13" x14ac:dyDescent="0.2">
      <c r="A88" s="85" t="s">
        <v>41</v>
      </c>
      <c r="B88" s="1">
        <v>30</v>
      </c>
      <c r="F88" s="86"/>
    </row>
    <row r="89" spans="1:13" x14ac:dyDescent="0.2">
      <c r="A89" s="85"/>
      <c r="F89" s="86"/>
    </row>
    <row r="90" spans="1:13" x14ac:dyDescent="0.2">
      <c r="A90" s="85"/>
      <c r="F90" s="86"/>
    </row>
    <row r="91" spans="1:13" x14ac:dyDescent="0.2">
      <c r="A91" s="87" t="s">
        <v>84</v>
      </c>
      <c r="B91" s="42"/>
      <c r="F91" s="86"/>
    </row>
    <row r="92" spans="1:13" x14ac:dyDescent="0.2">
      <c r="A92" s="88">
        <v>1</v>
      </c>
      <c r="B92" s="42"/>
      <c r="F92" s="86"/>
    </row>
    <row r="93" spans="1:13" x14ac:dyDescent="0.2">
      <c r="A93" s="88">
        <v>2</v>
      </c>
      <c r="B93" s="42"/>
      <c r="F93" s="86"/>
    </row>
    <row r="94" spans="1:13" x14ac:dyDescent="0.2">
      <c r="A94" s="88">
        <v>3</v>
      </c>
      <c r="B94" s="42"/>
      <c r="F94" s="86"/>
    </row>
    <row r="95" spans="1:13" x14ac:dyDescent="0.2">
      <c r="A95" s="88"/>
      <c r="B95" s="42"/>
      <c r="F95" s="86"/>
    </row>
    <row r="96" spans="1:13" x14ac:dyDescent="0.2">
      <c r="A96" s="89" t="s">
        <v>49</v>
      </c>
      <c r="B96" s="42"/>
      <c r="F96" s="86"/>
    </row>
    <row r="97" spans="1:12" x14ac:dyDescent="0.2">
      <c r="A97" s="87" t="s">
        <v>45</v>
      </c>
      <c r="B97" s="42"/>
      <c r="F97" s="86"/>
    </row>
    <row r="98" spans="1:12" x14ac:dyDescent="0.2">
      <c r="A98" s="88" t="s">
        <v>46</v>
      </c>
      <c r="B98" s="42"/>
      <c r="F98" s="86"/>
    </row>
    <row r="99" spans="1:12" x14ac:dyDescent="0.2">
      <c r="A99" s="88" t="s">
        <v>47</v>
      </c>
      <c r="B99" s="42"/>
      <c r="F99" s="86"/>
    </row>
    <row r="100" spans="1:12" x14ac:dyDescent="0.2">
      <c r="A100" s="85"/>
      <c r="F100" s="86"/>
    </row>
    <row r="101" spans="1:12" x14ac:dyDescent="0.2">
      <c r="A101" s="90" t="s">
        <v>17</v>
      </c>
      <c r="B101" s="79" t="s">
        <v>18</v>
      </c>
      <c r="C101" s="42"/>
      <c r="F101" s="86"/>
      <c r="K101" s="42"/>
      <c r="L101" s="42"/>
    </row>
    <row r="102" spans="1:12" x14ac:dyDescent="0.2">
      <c r="A102" s="91">
        <v>0</v>
      </c>
      <c r="B102" s="80">
        <v>0</v>
      </c>
      <c r="C102" s="42"/>
      <c r="F102" s="86"/>
      <c r="K102" s="42"/>
      <c r="L102" s="42"/>
    </row>
    <row r="103" spans="1:12" x14ac:dyDescent="0.2">
      <c r="A103" s="91">
        <v>25</v>
      </c>
      <c r="B103" s="80">
        <v>25</v>
      </c>
      <c r="C103" s="42"/>
      <c r="F103" s="86"/>
      <c r="K103" s="42"/>
      <c r="L103" s="42"/>
    </row>
    <row r="104" spans="1:12" x14ac:dyDescent="0.2">
      <c r="A104" s="91">
        <v>50</v>
      </c>
      <c r="B104" s="80">
        <v>50</v>
      </c>
      <c r="C104" s="42"/>
      <c r="F104" s="86"/>
      <c r="K104" s="42"/>
      <c r="L104" s="42"/>
    </row>
    <row r="105" spans="1:12" x14ac:dyDescent="0.2">
      <c r="A105" s="88"/>
      <c r="B105" s="42"/>
      <c r="C105" s="42"/>
      <c r="F105" s="86"/>
      <c r="K105" s="42"/>
      <c r="L105" s="42"/>
    </row>
    <row r="106" spans="1:12" x14ac:dyDescent="0.2">
      <c r="A106" s="88" t="s">
        <v>7</v>
      </c>
      <c r="B106" s="42"/>
      <c r="C106" s="80">
        <v>13</v>
      </c>
      <c r="F106" s="86"/>
      <c r="K106" s="42"/>
      <c r="L106" s="42"/>
    </row>
    <row r="107" spans="1:12" x14ac:dyDescent="0.2">
      <c r="A107" s="85"/>
      <c r="F107" s="86"/>
    </row>
    <row r="108" spans="1:12" x14ac:dyDescent="0.2">
      <c r="A108" s="88"/>
      <c r="B108" s="80" t="s">
        <v>10</v>
      </c>
      <c r="F108" s="86"/>
    </row>
    <row r="109" spans="1:12" x14ac:dyDescent="0.2">
      <c r="A109" s="88"/>
      <c r="B109" s="80"/>
      <c r="F109" s="86"/>
    </row>
    <row r="110" spans="1:12" x14ac:dyDescent="0.2">
      <c r="A110" s="88"/>
      <c r="B110" s="80">
        <v>1</v>
      </c>
      <c r="F110" s="86"/>
    </row>
    <row r="111" spans="1:12" x14ac:dyDescent="0.2">
      <c r="A111" s="88"/>
      <c r="B111" s="80">
        <v>19</v>
      </c>
      <c r="F111" s="86"/>
    </row>
    <row r="112" spans="1:12" x14ac:dyDescent="0.2">
      <c r="A112" s="88"/>
      <c r="B112" s="42"/>
      <c r="F112" s="86"/>
    </row>
    <row r="113" spans="1:6" x14ac:dyDescent="0.2">
      <c r="A113" s="88" t="s">
        <v>9</v>
      </c>
      <c r="B113" s="42" t="s">
        <v>46</v>
      </c>
      <c r="F113" s="86"/>
    </row>
    <row r="114" spans="1:6" x14ac:dyDescent="0.2">
      <c r="A114" s="85"/>
      <c r="F114" s="86"/>
    </row>
    <row r="115" spans="1:6" x14ac:dyDescent="0.2">
      <c r="A115" s="88"/>
      <c r="B115" s="42"/>
      <c r="C115" s="42"/>
      <c r="F115" s="86"/>
    </row>
    <row r="116" spans="1:6" x14ac:dyDescent="0.2">
      <c r="A116" s="88"/>
      <c r="B116" s="42"/>
      <c r="C116" s="42"/>
      <c r="F116" s="86"/>
    </row>
    <row r="117" spans="1:6" x14ac:dyDescent="0.2">
      <c r="A117" s="88"/>
      <c r="B117" s="42"/>
      <c r="C117" s="42"/>
      <c r="F117" s="86"/>
    </row>
    <row r="118" spans="1:6" x14ac:dyDescent="0.2">
      <c r="A118" s="88"/>
      <c r="B118" s="42"/>
      <c r="C118" s="42"/>
      <c r="F118" s="86"/>
    </row>
    <row r="119" spans="1:6" x14ac:dyDescent="0.2">
      <c r="A119" s="88"/>
      <c r="B119" s="42"/>
      <c r="C119" s="42"/>
      <c r="F119" s="86"/>
    </row>
    <row r="120" spans="1:6" x14ac:dyDescent="0.2">
      <c r="A120" s="88" t="s">
        <v>8</v>
      </c>
      <c r="B120" s="42"/>
      <c r="C120" s="80">
        <v>5</v>
      </c>
      <c r="F120" s="86"/>
    </row>
    <row r="121" spans="1:6" x14ac:dyDescent="0.2">
      <c r="A121" s="85"/>
      <c r="F121" s="86"/>
    </row>
    <row r="122" spans="1:6" x14ac:dyDescent="0.2">
      <c r="A122" s="92"/>
      <c r="B122" s="81" t="s">
        <v>13</v>
      </c>
      <c r="C122" s="81" t="s">
        <v>15</v>
      </c>
      <c r="D122" s="81" t="s">
        <v>14</v>
      </c>
      <c r="E122" s="81"/>
      <c r="F122" s="93" t="s">
        <v>12</v>
      </c>
    </row>
    <row r="123" spans="1:6" x14ac:dyDescent="0.2">
      <c r="A123" s="92"/>
      <c r="B123" s="81">
        <v>0</v>
      </c>
      <c r="C123" s="81">
        <v>0</v>
      </c>
      <c r="D123" s="81">
        <v>0</v>
      </c>
      <c r="E123" s="81"/>
      <c r="F123" s="93">
        <v>0</v>
      </c>
    </row>
    <row r="124" spans="1:6" x14ac:dyDescent="0.2">
      <c r="A124" s="92"/>
      <c r="B124" s="81">
        <v>1.6</v>
      </c>
      <c r="C124" s="81">
        <v>5</v>
      </c>
      <c r="D124" s="81">
        <v>120</v>
      </c>
      <c r="E124" s="81"/>
      <c r="F124" s="93">
        <v>3</v>
      </c>
    </row>
    <row r="125" spans="1:6" x14ac:dyDescent="0.2">
      <c r="A125" s="92"/>
      <c r="B125" s="81">
        <v>5</v>
      </c>
      <c r="C125" s="81">
        <v>25</v>
      </c>
      <c r="D125" s="81">
        <v>590</v>
      </c>
      <c r="E125" s="81"/>
      <c r="F125" s="93">
        <v>6</v>
      </c>
    </row>
    <row r="126" spans="1:6" x14ac:dyDescent="0.2">
      <c r="A126" s="92"/>
      <c r="B126" s="81"/>
      <c r="C126" s="81"/>
      <c r="D126" s="81"/>
      <c r="E126" s="81"/>
      <c r="F126" s="93"/>
    </row>
    <row r="127" spans="1:6" ht="12" thickBot="1" x14ac:dyDescent="0.25">
      <c r="A127" s="94" t="s">
        <v>10</v>
      </c>
      <c r="B127" s="95">
        <v>1</v>
      </c>
      <c r="C127" s="95" t="s">
        <v>11</v>
      </c>
      <c r="D127" s="95">
        <v>28</v>
      </c>
      <c r="E127" s="95"/>
      <c r="F127" s="96"/>
    </row>
    <row r="133" spans="1:10" x14ac:dyDescent="0.2">
      <c r="A133" s="28" t="s">
        <v>208</v>
      </c>
    </row>
    <row r="134" spans="1:10" x14ac:dyDescent="0.2">
      <c r="A134" s="2" t="s">
        <v>135</v>
      </c>
      <c r="F134" s="28" t="s">
        <v>209</v>
      </c>
      <c r="J134" s="28" t="s">
        <v>216</v>
      </c>
    </row>
    <row r="135" spans="1:10" x14ac:dyDescent="0.2">
      <c r="A135" s="3" t="s">
        <v>133</v>
      </c>
      <c r="B135" s="3" t="s">
        <v>65</v>
      </c>
      <c r="C135" s="3" t="s">
        <v>136</v>
      </c>
      <c r="F135" s="177" t="s">
        <v>133</v>
      </c>
      <c r="G135" s="177" t="s">
        <v>65</v>
      </c>
      <c r="H135" s="177" t="s">
        <v>136</v>
      </c>
      <c r="J135" s="190" t="s">
        <v>133</v>
      </c>
    </row>
    <row r="136" spans="1:10" x14ac:dyDescent="0.2">
      <c r="A136" s="179" t="s">
        <v>202</v>
      </c>
      <c r="B136" s="179" t="s">
        <v>102</v>
      </c>
      <c r="C136" s="179">
        <v>1</v>
      </c>
      <c r="F136" s="178" t="s">
        <v>67</v>
      </c>
      <c r="G136" s="178" t="s">
        <v>102</v>
      </c>
      <c r="H136" s="178">
        <v>1</v>
      </c>
      <c r="J136" s="191" t="s">
        <v>206</v>
      </c>
    </row>
    <row r="137" spans="1:10" x14ac:dyDescent="0.2">
      <c r="A137" s="179" t="s">
        <v>201</v>
      </c>
      <c r="B137" s="179" t="s">
        <v>0</v>
      </c>
      <c r="C137" s="179">
        <v>2</v>
      </c>
      <c r="F137" s="178" t="s">
        <v>42</v>
      </c>
      <c r="G137" s="178" t="s">
        <v>0</v>
      </c>
      <c r="H137" s="178">
        <v>2</v>
      </c>
      <c r="J137" s="191" t="s">
        <v>201</v>
      </c>
    </row>
    <row r="138" spans="1:10" x14ac:dyDescent="0.2">
      <c r="A138" s="179" t="s">
        <v>204</v>
      </c>
      <c r="B138" s="179" t="s">
        <v>0</v>
      </c>
      <c r="C138" s="179">
        <v>2</v>
      </c>
      <c r="F138" s="178" t="s">
        <v>85</v>
      </c>
      <c r="G138" s="178" t="s">
        <v>102</v>
      </c>
      <c r="H138" s="178">
        <v>1</v>
      </c>
      <c r="J138" s="191" t="s">
        <v>202</v>
      </c>
    </row>
    <row r="139" spans="1:10" x14ac:dyDescent="0.2">
      <c r="A139" s="179" t="s">
        <v>205</v>
      </c>
      <c r="B139" s="179" t="s">
        <v>134</v>
      </c>
      <c r="C139" s="179">
        <v>3</v>
      </c>
      <c r="F139" s="178" t="s">
        <v>86</v>
      </c>
      <c r="G139" s="178" t="s">
        <v>134</v>
      </c>
      <c r="H139" s="178">
        <v>3</v>
      </c>
      <c r="J139" s="191" t="s">
        <v>203</v>
      </c>
    </row>
    <row r="140" spans="1:10" x14ac:dyDescent="0.2">
      <c r="A140" s="179" t="s">
        <v>203</v>
      </c>
      <c r="B140" s="179" t="s">
        <v>134</v>
      </c>
      <c r="C140" s="179">
        <v>3</v>
      </c>
      <c r="F140" s="178" t="s">
        <v>207</v>
      </c>
      <c r="G140" s="178" t="s">
        <v>0</v>
      </c>
      <c r="H140" s="178">
        <v>2</v>
      </c>
      <c r="J140" s="191" t="s">
        <v>204</v>
      </c>
    </row>
    <row r="141" spans="1:10" x14ac:dyDescent="0.2">
      <c r="F141" s="178" t="s">
        <v>64</v>
      </c>
      <c r="G141" s="178" t="s">
        <v>134</v>
      </c>
      <c r="H141" s="178">
        <v>3</v>
      </c>
      <c r="J141" s="191" t="s">
        <v>205</v>
      </c>
    </row>
    <row r="142" spans="1:10" x14ac:dyDescent="0.2">
      <c r="F142" s="178" t="s">
        <v>43</v>
      </c>
      <c r="G142" s="178" t="s">
        <v>0</v>
      </c>
      <c r="H142" s="178">
        <v>2</v>
      </c>
      <c r="J142" s="191" t="s">
        <v>201</v>
      </c>
    </row>
    <row r="143" spans="1:10" x14ac:dyDescent="0.2">
      <c r="F143" s="178" t="s">
        <v>92</v>
      </c>
      <c r="G143" s="178" t="s">
        <v>0</v>
      </c>
      <c r="H143" s="178">
        <v>2</v>
      </c>
      <c r="J143" s="191" t="s">
        <v>201</v>
      </c>
    </row>
    <row r="144" spans="1:10" x14ac:dyDescent="0.2">
      <c r="F144" s="178" t="s">
        <v>20</v>
      </c>
      <c r="G144" s="178" t="s">
        <v>0</v>
      </c>
      <c r="H144" s="178">
        <v>2</v>
      </c>
      <c r="J144" s="191" t="s">
        <v>201</v>
      </c>
    </row>
    <row r="145" spans="6:10" x14ac:dyDescent="0.2">
      <c r="F145" s="178" t="s">
        <v>19</v>
      </c>
      <c r="G145" s="178" t="s">
        <v>0</v>
      </c>
      <c r="H145" s="178">
        <v>2</v>
      </c>
      <c r="J145" s="191" t="s">
        <v>201</v>
      </c>
    </row>
  </sheetData>
  <sheetProtection selectLockedCells="1" selectUnlockedCells="1"/>
  <sortState xmlns:xlrd2="http://schemas.microsoft.com/office/spreadsheetml/2017/richdata2" ref="A136:C145">
    <sortCondition ref="A136:A145"/>
  </sortState>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C00000"/>
    <pageSetUpPr fitToPage="1"/>
  </sheetPr>
  <dimension ref="A1:BB1000"/>
  <sheetViews>
    <sheetView tabSelected="1" topLeftCell="B1" zoomScale="130" zoomScaleNormal="130" workbookViewId="0">
      <pane ySplit="1" topLeftCell="A2" activePane="bottomLeft" state="frozen"/>
      <selection activeCell="P21" sqref="P21"/>
      <selection pane="bottomLeft" activeCell="F3" sqref="F3"/>
    </sheetView>
  </sheetViews>
  <sheetFormatPr defaultColWidth="9.140625" defaultRowHeight="12.75" outlineLevelCol="1" x14ac:dyDescent="0.2"/>
  <cols>
    <col min="1" max="1" width="9.42578125" style="4" hidden="1" customWidth="1" outlineLevel="1"/>
    <col min="2" max="2" width="10.28515625" style="8" customWidth="1" collapsed="1"/>
    <col min="3" max="3" width="24.5703125" style="5" bestFit="1" customWidth="1"/>
    <col min="4" max="4" width="33.7109375" style="5" customWidth="1"/>
    <col min="5" max="5" width="14.28515625" style="5" customWidth="1"/>
    <col min="6" max="7" width="8.85546875" style="4" customWidth="1"/>
    <col min="8" max="8" width="9.42578125" style="4" customWidth="1"/>
    <col min="9" max="9" width="9" style="4" customWidth="1"/>
    <col min="10" max="10" width="8.5703125" style="4" customWidth="1"/>
    <col min="11" max="11" width="9" style="4" customWidth="1"/>
    <col min="12" max="12" width="10.7109375" style="4" customWidth="1"/>
    <col min="13" max="13" width="8.85546875" style="4" customWidth="1"/>
    <col min="14" max="14" width="11" style="5" customWidth="1" outlineLevel="1"/>
    <col min="15" max="15" width="10.140625" style="5" customWidth="1" outlineLevel="1"/>
    <col min="16" max="16" width="11.28515625" style="13" customWidth="1"/>
    <col min="17" max="17" width="12.7109375" style="5" customWidth="1" outlineLevel="1"/>
    <col min="18" max="18" width="18.5703125" style="8" customWidth="1" outlineLevel="1"/>
    <col min="19" max="19" width="13.28515625" style="5" customWidth="1" outlineLevel="1"/>
    <col min="20" max="20" width="11.5703125" style="6" customWidth="1" outlineLevel="1"/>
    <col min="21" max="21" width="14" style="5" customWidth="1" outlineLevel="1"/>
    <col min="22" max="22" width="9.5703125" style="4" customWidth="1" outlineLevel="1" collapsed="1"/>
    <col min="23" max="25" width="9.5703125" style="4" customWidth="1" outlineLevel="1"/>
    <col min="26" max="26" width="11.7109375" style="4" customWidth="1" outlineLevel="1"/>
    <col min="27" max="27" width="9.5703125" style="4" customWidth="1" outlineLevel="1"/>
    <col min="28" max="28" width="8.42578125" style="4" customWidth="1" outlineLevel="1"/>
    <col min="29" max="29" width="10.28515625" style="4" customWidth="1" outlineLevel="1"/>
    <col min="30" max="30" width="13.5703125" style="4" customWidth="1" outlineLevel="1"/>
    <col min="31" max="33" width="9.140625" style="5"/>
    <col min="34" max="34" width="8.85546875" style="5" customWidth="1"/>
    <col min="35" max="16384" width="9.140625" style="5"/>
  </cols>
  <sheetData>
    <row r="1" spans="1:54" ht="45" x14ac:dyDescent="0.2">
      <c r="A1" s="41" t="s">
        <v>34</v>
      </c>
      <c r="B1" s="10" t="s">
        <v>191</v>
      </c>
      <c r="C1" s="10" t="s">
        <v>133</v>
      </c>
      <c r="D1" s="10" t="s">
        <v>0</v>
      </c>
      <c r="E1" s="10" t="s">
        <v>21</v>
      </c>
      <c r="F1" s="14" t="s">
        <v>187</v>
      </c>
      <c r="G1" s="14" t="s">
        <v>183</v>
      </c>
      <c r="H1" s="14" t="s">
        <v>186</v>
      </c>
      <c r="I1" s="14" t="s">
        <v>185</v>
      </c>
      <c r="J1" s="14" t="s">
        <v>184</v>
      </c>
      <c r="K1" s="14" t="s">
        <v>188</v>
      </c>
      <c r="L1" s="14" t="s">
        <v>189</v>
      </c>
      <c r="M1" s="14" t="s">
        <v>190</v>
      </c>
      <c r="N1" s="122" t="s">
        <v>180</v>
      </c>
      <c r="O1" s="122" t="s">
        <v>169</v>
      </c>
      <c r="P1" s="172" t="s">
        <v>143</v>
      </c>
      <c r="Q1" s="41" t="s">
        <v>65</v>
      </c>
      <c r="R1" s="41" t="s">
        <v>65</v>
      </c>
      <c r="S1" s="122" t="s">
        <v>48</v>
      </c>
      <c r="T1" s="123" t="s">
        <v>16</v>
      </c>
      <c r="U1" s="123" t="s">
        <v>1</v>
      </c>
      <c r="V1" s="123" t="s">
        <v>168</v>
      </c>
      <c r="W1" s="123" t="s">
        <v>170</v>
      </c>
      <c r="X1" s="123" t="s">
        <v>171</v>
      </c>
      <c r="Y1" s="123" t="s">
        <v>172</v>
      </c>
      <c r="Z1" s="173" t="s">
        <v>173</v>
      </c>
      <c r="AA1" s="123" t="s">
        <v>174</v>
      </c>
      <c r="AB1" s="123" t="s">
        <v>175</v>
      </c>
      <c r="AC1" s="123" t="s">
        <v>176</v>
      </c>
      <c r="AD1" s="173" t="s">
        <v>177</v>
      </c>
    </row>
    <row r="2" spans="1:54" x14ac:dyDescent="0.2">
      <c r="B2" s="174"/>
      <c r="C2" s="176" t="s">
        <v>201</v>
      </c>
      <c r="F2" s="5">
        <v>1</v>
      </c>
      <c r="G2" s="192">
        <v>0</v>
      </c>
      <c r="H2" s="192">
        <v>0</v>
      </c>
      <c r="I2" s="5">
        <v>0</v>
      </c>
      <c r="J2" s="192">
        <v>0</v>
      </c>
      <c r="K2" s="192">
        <v>0</v>
      </c>
      <c r="L2" s="5">
        <v>0</v>
      </c>
      <c r="M2" s="5">
        <v>0</v>
      </c>
      <c r="N2" s="4">
        <f t="shared" ref="N2:N33" si="0">$Z2-$AD2</f>
        <v>0</v>
      </c>
      <c r="O2" s="4">
        <f>IF(ROUND(10.499-(((N2-VLOOKUP($C2,Lookups!$A$55:$D$64,3))/(VLOOKUP($C2,Lookups!$A$55:$D$64,4))*VLOOKUP($C2,Lookups!$C$2:$D$11,2))),0)&lt;1,1,IF(ROUND(10.499-(((N2-VLOOKUP($C2,Lookups!$A$55:$D$64,3))/(VLOOKUP($C2,Lookups!$A$55:$D$64,4))*VLOOKUP($C2,Lookups!$C$2:$D$11,2))),0)&lt;11,ROUND(10.499-(((N2-VLOOKUP($C2,Lookups!$A$55:$D$64,3))/(VLOOKUP($C2,Lookups!$A$55:$D$64,4))*VLOOKUP($C2,Lookups!$C$2:$D$11,2))),0),10))</f>
        <v>7</v>
      </c>
      <c r="P2" s="13" t="str">
        <f>IF((SUM(F2:M2)=0),"J",VLOOKUP(O2,Lookups!$A$1:$B$11,2))</f>
        <v>«««²</v>
      </c>
      <c r="Q2" s="8">
        <f>VLOOKUP(C2,Lookups!$A$136:$C$144,3)</f>
        <v>2</v>
      </c>
      <c r="R2" s="8" t="str">
        <f>VLOOKUP(C2,Lookups!$A$136:$C$144,2)</f>
        <v>Food</v>
      </c>
      <c r="S2" s="4" t="str">
        <f t="shared" ref="S2:S14" si="1">IF(AND(L2&gt;0,M2=0),"Yes","No")</f>
        <v>No</v>
      </c>
      <c r="T2" s="125">
        <f t="shared" ref="T2:T14" si="2">L2+M2</f>
        <v>0</v>
      </c>
      <c r="U2" s="125">
        <f t="shared" ref="U2:U14" si="3">ROUND(100*(M2+2*L2)/(M2+2*L2+(100-L2-M2)),2)</f>
        <v>0</v>
      </c>
      <c r="V2" s="4">
        <f>IF($Q2&lt;&gt;3,VLOOKUP(F2,'Points Table A'!B$3:$F$33,5),VLOOKUP(F2,'Points Table A'!H$3:$L$33,5))</f>
        <v>0</v>
      </c>
      <c r="W2" s="4">
        <f>IF($Q2&lt;&gt;3,VLOOKUP(G2,'Points Table A'!C$3:$F$33,4),VLOOKUP(G2,'Points Table A'!I$3:$L$33,4))</f>
        <v>0</v>
      </c>
      <c r="X2" s="4">
        <f>IF($Q2&lt;&gt;3,VLOOKUP(H2,'Points Table A'!D$3:$F$28,3),VLOOKUP(H2,'Points Table A'!J$3:$L$33,3))</f>
        <v>0</v>
      </c>
      <c r="Y2" s="4">
        <f>IF($Q2&lt;&gt;3,VLOOKUP(I2,'Points Table A'!E$3:$F$33,2),VLOOKUP(I2,'Points Table A'!K$3:$L$33,2))</f>
        <v>0</v>
      </c>
      <c r="Z2" s="4">
        <f>SUM(V2:Y2)</f>
        <v>0</v>
      </c>
      <c r="AA2" s="4">
        <f>IF($S2=Lookups!$B$113,VLOOKUP(L2,'Points Table C'!A$3:$E$11,5),VLOOKUP(U2,'Points Table C'!B$3:$E$11,4))</f>
        <v>0</v>
      </c>
      <c r="AB2" s="4">
        <f>IF($Q2=1,0,VLOOKUP($J2,'Points Table C'!$C$3:$E$18,3))</f>
        <v>0</v>
      </c>
      <c r="AC2" s="4">
        <f>VLOOKUP($K2,'Points Table C'!$D$3:$E$18,2)</f>
        <v>0</v>
      </c>
      <c r="AD2" s="4">
        <f>IF($Z2&lt;Lookups!$C$106,($AA2+AB2+AC2),IF($AA2&gt;=Lookups!$C$120,($AA2+AB2+AC2),$AA2+$AB2))</f>
        <v>0</v>
      </c>
      <c r="AF2" s="7"/>
      <c r="AG2" s="7"/>
      <c r="AH2" s="7"/>
      <c r="AI2" s="7"/>
      <c r="AJ2" s="7"/>
      <c r="AK2" s="7"/>
      <c r="AL2" s="7"/>
      <c r="AM2" s="7"/>
      <c r="AN2" s="7"/>
      <c r="AO2" s="7"/>
      <c r="AP2" s="7"/>
      <c r="AQ2" s="7"/>
      <c r="AR2" s="7"/>
      <c r="AS2" s="7"/>
      <c r="AT2" s="7"/>
      <c r="AU2" s="7"/>
      <c r="AV2" s="7"/>
      <c r="AW2" s="7"/>
      <c r="AY2" s="7"/>
      <c r="AZ2" s="7"/>
      <c r="BA2" s="7"/>
      <c r="BB2" s="7"/>
    </row>
    <row r="3" spans="1:54" x14ac:dyDescent="0.2">
      <c r="B3" s="174"/>
      <c r="C3" s="176"/>
      <c r="F3" s="5">
        <v>0</v>
      </c>
      <c r="G3" s="192">
        <v>0</v>
      </c>
      <c r="H3" s="192">
        <v>0</v>
      </c>
      <c r="I3" s="5">
        <v>0</v>
      </c>
      <c r="J3" s="192">
        <v>0</v>
      </c>
      <c r="K3" s="192">
        <v>0</v>
      </c>
      <c r="L3" s="5">
        <v>0</v>
      </c>
      <c r="M3" s="5">
        <v>0</v>
      </c>
      <c r="N3" s="4" t="e">
        <f t="shared" si="0"/>
        <v>#N/A</v>
      </c>
      <c r="O3" s="4" t="e">
        <f>IF(ROUND(10.499-(((N3-VLOOKUP($C3,Lookups!$A$55:$D$64,3))/(VLOOKUP($C3,Lookups!$A$55:$D$64,4))*VLOOKUP($C3,Lookups!$C$2:$D$11,2))),0)&lt;1,1,IF(ROUND(10.499-(((N3-VLOOKUP($C3,Lookups!$A$55:$D$64,3))/(VLOOKUP($C3,Lookups!$A$55:$D$64,4))*VLOOKUP($C3,Lookups!$C$2:$D$11,2))),0)&lt;11,ROUND(10.499-(((N3-VLOOKUP($C3,Lookups!$A$55:$D$64,3))/(VLOOKUP($C3,Lookups!$A$55:$D$64,4))*VLOOKUP($C3,Lookups!$C$2:$D$11,2))),0),10))</f>
        <v>#N/A</v>
      </c>
      <c r="P3" s="13" t="str">
        <f>IF((SUM(F3:M3)=0),"J",VLOOKUP(O3,Lookups!$A$1:$B$11,2))</f>
        <v>J</v>
      </c>
      <c r="Q3" s="8" t="e">
        <f>VLOOKUP(C3,Lookups!$A$136:$C$144,3)</f>
        <v>#N/A</v>
      </c>
      <c r="R3" s="8" t="e">
        <f>VLOOKUP(C3,Lookups!$A$136:$C$144,2)</f>
        <v>#N/A</v>
      </c>
      <c r="S3" s="4" t="str">
        <f t="shared" si="1"/>
        <v>No</v>
      </c>
      <c r="T3" s="125">
        <f t="shared" si="2"/>
        <v>0</v>
      </c>
      <c r="U3" s="125">
        <f t="shared" si="3"/>
        <v>0</v>
      </c>
      <c r="V3" s="4" t="e">
        <f>IF($Q3&lt;&gt;3,VLOOKUP(F3,'Points Table A'!B$3:$F$33,5),VLOOKUP(F3,'Points Table A'!H$3:$L$33,5))</f>
        <v>#N/A</v>
      </c>
      <c r="W3" s="4" t="e">
        <f>IF($Q3&lt;&gt;3,VLOOKUP(G3,'Points Table A'!C$3:$F$33,4),VLOOKUP(G3,'Points Table A'!I$3:$L$33,4))</f>
        <v>#N/A</v>
      </c>
      <c r="X3" s="4" t="e">
        <f>IF($Q3&lt;&gt;3,VLOOKUP(H3,'Points Table A'!D$3:$F$28,3),VLOOKUP(H3,'Points Table A'!J$3:$L$33,3))</f>
        <v>#N/A</v>
      </c>
      <c r="Y3" s="4" t="e">
        <f>IF($Q3&lt;&gt;3,VLOOKUP(I3,'Points Table A'!E$3:$F$33,2),VLOOKUP(I3,'Points Table A'!K$3:$L$33,2))</f>
        <v>#N/A</v>
      </c>
      <c r="Z3" s="4" t="e">
        <f t="shared" ref="Z3:Z14" si="4">SUM(V3:Y3)</f>
        <v>#N/A</v>
      </c>
      <c r="AA3" s="4">
        <f>IF($S3=Lookups!$B$113,VLOOKUP(L3,'Points Table C'!A$3:$E$11,5),VLOOKUP(U3,'Points Table C'!B$3:$E$11,4))</f>
        <v>0</v>
      </c>
      <c r="AB3" s="4" t="e">
        <f>IF($Q3=1,0,VLOOKUP($J3,'Points Table C'!$C$3:$E$18,3))</f>
        <v>#N/A</v>
      </c>
      <c r="AC3" s="4">
        <f>VLOOKUP($K3,'Points Table C'!$D$3:$E$18,2)</f>
        <v>0</v>
      </c>
      <c r="AD3" s="4" t="e">
        <f>IF($Z3&lt;Lookups!$C$106,($AA3+AB3+AC3),IF($AA3&gt;=Lookups!$C$120,($AA3+AB3+AC3),$AA3+$AB3))</f>
        <v>#N/A</v>
      </c>
      <c r="AF3" s="7"/>
      <c r="AG3" s="7"/>
      <c r="AH3" s="7"/>
      <c r="AI3" s="7"/>
      <c r="AJ3" s="7"/>
      <c r="AK3" s="7"/>
      <c r="AL3" s="7"/>
      <c r="AM3" s="7"/>
      <c r="AN3" s="7"/>
      <c r="AO3" s="7"/>
      <c r="AP3" s="7"/>
      <c r="AQ3" s="7"/>
      <c r="AR3" s="7"/>
      <c r="AS3" s="7"/>
      <c r="AT3" s="7"/>
      <c r="AU3" s="7"/>
      <c r="AV3" s="7"/>
      <c r="AW3" s="7"/>
      <c r="AY3" s="7"/>
      <c r="AZ3" s="7"/>
      <c r="BA3" s="7"/>
      <c r="BB3" s="7"/>
    </row>
    <row r="4" spans="1:54" x14ac:dyDescent="0.2">
      <c r="B4" s="174"/>
      <c r="C4" s="176"/>
      <c r="F4" s="5">
        <v>0</v>
      </c>
      <c r="G4" s="192">
        <v>0</v>
      </c>
      <c r="H4" s="192">
        <v>0</v>
      </c>
      <c r="I4" s="5">
        <v>0</v>
      </c>
      <c r="J4" s="192">
        <v>0</v>
      </c>
      <c r="K4" s="192">
        <v>0</v>
      </c>
      <c r="L4" s="5">
        <v>0</v>
      </c>
      <c r="M4" s="5">
        <v>0</v>
      </c>
      <c r="N4" s="4" t="e">
        <f t="shared" si="0"/>
        <v>#N/A</v>
      </c>
      <c r="O4" s="4" t="e">
        <f>IF(ROUND(10.499-(((N4-VLOOKUP($C4,Lookups!$A$55:$D$64,3))/(VLOOKUP($C4,Lookups!$A$55:$D$64,4))*VLOOKUP($C4,Lookups!$C$2:$D$11,2))),0)&lt;1,1,IF(ROUND(10.499-(((N4-VLOOKUP($C4,Lookups!$A$55:$D$64,3))/(VLOOKUP($C4,Lookups!$A$55:$D$64,4))*VLOOKUP($C4,Lookups!$C$2:$D$11,2))),0)&lt;11,ROUND(10.499-(((N4-VLOOKUP($C4,Lookups!$A$55:$D$64,3))/(VLOOKUP($C4,Lookups!$A$55:$D$64,4))*VLOOKUP($C4,Lookups!$C$2:$D$11,2))),0),10))</f>
        <v>#N/A</v>
      </c>
      <c r="P4" s="13" t="str">
        <f>IF((SUM(F4:M4)=0),"J",VLOOKUP(O4,Lookups!$A$1:$B$11,2))</f>
        <v>J</v>
      </c>
      <c r="Q4" s="8" t="e">
        <f>VLOOKUP(C4,Lookups!$A$136:$C$144,3)</f>
        <v>#N/A</v>
      </c>
      <c r="R4" s="8" t="e">
        <f>VLOOKUP(C4,Lookups!$A$136:$C$144,2)</f>
        <v>#N/A</v>
      </c>
      <c r="S4" s="4" t="str">
        <f t="shared" si="1"/>
        <v>No</v>
      </c>
      <c r="T4" s="125">
        <f t="shared" si="2"/>
        <v>0</v>
      </c>
      <c r="U4" s="125">
        <f t="shared" si="3"/>
        <v>0</v>
      </c>
      <c r="V4" s="4" t="e">
        <f>IF($Q4&lt;&gt;3,VLOOKUP(F4,'Points Table A'!B$3:$F$33,5),VLOOKUP(F4,'Points Table A'!H$3:$L$33,5))</f>
        <v>#N/A</v>
      </c>
      <c r="W4" s="4" t="e">
        <f>IF($Q4&lt;&gt;3,VLOOKUP(G4,'Points Table A'!C$3:$F$33,4),VLOOKUP(G4,'Points Table A'!I$3:$L$33,4))</f>
        <v>#N/A</v>
      </c>
      <c r="X4" s="4" t="e">
        <f>IF($Q4&lt;&gt;3,VLOOKUP(H4,'Points Table A'!D$3:$F$28,3),VLOOKUP(H4,'Points Table A'!J$3:$L$33,3))</f>
        <v>#N/A</v>
      </c>
      <c r="Y4" s="4" t="e">
        <f>IF($Q4&lt;&gt;3,VLOOKUP(I4,'Points Table A'!E$3:$F$33,2),VLOOKUP(I4,'Points Table A'!K$3:$L$33,2))</f>
        <v>#N/A</v>
      </c>
      <c r="Z4" s="4" t="e">
        <f t="shared" si="4"/>
        <v>#N/A</v>
      </c>
      <c r="AA4" s="4">
        <f>IF($S4=Lookups!$B$113,VLOOKUP(L4,'Points Table C'!A$3:$E$11,5),VLOOKUP(U4,'Points Table C'!B$3:$E$11,4))</f>
        <v>0</v>
      </c>
      <c r="AB4" s="4" t="e">
        <f>IF($Q4=1,0,VLOOKUP($J4,'Points Table C'!$C$3:$E$18,3))</f>
        <v>#N/A</v>
      </c>
      <c r="AC4" s="4">
        <f>VLOOKUP($K4,'Points Table C'!$D$3:$E$18,2)</f>
        <v>0</v>
      </c>
      <c r="AD4" s="4" t="e">
        <f>IF($Z4&lt;Lookups!$C$106,($AA4+AB4+AC4),IF($AA4&gt;=Lookups!$C$120,($AA4+AB4+AC4),$AA4+$AB4))</f>
        <v>#N/A</v>
      </c>
      <c r="AF4" s="7"/>
      <c r="AG4" s="7"/>
      <c r="AH4" s="7"/>
      <c r="AI4" s="7"/>
      <c r="AJ4" s="7"/>
      <c r="AK4" s="7"/>
      <c r="AL4" s="7"/>
      <c r="AM4" s="7"/>
      <c r="AN4" s="7"/>
      <c r="AO4" s="7"/>
      <c r="AP4" s="7"/>
      <c r="AQ4" s="7"/>
      <c r="AR4" s="7"/>
      <c r="AS4" s="7"/>
      <c r="AT4" s="7"/>
      <c r="AU4" s="7"/>
      <c r="AV4" s="7"/>
      <c r="AW4" s="7"/>
      <c r="AY4" s="7"/>
      <c r="AZ4" s="7"/>
      <c r="BA4" s="7"/>
      <c r="BB4" s="7"/>
    </row>
    <row r="5" spans="1:54" x14ac:dyDescent="0.2">
      <c r="B5" s="174"/>
      <c r="C5" s="176"/>
      <c r="F5" s="5">
        <v>0</v>
      </c>
      <c r="G5" s="192">
        <v>0</v>
      </c>
      <c r="H5" s="192">
        <v>0</v>
      </c>
      <c r="I5" s="5">
        <v>0</v>
      </c>
      <c r="J5" s="192">
        <v>0</v>
      </c>
      <c r="K5" s="192">
        <v>0</v>
      </c>
      <c r="L5" s="5">
        <v>0</v>
      </c>
      <c r="M5" s="5">
        <v>0</v>
      </c>
      <c r="N5" s="4" t="e">
        <f t="shared" si="0"/>
        <v>#N/A</v>
      </c>
      <c r="O5" s="4" t="e">
        <f>IF(ROUND(10.499-(((N5-VLOOKUP($C5,Lookups!$A$55:$D$64,3))/(VLOOKUP($C5,Lookups!$A$55:$D$64,4))*VLOOKUP($C5,Lookups!$C$2:$D$11,2))),0)&lt;1,1,IF(ROUND(10.499-(((N5-VLOOKUP($C5,Lookups!$A$55:$D$64,3))/(VLOOKUP($C5,Lookups!$A$55:$D$64,4))*VLOOKUP($C5,Lookups!$C$2:$D$11,2))),0)&lt;11,ROUND(10.499-(((N5-VLOOKUP($C5,Lookups!$A$55:$D$64,3))/(VLOOKUP($C5,Lookups!$A$55:$D$64,4))*VLOOKUP($C5,Lookups!$C$2:$D$11,2))),0),10))</f>
        <v>#N/A</v>
      </c>
      <c r="P5" s="13" t="str">
        <f>IF((SUM(F5:M5)=0),"J",VLOOKUP(O5,Lookups!$A$1:$B$11,2))</f>
        <v>J</v>
      </c>
      <c r="Q5" s="8" t="e">
        <f>VLOOKUP(C5,Lookups!$A$136:$C$144,3)</f>
        <v>#N/A</v>
      </c>
      <c r="R5" s="8" t="e">
        <f>VLOOKUP(C5,Lookups!$A$136:$C$144,2)</f>
        <v>#N/A</v>
      </c>
      <c r="S5" s="4" t="str">
        <f t="shared" si="1"/>
        <v>No</v>
      </c>
      <c r="T5" s="125">
        <f t="shared" si="2"/>
        <v>0</v>
      </c>
      <c r="U5" s="125">
        <f t="shared" si="3"/>
        <v>0</v>
      </c>
      <c r="V5" s="4" t="e">
        <f>IF($Q5&lt;&gt;3,VLOOKUP(F5,'Points Table A'!B$3:$F$33,5),VLOOKUP(F5,'Points Table A'!H$3:$L$33,5))</f>
        <v>#N/A</v>
      </c>
      <c r="W5" s="4" t="e">
        <f>IF($Q5&lt;&gt;3,VLOOKUP(G5,'Points Table A'!C$3:$F$33,4),VLOOKUP(G5,'Points Table A'!I$3:$L$33,4))</f>
        <v>#N/A</v>
      </c>
      <c r="X5" s="4" t="e">
        <f>IF($Q5&lt;&gt;3,VLOOKUP(H5,'Points Table A'!D$3:$F$28,3),VLOOKUP(H5,'Points Table A'!J$3:$L$33,3))</f>
        <v>#N/A</v>
      </c>
      <c r="Y5" s="4" t="e">
        <f>IF($Q5&lt;&gt;3,VLOOKUP(I5,'Points Table A'!E$3:$F$33,2),VLOOKUP(I5,'Points Table A'!K$3:$L$33,2))</f>
        <v>#N/A</v>
      </c>
      <c r="Z5" s="4" t="e">
        <f t="shared" si="4"/>
        <v>#N/A</v>
      </c>
      <c r="AA5" s="4">
        <f>IF($S5=Lookups!$B$113,VLOOKUP(L5,'Points Table C'!A$3:$E$11,5),VLOOKUP(U5,'Points Table C'!B$3:$E$11,4))</f>
        <v>0</v>
      </c>
      <c r="AB5" s="4" t="e">
        <f>IF($Q5=1,0,VLOOKUP($J5,'Points Table C'!$C$3:$E$18,3))</f>
        <v>#N/A</v>
      </c>
      <c r="AC5" s="4">
        <f>VLOOKUP($K5,'Points Table C'!$D$3:$E$18,2)</f>
        <v>0</v>
      </c>
      <c r="AD5" s="4" t="e">
        <f>IF($Z5&lt;Lookups!$C$106,($AA5+AB5+AC5),IF($AA5&gt;=Lookups!$C$120,($AA5+AB5+AC5),$AA5+$AB5))</f>
        <v>#N/A</v>
      </c>
      <c r="AF5" s="7"/>
      <c r="AG5" s="7"/>
      <c r="AH5" s="7"/>
      <c r="AI5" s="7"/>
      <c r="AJ5" s="7"/>
      <c r="AK5" s="7"/>
      <c r="AL5" s="7"/>
      <c r="AM5" s="7"/>
      <c r="AN5" s="7"/>
      <c r="AO5" s="7"/>
      <c r="AP5" s="7"/>
      <c r="AQ5" s="7"/>
      <c r="AR5" s="7"/>
      <c r="AS5" s="7"/>
      <c r="AT5" s="7"/>
      <c r="AU5" s="7"/>
      <c r="AV5" s="7"/>
      <c r="AW5" s="7"/>
      <c r="AY5" s="7"/>
      <c r="AZ5" s="7"/>
      <c r="BA5" s="7"/>
      <c r="BB5" s="7"/>
    </row>
    <row r="6" spans="1:54" x14ac:dyDescent="0.2">
      <c r="B6" s="174"/>
      <c r="C6" s="176"/>
      <c r="F6" s="5">
        <v>0</v>
      </c>
      <c r="G6" s="192">
        <v>0</v>
      </c>
      <c r="H6" s="192">
        <v>0</v>
      </c>
      <c r="I6" s="5">
        <v>0</v>
      </c>
      <c r="J6" s="192">
        <v>0</v>
      </c>
      <c r="K6" s="192">
        <v>0</v>
      </c>
      <c r="L6" s="5">
        <v>0</v>
      </c>
      <c r="M6" s="5">
        <v>0</v>
      </c>
      <c r="N6" s="4" t="e">
        <f t="shared" si="0"/>
        <v>#N/A</v>
      </c>
      <c r="O6" s="4" t="e">
        <f>IF(ROUND(10.499-(((N6-VLOOKUP($C6,Lookups!$A$55:$D$64,3))/(VLOOKUP($C6,Lookups!$A$55:$D$64,4))*VLOOKUP($C6,Lookups!$C$2:$D$11,2))),0)&lt;1,1,IF(ROUND(10.499-(((N6-VLOOKUP($C6,Lookups!$A$55:$D$64,3))/(VLOOKUP($C6,Lookups!$A$55:$D$64,4))*VLOOKUP($C6,Lookups!$C$2:$D$11,2))),0)&lt;11,ROUND(10.499-(((N6-VLOOKUP($C6,Lookups!$A$55:$D$64,3))/(VLOOKUP($C6,Lookups!$A$55:$D$64,4))*VLOOKUP($C6,Lookups!$C$2:$D$11,2))),0),10))</f>
        <v>#N/A</v>
      </c>
      <c r="P6" s="13" t="str">
        <f>IF((SUM(F6:M6)=0),"J",VLOOKUP(O6,Lookups!$A$1:$B$11,2))</f>
        <v>J</v>
      </c>
      <c r="Q6" s="8" t="e">
        <f>VLOOKUP(C6,Lookups!$A$136:$C$144,3)</f>
        <v>#N/A</v>
      </c>
      <c r="R6" s="8" t="e">
        <f>VLOOKUP(C6,Lookups!$A$136:$C$144,2)</f>
        <v>#N/A</v>
      </c>
      <c r="S6" s="4" t="str">
        <f t="shared" si="1"/>
        <v>No</v>
      </c>
      <c r="T6" s="125">
        <f t="shared" si="2"/>
        <v>0</v>
      </c>
      <c r="U6" s="125">
        <f t="shared" si="3"/>
        <v>0</v>
      </c>
      <c r="V6" s="4" t="e">
        <f>IF($Q6&lt;&gt;3,VLOOKUP(F6,'Points Table A'!B$3:$F$33,5),VLOOKUP(F6,'Points Table A'!H$3:$L$33,5))</f>
        <v>#N/A</v>
      </c>
      <c r="W6" s="4" t="e">
        <f>IF($Q6&lt;&gt;3,VLOOKUP(G6,'Points Table A'!C$3:$F$33,4),VLOOKUP(G6,'Points Table A'!I$3:$L$33,4))</f>
        <v>#N/A</v>
      </c>
      <c r="X6" s="4" t="e">
        <f>IF($Q6&lt;&gt;3,VLOOKUP(H6,'Points Table A'!D$3:$F$28,3),VLOOKUP(H6,'Points Table A'!J$3:$L$33,3))</f>
        <v>#N/A</v>
      </c>
      <c r="Y6" s="4" t="e">
        <f>IF($Q6&lt;&gt;3,VLOOKUP(I6,'Points Table A'!E$3:$F$33,2),VLOOKUP(I6,'Points Table A'!K$3:$L$33,2))</f>
        <v>#N/A</v>
      </c>
      <c r="Z6" s="4" t="e">
        <f t="shared" si="4"/>
        <v>#N/A</v>
      </c>
      <c r="AA6" s="4">
        <f>IF($S6=Lookups!$B$113,VLOOKUP(L6,'Points Table C'!A$3:$E$11,5),VLOOKUP(U6,'Points Table C'!B$3:$E$11,4))</f>
        <v>0</v>
      </c>
      <c r="AB6" s="4" t="e">
        <f>IF($Q6=1,0,VLOOKUP($J6,'Points Table C'!$C$3:$E$18,3))</f>
        <v>#N/A</v>
      </c>
      <c r="AC6" s="4">
        <f>VLOOKUP($K6,'Points Table C'!$D$3:$E$18,2)</f>
        <v>0</v>
      </c>
      <c r="AD6" s="4" t="e">
        <f>IF($Z6&lt;Lookups!$C$106,($AA6+AB6+AC6),IF($AA6&gt;=Lookups!$C$120,($AA6+AB6+AC6),$AA6+$AB6))</f>
        <v>#N/A</v>
      </c>
      <c r="AF6" s="7"/>
      <c r="AG6" s="7"/>
      <c r="AH6" s="7"/>
      <c r="AI6" s="7"/>
      <c r="AJ6" s="7"/>
      <c r="AK6" s="7"/>
      <c r="AL6" s="7"/>
      <c r="AM6" s="7"/>
      <c r="AN6" s="7"/>
      <c r="AO6" s="7"/>
      <c r="AP6" s="7"/>
      <c r="AQ6" s="7"/>
      <c r="AR6" s="7"/>
      <c r="AS6" s="7"/>
      <c r="AT6" s="7"/>
      <c r="AU6" s="7"/>
      <c r="AV6" s="7"/>
      <c r="AW6" s="7"/>
      <c r="AY6" s="7"/>
      <c r="AZ6" s="7"/>
      <c r="BA6" s="7"/>
      <c r="BB6" s="7"/>
    </row>
    <row r="7" spans="1:54" x14ac:dyDescent="0.2">
      <c r="B7" s="174"/>
      <c r="C7" s="176"/>
      <c r="F7" s="5">
        <v>0</v>
      </c>
      <c r="G7" s="192">
        <v>0</v>
      </c>
      <c r="H7" s="192">
        <v>0</v>
      </c>
      <c r="I7" s="5">
        <v>0</v>
      </c>
      <c r="J7" s="192">
        <v>0</v>
      </c>
      <c r="K7" s="192">
        <v>0</v>
      </c>
      <c r="L7" s="5">
        <v>0</v>
      </c>
      <c r="M7" s="5">
        <v>0</v>
      </c>
      <c r="N7" s="4" t="e">
        <f t="shared" si="0"/>
        <v>#N/A</v>
      </c>
      <c r="O7" s="4" t="e">
        <f>IF(ROUND(10.499-(((N7-VLOOKUP($C7,Lookups!$A$55:$D$64,3))/(VLOOKUP($C7,Lookups!$A$55:$D$64,4))*VLOOKUP($C7,Lookups!$C$2:$D$11,2))),0)&lt;1,1,IF(ROUND(10.499-(((N7-VLOOKUP($C7,Lookups!$A$55:$D$64,3))/(VLOOKUP($C7,Lookups!$A$55:$D$64,4))*VLOOKUP($C7,Lookups!$C$2:$D$11,2))),0)&lt;11,ROUND(10.499-(((N7-VLOOKUP($C7,Lookups!$A$55:$D$64,3))/(VLOOKUP($C7,Lookups!$A$55:$D$64,4))*VLOOKUP($C7,Lookups!$C$2:$D$11,2))),0),10))</f>
        <v>#N/A</v>
      </c>
      <c r="P7" s="13" t="str">
        <f>IF((SUM(F7:M7)=0),"J",VLOOKUP(O7,Lookups!$A$1:$B$11,2))</f>
        <v>J</v>
      </c>
      <c r="Q7" s="8" t="e">
        <f>VLOOKUP(C7,Lookups!$A$136:$C$144,3)</f>
        <v>#N/A</v>
      </c>
      <c r="R7" s="8" t="e">
        <f>VLOOKUP(C7,Lookups!$A$136:$C$144,2)</f>
        <v>#N/A</v>
      </c>
      <c r="S7" s="4" t="str">
        <f t="shared" si="1"/>
        <v>No</v>
      </c>
      <c r="T7" s="125">
        <f t="shared" si="2"/>
        <v>0</v>
      </c>
      <c r="U7" s="125">
        <f t="shared" si="3"/>
        <v>0</v>
      </c>
      <c r="V7" s="4" t="e">
        <f>IF($Q7&lt;&gt;3,VLOOKUP(F7,'Points Table A'!B$3:$F$33,5),VLOOKUP(F7,'Points Table A'!H$3:$L$33,5))</f>
        <v>#N/A</v>
      </c>
      <c r="W7" s="4" t="e">
        <f>IF($Q7&lt;&gt;3,VLOOKUP(G7,'Points Table A'!C$3:$F$33,4),VLOOKUP(G7,'Points Table A'!I$3:$L$33,4))</f>
        <v>#N/A</v>
      </c>
      <c r="X7" s="4" t="e">
        <f>IF($Q7&lt;&gt;3,VLOOKUP(H7,'Points Table A'!D$3:$F$28,3),VLOOKUP(H7,'Points Table A'!J$3:$L$33,3))</f>
        <v>#N/A</v>
      </c>
      <c r="Y7" s="4" t="e">
        <f>IF($Q7&lt;&gt;3,VLOOKUP(I7,'Points Table A'!E$3:$F$33,2),VLOOKUP(I7,'Points Table A'!K$3:$L$33,2))</f>
        <v>#N/A</v>
      </c>
      <c r="Z7" s="4" t="e">
        <f t="shared" si="4"/>
        <v>#N/A</v>
      </c>
      <c r="AA7" s="4">
        <f>IF($S7=Lookups!$B$113,VLOOKUP(L7,'Points Table C'!A$3:$E$11,5),VLOOKUP(U7,'Points Table C'!B$3:$E$11,4))</f>
        <v>0</v>
      </c>
      <c r="AB7" s="4" t="e">
        <f>IF($Q7=1,0,VLOOKUP($J7,'Points Table C'!$C$3:$E$18,3))</f>
        <v>#N/A</v>
      </c>
      <c r="AC7" s="4">
        <f>VLOOKUP($K7,'Points Table C'!$D$3:$E$18,2)</f>
        <v>0</v>
      </c>
      <c r="AD7" s="4" t="e">
        <f>IF($Z7&lt;Lookups!$C$106,($AA7+AB7+AC7),IF($AA7&gt;=Lookups!$C$120,($AA7+AB7+AC7),$AA7+$AB7))</f>
        <v>#N/A</v>
      </c>
      <c r="AF7" s="7"/>
      <c r="AG7" s="7"/>
      <c r="AH7" s="7"/>
      <c r="AI7" s="7"/>
      <c r="AJ7" s="7"/>
      <c r="AK7" s="7"/>
      <c r="AL7" s="7"/>
      <c r="AM7" s="7"/>
      <c r="AN7" s="7"/>
      <c r="AO7" s="7"/>
      <c r="AP7" s="7"/>
      <c r="AQ7" s="7"/>
      <c r="AR7" s="7"/>
      <c r="AS7" s="7"/>
      <c r="AT7" s="7"/>
      <c r="AU7" s="7"/>
      <c r="AV7" s="7"/>
      <c r="AW7" s="7"/>
      <c r="AY7" s="7"/>
      <c r="AZ7" s="7"/>
      <c r="BA7" s="7"/>
      <c r="BB7" s="7"/>
    </row>
    <row r="8" spans="1:54" x14ac:dyDescent="0.2">
      <c r="B8" s="174"/>
      <c r="C8" s="176"/>
      <c r="F8" s="5">
        <v>0</v>
      </c>
      <c r="G8" s="192">
        <v>0</v>
      </c>
      <c r="H8" s="192">
        <v>0</v>
      </c>
      <c r="I8" s="5">
        <v>0</v>
      </c>
      <c r="J8" s="192">
        <v>0</v>
      </c>
      <c r="K8" s="192">
        <v>0</v>
      </c>
      <c r="L8" s="5">
        <v>0</v>
      </c>
      <c r="M8" s="5">
        <v>0</v>
      </c>
      <c r="N8" s="4" t="e">
        <f t="shared" si="0"/>
        <v>#N/A</v>
      </c>
      <c r="O8" s="4" t="e">
        <f>IF(ROUND(10.499-(((N8-VLOOKUP($C8,Lookups!$A$55:$D$64,3))/(VLOOKUP($C8,Lookups!$A$55:$D$64,4))*VLOOKUP($C8,Lookups!$C$2:$D$11,2))),0)&lt;1,1,IF(ROUND(10.499-(((N8-VLOOKUP($C8,Lookups!$A$55:$D$64,3))/(VLOOKUP($C8,Lookups!$A$55:$D$64,4))*VLOOKUP($C8,Lookups!$C$2:$D$11,2))),0)&lt;11,ROUND(10.499-(((N8-VLOOKUP($C8,Lookups!$A$55:$D$64,3))/(VLOOKUP($C8,Lookups!$A$55:$D$64,4))*VLOOKUP($C8,Lookups!$C$2:$D$11,2))),0),10))</f>
        <v>#N/A</v>
      </c>
      <c r="P8" s="13" t="str">
        <f>IF((SUM(F8:M8)=0),"J",VLOOKUP(O8,Lookups!$A$1:$B$11,2))</f>
        <v>J</v>
      </c>
      <c r="Q8" s="8" t="e">
        <f>VLOOKUP(C8,Lookups!$A$136:$C$144,3)</f>
        <v>#N/A</v>
      </c>
      <c r="R8" s="8" t="e">
        <f>VLOOKUP(C8,Lookups!$A$136:$C$144,2)</f>
        <v>#N/A</v>
      </c>
      <c r="S8" s="4" t="str">
        <f t="shared" si="1"/>
        <v>No</v>
      </c>
      <c r="T8" s="125">
        <f t="shared" si="2"/>
        <v>0</v>
      </c>
      <c r="U8" s="125">
        <f t="shared" si="3"/>
        <v>0</v>
      </c>
      <c r="V8" s="4" t="e">
        <f>IF($Q8&lt;&gt;3,VLOOKUP(F8,'Points Table A'!B$3:$F$33,5),VLOOKUP(F8,'Points Table A'!H$3:$L$33,5))</f>
        <v>#N/A</v>
      </c>
      <c r="W8" s="4" t="e">
        <f>IF($Q8&lt;&gt;3,VLOOKUP(G8,'Points Table A'!C$3:$F$33,4),VLOOKUP(G8,'Points Table A'!I$3:$L$33,4))</f>
        <v>#N/A</v>
      </c>
      <c r="X8" s="4" t="e">
        <f>IF($Q8&lt;&gt;3,VLOOKUP(H8,'Points Table A'!D$3:$F$28,3),VLOOKUP(H8,'Points Table A'!J$3:$L$33,3))</f>
        <v>#N/A</v>
      </c>
      <c r="Y8" s="4" t="e">
        <f>IF($Q8&lt;&gt;3,VLOOKUP(I8,'Points Table A'!E$3:$F$33,2),VLOOKUP(I8,'Points Table A'!K$3:$L$33,2))</f>
        <v>#N/A</v>
      </c>
      <c r="Z8" s="4" t="e">
        <f t="shared" si="4"/>
        <v>#N/A</v>
      </c>
      <c r="AA8" s="4">
        <f>IF($S8=Lookups!$B$113,VLOOKUP(L8,'Points Table C'!A$3:$E$11,5),VLOOKUP(U8,'Points Table C'!B$3:$E$11,4))</f>
        <v>0</v>
      </c>
      <c r="AB8" s="4" t="e">
        <f>IF($Q8=1,0,VLOOKUP($J8,'Points Table C'!$C$3:$E$18,3))</f>
        <v>#N/A</v>
      </c>
      <c r="AC8" s="4">
        <f>VLOOKUP($K8,'Points Table C'!$D$3:$E$18,2)</f>
        <v>0</v>
      </c>
      <c r="AD8" s="4" t="e">
        <f>IF($Z8&lt;Lookups!$C$106,($AA8+AB8+AC8),IF($AA8&gt;=Lookups!$C$120,($AA8+AB8+AC8),$AA8+$AB8))</f>
        <v>#N/A</v>
      </c>
      <c r="AF8" s="7"/>
      <c r="AG8" s="7"/>
      <c r="AH8" s="7"/>
      <c r="AI8" s="7"/>
      <c r="AJ8" s="7"/>
      <c r="AK8" s="7"/>
      <c r="AL8" s="7"/>
      <c r="AM8" s="7"/>
      <c r="AN8" s="7"/>
      <c r="AO8" s="7"/>
      <c r="AP8" s="7"/>
      <c r="AQ8" s="7"/>
      <c r="AR8" s="7"/>
      <c r="AS8" s="7"/>
      <c r="AT8" s="7"/>
      <c r="AU8" s="7"/>
      <c r="AV8" s="7"/>
      <c r="AW8" s="7"/>
      <c r="AY8" s="7"/>
      <c r="AZ8" s="7"/>
      <c r="BA8" s="7"/>
      <c r="BB8" s="7"/>
    </row>
    <row r="9" spans="1:54" x14ac:dyDescent="0.2">
      <c r="B9" s="174"/>
      <c r="C9" s="176"/>
      <c r="F9" s="5">
        <v>0</v>
      </c>
      <c r="G9" s="192">
        <v>0</v>
      </c>
      <c r="H9" s="192">
        <v>0</v>
      </c>
      <c r="I9" s="5">
        <v>0</v>
      </c>
      <c r="J9" s="192">
        <v>0</v>
      </c>
      <c r="K9" s="192">
        <v>0</v>
      </c>
      <c r="L9" s="5">
        <v>0</v>
      </c>
      <c r="M9" s="5">
        <v>0</v>
      </c>
      <c r="N9" s="4" t="e">
        <f t="shared" si="0"/>
        <v>#N/A</v>
      </c>
      <c r="O9" s="4" t="e">
        <f>IF(ROUND(10.499-(((N9-VLOOKUP($C9,Lookups!$A$55:$D$64,3))/(VLOOKUP($C9,Lookups!$A$55:$D$64,4))*VLOOKUP($C9,Lookups!$C$2:$D$11,2))),0)&lt;1,1,IF(ROUND(10.499-(((N9-VLOOKUP($C9,Lookups!$A$55:$D$64,3))/(VLOOKUP($C9,Lookups!$A$55:$D$64,4))*VLOOKUP($C9,Lookups!$C$2:$D$11,2))),0)&lt;11,ROUND(10.499-(((N9-VLOOKUP($C9,Lookups!$A$55:$D$64,3))/(VLOOKUP($C9,Lookups!$A$55:$D$64,4))*VLOOKUP($C9,Lookups!$C$2:$D$11,2))),0),10))</f>
        <v>#N/A</v>
      </c>
      <c r="P9" s="13" t="str">
        <f>IF((SUM(F9:M9)=0),"J",VLOOKUP(O9,Lookups!$A$1:$B$11,2))</f>
        <v>J</v>
      </c>
      <c r="Q9" s="8" t="e">
        <f>VLOOKUP(C9,Lookups!$A$136:$C$144,3)</f>
        <v>#N/A</v>
      </c>
      <c r="R9" s="8" t="e">
        <f>VLOOKUP(C9,Lookups!$A$136:$C$144,2)</f>
        <v>#N/A</v>
      </c>
      <c r="S9" s="4" t="str">
        <f t="shared" si="1"/>
        <v>No</v>
      </c>
      <c r="T9" s="125">
        <f t="shared" si="2"/>
        <v>0</v>
      </c>
      <c r="U9" s="125">
        <f t="shared" si="3"/>
        <v>0</v>
      </c>
      <c r="V9" s="4" t="e">
        <f>IF($Q9&lt;&gt;3,VLOOKUP(F9,'Points Table A'!B$3:$F$33,5),VLOOKUP(F9,'Points Table A'!H$3:$L$33,5))</f>
        <v>#N/A</v>
      </c>
      <c r="W9" s="4" t="e">
        <f>IF($Q9&lt;&gt;3,VLOOKUP(G9,'Points Table A'!C$3:$F$33,4),VLOOKUP(G9,'Points Table A'!I$3:$L$33,4))</f>
        <v>#N/A</v>
      </c>
      <c r="X9" s="4" t="e">
        <f>IF($Q9&lt;&gt;3,VLOOKUP(H9,'Points Table A'!D$3:$F$28,3),VLOOKUP(H9,'Points Table A'!J$3:$L$33,3))</f>
        <v>#N/A</v>
      </c>
      <c r="Y9" s="4" t="e">
        <f>IF($Q9&lt;&gt;3,VLOOKUP(I9,'Points Table A'!E$3:$F$33,2),VLOOKUP(I9,'Points Table A'!K$3:$L$33,2))</f>
        <v>#N/A</v>
      </c>
      <c r="Z9" s="4" t="e">
        <f t="shared" si="4"/>
        <v>#N/A</v>
      </c>
      <c r="AA9" s="4">
        <f>IF($S9=Lookups!$B$113,VLOOKUP(L9,'Points Table C'!A$3:$E$11,5),VLOOKUP(U9,'Points Table C'!B$3:$E$11,4))</f>
        <v>0</v>
      </c>
      <c r="AB9" s="4" t="e">
        <f>IF($Q9=1,0,VLOOKUP($J9,'Points Table C'!$C$3:$E$18,3))</f>
        <v>#N/A</v>
      </c>
      <c r="AC9" s="4">
        <f>VLOOKUP($K9,'Points Table C'!$D$3:$E$18,2)</f>
        <v>0</v>
      </c>
      <c r="AD9" s="4" t="e">
        <f>IF($Z9&lt;Lookups!$C$106,($AA9+AB9+AC9),IF($AA9&gt;=Lookups!$C$120,($AA9+AB9+AC9),$AA9+$AB9))</f>
        <v>#N/A</v>
      </c>
      <c r="AF9" s="7"/>
      <c r="AG9" s="7"/>
      <c r="AH9" s="7"/>
      <c r="AI9" s="7"/>
      <c r="AJ9" s="7"/>
      <c r="AK9" s="7"/>
      <c r="AL9" s="7"/>
      <c r="AM9" s="7"/>
      <c r="AN9" s="7"/>
      <c r="AO9" s="7"/>
      <c r="AP9" s="7"/>
      <c r="AQ9" s="7"/>
      <c r="AR9" s="7"/>
      <c r="AS9" s="7"/>
      <c r="AT9" s="7"/>
      <c r="AU9" s="7"/>
      <c r="AV9" s="7"/>
      <c r="AW9" s="7"/>
      <c r="AY9" s="7"/>
      <c r="AZ9" s="7"/>
      <c r="BA9" s="7"/>
      <c r="BB9" s="7"/>
    </row>
    <row r="10" spans="1:54" x14ac:dyDescent="0.2">
      <c r="B10" s="174"/>
      <c r="C10" s="176"/>
      <c r="F10" s="5">
        <v>0</v>
      </c>
      <c r="G10" s="192">
        <v>0</v>
      </c>
      <c r="H10" s="192">
        <v>0</v>
      </c>
      <c r="I10" s="5">
        <v>0</v>
      </c>
      <c r="J10" s="192">
        <v>0</v>
      </c>
      <c r="K10" s="192">
        <v>0</v>
      </c>
      <c r="L10" s="5">
        <v>0</v>
      </c>
      <c r="M10" s="5">
        <v>0</v>
      </c>
      <c r="N10" s="4" t="e">
        <f t="shared" si="0"/>
        <v>#N/A</v>
      </c>
      <c r="O10" s="4" t="e">
        <f>IF(ROUND(10.499-(((N10-VLOOKUP($C10,Lookups!$A$55:$D$64,3))/(VLOOKUP($C10,Lookups!$A$55:$D$64,4))*VLOOKUP($C10,Lookups!$C$2:$D$11,2))),0)&lt;1,1,IF(ROUND(10.499-(((N10-VLOOKUP($C10,Lookups!$A$55:$D$64,3))/(VLOOKUP($C10,Lookups!$A$55:$D$64,4))*VLOOKUP($C10,Lookups!$C$2:$D$11,2))),0)&lt;11,ROUND(10.499-(((N10-VLOOKUP($C10,Lookups!$A$55:$D$64,3))/(VLOOKUP($C10,Lookups!$A$55:$D$64,4))*VLOOKUP($C10,Lookups!$C$2:$D$11,2))),0),10))</f>
        <v>#N/A</v>
      </c>
      <c r="P10" s="13" t="str">
        <f>IF((SUM(F10:M10)=0),"J",VLOOKUP(O10,Lookups!$A$1:$B$11,2))</f>
        <v>J</v>
      </c>
      <c r="Q10" s="8" t="e">
        <f>VLOOKUP(C10,Lookups!$A$136:$C$144,3)</f>
        <v>#N/A</v>
      </c>
      <c r="R10" s="8" t="e">
        <f>VLOOKUP(C10,Lookups!$A$136:$C$144,2)</f>
        <v>#N/A</v>
      </c>
      <c r="S10" s="4" t="str">
        <f t="shared" si="1"/>
        <v>No</v>
      </c>
      <c r="T10" s="125">
        <f t="shared" si="2"/>
        <v>0</v>
      </c>
      <c r="U10" s="125">
        <f t="shared" si="3"/>
        <v>0</v>
      </c>
      <c r="V10" s="4" t="e">
        <f>IF($Q10&lt;&gt;3,VLOOKUP(F10,'Points Table A'!B$3:$F$33,5),VLOOKUP(F10,'Points Table A'!H$3:$L$33,5))</f>
        <v>#N/A</v>
      </c>
      <c r="W10" s="4" t="e">
        <f>IF($Q10&lt;&gt;3,VLOOKUP(G10,'Points Table A'!C$3:$F$33,4),VLOOKUP(G10,'Points Table A'!I$3:$L$33,4))</f>
        <v>#N/A</v>
      </c>
      <c r="X10" s="4" t="e">
        <f>IF($Q10&lt;&gt;3,VLOOKUP(H10,'Points Table A'!D$3:$F$28,3),VLOOKUP(H10,'Points Table A'!J$3:$L$33,3))</f>
        <v>#N/A</v>
      </c>
      <c r="Y10" s="4" t="e">
        <f>IF($Q10&lt;&gt;3,VLOOKUP(I10,'Points Table A'!E$3:$F$33,2),VLOOKUP(I10,'Points Table A'!K$3:$L$33,2))</f>
        <v>#N/A</v>
      </c>
      <c r="Z10" s="4" t="e">
        <f t="shared" si="4"/>
        <v>#N/A</v>
      </c>
      <c r="AA10" s="4">
        <f>IF($S10=Lookups!$B$113,VLOOKUP(L10,'Points Table C'!A$3:$E$11,5),VLOOKUP(U10,'Points Table C'!B$3:$E$11,4))</f>
        <v>0</v>
      </c>
      <c r="AB10" s="4" t="e">
        <f>IF($Q10=1,0,VLOOKUP($J10,'Points Table C'!$C$3:$E$18,3))</f>
        <v>#N/A</v>
      </c>
      <c r="AC10" s="4">
        <f>VLOOKUP($K10,'Points Table C'!$D$3:$E$18,2)</f>
        <v>0</v>
      </c>
      <c r="AD10" s="4" t="e">
        <f>IF($Z10&lt;Lookups!$C$106,($AA10+AB10+AC10),IF($AA10&gt;=Lookups!$C$120,($AA10+AB10+AC10),$AA10+$AB10))</f>
        <v>#N/A</v>
      </c>
      <c r="AF10" s="7"/>
      <c r="AG10" s="7"/>
      <c r="AH10" s="7"/>
      <c r="AI10" s="7"/>
      <c r="AJ10" s="7"/>
      <c r="AK10" s="7"/>
      <c r="AL10" s="7"/>
      <c r="AM10" s="7"/>
      <c r="AN10" s="7"/>
      <c r="AO10" s="7"/>
      <c r="AP10" s="7"/>
      <c r="AQ10" s="7"/>
      <c r="AR10" s="7"/>
      <c r="AS10" s="7"/>
      <c r="AT10" s="7"/>
      <c r="AU10" s="7"/>
      <c r="AV10" s="7"/>
      <c r="AW10" s="7"/>
      <c r="AY10" s="7"/>
      <c r="AZ10" s="7"/>
      <c r="BA10" s="7"/>
      <c r="BB10" s="7"/>
    </row>
    <row r="11" spans="1:54" x14ac:dyDescent="0.2">
      <c r="B11" s="174"/>
      <c r="C11" s="176"/>
      <c r="F11" s="5">
        <v>0</v>
      </c>
      <c r="G11" s="192">
        <v>0</v>
      </c>
      <c r="H11" s="192">
        <v>0</v>
      </c>
      <c r="I11" s="5">
        <v>0</v>
      </c>
      <c r="J11" s="192">
        <v>0</v>
      </c>
      <c r="K11" s="192">
        <v>0</v>
      </c>
      <c r="L11" s="5">
        <v>0</v>
      </c>
      <c r="M11" s="5">
        <v>0</v>
      </c>
      <c r="N11" s="4" t="e">
        <f t="shared" si="0"/>
        <v>#N/A</v>
      </c>
      <c r="O11" s="4" t="e">
        <f>IF(ROUND(10.499-(((N11-VLOOKUP($C11,Lookups!$A$55:$D$64,3))/(VLOOKUP($C11,Lookups!$A$55:$D$64,4))*VLOOKUP($C11,Lookups!$C$2:$D$11,2))),0)&lt;1,1,IF(ROUND(10.499-(((N11-VLOOKUP($C11,Lookups!$A$55:$D$64,3))/(VLOOKUP($C11,Lookups!$A$55:$D$64,4))*VLOOKUP($C11,Lookups!$C$2:$D$11,2))),0)&lt;11,ROUND(10.499-(((N11-VLOOKUP($C11,Lookups!$A$55:$D$64,3))/(VLOOKUP($C11,Lookups!$A$55:$D$64,4))*VLOOKUP($C11,Lookups!$C$2:$D$11,2))),0),10))</f>
        <v>#N/A</v>
      </c>
      <c r="P11" s="13" t="str">
        <f>IF((SUM(F11:M11)=0),"J",VLOOKUP(O11,Lookups!$A$1:$B$11,2))</f>
        <v>J</v>
      </c>
      <c r="Q11" s="8" t="e">
        <f>VLOOKUP(C11,Lookups!$A$136:$C$144,3)</f>
        <v>#N/A</v>
      </c>
      <c r="R11" s="8" t="e">
        <f>VLOOKUP(C11,Lookups!$A$136:$C$144,2)</f>
        <v>#N/A</v>
      </c>
      <c r="S11" s="4" t="str">
        <f t="shared" si="1"/>
        <v>No</v>
      </c>
      <c r="T11" s="125">
        <f t="shared" si="2"/>
        <v>0</v>
      </c>
      <c r="U11" s="125">
        <f t="shared" si="3"/>
        <v>0</v>
      </c>
      <c r="V11" s="4" t="e">
        <f>IF($Q11&lt;&gt;3,VLOOKUP(F11,'Points Table A'!B$3:$F$33,5),VLOOKUP(F11,'Points Table A'!H$3:$L$33,5))</f>
        <v>#N/A</v>
      </c>
      <c r="W11" s="4" t="e">
        <f>IF($Q11&lt;&gt;3,VLOOKUP(G11,'Points Table A'!C$3:$F$33,4),VLOOKUP(G11,'Points Table A'!I$3:$L$33,4))</f>
        <v>#N/A</v>
      </c>
      <c r="X11" s="4" t="e">
        <f>IF($Q11&lt;&gt;3,VLOOKUP(H11,'Points Table A'!D$3:$F$28,3),VLOOKUP(H11,'Points Table A'!J$3:$L$33,3))</f>
        <v>#N/A</v>
      </c>
      <c r="Y11" s="4" t="e">
        <f>IF($Q11&lt;&gt;3,VLOOKUP(I11,'Points Table A'!E$3:$F$33,2),VLOOKUP(I11,'Points Table A'!K$3:$L$33,2))</f>
        <v>#N/A</v>
      </c>
      <c r="Z11" s="4" t="e">
        <f t="shared" si="4"/>
        <v>#N/A</v>
      </c>
      <c r="AA11" s="4">
        <f>IF($S11=Lookups!$B$113,VLOOKUP(L11,'Points Table C'!A$3:$E$11,5),VLOOKUP(U11,'Points Table C'!B$3:$E$11,4))</f>
        <v>0</v>
      </c>
      <c r="AB11" s="4" t="e">
        <f>IF($Q11=1,0,VLOOKUP($J11,'Points Table C'!$C$3:$E$18,3))</f>
        <v>#N/A</v>
      </c>
      <c r="AC11" s="4">
        <f>VLOOKUP($K11,'Points Table C'!$D$3:$E$18,2)</f>
        <v>0</v>
      </c>
      <c r="AD11" s="4" t="e">
        <f>IF($Z11&lt;Lookups!$C$106,($AA11+AB11+AC11),IF($AA11&gt;=Lookups!$C$120,($AA11+AB11+AC11),$AA11+$AB11))</f>
        <v>#N/A</v>
      </c>
      <c r="AF11" s="7"/>
      <c r="AG11" s="7"/>
      <c r="AH11" s="7"/>
      <c r="AI11" s="7"/>
      <c r="AJ11" s="7"/>
      <c r="AK11" s="7"/>
      <c r="AL11" s="7"/>
      <c r="AM11" s="7"/>
      <c r="AN11" s="7"/>
      <c r="AO11" s="7"/>
      <c r="AP11" s="7"/>
      <c r="AQ11" s="7"/>
      <c r="AR11" s="7"/>
      <c r="AS11" s="7"/>
      <c r="AT11" s="7"/>
      <c r="AU11" s="7"/>
      <c r="AV11" s="7"/>
      <c r="AW11" s="7"/>
      <c r="AY11" s="7"/>
      <c r="AZ11" s="7"/>
      <c r="BA11" s="7"/>
      <c r="BB11" s="7"/>
    </row>
    <row r="12" spans="1:54" x14ac:dyDescent="0.2">
      <c r="B12" s="174"/>
      <c r="C12" s="176"/>
      <c r="F12" s="5">
        <v>0</v>
      </c>
      <c r="G12" s="192">
        <v>0</v>
      </c>
      <c r="H12" s="192">
        <v>0</v>
      </c>
      <c r="I12" s="5">
        <v>0</v>
      </c>
      <c r="J12" s="192">
        <v>0</v>
      </c>
      <c r="K12" s="192">
        <v>0</v>
      </c>
      <c r="L12" s="5">
        <v>0</v>
      </c>
      <c r="M12" s="5">
        <v>0</v>
      </c>
      <c r="N12" s="4" t="e">
        <f t="shared" si="0"/>
        <v>#N/A</v>
      </c>
      <c r="O12" s="4" t="e">
        <f>IF(ROUND(10.499-(((N12-VLOOKUP($C12,Lookups!$A$55:$D$64,3))/(VLOOKUP($C12,Lookups!$A$55:$D$64,4))*VLOOKUP($C12,Lookups!$C$2:$D$11,2))),0)&lt;1,1,IF(ROUND(10.499-(((N12-VLOOKUP($C12,Lookups!$A$55:$D$64,3))/(VLOOKUP($C12,Lookups!$A$55:$D$64,4))*VLOOKUP($C12,Lookups!$C$2:$D$11,2))),0)&lt;11,ROUND(10.499-(((N12-VLOOKUP($C12,Lookups!$A$55:$D$64,3))/(VLOOKUP($C12,Lookups!$A$55:$D$64,4))*VLOOKUP($C12,Lookups!$C$2:$D$11,2))),0),10))</f>
        <v>#N/A</v>
      </c>
      <c r="P12" s="13" t="str">
        <f>IF((SUM(F12:M12)=0),"J",VLOOKUP(O12,Lookups!$A$1:$B$11,2))</f>
        <v>J</v>
      </c>
      <c r="Q12" s="8" t="e">
        <f>VLOOKUP(C12,Lookups!$A$136:$C$144,3)</f>
        <v>#N/A</v>
      </c>
      <c r="R12" s="8" t="e">
        <f>VLOOKUP(C12,Lookups!$A$136:$C$144,2)</f>
        <v>#N/A</v>
      </c>
      <c r="S12" s="4" t="str">
        <f t="shared" si="1"/>
        <v>No</v>
      </c>
      <c r="T12" s="125">
        <f t="shared" si="2"/>
        <v>0</v>
      </c>
      <c r="U12" s="125">
        <f t="shared" si="3"/>
        <v>0</v>
      </c>
      <c r="V12" s="4" t="e">
        <f>IF($Q12&lt;&gt;3,VLOOKUP(F12,'Points Table A'!B$3:$F$33,5),VLOOKUP(F12,'Points Table A'!H$3:$L$33,5))</f>
        <v>#N/A</v>
      </c>
      <c r="W12" s="4" t="e">
        <f>IF($Q12&lt;&gt;3,VLOOKUP(G12,'Points Table A'!C$3:$F$33,4),VLOOKUP(G12,'Points Table A'!I$3:$L$33,4))</f>
        <v>#N/A</v>
      </c>
      <c r="X12" s="4" t="e">
        <f>IF($Q12&lt;&gt;3,VLOOKUP(H12,'Points Table A'!D$3:$F$28,3),VLOOKUP(H12,'Points Table A'!J$3:$L$33,3))</f>
        <v>#N/A</v>
      </c>
      <c r="Y12" s="4" t="e">
        <f>IF($Q12&lt;&gt;3,VLOOKUP(I12,'Points Table A'!E$3:$F$33,2),VLOOKUP(I12,'Points Table A'!K$3:$L$33,2))</f>
        <v>#N/A</v>
      </c>
      <c r="Z12" s="4" t="e">
        <f t="shared" si="4"/>
        <v>#N/A</v>
      </c>
      <c r="AA12" s="4">
        <f>IF($S12=Lookups!$B$113,VLOOKUP(L12,'Points Table C'!A$3:$E$11,5),VLOOKUP(U12,'Points Table C'!B$3:$E$11,4))</f>
        <v>0</v>
      </c>
      <c r="AB12" s="4" t="e">
        <f>IF($Q12=1,0,VLOOKUP($J12,'Points Table C'!$C$3:$E$18,3))</f>
        <v>#N/A</v>
      </c>
      <c r="AC12" s="4">
        <f>VLOOKUP($K12,'Points Table C'!$D$3:$E$18,2)</f>
        <v>0</v>
      </c>
      <c r="AD12" s="4" t="e">
        <f>IF($Z12&lt;Lookups!$C$106,($AA12+AB12+AC12),IF($AA12&gt;=Lookups!$C$120,($AA12+AB12+AC12),$AA12+$AB12))</f>
        <v>#N/A</v>
      </c>
      <c r="AF12" s="7"/>
      <c r="AG12" s="7"/>
      <c r="AH12" s="7"/>
      <c r="AI12" s="7"/>
      <c r="AJ12" s="7"/>
      <c r="AK12" s="7"/>
      <c r="AL12" s="7"/>
      <c r="AM12" s="7"/>
      <c r="AN12" s="7"/>
      <c r="AO12" s="7"/>
      <c r="AP12" s="7"/>
      <c r="AQ12" s="7"/>
      <c r="AR12" s="7"/>
      <c r="AS12" s="7"/>
      <c r="AT12" s="7"/>
      <c r="AU12" s="7"/>
      <c r="AV12" s="7"/>
      <c r="AW12" s="7"/>
      <c r="AY12" s="7"/>
      <c r="AZ12" s="7"/>
      <c r="BA12" s="7"/>
      <c r="BB12" s="7"/>
    </row>
    <row r="13" spans="1:54" x14ac:dyDescent="0.2">
      <c r="B13" s="174"/>
      <c r="C13" s="176"/>
      <c r="F13" s="5">
        <v>0</v>
      </c>
      <c r="G13" s="192">
        <v>0</v>
      </c>
      <c r="H13" s="192">
        <v>0</v>
      </c>
      <c r="I13" s="5">
        <v>0</v>
      </c>
      <c r="J13" s="192">
        <v>0</v>
      </c>
      <c r="K13" s="192">
        <v>0</v>
      </c>
      <c r="L13" s="5">
        <v>0</v>
      </c>
      <c r="M13" s="5">
        <v>0</v>
      </c>
      <c r="N13" s="4" t="e">
        <f t="shared" si="0"/>
        <v>#N/A</v>
      </c>
      <c r="O13" s="4" t="e">
        <f>IF(ROUND(10.499-(((N13-VLOOKUP($C13,Lookups!$A$55:$D$64,3))/(VLOOKUP($C13,Lookups!$A$55:$D$64,4))*VLOOKUP($C13,Lookups!$C$2:$D$11,2))),0)&lt;1,1,IF(ROUND(10.499-(((N13-VLOOKUP($C13,Lookups!$A$55:$D$64,3))/(VLOOKUP($C13,Lookups!$A$55:$D$64,4))*VLOOKUP($C13,Lookups!$C$2:$D$11,2))),0)&lt;11,ROUND(10.499-(((N13-VLOOKUP($C13,Lookups!$A$55:$D$64,3))/(VLOOKUP($C13,Lookups!$A$55:$D$64,4))*VLOOKUP($C13,Lookups!$C$2:$D$11,2))),0),10))</f>
        <v>#N/A</v>
      </c>
      <c r="P13" s="13" t="str">
        <f>IF((SUM(F13:M13)=0),"J",VLOOKUP(O13,Lookups!$A$1:$B$11,2))</f>
        <v>J</v>
      </c>
      <c r="Q13" s="8" t="e">
        <f>VLOOKUP(C13,Lookups!$A$136:$C$144,3)</f>
        <v>#N/A</v>
      </c>
      <c r="R13" s="8" t="e">
        <f>VLOOKUP(C13,Lookups!$A$136:$C$144,2)</f>
        <v>#N/A</v>
      </c>
      <c r="S13" s="4" t="str">
        <f t="shared" si="1"/>
        <v>No</v>
      </c>
      <c r="T13" s="125">
        <f t="shared" si="2"/>
        <v>0</v>
      </c>
      <c r="U13" s="125">
        <f t="shared" si="3"/>
        <v>0</v>
      </c>
      <c r="V13" s="4" t="e">
        <f>IF($Q13&lt;&gt;3,VLOOKUP(F13,'Points Table A'!B$3:$F$33,5),VLOOKUP(F13,'Points Table A'!H$3:$L$33,5))</f>
        <v>#N/A</v>
      </c>
      <c r="W13" s="4" t="e">
        <f>IF($Q13&lt;&gt;3,VLOOKUP(G13,'Points Table A'!C$3:$F$33,4),VLOOKUP(G13,'Points Table A'!I$3:$L$33,4))</f>
        <v>#N/A</v>
      </c>
      <c r="X13" s="4" t="e">
        <f>IF($Q13&lt;&gt;3,VLOOKUP(H13,'Points Table A'!D$3:$F$28,3),VLOOKUP(H13,'Points Table A'!J$3:$L$33,3))</f>
        <v>#N/A</v>
      </c>
      <c r="Y13" s="4" t="e">
        <f>IF($Q13&lt;&gt;3,VLOOKUP(I13,'Points Table A'!E$3:$F$33,2),VLOOKUP(I13,'Points Table A'!K$3:$L$33,2))</f>
        <v>#N/A</v>
      </c>
      <c r="Z13" s="4" t="e">
        <f t="shared" si="4"/>
        <v>#N/A</v>
      </c>
      <c r="AA13" s="4">
        <f>IF($S13=Lookups!$B$113,VLOOKUP(L13,'Points Table C'!A$3:$E$11,5),VLOOKUP(U13,'Points Table C'!B$3:$E$11,4))</f>
        <v>0</v>
      </c>
      <c r="AB13" s="4" t="e">
        <f>IF($Q13=1,0,VLOOKUP($J13,'Points Table C'!$C$3:$E$18,3))</f>
        <v>#N/A</v>
      </c>
      <c r="AC13" s="4">
        <f>VLOOKUP($K13,'Points Table C'!$D$3:$E$18,2)</f>
        <v>0</v>
      </c>
      <c r="AD13" s="4" t="e">
        <f>IF($Z13&lt;Lookups!$C$106,($AA13+AB13+AC13),IF($AA13&gt;=Lookups!$C$120,($AA13+AB13+AC13),$AA13+$AB13))</f>
        <v>#N/A</v>
      </c>
      <c r="AF13" s="7"/>
      <c r="AG13" s="7"/>
      <c r="AH13" s="7"/>
      <c r="AI13" s="7"/>
      <c r="AJ13" s="7"/>
      <c r="AK13" s="7"/>
      <c r="AL13" s="7"/>
      <c r="AM13" s="7"/>
      <c r="AN13" s="7"/>
      <c r="AO13" s="7"/>
      <c r="AP13" s="7"/>
      <c r="AQ13" s="7"/>
      <c r="AR13" s="7"/>
      <c r="AS13" s="7"/>
      <c r="AT13" s="7"/>
      <c r="AU13" s="7"/>
      <c r="AV13" s="7"/>
      <c r="AW13" s="7"/>
      <c r="AY13" s="7"/>
      <c r="AZ13" s="7"/>
      <c r="BA13" s="7"/>
      <c r="BB13" s="7"/>
    </row>
    <row r="14" spans="1:54" x14ac:dyDescent="0.2">
      <c r="B14" s="174"/>
      <c r="C14" s="176"/>
      <c r="F14" s="5">
        <v>0</v>
      </c>
      <c r="G14" s="192">
        <v>0</v>
      </c>
      <c r="H14" s="192">
        <v>0</v>
      </c>
      <c r="I14" s="5">
        <v>0</v>
      </c>
      <c r="J14" s="192">
        <v>0</v>
      </c>
      <c r="K14" s="192">
        <v>0</v>
      </c>
      <c r="L14" s="5">
        <v>0</v>
      </c>
      <c r="M14" s="5">
        <v>0</v>
      </c>
      <c r="N14" s="4" t="e">
        <f t="shared" si="0"/>
        <v>#N/A</v>
      </c>
      <c r="O14" s="4" t="e">
        <f>IF(ROUND(10.499-(((N14-VLOOKUP($C14,Lookups!$A$55:$D$64,3))/(VLOOKUP($C14,Lookups!$A$55:$D$64,4))*VLOOKUP($C14,Lookups!$C$2:$D$11,2))),0)&lt;1,1,IF(ROUND(10.499-(((N14-VLOOKUP($C14,Lookups!$A$55:$D$64,3))/(VLOOKUP($C14,Lookups!$A$55:$D$64,4))*VLOOKUP($C14,Lookups!$C$2:$D$11,2))),0)&lt;11,ROUND(10.499-(((N14-VLOOKUP($C14,Lookups!$A$55:$D$64,3))/(VLOOKUP($C14,Lookups!$A$55:$D$64,4))*VLOOKUP($C14,Lookups!$C$2:$D$11,2))),0),10))</f>
        <v>#N/A</v>
      </c>
      <c r="P14" s="13" t="str">
        <f>IF((SUM(F14:M14)=0),"J",VLOOKUP(O14,Lookups!$A$1:$B$11,2))</f>
        <v>J</v>
      </c>
      <c r="Q14" s="8" t="e">
        <f>VLOOKUP(C14,Lookups!$A$136:$C$144,3)</f>
        <v>#N/A</v>
      </c>
      <c r="R14" s="8" t="e">
        <f>VLOOKUP(C14,Lookups!$A$136:$C$144,2)</f>
        <v>#N/A</v>
      </c>
      <c r="S14" s="4" t="str">
        <f t="shared" si="1"/>
        <v>No</v>
      </c>
      <c r="T14" s="125">
        <f t="shared" si="2"/>
        <v>0</v>
      </c>
      <c r="U14" s="125">
        <f t="shared" si="3"/>
        <v>0</v>
      </c>
      <c r="V14" s="4" t="e">
        <f>IF($Q14&lt;&gt;3,VLOOKUP(F14,'Points Table A'!B$3:$F$33,5),VLOOKUP(F14,'Points Table A'!H$3:$L$33,5))</f>
        <v>#N/A</v>
      </c>
      <c r="W14" s="4" t="e">
        <f>IF($Q14&lt;&gt;3,VLOOKUP(G14,'Points Table A'!C$3:$F$33,4),VLOOKUP(G14,'Points Table A'!I$3:$L$33,4))</f>
        <v>#N/A</v>
      </c>
      <c r="X14" s="4" t="e">
        <f>IF($Q14&lt;&gt;3,VLOOKUP(H14,'Points Table A'!D$3:$F$28,3),VLOOKUP(H14,'Points Table A'!J$3:$L$33,3))</f>
        <v>#N/A</v>
      </c>
      <c r="Y14" s="4" t="e">
        <f>IF($Q14&lt;&gt;3,VLOOKUP(I14,'Points Table A'!E$3:$F$33,2),VLOOKUP(I14,'Points Table A'!K$3:$L$33,2))</f>
        <v>#N/A</v>
      </c>
      <c r="Z14" s="4" t="e">
        <f t="shared" si="4"/>
        <v>#N/A</v>
      </c>
      <c r="AA14" s="4">
        <f>IF($S14=Lookups!$B$113,VLOOKUP(L14,'Points Table C'!A$3:$E$11,5),VLOOKUP(U14,'Points Table C'!B$3:$E$11,4))</f>
        <v>0</v>
      </c>
      <c r="AB14" s="4" t="e">
        <f>IF($Q14=1,0,VLOOKUP($J14,'Points Table C'!$C$3:$E$18,3))</f>
        <v>#N/A</v>
      </c>
      <c r="AC14" s="4">
        <f>VLOOKUP($K14,'Points Table C'!$D$3:$E$18,2)</f>
        <v>0</v>
      </c>
      <c r="AD14" s="4" t="e">
        <f>IF($Z14&lt;Lookups!$C$106,($AA14+AB14+AC14),IF($AA14&gt;=Lookups!$C$120,($AA14+AB14+AC14),$AA14+$AB14))</f>
        <v>#N/A</v>
      </c>
      <c r="AF14" s="7"/>
      <c r="AG14" s="7"/>
      <c r="AH14" s="7"/>
      <c r="AI14" s="7"/>
      <c r="AJ14" s="7"/>
      <c r="AK14" s="7"/>
      <c r="AL14" s="7"/>
      <c r="AM14" s="7"/>
      <c r="AN14" s="7"/>
      <c r="AO14" s="7"/>
      <c r="AP14" s="7"/>
      <c r="AQ14" s="7"/>
      <c r="AR14" s="7"/>
      <c r="AS14" s="7"/>
      <c r="AT14" s="7"/>
      <c r="AU14" s="7"/>
      <c r="AV14" s="7"/>
      <c r="AW14" s="7"/>
      <c r="AY14" s="7"/>
      <c r="AZ14" s="7"/>
      <c r="BA14" s="7"/>
      <c r="BB14" s="7"/>
    </row>
    <row r="15" spans="1:54" x14ac:dyDescent="0.2">
      <c r="B15" s="174"/>
      <c r="C15" s="176"/>
      <c r="F15" s="5">
        <v>0</v>
      </c>
      <c r="G15" s="192">
        <v>0</v>
      </c>
      <c r="H15" s="192">
        <v>0</v>
      </c>
      <c r="I15" s="5">
        <v>0</v>
      </c>
      <c r="J15" s="192">
        <v>0</v>
      </c>
      <c r="K15" s="192">
        <v>0</v>
      </c>
      <c r="L15" s="5">
        <v>0</v>
      </c>
      <c r="M15" s="5">
        <v>0</v>
      </c>
      <c r="N15" s="4" t="e">
        <f t="shared" si="0"/>
        <v>#N/A</v>
      </c>
      <c r="O15" s="4" t="e">
        <f>IF(ROUND(10.499-(((N15-VLOOKUP($C15,Lookups!$A$55:$D$64,3))/(VLOOKUP($C15,Lookups!$A$55:$D$64,4))*VLOOKUP($C15,Lookups!$C$2:$D$11,2))),0)&lt;1,1,IF(ROUND(10.499-(((N15-VLOOKUP($C15,Lookups!$A$55:$D$64,3))/(VLOOKUP($C15,Lookups!$A$55:$D$64,4))*VLOOKUP($C15,Lookups!$C$2:$D$11,2))),0)&lt;11,ROUND(10.499-(((N15-VLOOKUP($C15,Lookups!$A$55:$D$64,3))/(VLOOKUP($C15,Lookups!$A$55:$D$64,4))*VLOOKUP($C15,Lookups!$C$2:$D$11,2))),0),10))</f>
        <v>#N/A</v>
      </c>
      <c r="P15" s="13" t="str">
        <f>IF((SUM(F15:M15)=0),"J",VLOOKUP(O15,Lookups!$A$1:$B$11,2))</f>
        <v>J</v>
      </c>
      <c r="Q15" s="8" t="e">
        <f>VLOOKUP(C15,Lookups!$A$136:$C$144,3)</f>
        <v>#N/A</v>
      </c>
      <c r="R15" s="8" t="e">
        <f>VLOOKUP(C15,Lookups!$A$136:$C$144,2)</f>
        <v>#N/A</v>
      </c>
      <c r="S15" s="4" t="str">
        <f t="shared" ref="S15:S78" si="5">IF(AND(L15&gt;0,M15=0),"Yes","No")</f>
        <v>No</v>
      </c>
      <c r="T15" s="125">
        <f t="shared" ref="T15:T78" si="6">L15+M15</f>
        <v>0</v>
      </c>
      <c r="U15" s="125">
        <f t="shared" ref="U15:U78" si="7">ROUND(100*(M15+2*L15)/(M15+2*L15+(100-L15-M15)),2)</f>
        <v>0</v>
      </c>
      <c r="V15" s="4" t="e">
        <f>IF($Q15&lt;&gt;3,VLOOKUP(F15,'Points Table A'!B$3:$F$33,5),VLOOKUP(F15,'Points Table A'!H$3:$L$33,5))</f>
        <v>#N/A</v>
      </c>
      <c r="W15" s="4" t="e">
        <f>IF($Q15&lt;&gt;3,VLOOKUP(G15,'Points Table A'!C$3:$F$33,4),VLOOKUP(G15,'Points Table A'!I$3:$L$33,4))</f>
        <v>#N/A</v>
      </c>
      <c r="X15" s="4" t="e">
        <f>IF($Q15&lt;&gt;3,VLOOKUP(H15,'Points Table A'!D$3:$F$28,3),VLOOKUP(H15,'Points Table A'!J$3:$L$33,3))</f>
        <v>#N/A</v>
      </c>
      <c r="Y15" s="4" t="e">
        <f>IF($Q15&lt;&gt;3,VLOOKUP(I15,'Points Table A'!E$3:$F$33,2),VLOOKUP(I15,'Points Table A'!K$3:$L$33,2))</f>
        <v>#N/A</v>
      </c>
      <c r="Z15" s="4" t="e">
        <f t="shared" ref="Z15:Z78" si="8">SUM(V15:Y15)</f>
        <v>#N/A</v>
      </c>
      <c r="AA15" s="4">
        <f>IF($S15=Lookups!$B$113,VLOOKUP(L15,'Points Table C'!A$3:$E$11,5),VLOOKUP(U15,'Points Table C'!B$3:$E$11,4))</f>
        <v>0</v>
      </c>
      <c r="AB15" s="4" t="e">
        <f>IF($Q15=1,0,VLOOKUP($J15,'Points Table C'!$C$3:$E$18,3))</f>
        <v>#N/A</v>
      </c>
      <c r="AC15" s="4">
        <f>VLOOKUP($K15,'Points Table C'!$D$3:$E$18,2)</f>
        <v>0</v>
      </c>
      <c r="AD15" s="4" t="e">
        <f>IF($Z15&lt;Lookups!$C$106,($AA15+AB15+AC15),IF($AA15&gt;=Lookups!$C$120,($AA15+AB15+AC15),$AA15+$AB15))</f>
        <v>#N/A</v>
      </c>
      <c r="AF15" s="7"/>
      <c r="AG15" s="7"/>
      <c r="AH15" s="7"/>
      <c r="AI15" s="7"/>
      <c r="AJ15" s="7"/>
      <c r="AK15" s="7"/>
      <c r="AL15" s="7"/>
      <c r="AM15" s="7"/>
      <c r="AN15" s="7"/>
      <c r="AO15" s="7"/>
      <c r="AP15" s="7"/>
      <c r="AQ15" s="7"/>
      <c r="AR15" s="7"/>
      <c r="AS15" s="7"/>
      <c r="AT15" s="7"/>
      <c r="AU15" s="7"/>
      <c r="AV15" s="7"/>
      <c r="AW15" s="7"/>
      <c r="AY15" s="7"/>
      <c r="AZ15" s="7"/>
      <c r="BA15" s="7"/>
      <c r="BB15" s="7"/>
    </row>
    <row r="16" spans="1:54" x14ac:dyDescent="0.2">
      <c r="B16" s="174"/>
      <c r="C16" s="176"/>
      <c r="F16" s="5">
        <v>0</v>
      </c>
      <c r="G16" s="192">
        <v>0</v>
      </c>
      <c r="H16" s="192">
        <v>0</v>
      </c>
      <c r="I16" s="5">
        <v>0</v>
      </c>
      <c r="J16" s="192">
        <v>0</v>
      </c>
      <c r="K16" s="192">
        <v>0</v>
      </c>
      <c r="L16" s="5">
        <v>0</v>
      </c>
      <c r="M16" s="5">
        <v>0</v>
      </c>
      <c r="N16" s="4" t="e">
        <f t="shared" si="0"/>
        <v>#N/A</v>
      </c>
      <c r="O16" s="4" t="e">
        <f>IF(ROUND(10.499-(((N16-VLOOKUP($C16,Lookups!$A$55:$D$64,3))/(VLOOKUP($C16,Lookups!$A$55:$D$64,4))*VLOOKUP($C16,Lookups!$C$2:$D$11,2))),0)&lt;1,1,IF(ROUND(10.499-(((N16-VLOOKUP($C16,Lookups!$A$55:$D$64,3))/(VLOOKUP($C16,Lookups!$A$55:$D$64,4))*VLOOKUP($C16,Lookups!$C$2:$D$11,2))),0)&lt;11,ROUND(10.499-(((N16-VLOOKUP($C16,Lookups!$A$55:$D$64,3))/(VLOOKUP($C16,Lookups!$A$55:$D$64,4))*VLOOKUP($C16,Lookups!$C$2:$D$11,2))),0),10))</f>
        <v>#N/A</v>
      </c>
      <c r="P16" s="13" t="str">
        <f>IF((SUM(F16:M16)=0),"J",VLOOKUP(O16,Lookups!$A$1:$B$11,2))</f>
        <v>J</v>
      </c>
      <c r="Q16" s="8" t="e">
        <f>VLOOKUP(C16,Lookups!$A$136:$C$144,3)</f>
        <v>#N/A</v>
      </c>
      <c r="R16" s="8" t="e">
        <f>VLOOKUP(C16,Lookups!$A$136:$C$144,2)</f>
        <v>#N/A</v>
      </c>
      <c r="S16" s="4" t="str">
        <f t="shared" si="5"/>
        <v>No</v>
      </c>
      <c r="T16" s="125">
        <f t="shared" si="6"/>
        <v>0</v>
      </c>
      <c r="U16" s="125">
        <f t="shared" si="7"/>
        <v>0</v>
      </c>
      <c r="V16" s="4" t="e">
        <f>IF($Q16&lt;&gt;3,VLOOKUP(F16,'Points Table A'!B$3:$F$33,5),VLOOKUP(F16,'Points Table A'!H$3:$L$33,5))</f>
        <v>#N/A</v>
      </c>
      <c r="W16" s="4" t="e">
        <f>IF($Q16&lt;&gt;3,VLOOKUP(G16,'Points Table A'!C$3:$F$33,4),VLOOKUP(G16,'Points Table A'!I$3:$L$33,4))</f>
        <v>#N/A</v>
      </c>
      <c r="X16" s="4" t="e">
        <f>IF($Q16&lt;&gt;3,VLOOKUP(H16,'Points Table A'!D$3:$F$28,3),VLOOKUP(H16,'Points Table A'!J$3:$L$33,3))</f>
        <v>#N/A</v>
      </c>
      <c r="Y16" s="4" t="e">
        <f>IF($Q16&lt;&gt;3,VLOOKUP(I16,'Points Table A'!E$3:$F$33,2),VLOOKUP(I16,'Points Table A'!K$3:$L$33,2))</f>
        <v>#N/A</v>
      </c>
      <c r="Z16" s="4" t="e">
        <f t="shared" si="8"/>
        <v>#N/A</v>
      </c>
      <c r="AA16" s="4">
        <f>IF($S16=Lookups!$B$113,VLOOKUP(L16,'Points Table C'!A$3:$E$11,5),VLOOKUP(U16,'Points Table C'!B$3:$E$11,4))</f>
        <v>0</v>
      </c>
      <c r="AB16" s="4" t="e">
        <f>IF($Q16=1,0,VLOOKUP($J16,'Points Table C'!$C$3:$E$18,3))</f>
        <v>#N/A</v>
      </c>
      <c r="AC16" s="4">
        <f>VLOOKUP($K16,'Points Table C'!$D$3:$E$18,2)</f>
        <v>0</v>
      </c>
      <c r="AD16" s="4" t="e">
        <f>IF($Z16&lt;Lookups!$C$106,($AA16+AB16+AC16),IF($AA16&gt;=Lookups!$C$120,($AA16+AB16+AC16),$AA16+$AB16))</f>
        <v>#N/A</v>
      </c>
      <c r="AF16" s="7"/>
      <c r="AG16" s="7"/>
      <c r="AH16" s="7"/>
      <c r="AI16" s="7"/>
      <c r="AJ16" s="7"/>
      <c r="AK16" s="7"/>
      <c r="AL16" s="7"/>
      <c r="AM16" s="7"/>
      <c r="AN16" s="7"/>
      <c r="AO16" s="7"/>
      <c r="AP16" s="7"/>
      <c r="AQ16" s="7"/>
      <c r="AR16" s="7"/>
      <c r="AS16" s="7"/>
      <c r="AT16" s="7"/>
      <c r="AU16" s="7"/>
      <c r="AV16" s="7"/>
      <c r="AW16" s="7"/>
      <c r="AY16" s="7"/>
      <c r="AZ16" s="7"/>
      <c r="BA16" s="7"/>
      <c r="BB16" s="7"/>
    </row>
    <row r="17" spans="2:54" x14ac:dyDescent="0.2">
      <c r="B17" s="174"/>
      <c r="C17" s="176"/>
      <c r="F17" s="5">
        <v>0</v>
      </c>
      <c r="G17" s="192">
        <v>0</v>
      </c>
      <c r="H17" s="192">
        <v>0</v>
      </c>
      <c r="I17" s="5">
        <v>0</v>
      </c>
      <c r="J17" s="192">
        <v>0</v>
      </c>
      <c r="K17" s="192">
        <v>0</v>
      </c>
      <c r="L17" s="5">
        <v>0</v>
      </c>
      <c r="M17" s="5">
        <v>0</v>
      </c>
      <c r="N17" s="4" t="e">
        <f t="shared" si="0"/>
        <v>#N/A</v>
      </c>
      <c r="O17" s="4" t="e">
        <f>IF(ROUND(10.499-(((N17-VLOOKUP($C17,Lookups!$A$55:$D$64,3))/(VLOOKUP($C17,Lookups!$A$55:$D$64,4))*VLOOKUP($C17,Lookups!$C$2:$D$11,2))),0)&lt;1,1,IF(ROUND(10.499-(((N17-VLOOKUP($C17,Lookups!$A$55:$D$64,3))/(VLOOKUP($C17,Lookups!$A$55:$D$64,4))*VLOOKUP($C17,Lookups!$C$2:$D$11,2))),0)&lt;11,ROUND(10.499-(((N17-VLOOKUP($C17,Lookups!$A$55:$D$64,3))/(VLOOKUP($C17,Lookups!$A$55:$D$64,4))*VLOOKUP($C17,Lookups!$C$2:$D$11,2))),0),10))</f>
        <v>#N/A</v>
      </c>
      <c r="P17" s="13" t="str">
        <f>IF((SUM(F17:M17)=0),"J",VLOOKUP(O17,Lookups!$A$1:$B$11,2))</f>
        <v>J</v>
      </c>
      <c r="Q17" s="8" t="e">
        <f>VLOOKUP(C17,Lookups!$A$136:$C$144,3)</f>
        <v>#N/A</v>
      </c>
      <c r="R17" s="8" t="e">
        <f>VLOOKUP(C17,Lookups!$A$136:$C$144,2)</f>
        <v>#N/A</v>
      </c>
      <c r="S17" s="4" t="str">
        <f t="shared" si="5"/>
        <v>No</v>
      </c>
      <c r="T17" s="125">
        <f t="shared" si="6"/>
        <v>0</v>
      </c>
      <c r="U17" s="125">
        <f t="shared" si="7"/>
        <v>0</v>
      </c>
      <c r="V17" s="4" t="e">
        <f>IF($Q17&lt;&gt;3,VLOOKUP(F17,'Points Table A'!B$3:$F$33,5),VLOOKUP(F17,'Points Table A'!H$3:$L$33,5))</f>
        <v>#N/A</v>
      </c>
      <c r="W17" s="4" t="e">
        <f>IF($Q17&lt;&gt;3,VLOOKUP(G17,'Points Table A'!C$3:$F$33,4),VLOOKUP(G17,'Points Table A'!I$3:$L$33,4))</f>
        <v>#N/A</v>
      </c>
      <c r="X17" s="4" t="e">
        <f>IF($Q17&lt;&gt;3,VLOOKUP(H17,'Points Table A'!D$3:$F$28,3),VLOOKUP(H17,'Points Table A'!J$3:$L$33,3))</f>
        <v>#N/A</v>
      </c>
      <c r="Y17" s="4" t="e">
        <f>IF($Q17&lt;&gt;3,VLOOKUP(I17,'Points Table A'!E$3:$F$33,2),VLOOKUP(I17,'Points Table A'!K$3:$L$33,2))</f>
        <v>#N/A</v>
      </c>
      <c r="Z17" s="4" t="e">
        <f t="shared" si="8"/>
        <v>#N/A</v>
      </c>
      <c r="AA17" s="4">
        <f>IF($S17=Lookups!$B$113,VLOOKUP(L17,'Points Table C'!A$3:$E$11,5),VLOOKUP(U17,'Points Table C'!B$3:$E$11,4))</f>
        <v>0</v>
      </c>
      <c r="AB17" s="4" t="e">
        <f>IF($Q17=1,0,VLOOKUP($J17,'Points Table C'!$C$3:$E$18,3))</f>
        <v>#N/A</v>
      </c>
      <c r="AC17" s="4">
        <f>VLOOKUP($K17,'Points Table C'!$D$3:$E$18,2)</f>
        <v>0</v>
      </c>
      <c r="AD17" s="4" t="e">
        <f>IF($Z17&lt;Lookups!$C$106,($AA17+AB17+AC17),IF($AA17&gt;=Lookups!$C$120,($AA17+AB17+AC17),$AA17+$AB17))</f>
        <v>#N/A</v>
      </c>
      <c r="AF17" s="7"/>
      <c r="AG17" s="7"/>
      <c r="AH17" s="7"/>
      <c r="AI17" s="7"/>
      <c r="AJ17" s="7"/>
      <c r="AK17" s="7"/>
      <c r="AL17" s="7"/>
      <c r="AM17" s="7"/>
      <c r="AN17" s="7"/>
      <c r="AO17" s="7"/>
      <c r="AP17" s="7"/>
      <c r="AQ17" s="7"/>
      <c r="AR17" s="7"/>
      <c r="AS17" s="7"/>
      <c r="AT17" s="7"/>
      <c r="AU17" s="7"/>
      <c r="AV17" s="7"/>
      <c r="AW17" s="7"/>
      <c r="AY17" s="7"/>
      <c r="AZ17" s="7"/>
      <c r="BA17" s="7"/>
      <c r="BB17" s="7"/>
    </row>
    <row r="18" spans="2:54" x14ac:dyDescent="0.2">
      <c r="B18" s="174"/>
      <c r="C18" s="176"/>
      <c r="F18" s="5">
        <v>0</v>
      </c>
      <c r="G18" s="192">
        <v>0</v>
      </c>
      <c r="H18" s="192">
        <v>0</v>
      </c>
      <c r="I18" s="5">
        <v>0</v>
      </c>
      <c r="J18" s="192">
        <v>0</v>
      </c>
      <c r="K18" s="192">
        <v>0</v>
      </c>
      <c r="L18" s="5">
        <v>0</v>
      </c>
      <c r="M18" s="5">
        <v>0</v>
      </c>
      <c r="N18" s="4" t="e">
        <f t="shared" si="0"/>
        <v>#N/A</v>
      </c>
      <c r="O18" s="4" t="e">
        <f>IF(ROUND(10.499-(((N18-VLOOKUP($C18,Lookups!$A$55:$D$64,3))/(VLOOKUP($C18,Lookups!$A$55:$D$64,4))*VLOOKUP($C18,Lookups!$C$2:$D$11,2))),0)&lt;1,1,IF(ROUND(10.499-(((N18-VLOOKUP($C18,Lookups!$A$55:$D$64,3))/(VLOOKUP($C18,Lookups!$A$55:$D$64,4))*VLOOKUP($C18,Lookups!$C$2:$D$11,2))),0)&lt;11,ROUND(10.499-(((N18-VLOOKUP($C18,Lookups!$A$55:$D$64,3))/(VLOOKUP($C18,Lookups!$A$55:$D$64,4))*VLOOKUP($C18,Lookups!$C$2:$D$11,2))),0),10))</f>
        <v>#N/A</v>
      </c>
      <c r="P18" s="13" t="str">
        <f>IF((SUM(F18:M18)=0),"J",VLOOKUP(O18,Lookups!$A$1:$B$11,2))</f>
        <v>J</v>
      </c>
      <c r="Q18" s="8" t="e">
        <f>VLOOKUP(C18,Lookups!$A$136:$C$144,3)</f>
        <v>#N/A</v>
      </c>
      <c r="R18" s="8" t="e">
        <f>VLOOKUP(C18,Lookups!$A$136:$C$144,2)</f>
        <v>#N/A</v>
      </c>
      <c r="S18" s="4" t="str">
        <f t="shared" si="5"/>
        <v>No</v>
      </c>
      <c r="T18" s="125">
        <f t="shared" si="6"/>
        <v>0</v>
      </c>
      <c r="U18" s="125">
        <f t="shared" si="7"/>
        <v>0</v>
      </c>
      <c r="V18" s="4" t="e">
        <f>IF($Q18&lt;&gt;3,VLOOKUP(F18,'Points Table A'!B$3:$F$33,5),VLOOKUP(F18,'Points Table A'!H$3:$L$33,5))</f>
        <v>#N/A</v>
      </c>
      <c r="W18" s="4" t="e">
        <f>IF($Q18&lt;&gt;3,VLOOKUP(G18,'Points Table A'!C$3:$F$33,4),VLOOKUP(G18,'Points Table A'!I$3:$L$33,4))</f>
        <v>#N/A</v>
      </c>
      <c r="X18" s="4" t="e">
        <f>IF($Q18&lt;&gt;3,VLOOKUP(H18,'Points Table A'!D$3:$F$28,3),VLOOKUP(H18,'Points Table A'!J$3:$L$33,3))</f>
        <v>#N/A</v>
      </c>
      <c r="Y18" s="4" t="e">
        <f>IF($Q18&lt;&gt;3,VLOOKUP(I18,'Points Table A'!E$3:$F$33,2),VLOOKUP(I18,'Points Table A'!K$3:$L$33,2))</f>
        <v>#N/A</v>
      </c>
      <c r="Z18" s="4" t="e">
        <f t="shared" si="8"/>
        <v>#N/A</v>
      </c>
      <c r="AA18" s="4">
        <f>IF($S18=Lookups!$B$113,VLOOKUP(L18,'Points Table C'!A$3:$E$11,5),VLOOKUP(U18,'Points Table C'!B$3:$E$11,4))</f>
        <v>0</v>
      </c>
      <c r="AB18" s="4" t="e">
        <f>IF($Q18=1,0,VLOOKUP($J18,'Points Table C'!$C$3:$E$18,3))</f>
        <v>#N/A</v>
      </c>
      <c r="AC18" s="4">
        <f>VLOOKUP($K18,'Points Table C'!$D$3:$E$18,2)</f>
        <v>0</v>
      </c>
      <c r="AD18" s="4" t="e">
        <f>IF($Z18&lt;Lookups!$C$106,($AA18+AB18+AC18),IF($AA18&gt;=Lookups!$C$120,($AA18+AB18+AC18),$AA18+$AB18))</f>
        <v>#N/A</v>
      </c>
      <c r="AF18" s="7"/>
      <c r="AG18" s="7"/>
      <c r="AH18" s="7"/>
      <c r="AI18" s="7"/>
      <c r="AJ18" s="7"/>
      <c r="AK18" s="7"/>
      <c r="AL18" s="7"/>
      <c r="AM18" s="7"/>
      <c r="AN18" s="7"/>
      <c r="AO18" s="7"/>
      <c r="AP18" s="7"/>
      <c r="AQ18" s="7"/>
      <c r="AR18" s="7"/>
      <c r="AS18" s="7"/>
      <c r="AT18" s="7"/>
      <c r="AU18" s="7"/>
      <c r="AV18" s="7"/>
      <c r="AW18" s="7"/>
      <c r="AY18" s="7"/>
      <c r="AZ18" s="7"/>
      <c r="BA18" s="7"/>
      <c r="BB18" s="7"/>
    </row>
    <row r="19" spans="2:54" x14ac:dyDescent="0.2">
      <c r="B19" s="174"/>
      <c r="C19" s="176"/>
      <c r="F19" s="5">
        <v>0</v>
      </c>
      <c r="G19" s="192">
        <v>0</v>
      </c>
      <c r="H19" s="192">
        <v>0</v>
      </c>
      <c r="I19" s="5">
        <v>0</v>
      </c>
      <c r="J19" s="192">
        <v>0</v>
      </c>
      <c r="K19" s="192">
        <v>0</v>
      </c>
      <c r="L19" s="5">
        <v>0</v>
      </c>
      <c r="M19" s="5">
        <v>0</v>
      </c>
      <c r="N19" s="4" t="e">
        <f t="shared" si="0"/>
        <v>#N/A</v>
      </c>
      <c r="O19" s="4" t="e">
        <f>IF(ROUND(10.499-(((N19-VLOOKUP($C19,Lookups!$A$55:$D$64,3))/(VLOOKUP($C19,Lookups!$A$55:$D$64,4))*VLOOKUP($C19,Lookups!$C$2:$D$11,2))),0)&lt;1,1,IF(ROUND(10.499-(((N19-VLOOKUP($C19,Lookups!$A$55:$D$64,3))/(VLOOKUP($C19,Lookups!$A$55:$D$64,4))*VLOOKUP($C19,Lookups!$C$2:$D$11,2))),0)&lt;11,ROUND(10.499-(((N19-VLOOKUP($C19,Lookups!$A$55:$D$64,3))/(VLOOKUP($C19,Lookups!$A$55:$D$64,4))*VLOOKUP($C19,Lookups!$C$2:$D$11,2))),0),10))</f>
        <v>#N/A</v>
      </c>
      <c r="P19" s="13" t="str">
        <f>IF((SUM(F19:M19)=0),"J",VLOOKUP(O19,Lookups!$A$1:$B$11,2))</f>
        <v>J</v>
      </c>
      <c r="Q19" s="8" t="e">
        <f>VLOOKUP(C19,Lookups!$A$136:$C$144,3)</f>
        <v>#N/A</v>
      </c>
      <c r="R19" s="8" t="e">
        <f>VLOOKUP(C19,Lookups!$A$136:$C$144,2)</f>
        <v>#N/A</v>
      </c>
      <c r="S19" s="4" t="str">
        <f t="shared" si="5"/>
        <v>No</v>
      </c>
      <c r="T19" s="125">
        <f t="shared" si="6"/>
        <v>0</v>
      </c>
      <c r="U19" s="125">
        <f t="shared" si="7"/>
        <v>0</v>
      </c>
      <c r="V19" s="4" t="e">
        <f>IF($Q19&lt;&gt;3,VLOOKUP(F19,'Points Table A'!B$3:$F$33,5),VLOOKUP(F19,'Points Table A'!H$3:$L$33,5))</f>
        <v>#N/A</v>
      </c>
      <c r="W19" s="4" t="e">
        <f>IF($Q19&lt;&gt;3,VLOOKUP(G19,'Points Table A'!C$3:$F$33,4),VLOOKUP(G19,'Points Table A'!I$3:$L$33,4))</f>
        <v>#N/A</v>
      </c>
      <c r="X19" s="4" t="e">
        <f>IF($Q19&lt;&gt;3,VLOOKUP(H19,'Points Table A'!D$3:$F$28,3),VLOOKUP(H19,'Points Table A'!J$3:$L$33,3))</f>
        <v>#N/A</v>
      </c>
      <c r="Y19" s="4" t="e">
        <f>IF($Q19&lt;&gt;3,VLOOKUP(I19,'Points Table A'!E$3:$F$33,2),VLOOKUP(I19,'Points Table A'!K$3:$L$33,2))</f>
        <v>#N/A</v>
      </c>
      <c r="Z19" s="4" t="e">
        <f t="shared" si="8"/>
        <v>#N/A</v>
      </c>
      <c r="AA19" s="4">
        <f>IF($S19=Lookups!$B$113,VLOOKUP(L19,'Points Table C'!A$3:$E$11,5),VLOOKUP(U19,'Points Table C'!B$3:$E$11,4))</f>
        <v>0</v>
      </c>
      <c r="AB19" s="4" t="e">
        <f>IF($Q19=1,0,VLOOKUP($J19,'Points Table C'!$C$3:$E$18,3))</f>
        <v>#N/A</v>
      </c>
      <c r="AC19" s="4">
        <f>VLOOKUP($K19,'Points Table C'!$D$3:$E$18,2)</f>
        <v>0</v>
      </c>
      <c r="AD19" s="4" t="e">
        <f>IF($Z19&lt;Lookups!$C$106,($AA19+AB19+AC19),IF($AA19&gt;=Lookups!$C$120,($AA19+AB19+AC19),$AA19+$AB19))</f>
        <v>#N/A</v>
      </c>
      <c r="AF19" s="7"/>
      <c r="AG19" s="7"/>
      <c r="AH19" s="7"/>
      <c r="AI19" s="7"/>
      <c r="AJ19" s="7"/>
      <c r="AK19" s="7"/>
      <c r="AL19" s="7"/>
      <c r="AM19" s="7"/>
      <c r="AN19" s="7"/>
      <c r="AO19" s="7"/>
      <c r="AP19" s="7"/>
      <c r="AQ19" s="7"/>
      <c r="AR19" s="7"/>
      <c r="AS19" s="7"/>
      <c r="AT19" s="7"/>
      <c r="AU19" s="7"/>
      <c r="AV19" s="7"/>
      <c r="AW19" s="7"/>
      <c r="AY19" s="7"/>
      <c r="AZ19" s="7"/>
      <c r="BA19" s="7"/>
      <c r="BB19" s="7"/>
    </row>
    <row r="20" spans="2:54" x14ac:dyDescent="0.2">
      <c r="B20" s="174"/>
      <c r="C20" s="176"/>
      <c r="F20" s="5">
        <v>0</v>
      </c>
      <c r="G20" s="192">
        <v>0</v>
      </c>
      <c r="H20" s="192">
        <v>0</v>
      </c>
      <c r="I20" s="5">
        <v>0</v>
      </c>
      <c r="J20" s="192">
        <v>0</v>
      </c>
      <c r="K20" s="192">
        <v>0</v>
      </c>
      <c r="L20" s="5">
        <v>0</v>
      </c>
      <c r="M20" s="5">
        <v>0</v>
      </c>
      <c r="N20" s="4" t="e">
        <f t="shared" si="0"/>
        <v>#N/A</v>
      </c>
      <c r="O20" s="4" t="e">
        <f>IF(ROUND(10.499-(((N20-VLOOKUP($C20,Lookups!$A$55:$D$64,3))/(VLOOKUP($C20,Lookups!$A$55:$D$64,4))*VLOOKUP($C20,Lookups!$C$2:$D$11,2))),0)&lt;1,1,IF(ROUND(10.499-(((N20-VLOOKUP($C20,Lookups!$A$55:$D$64,3))/(VLOOKUP($C20,Lookups!$A$55:$D$64,4))*VLOOKUP($C20,Lookups!$C$2:$D$11,2))),0)&lt;11,ROUND(10.499-(((N20-VLOOKUP($C20,Lookups!$A$55:$D$64,3))/(VLOOKUP($C20,Lookups!$A$55:$D$64,4))*VLOOKUP($C20,Lookups!$C$2:$D$11,2))),0),10))</f>
        <v>#N/A</v>
      </c>
      <c r="P20" s="13" t="str">
        <f>IF((SUM(F20:M20)=0),"J",VLOOKUP(O20,Lookups!$A$1:$B$11,2))</f>
        <v>J</v>
      </c>
      <c r="Q20" s="8" t="e">
        <f>VLOOKUP(C20,Lookups!$A$136:$C$144,3)</f>
        <v>#N/A</v>
      </c>
      <c r="R20" s="8" t="e">
        <f>VLOOKUP(C20,Lookups!$A$136:$C$144,2)</f>
        <v>#N/A</v>
      </c>
      <c r="S20" s="4" t="str">
        <f t="shared" si="5"/>
        <v>No</v>
      </c>
      <c r="T20" s="125">
        <f t="shared" si="6"/>
        <v>0</v>
      </c>
      <c r="U20" s="125">
        <f t="shared" si="7"/>
        <v>0</v>
      </c>
      <c r="V20" s="4" t="e">
        <f>IF($Q20&lt;&gt;3,VLOOKUP(F20,'Points Table A'!B$3:$F$33,5),VLOOKUP(F20,'Points Table A'!H$3:$L$33,5))</f>
        <v>#N/A</v>
      </c>
      <c r="W20" s="4" t="e">
        <f>IF($Q20&lt;&gt;3,VLOOKUP(G20,'Points Table A'!C$3:$F$33,4),VLOOKUP(G20,'Points Table A'!I$3:$L$33,4))</f>
        <v>#N/A</v>
      </c>
      <c r="X20" s="4" t="e">
        <f>IF($Q20&lt;&gt;3,VLOOKUP(H20,'Points Table A'!D$3:$F$28,3),VLOOKUP(H20,'Points Table A'!J$3:$L$33,3))</f>
        <v>#N/A</v>
      </c>
      <c r="Y20" s="4" t="e">
        <f>IF($Q20&lt;&gt;3,VLOOKUP(I20,'Points Table A'!E$3:$F$33,2),VLOOKUP(I20,'Points Table A'!K$3:$L$33,2))</f>
        <v>#N/A</v>
      </c>
      <c r="Z20" s="4" t="e">
        <f t="shared" si="8"/>
        <v>#N/A</v>
      </c>
      <c r="AA20" s="4">
        <f>IF($S20=Lookups!$B$113,VLOOKUP(L20,'Points Table C'!A$3:$E$11,5),VLOOKUP(U20,'Points Table C'!B$3:$E$11,4))</f>
        <v>0</v>
      </c>
      <c r="AB20" s="4" t="e">
        <f>IF($Q20=1,0,VLOOKUP($J20,'Points Table C'!$C$3:$E$18,3))</f>
        <v>#N/A</v>
      </c>
      <c r="AC20" s="4">
        <f>VLOOKUP($K20,'Points Table C'!$D$3:$E$18,2)</f>
        <v>0</v>
      </c>
      <c r="AD20" s="4" t="e">
        <f>IF($Z20&lt;Lookups!$C$106,($AA20+AB20+AC20),IF($AA20&gt;=Lookups!$C$120,($AA20+AB20+AC20),$AA20+$AB20))</f>
        <v>#N/A</v>
      </c>
      <c r="AF20" s="7"/>
      <c r="AG20" s="7"/>
      <c r="AH20" s="7"/>
      <c r="AI20" s="7"/>
      <c r="AJ20" s="7"/>
      <c r="AK20" s="7"/>
      <c r="AL20" s="7"/>
      <c r="AM20" s="7"/>
      <c r="AN20" s="7"/>
      <c r="AO20" s="7"/>
      <c r="AP20" s="7"/>
      <c r="AQ20" s="7"/>
      <c r="AR20" s="7"/>
      <c r="AS20" s="7"/>
      <c r="AT20" s="7"/>
      <c r="AU20" s="7"/>
      <c r="AV20" s="7"/>
      <c r="AW20" s="7"/>
      <c r="AY20" s="7"/>
      <c r="AZ20" s="7"/>
      <c r="BA20" s="7"/>
      <c r="BB20" s="7"/>
    </row>
    <row r="21" spans="2:54" x14ac:dyDescent="0.2">
      <c r="B21" s="174"/>
      <c r="C21" s="176"/>
      <c r="F21" s="5">
        <v>0</v>
      </c>
      <c r="G21" s="192">
        <v>0</v>
      </c>
      <c r="H21" s="192">
        <v>0</v>
      </c>
      <c r="I21" s="5">
        <v>0</v>
      </c>
      <c r="J21" s="192">
        <v>0</v>
      </c>
      <c r="K21" s="192">
        <v>0</v>
      </c>
      <c r="L21" s="5">
        <v>0</v>
      </c>
      <c r="M21" s="5">
        <v>0</v>
      </c>
      <c r="N21" s="4" t="e">
        <f t="shared" si="0"/>
        <v>#N/A</v>
      </c>
      <c r="O21" s="4" t="e">
        <f>IF(ROUND(10.499-(((N21-VLOOKUP($C21,Lookups!$A$55:$D$64,3))/(VLOOKUP($C21,Lookups!$A$55:$D$64,4))*VLOOKUP($C21,Lookups!$C$2:$D$11,2))),0)&lt;1,1,IF(ROUND(10.499-(((N21-VLOOKUP($C21,Lookups!$A$55:$D$64,3))/(VLOOKUP($C21,Lookups!$A$55:$D$64,4))*VLOOKUP($C21,Lookups!$C$2:$D$11,2))),0)&lt;11,ROUND(10.499-(((N21-VLOOKUP($C21,Lookups!$A$55:$D$64,3))/(VLOOKUP($C21,Lookups!$A$55:$D$64,4))*VLOOKUP($C21,Lookups!$C$2:$D$11,2))),0),10))</f>
        <v>#N/A</v>
      </c>
      <c r="P21" s="13" t="str">
        <f>IF((SUM(F21:M21)=0),"J",VLOOKUP(O21,Lookups!$A$1:$B$11,2))</f>
        <v>J</v>
      </c>
      <c r="Q21" s="8" t="e">
        <f>VLOOKUP(C21,Lookups!$A$136:$C$144,3)</f>
        <v>#N/A</v>
      </c>
      <c r="R21" s="8" t="e">
        <f>VLOOKUP(C21,Lookups!$A$136:$C$144,2)</f>
        <v>#N/A</v>
      </c>
      <c r="S21" s="4" t="str">
        <f t="shared" si="5"/>
        <v>No</v>
      </c>
      <c r="T21" s="125">
        <f t="shared" si="6"/>
        <v>0</v>
      </c>
      <c r="U21" s="125">
        <f t="shared" si="7"/>
        <v>0</v>
      </c>
      <c r="V21" s="4" t="e">
        <f>IF($Q21&lt;&gt;3,VLOOKUP(F21,'Points Table A'!B$3:$F$33,5),VLOOKUP(F21,'Points Table A'!H$3:$L$33,5))</f>
        <v>#N/A</v>
      </c>
      <c r="W21" s="4" t="e">
        <f>IF($Q21&lt;&gt;3,VLOOKUP(G21,'Points Table A'!C$3:$F$33,4),VLOOKUP(G21,'Points Table A'!I$3:$L$33,4))</f>
        <v>#N/A</v>
      </c>
      <c r="X21" s="4" t="e">
        <f>IF($Q21&lt;&gt;3,VLOOKUP(H21,'Points Table A'!D$3:$F$28,3),VLOOKUP(H21,'Points Table A'!J$3:$L$33,3))</f>
        <v>#N/A</v>
      </c>
      <c r="Y21" s="4" t="e">
        <f>IF($Q21&lt;&gt;3,VLOOKUP(I21,'Points Table A'!E$3:$F$33,2),VLOOKUP(I21,'Points Table A'!K$3:$L$33,2))</f>
        <v>#N/A</v>
      </c>
      <c r="Z21" s="4" t="e">
        <f t="shared" si="8"/>
        <v>#N/A</v>
      </c>
      <c r="AA21" s="4">
        <f>IF($S21=Lookups!$B$113,VLOOKUP(L21,'Points Table C'!A$3:$E$11,5),VLOOKUP(U21,'Points Table C'!B$3:$E$11,4))</f>
        <v>0</v>
      </c>
      <c r="AB21" s="4" t="e">
        <f>IF($Q21=1,0,VLOOKUP($J21,'Points Table C'!$C$3:$E$18,3))</f>
        <v>#N/A</v>
      </c>
      <c r="AC21" s="4">
        <f>VLOOKUP($K21,'Points Table C'!$D$3:$E$18,2)</f>
        <v>0</v>
      </c>
      <c r="AD21" s="4" t="e">
        <f>IF($Z21&lt;Lookups!$C$106,($AA21+AB21+AC21),IF($AA21&gt;=Lookups!$C$120,($AA21+AB21+AC21),$AA21+$AB21))</f>
        <v>#N/A</v>
      </c>
      <c r="AF21" s="7"/>
      <c r="AG21" s="7"/>
      <c r="AH21" s="7"/>
      <c r="AI21" s="7"/>
      <c r="AJ21" s="7"/>
      <c r="AK21" s="7"/>
      <c r="AL21" s="7"/>
      <c r="AM21" s="7"/>
      <c r="AN21" s="7"/>
      <c r="AO21" s="7"/>
      <c r="AP21" s="7"/>
      <c r="AQ21" s="7"/>
      <c r="AR21" s="7"/>
      <c r="AS21" s="7"/>
      <c r="AT21" s="7"/>
      <c r="AU21" s="7"/>
      <c r="AV21" s="7"/>
      <c r="AW21" s="7"/>
      <c r="AY21" s="7"/>
      <c r="AZ21" s="7"/>
      <c r="BA21" s="7"/>
      <c r="BB21" s="7"/>
    </row>
    <row r="22" spans="2:54" x14ac:dyDescent="0.2">
      <c r="B22" s="174"/>
      <c r="C22" s="176"/>
      <c r="F22" s="5">
        <v>0</v>
      </c>
      <c r="G22" s="192">
        <v>0</v>
      </c>
      <c r="H22" s="192">
        <v>0</v>
      </c>
      <c r="I22" s="5">
        <v>0</v>
      </c>
      <c r="J22" s="192">
        <v>0</v>
      </c>
      <c r="K22" s="192">
        <v>0</v>
      </c>
      <c r="L22" s="5">
        <v>0</v>
      </c>
      <c r="M22" s="5">
        <v>0</v>
      </c>
      <c r="N22" s="4" t="e">
        <f t="shared" si="0"/>
        <v>#N/A</v>
      </c>
      <c r="O22" s="4" t="e">
        <f>IF(ROUND(10.499-(((N22-VLOOKUP($C22,Lookups!$A$55:$D$64,3))/(VLOOKUP($C22,Lookups!$A$55:$D$64,4))*VLOOKUP($C22,Lookups!$C$2:$D$11,2))),0)&lt;1,1,IF(ROUND(10.499-(((N22-VLOOKUP($C22,Lookups!$A$55:$D$64,3))/(VLOOKUP($C22,Lookups!$A$55:$D$64,4))*VLOOKUP($C22,Lookups!$C$2:$D$11,2))),0)&lt;11,ROUND(10.499-(((N22-VLOOKUP($C22,Lookups!$A$55:$D$64,3))/(VLOOKUP($C22,Lookups!$A$55:$D$64,4))*VLOOKUP($C22,Lookups!$C$2:$D$11,2))),0),10))</f>
        <v>#N/A</v>
      </c>
      <c r="P22" s="13" t="str">
        <f>IF((SUM(F22:M22)=0),"J",VLOOKUP(O22,Lookups!$A$1:$B$11,2))</f>
        <v>J</v>
      </c>
      <c r="Q22" s="8" t="e">
        <f>VLOOKUP(C22,Lookups!$A$136:$C$144,3)</f>
        <v>#N/A</v>
      </c>
      <c r="R22" s="8" t="e">
        <f>VLOOKUP(C22,Lookups!$A$136:$C$144,2)</f>
        <v>#N/A</v>
      </c>
      <c r="S22" s="4" t="str">
        <f t="shared" si="5"/>
        <v>No</v>
      </c>
      <c r="T22" s="125">
        <f t="shared" si="6"/>
        <v>0</v>
      </c>
      <c r="U22" s="125">
        <f t="shared" si="7"/>
        <v>0</v>
      </c>
      <c r="V22" s="4" t="e">
        <f>IF($Q22&lt;&gt;3,VLOOKUP(F22,'Points Table A'!B$3:$F$33,5),VLOOKUP(F22,'Points Table A'!H$3:$L$33,5))</f>
        <v>#N/A</v>
      </c>
      <c r="W22" s="4" t="e">
        <f>IF($Q22&lt;&gt;3,VLOOKUP(G22,'Points Table A'!C$3:$F$33,4),VLOOKUP(G22,'Points Table A'!I$3:$L$33,4))</f>
        <v>#N/A</v>
      </c>
      <c r="X22" s="4" t="e">
        <f>IF($Q22&lt;&gt;3,VLOOKUP(H22,'Points Table A'!D$3:$F$28,3),VLOOKUP(H22,'Points Table A'!J$3:$L$33,3))</f>
        <v>#N/A</v>
      </c>
      <c r="Y22" s="4" t="e">
        <f>IF($Q22&lt;&gt;3,VLOOKUP(I22,'Points Table A'!E$3:$F$33,2),VLOOKUP(I22,'Points Table A'!K$3:$L$33,2))</f>
        <v>#N/A</v>
      </c>
      <c r="Z22" s="4" t="e">
        <f t="shared" si="8"/>
        <v>#N/A</v>
      </c>
      <c r="AA22" s="4">
        <f>IF($S22=Lookups!$B$113,VLOOKUP(L22,'Points Table C'!A$3:$E$11,5),VLOOKUP(U22,'Points Table C'!B$3:$E$11,4))</f>
        <v>0</v>
      </c>
      <c r="AB22" s="4" t="e">
        <f>IF($Q22=1,0,VLOOKUP($J22,'Points Table C'!$C$3:$E$18,3))</f>
        <v>#N/A</v>
      </c>
      <c r="AC22" s="4">
        <f>VLOOKUP($K22,'Points Table C'!$D$3:$E$18,2)</f>
        <v>0</v>
      </c>
      <c r="AD22" s="4" t="e">
        <f>IF($Z22&lt;Lookups!$C$106,($AA22+AB22+AC22),IF($AA22&gt;=Lookups!$C$120,($AA22+AB22+AC22),$AA22+$AB22))</f>
        <v>#N/A</v>
      </c>
      <c r="AF22" s="7"/>
      <c r="AG22" s="7"/>
      <c r="AH22" s="7"/>
      <c r="AI22" s="7"/>
      <c r="AJ22" s="7"/>
      <c r="AK22" s="7"/>
      <c r="AL22" s="7"/>
      <c r="AM22" s="7"/>
      <c r="AN22" s="7"/>
      <c r="AO22" s="7"/>
      <c r="AP22" s="7"/>
      <c r="AQ22" s="7"/>
      <c r="AR22" s="7"/>
      <c r="AS22" s="7"/>
      <c r="AT22" s="7"/>
      <c r="AU22" s="7"/>
      <c r="AV22" s="7"/>
      <c r="AW22" s="7"/>
      <c r="AY22" s="7"/>
      <c r="AZ22" s="7"/>
      <c r="BA22" s="7"/>
      <c r="BB22" s="7"/>
    </row>
    <row r="23" spans="2:54" x14ac:dyDescent="0.2">
      <c r="B23" s="174"/>
      <c r="C23" s="176"/>
      <c r="F23" s="5">
        <v>0</v>
      </c>
      <c r="G23" s="192">
        <v>0</v>
      </c>
      <c r="H23" s="192">
        <v>0</v>
      </c>
      <c r="I23" s="5">
        <v>0</v>
      </c>
      <c r="J23" s="192">
        <v>0</v>
      </c>
      <c r="K23" s="192">
        <v>0</v>
      </c>
      <c r="L23" s="5">
        <v>0</v>
      </c>
      <c r="M23" s="5">
        <v>0</v>
      </c>
      <c r="N23" s="4" t="e">
        <f t="shared" si="0"/>
        <v>#N/A</v>
      </c>
      <c r="O23" s="4" t="e">
        <f>IF(ROUND(10.499-(((N23-VLOOKUP($C23,Lookups!$A$55:$D$64,3))/(VLOOKUP($C23,Lookups!$A$55:$D$64,4))*VLOOKUP($C23,Lookups!$C$2:$D$11,2))),0)&lt;1,1,IF(ROUND(10.499-(((N23-VLOOKUP($C23,Lookups!$A$55:$D$64,3))/(VLOOKUP($C23,Lookups!$A$55:$D$64,4))*VLOOKUP($C23,Lookups!$C$2:$D$11,2))),0)&lt;11,ROUND(10.499-(((N23-VLOOKUP($C23,Lookups!$A$55:$D$64,3))/(VLOOKUP($C23,Lookups!$A$55:$D$64,4))*VLOOKUP($C23,Lookups!$C$2:$D$11,2))),0),10))</f>
        <v>#N/A</v>
      </c>
      <c r="P23" s="13" t="str">
        <f>IF((SUM(F23:M23)=0),"J",VLOOKUP(O23,Lookups!$A$1:$B$11,2))</f>
        <v>J</v>
      </c>
      <c r="Q23" s="8" t="e">
        <f>VLOOKUP(C23,Lookups!$A$136:$C$144,3)</f>
        <v>#N/A</v>
      </c>
      <c r="R23" s="8" t="e">
        <f>VLOOKUP(C23,Lookups!$A$136:$C$144,2)</f>
        <v>#N/A</v>
      </c>
      <c r="S23" s="4" t="str">
        <f t="shared" si="5"/>
        <v>No</v>
      </c>
      <c r="T23" s="125">
        <f t="shared" si="6"/>
        <v>0</v>
      </c>
      <c r="U23" s="125">
        <f t="shared" si="7"/>
        <v>0</v>
      </c>
      <c r="V23" s="4" t="e">
        <f>IF($Q23&lt;&gt;3,VLOOKUP(F23,'Points Table A'!B$3:$F$33,5),VLOOKUP(F23,'Points Table A'!H$3:$L$33,5))</f>
        <v>#N/A</v>
      </c>
      <c r="W23" s="4" t="e">
        <f>IF($Q23&lt;&gt;3,VLOOKUP(G23,'Points Table A'!C$3:$F$33,4),VLOOKUP(G23,'Points Table A'!I$3:$L$33,4))</f>
        <v>#N/A</v>
      </c>
      <c r="X23" s="4" t="e">
        <f>IF($Q23&lt;&gt;3,VLOOKUP(H23,'Points Table A'!D$3:$F$28,3),VLOOKUP(H23,'Points Table A'!J$3:$L$33,3))</f>
        <v>#N/A</v>
      </c>
      <c r="Y23" s="4" t="e">
        <f>IF($Q23&lt;&gt;3,VLOOKUP(I23,'Points Table A'!E$3:$F$33,2),VLOOKUP(I23,'Points Table A'!K$3:$L$33,2))</f>
        <v>#N/A</v>
      </c>
      <c r="Z23" s="4" t="e">
        <f t="shared" si="8"/>
        <v>#N/A</v>
      </c>
      <c r="AA23" s="4">
        <f>IF($S23=Lookups!$B$113,VLOOKUP(L23,'Points Table C'!A$3:$E$11,5),VLOOKUP(U23,'Points Table C'!B$3:$E$11,4))</f>
        <v>0</v>
      </c>
      <c r="AB23" s="4" t="e">
        <f>IF($Q23=1,0,VLOOKUP($J23,'Points Table C'!$C$3:$E$18,3))</f>
        <v>#N/A</v>
      </c>
      <c r="AC23" s="4">
        <f>VLOOKUP($K23,'Points Table C'!$D$3:$E$18,2)</f>
        <v>0</v>
      </c>
      <c r="AD23" s="4" t="e">
        <f>IF($Z23&lt;Lookups!$C$106,($AA23+AB23+AC23),IF($AA23&gt;=Lookups!$C$120,($AA23+AB23+AC23),$AA23+$AB23))</f>
        <v>#N/A</v>
      </c>
      <c r="AF23" s="7"/>
      <c r="AG23" s="7"/>
      <c r="AH23" s="7"/>
      <c r="AI23" s="7"/>
      <c r="AJ23" s="7"/>
      <c r="AK23" s="7"/>
      <c r="AL23" s="7"/>
      <c r="AM23" s="7"/>
      <c r="AN23" s="7"/>
      <c r="AO23" s="7"/>
      <c r="AP23" s="7"/>
      <c r="AQ23" s="7"/>
      <c r="AR23" s="7"/>
      <c r="AS23" s="7"/>
      <c r="AT23" s="7"/>
      <c r="AU23" s="7"/>
      <c r="AV23" s="7"/>
      <c r="AW23" s="7"/>
      <c r="AY23" s="7"/>
      <c r="AZ23" s="7"/>
      <c r="BA23" s="7"/>
      <c r="BB23" s="7"/>
    </row>
    <row r="24" spans="2:54" x14ac:dyDescent="0.2">
      <c r="B24" s="174"/>
      <c r="C24" s="176"/>
      <c r="F24" s="5">
        <v>0</v>
      </c>
      <c r="G24" s="192">
        <v>0</v>
      </c>
      <c r="H24" s="192">
        <v>0</v>
      </c>
      <c r="I24" s="5">
        <v>0</v>
      </c>
      <c r="J24" s="192">
        <v>0</v>
      </c>
      <c r="K24" s="192">
        <v>0</v>
      </c>
      <c r="L24" s="5">
        <v>0</v>
      </c>
      <c r="M24" s="5">
        <v>0</v>
      </c>
      <c r="N24" s="4" t="e">
        <f t="shared" si="0"/>
        <v>#N/A</v>
      </c>
      <c r="O24" s="4" t="e">
        <f>IF(ROUND(10.499-(((N24-VLOOKUP($C24,Lookups!$A$55:$D$64,3))/(VLOOKUP($C24,Lookups!$A$55:$D$64,4))*VLOOKUP($C24,Lookups!$C$2:$D$11,2))),0)&lt;1,1,IF(ROUND(10.499-(((N24-VLOOKUP($C24,Lookups!$A$55:$D$64,3))/(VLOOKUP($C24,Lookups!$A$55:$D$64,4))*VLOOKUP($C24,Lookups!$C$2:$D$11,2))),0)&lt;11,ROUND(10.499-(((N24-VLOOKUP($C24,Lookups!$A$55:$D$64,3))/(VLOOKUP($C24,Lookups!$A$55:$D$64,4))*VLOOKUP($C24,Lookups!$C$2:$D$11,2))),0),10))</f>
        <v>#N/A</v>
      </c>
      <c r="P24" s="13" t="str">
        <f>IF((SUM(F24:M24)=0),"J",VLOOKUP(O24,Lookups!$A$1:$B$11,2))</f>
        <v>J</v>
      </c>
      <c r="Q24" s="8" t="e">
        <f>VLOOKUP(C24,Lookups!$A$136:$C$144,3)</f>
        <v>#N/A</v>
      </c>
      <c r="R24" s="8" t="e">
        <f>VLOOKUP(C24,Lookups!$A$136:$C$144,2)</f>
        <v>#N/A</v>
      </c>
      <c r="S24" s="4" t="str">
        <f t="shared" si="5"/>
        <v>No</v>
      </c>
      <c r="T24" s="125">
        <f t="shared" si="6"/>
        <v>0</v>
      </c>
      <c r="U24" s="125">
        <f t="shared" si="7"/>
        <v>0</v>
      </c>
      <c r="V24" s="4" t="e">
        <f>IF($Q24&lt;&gt;3,VLOOKUP(F24,'Points Table A'!B$3:$F$33,5),VLOOKUP(F24,'Points Table A'!H$3:$L$33,5))</f>
        <v>#N/A</v>
      </c>
      <c r="W24" s="4" t="e">
        <f>IF($Q24&lt;&gt;3,VLOOKUP(G24,'Points Table A'!C$3:$F$33,4),VLOOKUP(G24,'Points Table A'!I$3:$L$33,4))</f>
        <v>#N/A</v>
      </c>
      <c r="X24" s="4" t="e">
        <f>IF($Q24&lt;&gt;3,VLOOKUP(H24,'Points Table A'!D$3:$F$28,3),VLOOKUP(H24,'Points Table A'!J$3:$L$33,3))</f>
        <v>#N/A</v>
      </c>
      <c r="Y24" s="4" t="e">
        <f>IF($Q24&lt;&gt;3,VLOOKUP(I24,'Points Table A'!E$3:$F$33,2),VLOOKUP(I24,'Points Table A'!K$3:$L$33,2))</f>
        <v>#N/A</v>
      </c>
      <c r="Z24" s="4" t="e">
        <f t="shared" si="8"/>
        <v>#N/A</v>
      </c>
      <c r="AA24" s="4">
        <f>IF($S24=Lookups!$B$113,VLOOKUP(L24,'Points Table C'!A$3:$E$11,5),VLOOKUP(U24,'Points Table C'!B$3:$E$11,4))</f>
        <v>0</v>
      </c>
      <c r="AB24" s="4" t="e">
        <f>IF($Q24=1,0,VLOOKUP($J24,'Points Table C'!$C$3:$E$18,3))</f>
        <v>#N/A</v>
      </c>
      <c r="AC24" s="4">
        <f>VLOOKUP($K24,'Points Table C'!$D$3:$E$18,2)</f>
        <v>0</v>
      </c>
      <c r="AD24" s="4" t="e">
        <f>IF($Z24&lt;Lookups!$C$106,($AA24+AB24+AC24),IF($AA24&gt;=Lookups!$C$120,($AA24+AB24+AC24),$AA24+$AB24))</f>
        <v>#N/A</v>
      </c>
      <c r="AF24" s="7"/>
      <c r="AG24" s="7"/>
      <c r="AH24" s="7"/>
      <c r="AI24" s="7"/>
      <c r="AJ24" s="7"/>
      <c r="AK24" s="7"/>
      <c r="AL24" s="7"/>
      <c r="AM24" s="7"/>
      <c r="AN24" s="7"/>
      <c r="AO24" s="7"/>
      <c r="AP24" s="7"/>
      <c r="AQ24" s="7"/>
      <c r="AR24" s="7"/>
      <c r="AS24" s="7"/>
      <c r="AT24" s="7"/>
      <c r="AU24" s="7"/>
      <c r="AV24" s="7"/>
      <c r="AW24" s="7"/>
      <c r="AY24" s="7"/>
      <c r="AZ24" s="7"/>
      <c r="BA24" s="7"/>
      <c r="BB24" s="7"/>
    </row>
    <row r="25" spans="2:54" x14ac:dyDescent="0.2">
      <c r="B25" s="174"/>
      <c r="C25" s="176"/>
      <c r="F25" s="5">
        <v>0</v>
      </c>
      <c r="G25" s="192">
        <v>0</v>
      </c>
      <c r="H25" s="192">
        <v>0</v>
      </c>
      <c r="I25" s="5">
        <v>0</v>
      </c>
      <c r="J25" s="192">
        <v>0</v>
      </c>
      <c r="K25" s="192">
        <v>0</v>
      </c>
      <c r="L25" s="5">
        <v>0</v>
      </c>
      <c r="M25" s="5">
        <v>0</v>
      </c>
      <c r="N25" s="4" t="e">
        <f t="shared" si="0"/>
        <v>#N/A</v>
      </c>
      <c r="O25" s="4" t="e">
        <f>IF(ROUND(10.499-(((N25-VLOOKUP($C25,Lookups!$A$55:$D$64,3))/(VLOOKUP($C25,Lookups!$A$55:$D$64,4))*VLOOKUP($C25,Lookups!$C$2:$D$11,2))),0)&lt;1,1,IF(ROUND(10.499-(((N25-VLOOKUP($C25,Lookups!$A$55:$D$64,3))/(VLOOKUP($C25,Lookups!$A$55:$D$64,4))*VLOOKUP($C25,Lookups!$C$2:$D$11,2))),0)&lt;11,ROUND(10.499-(((N25-VLOOKUP($C25,Lookups!$A$55:$D$64,3))/(VLOOKUP($C25,Lookups!$A$55:$D$64,4))*VLOOKUP($C25,Lookups!$C$2:$D$11,2))),0),10))</f>
        <v>#N/A</v>
      </c>
      <c r="P25" s="13" t="str">
        <f>IF((SUM(F25:M25)=0),"J",VLOOKUP(O25,Lookups!$A$1:$B$11,2))</f>
        <v>J</v>
      </c>
      <c r="Q25" s="8" t="e">
        <f>VLOOKUP(C25,Lookups!$A$136:$C$144,3)</f>
        <v>#N/A</v>
      </c>
      <c r="R25" s="8" t="e">
        <f>VLOOKUP(C25,Lookups!$A$136:$C$144,2)</f>
        <v>#N/A</v>
      </c>
      <c r="S25" s="4" t="str">
        <f t="shared" si="5"/>
        <v>No</v>
      </c>
      <c r="T25" s="125">
        <f t="shared" si="6"/>
        <v>0</v>
      </c>
      <c r="U25" s="125">
        <f t="shared" si="7"/>
        <v>0</v>
      </c>
      <c r="V25" s="4" t="e">
        <f>IF($Q25&lt;&gt;3,VLOOKUP(F25,'Points Table A'!B$3:$F$33,5),VLOOKUP(F25,'Points Table A'!H$3:$L$33,5))</f>
        <v>#N/A</v>
      </c>
      <c r="W25" s="4" t="e">
        <f>IF($Q25&lt;&gt;3,VLOOKUP(G25,'Points Table A'!C$3:$F$33,4),VLOOKUP(G25,'Points Table A'!I$3:$L$33,4))</f>
        <v>#N/A</v>
      </c>
      <c r="X25" s="4" t="e">
        <f>IF($Q25&lt;&gt;3,VLOOKUP(H25,'Points Table A'!D$3:$F$28,3),VLOOKUP(H25,'Points Table A'!J$3:$L$33,3))</f>
        <v>#N/A</v>
      </c>
      <c r="Y25" s="4" t="e">
        <f>IF($Q25&lt;&gt;3,VLOOKUP(I25,'Points Table A'!E$3:$F$33,2),VLOOKUP(I25,'Points Table A'!K$3:$L$33,2))</f>
        <v>#N/A</v>
      </c>
      <c r="Z25" s="4" t="e">
        <f t="shared" si="8"/>
        <v>#N/A</v>
      </c>
      <c r="AA25" s="4">
        <f>IF($S25=Lookups!$B$113,VLOOKUP(L25,'Points Table C'!A$3:$E$11,5),VLOOKUP(U25,'Points Table C'!B$3:$E$11,4))</f>
        <v>0</v>
      </c>
      <c r="AB25" s="4" t="e">
        <f>IF($Q25=1,0,VLOOKUP($J25,'Points Table C'!$C$3:$E$18,3))</f>
        <v>#N/A</v>
      </c>
      <c r="AC25" s="4">
        <f>VLOOKUP($K25,'Points Table C'!$D$3:$E$18,2)</f>
        <v>0</v>
      </c>
      <c r="AD25" s="4" t="e">
        <f>IF($Z25&lt;Lookups!$C$106,($AA25+AB25+AC25),IF($AA25&gt;=Lookups!$C$120,($AA25+AB25+AC25),$AA25+$AB25))</f>
        <v>#N/A</v>
      </c>
      <c r="AF25" s="7"/>
      <c r="AG25" s="7"/>
      <c r="AH25" s="7"/>
      <c r="AI25" s="7"/>
      <c r="AJ25" s="7"/>
      <c r="AK25" s="7"/>
      <c r="AL25" s="7"/>
      <c r="AM25" s="7"/>
      <c r="AN25" s="7"/>
      <c r="AO25" s="7"/>
      <c r="AP25" s="7"/>
      <c r="AQ25" s="7"/>
      <c r="AR25" s="7"/>
      <c r="AS25" s="7"/>
      <c r="AT25" s="7"/>
      <c r="AU25" s="7"/>
      <c r="AV25" s="7"/>
      <c r="AW25" s="7"/>
      <c r="AY25" s="7"/>
      <c r="AZ25" s="7"/>
      <c r="BA25" s="7"/>
      <c r="BB25" s="7"/>
    </row>
    <row r="26" spans="2:54" x14ac:dyDescent="0.2">
      <c r="B26" s="174"/>
      <c r="C26" s="176"/>
      <c r="F26" s="5">
        <v>0</v>
      </c>
      <c r="G26" s="192">
        <v>0</v>
      </c>
      <c r="H26" s="192">
        <v>0</v>
      </c>
      <c r="I26" s="5">
        <v>0</v>
      </c>
      <c r="J26" s="192">
        <v>0</v>
      </c>
      <c r="K26" s="192">
        <v>0</v>
      </c>
      <c r="L26" s="5">
        <v>0</v>
      </c>
      <c r="M26" s="5">
        <v>0</v>
      </c>
      <c r="N26" s="4" t="e">
        <f t="shared" si="0"/>
        <v>#N/A</v>
      </c>
      <c r="O26" s="4" t="e">
        <f>IF(ROUND(10.499-(((N26-VLOOKUP($C26,Lookups!$A$55:$D$64,3))/(VLOOKUP($C26,Lookups!$A$55:$D$64,4))*VLOOKUP($C26,Lookups!$C$2:$D$11,2))),0)&lt;1,1,IF(ROUND(10.499-(((N26-VLOOKUP($C26,Lookups!$A$55:$D$64,3))/(VLOOKUP($C26,Lookups!$A$55:$D$64,4))*VLOOKUP($C26,Lookups!$C$2:$D$11,2))),0)&lt;11,ROUND(10.499-(((N26-VLOOKUP($C26,Lookups!$A$55:$D$64,3))/(VLOOKUP($C26,Lookups!$A$55:$D$64,4))*VLOOKUP($C26,Lookups!$C$2:$D$11,2))),0),10))</f>
        <v>#N/A</v>
      </c>
      <c r="P26" s="13" t="str">
        <f>IF((SUM(F26:M26)=0),"J",VLOOKUP(O26,Lookups!$A$1:$B$11,2))</f>
        <v>J</v>
      </c>
      <c r="Q26" s="8" t="e">
        <f>VLOOKUP(C26,Lookups!$A$136:$C$144,3)</f>
        <v>#N/A</v>
      </c>
      <c r="R26" s="8" t="e">
        <f>VLOOKUP(C26,Lookups!$A$136:$C$144,2)</f>
        <v>#N/A</v>
      </c>
      <c r="S26" s="4" t="str">
        <f t="shared" si="5"/>
        <v>No</v>
      </c>
      <c r="T26" s="125">
        <f t="shared" si="6"/>
        <v>0</v>
      </c>
      <c r="U26" s="125">
        <f t="shared" si="7"/>
        <v>0</v>
      </c>
      <c r="V26" s="4" t="e">
        <f>IF($Q26&lt;&gt;3,VLOOKUP(F26,'Points Table A'!B$3:$F$33,5),VLOOKUP(F26,'Points Table A'!H$3:$L$33,5))</f>
        <v>#N/A</v>
      </c>
      <c r="W26" s="4" t="e">
        <f>IF($Q26&lt;&gt;3,VLOOKUP(G26,'Points Table A'!C$3:$F$33,4),VLOOKUP(G26,'Points Table A'!I$3:$L$33,4))</f>
        <v>#N/A</v>
      </c>
      <c r="X26" s="4" t="e">
        <f>IF($Q26&lt;&gt;3,VLOOKUP(H26,'Points Table A'!D$3:$F$28,3),VLOOKUP(H26,'Points Table A'!J$3:$L$33,3))</f>
        <v>#N/A</v>
      </c>
      <c r="Y26" s="4" t="e">
        <f>IF($Q26&lt;&gt;3,VLOOKUP(I26,'Points Table A'!E$3:$F$33,2),VLOOKUP(I26,'Points Table A'!K$3:$L$33,2))</f>
        <v>#N/A</v>
      </c>
      <c r="Z26" s="4" t="e">
        <f t="shared" si="8"/>
        <v>#N/A</v>
      </c>
      <c r="AA26" s="4">
        <f>IF($S26=Lookups!$B$113,VLOOKUP(L26,'Points Table C'!A$3:$E$11,5),VLOOKUP(U26,'Points Table C'!B$3:$E$11,4))</f>
        <v>0</v>
      </c>
      <c r="AB26" s="4" t="e">
        <f>IF($Q26=1,0,VLOOKUP($J26,'Points Table C'!$C$3:$E$18,3))</f>
        <v>#N/A</v>
      </c>
      <c r="AC26" s="4">
        <f>VLOOKUP($K26,'Points Table C'!$D$3:$E$18,2)</f>
        <v>0</v>
      </c>
      <c r="AD26" s="4" t="e">
        <f>IF($Z26&lt;Lookups!$C$106,($AA26+AB26+AC26),IF($AA26&gt;=Lookups!$C$120,($AA26+AB26+AC26),$AA26+$AB26))</f>
        <v>#N/A</v>
      </c>
      <c r="AF26" s="7"/>
      <c r="AG26" s="7"/>
      <c r="AH26" s="7"/>
      <c r="AI26" s="7"/>
      <c r="AJ26" s="7"/>
      <c r="AK26" s="7"/>
      <c r="AL26" s="7"/>
      <c r="AM26" s="7"/>
      <c r="AN26" s="7"/>
      <c r="AO26" s="7"/>
      <c r="AP26" s="7"/>
      <c r="AQ26" s="7"/>
      <c r="AR26" s="7"/>
      <c r="AS26" s="7"/>
      <c r="AT26" s="7"/>
      <c r="AU26" s="7"/>
      <c r="AV26" s="7"/>
      <c r="AW26" s="7"/>
      <c r="AY26" s="7"/>
      <c r="AZ26" s="7"/>
      <c r="BA26" s="7"/>
      <c r="BB26" s="7"/>
    </row>
    <row r="27" spans="2:54" x14ac:dyDescent="0.2">
      <c r="B27" s="174"/>
      <c r="C27" s="176"/>
      <c r="F27" s="5">
        <v>0</v>
      </c>
      <c r="G27" s="192">
        <v>0</v>
      </c>
      <c r="H27" s="192">
        <v>0</v>
      </c>
      <c r="I27" s="5">
        <v>0</v>
      </c>
      <c r="J27" s="192">
        <v>0</v>
      </c>
      <c r="K27" s="192">
        <v>0</v>
      </c>
      <c r="L27" s="5">
        <v>0</v>
      </c>
      <c r="M27" s="5">
        <v>0</v>
      </c>
      <c r="N27" s="4" t="e">
        <f t="shared" si="0"/>
        <v>#N/A</v>
      </c>
      <c r="O27" s="4" t="e">
        <f>IF(ROUND(10.499-(((N27-VLOOKUP($C27,Lookups!$A$55:$D$64,3))/(VLOOKUP($C27,Lookups!$A$55:$D$64,4))*VLOOKUP($C27,Lookups!$C$2:$D$11,2))),0)&lt;1,1,IF(ROUND(10.499-(((N27-VLOOKUP($C27,Lookups!$A$55:$D$64,3))/(VLOOKUP($C27,Lookups!$A$55:$D$64,4))*VLOOKUP($C27,Lookups!$C$2:$D$11,2))),0)&lt;11,ROUND(10.499-(((N27-VLOOKUP($C27,Lookups!$A$55:$D$64,3))/(VLOOKUP($C27,Lookups!$A$55:$D$64,4))*VLOOKUP($C27,Lookups!$C$2:$D$11,2))),0),10))</f>
        <v>#N/A</v>
      </c>
      <c r="P27" s="13" t="str">
        <f>IF((SUM(F27:M27)=0),"J",VLOOKUP(O27,Lookups!$A$1:$B$11,2))</f>
        <v>J</v>
      </c>
      <c r="Q27" s="8" t="e">
        <f>VLOOKUP(C27,Lookups!$A$136:$C$144,3)</f>
        <v>#N/A</v>
      </c>
      <c r="R27" s="8" t="e">
        <f>VLOOKUP(C27,Lookups!$A$136:$C$144,2)</f>
        <v>#N/A</v>
      </c>
      <c r="S27" s="4" t="str">
        <f t="shared" si="5"/>
        <v>No</v>
      </c>
      <c r="T27" s="125">
        <f t="shared" si="6"/>
        <v>0</v>
      </c>
      <c r="U27" s="125">
        <f t="shared" si="7"/>
        <v>0</v>
      </c>
      <c r="V27" s="4" t="e">
        <f>IF($Q27&lt;&gt;3,VLOOKUP(F27,'Points Table A'!B$3:$F$33,5),VLOOKUP(F27,'Points Table A'!H$3:$L$33,5))</f>
        <v>#N/A</v>
      </c>
      <c r="W27" s="4" t="e">
        <f>IF($Q27&lt;&gt;3,VLOOKUP(G27,'Points Table A'!C$3:$F$33,4),VLOOKUP(G27,'Points Table A'!I$3:$L$33,4))</f>
        <v>#N/A</v>
      </c>
      <c r="X27" s="4" t="e">
        <f>IF($Q27&lt;&gt;3,VLOOKUP(H27,'Points Table A'!D$3:$F$28,3),VLOOKUP(H27,'Points Table A'!J$3:$L$33,3))</f>
        <v>#N/A</v>
      </c>
      <c r="Y27" s="4" t="e">
        <f>IF($Q27&lt;&gt;3,VLOOKUP(I27,'Points Table A'!E$3:$F$33,2),VLOOKUP(I27,'Points Table A'!K$3:$L$33,2))</f>
        <v>#N/A</v>
      </c>
      <c r="Z27" s="4" t="e">
        <f t="shared" si="8"/>
        <v>#N/A</v>
      </c>
      <c r="AA27" s="4">
        <f>IF($S27=Lookups!$B$113,VLOOKUP(L27,'Points Table C'!A$3:$E$11,5),VLOOKUP(U27,'Points Table C'!B$3:$E$11,4))</f>
        <v>0</v>
      </c>
      <c r="AB27" s="4" t="e">
        <f>IF($Q27=1,0,VLOOKUP($J27,'Points Table C'!$C$3:$E$18,3))</f>
        <v>#N/A</v>
      </c>
      <c r="AC27" s="4">
        <f>VLOOKUP($K27,'Points Table C'!$D$3:$E$18,2)</f>
        <v>0</v>
      </c>
      <c r="AD27" s="4" t="e">
        <f>IF($Z27&lt;Lookups!$C$106,($AA27+AB27+AC27),IF($AA27&gt;=Lookups!$C$120,($AA27+AB27+AC27),$AA27+$AB27))</f>
        <v>#N/A</v>
      </c>
      <c r="AF27" s="7"/>
      <c r="AG27" s="7"/>
      <c r="AH27" s="7"/>
      <c r="AI27" s="7"/>
      <c r="AJ27" s="7"/>
      <c r="AK27" s="7"/>
      <c r="AL27" s="7"/>
      <c r="AM27" s="7"/>
      <c r="AN27" s="7"/>
      <c r="AO27" s="7"/>
      <c r="AP27" s="7"/>
      <c r="AQ27" s="7"/>
      <c r="AR27" s="7"/>
      <c r="AS27" s="7"/>
      <c r="AT27" s="7"/>
      <c r="AU27" s="7"/>
      <c r="AV27" s="7"/>
      <c r="AW27" s="7"/>
      <c r="AY27" s="7"/>
      <c r="AZ27" s="7"/>
      <c r="BA27" s="7"/>
      <c r="BB27" s="7"/>
    </row>
    <row r="28" spans="2:54" ht="14.25" customHeight="1" x14ac:dyDescent="0.2">
      <c r="B28" s="174"/>
      <c r="C28" s="176"/>
      <c r="F28" s="5">
        <v>0</v>
      </c>
      <c r="G28" s="192">
        <v>0</v>
      </c>
      <c r="H28" s="192">
        <v>0</v>
      </c>
      <c r="I28" s="5">
        <v>0</v>
      </c>
      <c r="J28" s="192">
        <v>0</v>
      </c>
      <c r="K28" s="192">
        <v>0</v>
      </c>
      <c r="L28" s="5">
        <v>0</v>
      </c>
      <c r="M28" s="5">
        <v>0</v>
      </c>
      <c r="N28" s="4" t="e">
        <f t="shared" si="0"/>
        <v>#N/A</v>
      </c>
      <c r="O28" s="4" t="e">
        <f>IF(ROUND(10.499-(((N28-VLOOKUP($C28,Lookups!$A$55:$D$64,3))/(VLOOKUP($C28,Lookups!$A$55:$D$64,4))*VLOOKUP($C28,Lookups!$C$2:$D$11,2))),0)&lt;1,1,IF(ROUND(10.499-(((N28-VLOOKUP($C28,Lookups!$A$55:$D$64,3))/(VLOOKUP($C28,Lookups!$A$55:$D$64,4))*VLOOKUP($C28,Lookups!$C$2:$D$11,2))),0)&lt;11,ROUND(10.499-(((N28-VLOOKUP($C28,Lookups!$A$55:$D$64,3))/(VLOOKUP($C28,Lookups!$A$55:$D$64,4))*VLOOKUP($C28,Lookups!$C$2:$D$11,2))),0),10))</f>
        <v>#N/A</v>
      </c>
      <c r="P28" s="13" t="str">
        <f>IF((SUM(F28:M28)=0),"J",VLOOKUP(O28,Lookups!$A$1:$B$11,2))</f>
        <v>J</v>
      </c>
      <c r="Q28" s="8" t="e">
        <f>VLOOKUP(C28,Lookups!$A$136:$C$144,3)</f>
        <v>#N/A</v>
      </c>
      <c r="R28" s="8" t="e">
        <f>VLOOKUP(C28,Lookups!$A$136:$C$144,2)</f>
        <v>#N/A</v>
      </c>
      <c r="S28" s="4" t="str">
        <f t="shared" si="5"/>
        <v>No</v>
      </c>
      <c r="T28" s="125">
        <f t="shared" si="6"/>
        <v>0</v>
      </c>
      <c r="U28" s="125">
        <f t="shared" si="7"/>
        <v>0</v>
      </c>
      <c r="V28" s="4" t="e">
        <f>IF($Q28&lt;&gt;3,VLOOKUP(F28,'Points Table A'!B$3:$F$33,5),VLOOKUP(F28,'Points Table A'!H$3:$L$33,5))</f>
        <v>#N/A</v>
      </c>
      <c r="W28" s="4" t="e">
        <f>IF($Q28&lt;&gt;3,VLOOKUP(G28,'Points Table A'!C$3:$F$33,4),VLOOKUP(G28,'Points Table A'!I$3:$L$33,4))</f>
        <v>#N/A</v>
      </c>
      <c r="X28" s="4" t="e">
        <f>IF($Q28&lt;&gt;3,VLOOKUP(H28,'Points Table A'!D$3:$F$28,3),VLOOKUP(H28,'Points Table A'!J$3:$L$33,3))</f>
        <v>#N/A</v>
      </c>
      <c r="Y28" s="4" t="e">
        <f>IF($Q28&lt;&gt;3,VLOOKUP(I28,'Points Table A'!E$3:$F$33,2),VLOOKUP(I28,'Points Table A'!K$3:$L$33,2))</f>
        <v>#N/A</v>
      </c>
      <c r="Z28" s="4" t="e">
        <f t="shared" si="8"/>
        <v>#N/A</v>
      </c>
      <c r="AA28" s="4">
        <f>IF($S28=Lookups!$B$113,VLOOKUP(L28,'Points Table C'!A$3:$E$11,5),VLOOKUP(U28,'Points Table C'!B$3:$E$11,4))</f>
        <v>0</v>
      </c>
      <c r="AB28" s="4" t="e">
        <f>IF($Q28=1,0,VLOOKUP($J28,'Points Table C'!$C$3:$E$18,3))</f>
        <v>#N/A</v>
      </c>
      <c r="AC28" s="4">
        <f>VLOOKUP($K28,'Points Table C'!$D$3:$E$18,2)</f>
        <v>0</v>
      </c>
      <c r="AD28" s="4" t="e">
        <f>IF($Z28&lt;Lookups!$C$106,($AA28+AB28+AC28),IF($AA28&gt;=Lookups!$C$120,($AA28+AB28+AC28),$AA28+$AB28))</f>
        <v>#N/A</v>
      </c>
      <c r="AE28" s="7"/>
      <c r="AF28" s="7"/>
      <c r="AG28" s="7"/>
      <c r="AH28" s="7"/>
      <c r="AI28" s="7"/>
      <c r="AJ28" s="7"/>
      <c r="AK28" s="7"/>
      <c r="AL28" s="7"/>
      <c r="AM28" s="7"/>
      <c r="AN28" s="7"/>
      <c r="AO28" s="7"/>
      <c r="AP28" s="7"/>
      <c r="AQ28" s="7"/>
      <c r="AR28" s="7"/>
      <c r="AS28" s="7"/>
      <c r="AT28" s="7"/>
      <c r="AU28" s="7"/>
      <c r="AV28" s="7"/>
      <c r="AX28" s="7"/>
      <c r="AY28" s="7"/>
      <c r="AZ28" s="7"/>
      <c r="BA28" s="7"/>
    </row>
    <row r="29" spans="2:54" x14ac:dyDescent="0.2">
      <c r="B29" s="174"/>
      <c r="C29" s="176"/>
      <c r="F29" s="5">
        <v>0</v>
      </c>
      <c r="G29" s="192">
        <v>0</v>
      </c>
      <c r="H29" s="192">
        <v>0</v>
      </c>
      <c r="I29" s="5">
        <v>0</v>
      </c>
      <c r="J29" s="192">
        <v>0</v>
      </c>
      <c r="K29" s="192">
        <v>0</v>
      </c>
      <c r="L29" s="5">
        <v>0</v>
      </c>
      <c r="M29" s="5">
        <v>0</v>
      </c>
      <c r="N29" s="4" t="e">
        <f t="shared" si="0"/>
        <v>#N/A</v>
      </c>
      <c r="O29" s="4" t="e">
        <f>IF(ROUND(10.499-(((N29-VLOOKUP($C29,Lookups!$A$55:$D$64,3))/(VLOOKUP($C29,Lookups!$A$55:$D$64,4))*VLOOKUP($C29,Lookups!$C$2:$D$11,2))),0)&lt;1,1,IF(ROUND(10.499-(((N29-VLOOKUP($C29,Lookups!$A$55:$D$64,3))/(VLOOKUP($C29,Lookups!$A$55:$D$64,4))*VLOOKUP($C29,Lookups!$C$2:$D$11,2))),0)&lt;11,ROUND(10.499-(((N29-VLOOKUP($C29,Lookups!$A$55:$D$64,3))/(VLOOKUP($C29,Lookups!$A$55:$D$64,4))*VLOOKUP($C29,Lookups!$C$2:$D$11,2))),0),10))</f>
        <v>#N/A</v>
      </c>
      <c r="P29" s="13" t="str">
        <f>IF((SUM(F29:M29)=0),"J",VLOOKUP(O29,Lookups!$A$1:$B$11,2))</f>
        <v>J</v>
      </c>
      <c r="Q29" s="8" t="e">
        <f>VLOOKUP(C29,Lookups!$A$136:$C$144,3)</f>
        <v>#N/A</v>
      </c>
      <c r="R29" s="8" t="e">
        <f>VLOOKUP(C29,Lookups!$A$136:$C$144,2)</f>
        <v>#N/A</v>
      </c>
      <c r="S29" s="4" t="str">
        <f t="shared" si="5"/>
        <v>No</v>
      </c>
      <c r="T29" s="125">
        <f t="shared" si="6"/>
        <v>0</v>
      </c>
      <c r="U29" s="125">
        <f t="shared" si="7"/>
        <v>0</v>
      </c>
      <c r="V29" s="4" t="e">
        <f>IF($Q29&lt;&gt;3,VLOOKUP(F29,'Points Table A'!B$3:$F$33,5),VLOOKUP(F29,'Points Table A'!H$3:$L$33,5))</f>
        <v>#N/A</v>
      </c>
      <c r="W29" s="4" t="e">
        <f>IF($Q29&lt;&gt;3,VLOOKUP(G29,'Points Table A'!C$3:$F$33,4),VLOOKUP(G29,'Points Table A'!I$3:$L$33,4))</f>
        <v>#N/A</v>
      </c>
      <c r="X29" s="4" t="e">
        <f>IF($Q29&lt;&gt;3,VLOOKUP(H29,'Points Table A'!D$3:$F$28,3),VLOOKUP(H29,'Points Table A'!J$3:$L$33,3))</f>
        <v>#N/A</v>
      </c>
      <c r="Y29" s="4" t="e">
        <f>IF($Q29&lt;&gt;3,VLOOKUP(I29,'Points Table A'!E$3:$F$33,2),VLOOKUP(I29,'Points Table A'!K$3:$L$33,2))</f>
        <v>#N/A</v>
      </c>
      <c r="Z29" s="4" t="e">
        <f t="shared" si="8"/>
        <v>#N/A</v>
      </c>
      <c r="AA29" s="4">
        <f>IF($S29=Lookups!$B$113,VLOOKUP(L29,'Points Table C'!A$3:$E$11,5),VLOOKUP(U29,'Points Table C'!B$3:$E$11,4))</f>
        <v>0</v>
      </c>
      <c r="AB29" s="4" t="e">
        <f>IF($Q29=1,0,VLOOKUP($J29,'Points Table C'!$C$3:$E$18,3))</f>
        <v>#N/A</v>
      </c>
      <c r="AC29" s="4">
        <f>VLOOKUP($K29,'Points Table C'!$D$3:$E$18,2)</f>
        <v>0</v>
      </c>
      <c r="AD29" s="4" t="e">
        <f>IF($Z29&lt;Lookups!$C$106,($AA29+AB29+AC29),IF($AA29&gt;=Lookups!$C$120,($AA29+AB29+AC29),$AA29+$AB29))</f>
        <v>#N/A</v>
      </c>
      <c r="AE29" s="7"/>
      <c r="AF29" s="7"/>
      <c r="AG29" s="7"/>
      <c r="AI29" s="7"/>
      <c r="AJ29" s="7"/>
      <c r="AK29" s="7"/>
      <c r="AL29" s="7"/>
      <c r="AM29" s="7"/>
      <c r="AN29" s="7"/>
      <c r="AO29" s="7"/>
      <c r="AP29" s="7"/>
      <c r="AQ29" s="7"/>
      <c r="AR29" s="7"/>
      <c r="AS29" s="7"/>
      <c r="AT29" s="7"/>
      <c r="AU29" s="7"/>
      <c r="AV29" s="7"/>
      <c r="AX29" s="7"/>
      <c r="AY29" s="7"/>
      <c r="AZ29" s="7"/>
      <c r="BA29" s="7"/>
    </row>
    <row r="30" spans="2:54" ht="14.25" customHeight="1" x14ac:dyDescent="0.2">
      <c r="B30" s="174"/>
      <c r="C30" s="176"/>
      <c r="F30" s="5">
        <v>0</v>
      </c>
      <c r="G30" s="192">
        <v>0</v>
      </c>
      <c r="H30" s="192">
        <v>0</v>
      </c>
      <c r="I30" s="5">
        <v>0</v>
      </c>
      <c r="J30" s="192">
        <v>0</v>
      </c>
      <c r="K30" s="192">
        <v>0</v>
      </c>
      <c r="L30" s="5">
        <v>0</v>
      </c>
      <c r="M30" s="5">
        <v>0</v>
      </c>
      <c r="N30" s="4" t="e">
        <f t="shared" si="0"/>
        <v>#N/A</v>
      </c>
      <c r="O30" s="4" t="e">
        <f>IF(ROUND(10.499-(((N30-VLOOKUP($C30,Lookups!$A$55:$D$64,3))/(VLOOKUP($C30,Lookups!$A$55:$D$64,4))*VLOOKUP($C30,Lookups!$C$2:$D$11,2))),0)&lt;1,1,IF(ROUND(10.499-(((N30-VLOOKUP($C30,Lookups!$A$55:$D$64,3))/(VLOOKUP($C30,Lookups!$A$55:$D$64,4))*VLOOKUP($C30,Lookups!$C$2:$D$11,2))),0)&lt;11,ROUND(10.499-(((N30-VLOOKUP($C30,Lookups!$A$55:$D$64,3))/(VLOOKUP($C30,Lookups!$A$55:$D$64,4))*VLOOKUP($C30,Lookups!$C$2:$D$11,2))),0),10))</f>
        <v>#N/A</v>
      </c>
      <c r="P30" s="13" t="str">
        <f>IF((SUM(F30:M30)=0),"J",VLOOKUP(O30,Lookups!$A$1:$B$11,2))</f>
        <v>J</v>
      </c>
      <c r="Q30" s="8" t="e">
        <f>VLOOKUP(C30,Lookups!$A$136:$C$144,3)</f>
        <v>#N/A</v>
      </c>
      <c r="R30" s="8" t="e">
        <f>VLOOKUP(C30,Lookups!$A$136:$C$144,2)</f>
        <v>#N/A</v>
      </c>
      <c r="S30" s="4" t="str">
        <f t="shared" si="5"/>
        <v>No</v>
      </c>
      <c r="T30" s="125">
        <f t="shared" si="6"/>
        <v>0</v>
      </c>
      <c r="U30" s="125">
        <f t="shared" si="7"/>
        <v>0</v>
      </c>
      <c r="V30" s="4" t="e">
        <f>IF($Q30&lt;&gt;3,VLOOKUP(F30,'Points Table A'!B$3:$F$33,5),VLOOKUP(F30,'Points Table A'!H$3:$L$33,5))</f>
        <v>#N/A</v>
      </c>
      <c r="W30" s="4" t="e">
        <f>IF($Q30&lt;&gt;3,VLOOKUP(G30,'Points Table A'!C$3:$F$33,4),VLOOKUP(G30,'Points Table A'!I$3:$L$33,4))</f>
        <v>#N/A</v>
      </c>
      <c r="X30" s="4" t="e">
        <f>IF($Q30&lt;&gt;3,VLOOKUP(H30,'Points Table A'!D$3:$F$28,3),VLOOKUP(H30,'Points Table A'!J$3:$L$33,3))</f>
        <v>#N/A</v>
      </c>
      <c r="Y30" s="4" t="e">
        <f>IF($Q30&lt;&gt;3,VLOOKUP(I30,'Points Table A'!E$3:$F$33,2),VLOOKUP(I30,'Points Table A'!K$3:$L$33,2))</f>
        <v>#N/A</v>
      </c>
      <c r="Z30" s="4" t="e">
        <f t="shared" si="8"/>
        <v>#N/A</v>
      </c>
      <c r="AA30" s="4">
        <f>IF($S30=Lookups!$B$113,VLOOKUP(L30,'Points Table C'!A$3:$E$11,5),VLOOKUP(U30,'Points Table C'!B$3:$E$11,4))</f>
        <v>0</v>
      </c>
      <c r="AB30" s="4" t="e">
        <f>IF($Q30=1,0,VLOOKUP($J30,'Points Table C'!$C$3:$E$18,3))</f>
        <v>#N/A</v>
      </c>
      <c r="AC30" s="4">
        <f>VLOOKUP($K30,'Points Table C'!$D$3:$E$18,2)</f>
        <v>0</v>
      </c>
      <c r="AD30" s="4" t="e">
        <f>IF($Z30&lt;Lookups!$C$106,($AA30+AB30+AC30),IF($AA30&gt;=Lookups!$C$120,($AA30+AB30+AC30),$AA30+$AB30))</f>
        <v>#N/A</v>
      </c>
      <c r="AE30" s="7"/>
      <c r="AF30" s="7"/>
      <c r="AG30" s="7"/>
      <c r="AI30" s="7"/>
      <c r="AJ30" s="7"/>
      <c r="AK30" s="7"/>
      <c r="AL30" s="7"/>
      <c r="AM30" s="7"/>
      <c r="AN30" s="7"/>
      <c r="AO30" s="7"/>
      <c r="AP30" s="7"/>
      <c r="AQ30" s="7"/>
      <c r="AR30" s="7"/>
      <c r="AS30" s="7"/>
      <c r="AT30" s="7"/>
      <c r="AU30" s="7"/>
      <c r="AV30" s="7"/>
      <c r="AX30" s="7"/>
      <c r="AY30" s="7"/>
      <c r="AZ30" s="7"/>
      <c r="BA30" s="7"/>
    </row>
    <row r="31" spans="2:54" x14ac:dyDescent="0.2">
      <c r="B31" s="174"/>
      <c r="C31" s="176"/>
      <c r="F31" s="5">
        <v>0</v>
      </c>
      <c r="G31" s="192">
        <v>0</v>
      </c>
      <c r="H31" s="192">
        <v>0</v>
      </c>
      <c r="I31" s="5">
        <v>0</v>
      </c>
      <c r="J31" s="192">
        <v>0</v>
      </c>
      <c r="K31" s="192">
        <v>0</v>
      </c>
      <c r="L31" s="5">
        <v>0</v>
      </c>
      <c r="M31" s="5">
        <v>0</v>
      </c>
      <c r="N31" s="4" t="e">
        <f t="shared" si="0"/>
        <v>#N/A</v>
      </c>
      <c r="O31" s="4" t="e">
        <f>IF(ROUND(10.499-(((N31-VLOOKUP($C31,Lookups!$A$55:$D$64,3))/(VLOOKUP($C31,Lookups!$A$55:$D$64,4))*VLOOKUP($C31,Lookups!$C$2:$D$11,2))),0)&lt;1,1,IF(ROUND(10.499-(((N31-VLOOKUP($C31,Lookups!$A$55:$D$64,3))/(VLOOKUP($C31,Lookups!$A$55:$D$64,4))*VLOOKUP($C31,Lookups!$C$2:$D$11,2))),0)&lt;11,ROUND(10.499-(((N31-VLOOKUP($C31,Lookups!$A$55:$D$64,3))/(VLOOKUP($C31,Lookups!$A$55:$D$64,4))*VLOOKUP($C31,Lookups!$C$2:$D$11,2))),0),10))</f>
        <v>#N/A</v>
      </c>
      <c r="P31" s="13" t="str">
        <f>IF((SUM(F31:M31)=0),"J",VLOOKUP(O31,Lookups!$A$1:$B$11,2))</f>
        <v>J</v>
      </c>
      <c r="Q31" s="8" t="e">
        <f>VLOOKUP(C31,Lookups!$A$136:$C$144,3)</f>
        <v>#N/A</v>
      </c>
      <c r="R31" s="8" t="e">
        <f>VLOOKUP(C31,Lookups!$A$136:$C$144,2)</f>
        <v>#N/A</v>
      </c>
      <c r="S31" s="4" t="str">
        <f t="shared" si="5"/>
        <v>No</v>
      </c>
      <c r="T31" s="125">
        <f t="shared" si="6"/>
        <v>0</v>
      </c>
      <c r="U31" s="125">
        <f t="shared" si="7"/>
        <v>0</v>
      </c>
      <c r="V31" s="4" t="e">
        <f>IF($Q31&lt;&gt;3,VLOOKUP(F31,'Points Table A'!B$3:$F$33,5),VLOOKUP(F31,'Points Table A'!H$3:$L$33,5))</f>
        <v>#N/A</v>
      </c>
      <c r="W31" s="4" t="e">
        <f>IF($Q31&lt;&gt;3,VLOOKUP(G31,'Points Table A'!C$3:$F$33,4),VLOOKUP(G31,'Points Table A'!I$3:$L$33,4))</f>
        <v>#N/A</v>
      </c>
      <c r="X31" s="4" t="e">
        <f>IF($Q31&lt;&gt;3,VLOOKUP(H31,'Points Table A'!D$3:$F$28,3),VLOOKUP(H31,'Points Table A'!J$3:$L$33,3))</f>
        <v>#N/A</v>
      </c>
      <c r="Y31" s="4" t="e">
        <f>IF($Q31&lt;&gt;3,VLOOKUP(I31,'Points Table A'!E$3:$F$33,2),VLOOKUP(I31,'Points Table A'!K$3:$L$33,2))</f>
        <v>#N/A</v>
      </c>
      <c r="Z31" s="4" t="e">
        <f t="shared" si="8"/>
        <v>#N/A</v>
      </c>
      <c r="AA31" s="4">
        <f>IF($S31=Lookups!$B$113,VLOOKUP(L31,'Points Table C'!A$3:$E$11,5),VLOOKUP(U31,'Points Table C'!B$3:$E$11,4))</f>
        <v>0</v>
      </c>
      <c r="AB31" s="4" t="e">
        <f>IF($Q31=1,0,VLOOKUP($J31,'Points Table C'!$C$3:$E$18,3))</f>
        <v>#N/A</v>
      </c>
      <c r="AC31" s="4">
        <f>VLOOKUP($K31,'Points Table C'!$D$3:$E$18,2)</f>
        <v>0</v>
      </c>
      <c r="AD31" s="4" t="e">
        <f>IF($Z31&lt;Lookups!$C$106,($AA31+AB31+AC31),IF($AA31&gt;=Lookups!$C$120,($AA31+AB31+AC31),$AA31+$AB31))</f>
        <v>#N/A</v>
      </c>
      <c r="AE31" s="7"/>
      <c r="AF31" s="7"/>
      <c r="AG31" s="7"/>
      <c r="AI31" s="7"/>
      <c r="AJ31" s="7"/>
      <c r="AK31" s="7"/>
      <c r="AL31" s="7"/>
      <c r="AM31" s="7"/>
      <c r="AN31" s="7"/>
      <c r="AO31" s="7"/>
      <c r="AP31" s="7"/>
      <c r="AQ31" s="7"/>
      <c r="AR31" s="7"/>
      <c r="AS31" s="7"/>
      <c r="AT31" s="7"/>
      <c r="AU31" s="7"/>
      <c r="AV31" s="7"/>
      <c r="AX31" s="7"/>
      <c r="AY31" s="7"/>
      <c r="AZ31" s="7"/>
      <c r="BA31" s="7"/>
    </row>
    <row r="32" spans="2:54" x14ac:dyDescent="0.2">
      <c r="B32" s="174"/>
      <c r="C32" s="176"/>
      <c r="F32" s="5">
        <v>0</v>
      </c>
      <c r="G32" s="192">
        <v>0</v>
      </c>
      <c r="H32" s="192">
        <v>0</v>
      </c>
      <c r="I32" s="5">
        <v>0</v>
      </c>
      <c r="J32" s="192">
        <v>0</v>
      </c>
      <c r="K32" s="192">
        <v>0</v>
      </c>
      <c r="L32" s="5">
        <v>0</v>
      </c>
      <c r="M32" s="5">
        <v>0</v>
      </c>
      <c r="N32" s="4" t="e">
        <f t="shared" si="0"/>
        <v>#N/A</v>
      </c>
      <c r="O32" s="4" t="e">
        <f>IF(ROUND(10.499-(((N32-VLOOKUP($C32,Lookups!$A$55:$D$64,3))/(VLOOKUP($C32,Lookups!$A$55:$D$64,4))*VLOOKUP($C32,Lookups!$C$2:$D$11,2))),0)&lt;1,1,IF(ROUND(10.499-(((N32-VLOOKUP($C32,Lookups!$A$55:$D$64,3))/(VLOOKUP($C32,Lookups!$A$55:$D$64,4))*VLOOKUP($C32,Lookups!$C$2:$D$11,2))),0)&lt;11,ROUND(10.499-(((N32-VLOOKUP($C32,Lookups!$A$55:$D$64,3))/(VLOOKUP($C32,Lookups!$A$55:$D$64,4))*VLOOKUP($C32,Lookups!$C$2:$D$11,2))),0),10))</f>
        <v>#N/A</v>
      </c>
      <c r="P32" s="13" t="str">
        <f>IF((SUM(F32:M32)=0),"J",VLOOKUP(O32,Lookups!$A$1:$B$11,2))</f>
        <v>J</v>
      </c>
      <c r="Q32" s="8" t="e">
        <f>VLOOKUP(C32,Lookups!$A$136:$C$144,3)</f>
        <v>#N/A</v>
      </c>
      <c r="R32" s="8" t="e">
        <f>VLOOKUP(C32,Lookups!$A$136:$C$144,2)</f>
        <v>#N/A</v>
      </c>
      <c r="S32" s="4" t="str">
        <f t="shared" si="5"/>
        <v>No</v>
      </c>
      <c r="T32" s="125">
        <f t="shared" si="6"/>
        <v>0</v>
      </c>
      <c r="U32" s="125">
        <f t="shared" si="7"/>
        <v>0</v>
      </c>
      <c r="V32" s="4" t="e">
        <f>IF($Q32&lt;&gt;3,VLOOKUP(F32,'Points Table A'!B$3:$F$33,5),VLOOKUP(F32,'Points Table A'!H$3:$L$33,5))</f>
        <v>#N/A</v>
      </c>
      <c r="W32" s="4" t="e">
        <f>IF($Q32&lt;&gt;3,VLOOKUP(G32,'Points Table A'!C$3:$F$33,4),VLOOKUP(G32,'Points Table A'!I$3:$L$33,4))</f>
        <v>#N/A</v>
      </c>
      <c r="X32" s="4" t="e">
        <f>IF($Q32&lt;&gt;3,VLOOKUP(H32,'Points Table A'!D$3:$F$28,3),VLOOKUP(H32,'Points Table A'!J$3:$L$33,3))</f>
        <v>#N/A</v>
      </c>
      <c r="Y32" s="4" t="e">
        <f>IF($Q32&lt;&gt;3,VLOOKUP(I32,'Points Table A'!E$3:$F$33,2),VLOOKUP(I32,'Points Table A'!K$3:$L$33,2))</f>
        <v>#N/A</v>
      </c>
      <c r="Z32" s="4" t="e">
        <f t="shared" si="8"/>
        <v>#N/A</v>
      </c>
      <c r="AA32" s="4">
        <f>IF($S32=Lookups!$B$113,VLOOKUP(L32,'Points Table C'!A$3:$E$11,5),VLOOKUP(U32,'Points Table C'!B$3:$E$11,4))</f>
        <v>0</v>
      </c>
      <c r="AB32" s="4" t="e">
        <f>IF($Q32=1,0,VLOOKUP($J32,'Points Table C'!$C$3:$E$18,3))</f>
        <v>#N/A</v>
      </c>
      <c r="AC32" s="4">
        <f>VLOOKUP($K32,'Points Table C'!$D$3:$E$18,2)</f>
        <v>0</v>
      </c>
      <c r="AD32" s="4" t="e">
        <f>IF($Z32&lt;Lookups!$C$106,($AA32+AB32+AC32),IF($AA32&gt;=Lookups!$C$120,($AA32+AB32+AC32),$AA32+$AB32))</f>
        <v>#N/A</v>
      </c>
      <c r="AE32" s="7"/>
      <c r="AF32" s="7"/>
      <c r="AG32" s="7"/>
      <c r="AI32" s="7"/>
      <c r="AJ32" s="7"/>
      <c r="AK32" s="7"/>
      <c r="AL32" s="7"/>
      <c r="AM32" s="7"/>
      <c r="AN32" s="7"/>
      <c r="AO32" s="7"/>
      <c r="AP32" s="7"/>
      <c r="AQ32" s="7"/>
      <c r="AR32" s="7"/>
      <c r="AS32" s="7"/>
      <c r="AT32" s="7"/>
      <c r="AU32" s="7"/>
      <c r="AV32" s="7"/>
      <c r="AX32" s="7"/>
      <c r="AY32" s="7"/>
      <c r="AZ32" s="7"/>
      <c r="BA32" s="7"/>
    </row>
    <row r="33" spans="2:54" x14ac:dyDescent="0.2">
      <c r="B33" s="174"/>
      <c r="C33" s="176"/>
      <c r="F33" s="5">
        <v>0</v>
      </c>
      <c r="G33" s="192">
        <v>0</v>
      </c>
      <c r="H33" s="192">
        <v>0</v>
      </c>
      <c r="I33" s="5">
        <v>0</v>
      </c>
      <c r="J33" s="192">
        <v>0</v>
      </c>
      <c r="K33" s="192">
        <v>0</v>
      </c>
      <c r="L33" s="5">
        <v>0</v>
      </c>
      <c r="M33" s="5">
        <v>0</v>
      </c>
      <c r="N33" s="4" t="e">
        <f t="shared" si="0"/>
        <v>#N/A</v>
      </c>
      <c r="O33" s="4" t="e">
        <f>IF(ROUND(10.499-(((N33-VLOOKUP($C33,Lookups!$A$55:$D$64,3))/(VLOOKUP($C33,Lookups!$A$55:$D$64,4))*VLOOKUP($C33,Lookups!$C$2:$D$11,2))),0)&lt;1,1,IF(ROUND(10.499-(((N33-VLOOKUP($C33,Lookups!$A$55:$D$64,3))/(VLOOKUP($C33,Lookups!$A$55:$D$64,4))*VLOOKUP($C33,Lookups!$C$2:$D$11,2))),0)&lt;11,ROUND(10.499-(((N33-VLOOKUP($C33,Lookups!$A$55:$D$64,3))/(VLOOKUP($C33,Lookups!$A$55:$D$64,4))*VLOOKUP($C33,Lookups!$C$2:$D$11,2))),0),10))</f>
        <v>#N/A</v>
      </c>
      <c r="P33" s="13" t="str">
        <f>IF((SUM(F33:M33)=0),"J",VLOOKUP(O33,Lookups!$A$1:$B$11,2))</f>
        <v>J</v>
      </c>
      <c r="Q33" s="8" t="e">
        <f>VLOOKUP(C33,Lookups!$A$136:$C$144,3)</f>
        <v>#N/A</v>
      </c>
      <c r="R33" s="8" t="e">
        <f>VLOOKUP(C33,Lookups!$A$136:$C$144,2)</f>
        <v>#N/A</v>
      </c>
      <c r="S33" s="4" t="str">
        <f t="shared" si="5"/>
        <v>No</v>
      </c>
      <c r="T33" s="125">
        <f t="shared" si="6"/>
        <v>0</v>
      </c>
      <c r="U33" s="125">
        <f t="shared" si="7"/>
        <v>0</v>
      </c>
      <c r="V33" s="4" t="e">
        <f>IF($Q33&lt;&gt;3,VLOOKUP(F33,'Points Table A'!B$3:$F$33,5),VLOOKUP(F33,'Points Table A'!H$3:$L$33,5))</f>
        <v>#N/A</v>
      </c>
      <c r="W33" s="4" t="e">
        <f>IF($Q33&lt;&gt;3,VLOOKUP(G33,'Points Table A'!C$3:$F$33,4),VLOOKUP(G33,'Points Table A'!I$3:$L$33,4))</f>
        <v>#N/A</v>
      </c>
      <c r="X33" s="4" t="e">
        <f>IF($Q33&lt;&gt;3,VLOOKUP(H33,'Points Table A'!D$3:$F$28,3),VLOOKUP(H33,'Points Table A'!J$3:$L$33,3))</f>
        <v>#N/A</v>
      </c>
      <c r="Y33" s="4" t="e">
        <f>IF($Q33&lt;&gt;3,VLOOKUP(I33,'Points Table A'!E$3:$F$33,2),VLOOKUP(I33,'Points Table A'!K$3:$L$33,2))</f>
        <v>#N/A</v>
      </c>
      <c r="Z33" s="4" t="e">
        <f t="shared" si="8"/>
        <v>#N/A</v>
      </c>
      <c r="AA33" s="4">
        <f>IF($S33=Lookups!$B$113,VLOOKUP(L33,'Points Table C'!A$3:$E$11,5),VLOOKUP(U33,'Points Table C'!B$3:$E$11,4))</f>
        <v>0</v>
      </c>
      <c r="AB33" s="4" t="e">
        <f>IF($Q33=1,0,VLOOKUP($J33,'Points Table C'!$C$3:$E$18,3))</f>
        <v>#N/A</v>
      </c>
      <c r="AC33" s="4">
        <f>VLOOKUP($K33,'Points Table C'!$D$3:$E$18,2)</f>
        <v>0</v>
      </c>
      <c r="AD33" s="4" t="e">
        <f>IF($Z33&lt;Lookups!$C$106,($AA33+AB33+AC33),IF($AA33&gt;=Lookups!$C$120,($AA33+AB33+AC33),$AA33+$AB33))</f>
        <v>#N/A</v>
      </c>
      <c r="AE33" s="7"/>
      <c r="AF33" s="7"/>
      <c r="AG33" s="7"/>
      <c r="AI33" s="7"/>
      <c r="AJ33" s="7"/>
      <c r="AK33" s="7"/>
      <c r="AL33" s="7"/>
      <c r="AM33" s="7"/>
      <c r="AN33" s="7"/>
      <c r="AO33" s="7"/>
      <c r="AP33" s="7"/>
      <c r="AQ33" s="7"/>
      <c r="AR33" s="7"/>
      <c r="AS33" s="7"/>
      <c r="AT33" s="7"/>
      <c r="AU33" s="7"/>
      <c r="AV33" s="7"/>
      <c r="AX33" s="7"/>
      <c r="AY33" s="7"/>
      <c r="AZ33" s="7"/>
      <c r="BA33" s="7"/>
    </row>
    <row r="34" spans="2:54" x14ac:dyDescent="0.2">
      <c r="B34" s="174"/>
      <c r="C34" s="176"/>
      <c r="F34" s="5">
        <v>0</v>
      </c>
      <c r="G34" s="192">
        <v>0</v>
      </c>
      <c r="H34" s="192">
        <v>0</v>
      </c>
      <c r="I34" s="5">
        <v>0</v>
      </c>
      <c r="J34" s="192">
        <v>0</v>
      </c>
      <c r="K34" s="192">
        <v>0</v>
      </c>
      <c r="L34" s="5">
        <v>0</v>
      </c>
      <c r="M34" s="5">
        <v>0</v>
      </c>
      <c r="N34" s="4" t="e">
        <f t="shared" ref="N34:N65" si="9">$Z34-$AD34</f>
        <v>#N/A</v>
      </c>
      <c r="O34" s="4" t="e">
        <f>IF(ROUND(10.499-(((N34-VLOOKUP($C34,Lookups!$A$55:$D$64,3))/(VLOOKUP($C34,Lookups!$A$55:$D$64,4))*VLOOKUP($C34,Lookups!$C$2:$D$11,2))),0)&lt;1,1,IF(ROUND(10.499-(((N34-VLOOKUP($C34,Lookups!$A$55:$D$64,3))/(VLOOKUP($C34,Lookups!$A$55:$D$64,4))*VLOOKUP($C34,Lookups!$C$2:$D$11,2))),0)&lt;11,ROUND(10.499-(((N34-VLOOKUP($C34,Lookups!$A$55:$D$64,3))/(VLOOKUP($C34,Lookups!$A$55:$D$64,4))*VLOOKUP($C34,Lookups!$C$2:$D$11,2))),0),10))</f>
        <v>#N/A</v>
      </c>
      <c r="P34" s="13" t="str">
        <f>IF((SUM(F34:M34)=0),"J",VLOOKUP(O34,Lookups!$A$1:$B$11,2))</f>
        <v>J</v>
      </c>
      <c r="Q34" s="8" t="e">
        <f>VLOOKUP(C34,Lookups!$A$136:$C$144,3)</f>
        <v>#N/A</v>
      </c>
      <c r="R34" s="8" t="e">
        <f>VLOOKUP(C34,Lookups!$A$136:$C$144,2)</f>
        <v>#N/A</v>
      </c>
      <c r="S34" s="4" t="str">
        <f t="shared" si="5"/>
        <v>No</v>
      </c>
      <c r="T34" s="125">
        <f t="shared" si="6"/>
        <v>0</v>
      </c>
      <c r="U34" s="125">
        <f t="shared" si="7"/>
        <v>0</v>
      </c>
      <c r="V34" s="4" t="e">
        <f>IF($Q34&lt;&gt;3,VLOOKUP(F34,'Points Table A'!B$3:$F$33,5),VLOOKUP(F34,'Points Table A'!H$3:$L$33,5))</f>
        <v>#N/A</v>
      </c>
      <c r="W34" s="4" t="e">
        <f>IF($Q34&lt;&gt;3,VLOOKUP(G34,'Points Table A'!C$3:$F$33,4),VLOOKUP(G34,'Points Table A'!I$3:$L$33,4))</f>
        <v>#N/A</v>
      </c>
      <c r="X34" s="4" t="e">
        <f>IF($Q34&lt;&gt;3,VLOOKUP(H34,'Points Table A'!D$3:$F$28,3),VLOOKUP(H34,'Points Table A'!J$3:$L$33,3))</f>
        <v>#N/A</v>
      </c>
      <c r="Y34" s="4" t="e">
        <f>IF($Q34&lt;&gt;3,VLOOKUP(I34,'Points Table A'!E$3:$F$33,2),VLOOKUP(I34,'Points Table A'!K$3:$L$33,2))</f>
        <v>#N/A</v>
      </c>
      <c r="Z34" s="4" t="e">
        <f t="shared" si="8"/>
        <v>#N/A</v>
      </c>
      <c r="AA34" s="4">
        <f>IF($S34=Lookups!$B$113,VLOOKUP(L34,'Points Table C'!A$3:$E$11,5),VLOOKUP(U34,'Points Table C'!B$3:$E$11,4))</f>
        <v>0</v>
      </c>
      <c r="AB34" s="4" t="e">
        <f>IF($Q34=1,0,VLOOKUP($J34,'Points Table C'!$C$3:$E$18,3))</f>
        <v>#N/A</v>
      </c>
      <c r="AC34" s="4">
        <f>VLOOKUP($K34,'Points Table C'!$D$3:$E$18,2)</f>
        <v>0</v>
      </c>
      <c r="AD34" s="4" t="e">
        <f>IF($Z34&lt;Lookups!$C$106,($AA34+AB34+AC34),IF($AA34&gt;=Lookups!$C$120,($AA34+AB34+AC34),$AA34+$AB34))</f>
        <v>#N/A</v>
      </c>
      <c r="AE34" s="7"/>
      <c r="AF34" s="7"/>
      <c r="AG34" s="7"/>
      <c r="AI34" s="7"/>
      <c r="AJ34" s="7"/>
      <c r="AK34" s="7"/>
      <c r="AL34" s="7"/>
      <c r="AM34" s="7"/>
      <c r="AN34" s="7"/>
      <c r="AO34" s="7"/>
      <c r="AP34" s="7"/>
      <c r="AQ34" s="7"/>
      <c r="AR34" s="7"/>
      <c r="AS34" s="7"/>
      <c r="AT34" s="7"/>
      <c r="AU34" s="7"/>
      <c r="AV34" s="7"/>
      <c r="AX34" s="7"/>
      <c r="AY34" s="7"/>
      <c r="AZ34" s="7"/>
      <c r="BA34" s="7"/>
    </row>
    <row r="35" spans="2:54" x14ac:dyDescent="0.2">
      <c r="B35" s="174"/>
      <c r="C35" s="176"/>
      <c r="F35" s="5">
        <v>0</v>
      </c>
      <c r="G35" s="192">
        <v>0</v>
      </c>
      <c r="H35" s="192">
        <v>0</v>
      </c>
      <c r="I35" s="5">
        <v>0</v>
      </c>
      <c r="J35" s="192">
        <v>0</v>
      </c>
      <c r="K35" s="192">
        <v>0</v>
      </c>
      <c r="L35" s="5">
        <v>0</v>
      </c>
      <c r="M35" s="5">
        <v>0</v>
      </c>
      <c r="N35" s="4" t="e">
        <f t="shared" si="9"/>
        <v>#N/A</v>
      </c>
      <c r="O35" s="4" t="e">
        <f>IF(ROUND(10.499-(((N35-VLOOKUP($C35,Lookups!$A$55:$D$64,3))/(VLOOKUP($C35,Lookups!$A$55:$D$64,4))*VLOOKUP($C35,Lookups!$C$2:$D$11,2))),0)&lt;1,1,IF(ROUND(10.499-(((N35-VLOOKUP($C35,Lookups!$A$55:$D$64,3))/(VLOOKUP($C35,Lookups!$A$55:$D$64,4))*VLOOKUP($C35,Lookups!$C$2:$D$11,2))),0)&lt;11,ROUND(10.499-(((N35-VLOOKUP($C35,Lookups!$A$55:$D$64,3))/(VLOOKUP($C35,Lookups!$A$55:$D$64,4))*VLOOKUP($C35,Lookups!$C$2:$D$11,2))),0),10))</f>
        <v>#N/A</v>
      </c>
      <c r="P35" s="13" t="str">
        <f>IF((SUM(F35:M35)=0),"J",VLOOKUP(O35,Lookups!$A$1:$B$11,2))</f>
        <v>J</v>
      </c>
      <c r="Q35" s="8" t="e">
        <f>VLOOKUP(C35,Lookups!$A$136:$C$144,3)</f>
        <v>#N/A</v>
      </c>
      <c r="R35" s="8" t="e">
        <f>VLOOKUP(C35,Lookups!$A$136:$C$144,2)</f>
        <v>#N/A</v>
      </c>
      <c r="S35" s="4" t="str">
        <f t="shared" si="5"/>
        <v>No</v>
      </c>
      <c r="T35" s="125">
        <f t="shared" si="6"/>
        <v>0</v>
      </c>
      <c r="U35" s="125">
        <f t="shared" si="7"/>
        <v>0</v>
      </c>
      <c r="V35" s="4" t="e">
        <f>IF($Q35&lt;&gt;3,VLOOKUP(F35,'Points Table A'!B$3:$F$33,5),VLOOKUP(F35,'Points Table A'!H$3:$L$33,5))</f>
        <v>#N/A</v>
      </c>
      <c r="W35" s="4" t="e">
        <f>IF($Q35&lt;&gt;3,VLOOKUP(G35,'Points Table A'!C$3:$F$33,4),VLOOKUP(G35,'Points Table A'!I$3:$L$33,4))</f>
        <v>#N/A</v>
      </c>
      <c r="X35" s="4" t="e">
        <f>IF($Q35&lt;&gt;3,VLOOKUP(H35,'Points Table A'!D$3:$F$28,3),VLOOKUP(H35,'Points Table A'!J$3:$L$33,3))</f>
        <v>#N/A</v>
      </c>
      <c r="Y35" s="4" t="e">
        <f>IF($Q35&lt;&gt;3,VLOOKUP(I35,'Points Table A'!E$3:$F$33,2),VLOOKUP(I35,'Points Table A'!K$3:$L$33,2))</f>
        <v>#N/A</v>
      </c>
      <c r="Z35" s="4" t="e">
        <f t="shared" si="8"/>
        <v>#N/A</v>
      </c>
      <c r="AA35" s="4">
        <f>IF($S35=Lookups!$B$113,VLOOKUP(L35,'Points Table C'!A$3:$E$11,5),VLOOKUP(U35,'Points Table C'!B$3:$E$11,4))</f>
        <v>0</v>
      </c>
      <c r="AB35" s="4" t="e">
        <f>IF($Q35=1,0,VLOOKUP($J35,'Points Table C'!$C$3:$E$18,3))</f>
        <v>#N/A</v>
      </c>
      <c r="AC35" s="4">
        <f>VLOOKUP($K35,'Points Table C'!$D$3:$E$18,2)</f>
        <v>0</v>
      </c>
      <c r="AD35" s="4" t="e">
        <f>IF($Z35&lt;Lookups!$C$106,($AA35+AB35+AC35),IF($AA35&gt;=Lookups!$C$120,($AA35+AB35+AC35),$AA35+$AB35))</f>
        <v>#N/A</v>
      </c>
      <c r="AE35" s="7"/>
      <c r="AF35" s="7"/>
      <c r="AG35" s="7"/>
      <c r="AI35" s="7"/>
      <c r="AJ35" s="7"/>
      <c r="AK35" s="7"/>
      <c r="AL35" s="7"/>
      <c r="AM35" s="7"/>
      <c r="AN35" s="7"/>
      <c r="AO35" s="7"/>
      <c r="AP35" s="7"/>
      <c r="AQ35" s="7"/>
      <c r="AR35" s="7"/>
      <c r="AS35" s="7"/>
      <c r="AT35" s="7"/>
      <c r="AU35" s="7"/>
      <c r="AV35" s="7"/>
      <c r="AX35" s="7"/>
      <c r="AY35" s="7"/>
      <c r="AZ35" s="7"/>
      <c r="BA35" s="7"/>
    </row>
    <row r="36" spans="2:54" x14ac:dyDescent="0.2">
      <c r="B36" s="174"/>
      <c r="C36" s="176"/>
      <c r="F36" s="5">
        <v>0</v>
      </c>
      <c r="G36" s="192">
        <v>0</v>
      </c>
      <c r="H36" s="192">
        <v>0</v>
      </c>
      <c r="I36" s="5">
        <v>0</v>
      </c>
      <c r="J36" s="192">
        <v>0</v>
      </c>
      <c r="K36" s="192">
        <v>0</v>
      </c>
      <c r="L36" s="5">
        <v>0</v>
      </c>
      <c r="M36" s="5">
        <v>0</v>
      </c>
      <c r="N36" s="4" t="e">
        <f t="shared" si="9"/>
        <v>#N/A</v>
      </c>
      <c r="O36" s="4" t="e">
        <f>IF(ROUND(10.499-(((N36-VLOOKUP($C36,Lookups!$A$55:$D$64,3))/(VLOOKUP($C36,Lookups!$A$55:$D$64,4))*VLOOKUP($C36,Lookups!$C$2:$D$11,2))),0)&lt;1,1,IF(ROUND(10.499-(((N36-VLOOKUP($C36,Lookups!$A$55:$D$64,3))/(VLOOKUP($C36,Lookups!$A$55:$D$64,4))*VLOOKUP($C36,Lookups!$C$2:$D$11,2))),0)&lt;11,ROUND(10.499-(((N36-VLOOKUP($C36,Lookups!$A$55:$D$64,3))/(VLOOKUP($C36,Lookups!$A$55:$D$64,4))*VLOOKUP($C36,Lookups!$C$2:$D$11,2))),0),10))</f>
        <v>#N/A</v>
      </c>
      <c r="P36" s="13" t="str">
        <f>IF((SUM(F36:M36)=0),"J",VLOOKUP(O36,Lookups!$A$1:$B$11,2))</f>
        <v>J</v>
      </c>
      <c r="Q36" s="8" t="e">
        <f>VLOOKUP(C36,Lookups!$A$136:$C$144,3)</f>
        <v>#N/A</v>
      </c>
      <c r="R36" s="8" t="e">
        <f>VLOOKUP(C36,Lookups!$A$136:$C$144,2)</f>
        <v>#N/A</v>
      </c>
      <c r="S36" s="4" t="str">
        <f t="shared" si="5"/>
        <v>No</v>
      </c>
      <c r="T36" s="125">
        <f t="shared" si="6"/>
        <v>0</v>
      </c>
      <c r="U36" s="125">
        <f t="shared" si="7"/>
        <v>0</v>
      </c>
      <c r="V36" s="4" t="e">
        <f>IF($Q36&lt;&gt;3,VLOOKUP(F36,'Points Table A'!B$3:$F$33,5),VLOOKUP(F36,'Points Table A'!H$3:$L$33,5))</f>
        <v>#N/A</v>
      </c>
      <c r="W36" s="4" t="e">
        <f>IF($Q36&lt;&gt;3,VLOOKUP(G36,'Points Table A'!C$3:$F$33,4),VLOOKUP(G36,'Points Table A'!I$3:$L$33,4))</f>
        <v>#N/A</v>
      </c>
      <c r="X36" s="4" t="e">
        <f>IF($Q36&lt;&gt;3,VLOOKUP(H36,'Points Table A'!D$3:$F$28,3),VLOOKUP(H36,'Points Table A'!J$3:$L$33,3))</f>
        <v>#N/A</v>
      </c>
      <c r="Y36" s="4" t="e">
        <f>IF($Q36&lt;&gt;3,VLOOKUP(I36,'Points Table A'!E$3:$F$33,2),VLOOKUP(I36,'Points Table A'!K$3:$L$33,2))</f>
        <v>#N/A</v>
      </c>
      <c r="Z36" s="4" t="e">
        <f t="shared" si="8"/>
        <v>#N/A</v>
      </c>
      <c r="AA36" s="4">
        <f>IF($S36=Lookups!$B$113,VLOOKUP(L36,'Points Table C'!A$3:$E$11,5),VLOOKUP(U36,'Points Table C'!B$3:$E$11,4))</f>
        <v>0</v>
      </c>
      <c r="AB36" s="4" t="e">
        <f>IF($Q36=1,0,VLOOKUP($J36,'Points Table C'!$C$3:$E$18,3))</f>
        <v>#N/A</v>
      </c>
      <c r="AC36" s="4">
        <f>VLOOKUP($K36,'Points Table C'!$D$3:$E$18,2)</f>
        <v>0</v>
      </c>
      <c r="AD36" s="4" t="e">
        <f>IF($Z36&lt;Lookups!$C$106,($AA36+AB36+AC36),IF($AA36&gt;=Lookups!$C$120,($AA36+AB36+AC36),$AA36+$AB36))</f>
        <v>#N/A</v>
      </c>
      <c r="AE36" s="7"/>
      <c r="AF36" s="7"/>
      <c r="AG36" s="7"/>
      <c r="AI36" s="7"/>
      <c r="AJ36" s="7"/>
      <c r="AK36" s="7"/>
      <c r="AL36" s="7"/>
      <c r="AM36" s="7"/>
      <c r="AN36" s="7"/>
      <c r="AO36" s="7"/>
      <c r="AP36" s="7"/>
      <c r="AQ36" s="7"/>
      <c r="AR36" s="7"/>
      <c r="AS36" s="7"/>
      <c r="AT36" s="7"/>
      <c r="AU36" s="7"/>
      <c r="AV36" s="7"/>
      <c r="AX36" s="7"/>
      <c r="AY36" s="7"/>
      <c r="AZ36" s="7"/>
      <c r="BA36" s="7"/>
    </row>
    <row r="37" spans="2:54" x14ac:dyDescent="0.2">
      <c r="B37" s="174"/>
      <c r="C37" s="176"/>
      <c r="F37" s="5">
        <v>0</v>
      </c>
      <c r="G37" s="192">
        <v>0</v>
      </c>
      <c r="H37" s="192">
        <v>0</v>
      </c>
      <c r="I37" s="5">
        <v>0</v>
      </c>
      <c r="J37" s="192">
        <v>0</v>
      </c>
      <c r="K37" s="192">
        <v>0</v>
      </c>
      <c r="L37" s="5">
        <v>0</v>
      </c>
      <c r="M37" s="5">
        <v>0</v>
      </c>
      <c r="N37" s="4" t="e">
        <f t="shared" si="9"/>
        <v>#N/A</v>
      </c>
      <c r="O37" s="4" t="e">
        <f>IF(ROUND(10.499-(((N37-VLOOKUP($C37,Lookups!$A$55:$D$64,3))/(VLOOKUP($C37,Lookups!$A$55:$D$64,4))*VLOOKUP($C37,Lookups!$C$2:$D$11,2))),0)&lt;1,1,IF(ROUND(10.499-(((N37-VLOOKUP($C37,Lookups!$A$55:$D$64,3))/(VLOOKUP($C37,Lookups!$A$55:$D$64,4))*VLOOKUP($C37,Lookups!$C$2:$D$11,2))),0)&lt;11,ROUND(10.499-(((N37-VLOOKUP($C37,Lookups!$A$55:$D$64,3))/(VLOOKUP($C37,Lookups!$A$55:$D$64,4))*VLOOKUP($C37,Lookups!$C$2:$D$11,2))),0),10))</f>
        <v>#N/A</v>
      </c>
      <c r="P37" s="13" t="str">
        <f>IF((SUM(F37:M37)=0),"J",VLOOKUP(O37,Lookups!$A$1:$B$11,2))</f>
        <v>J</v>
      </c>
      <c r="Q37" s="8" t="e">
        <f>VLOOKUP(C37,Lookups!$A$136:$C$144,3)</f>
        <v>#N/A</v>
      </c>
      <c r="R37" s="8" t="e">
        <f>VLOOKUP(C37,Lookups!$A$136:$C$144,2)</f>
        <v>#N/A</v>
      </c>
      <c r="S37" s="4" t="str">
        <f t="shared" si="5"/>
        <v>No</v>
      </c>
      <c r="T37" s="125">
        <f t="shared" si="6"/>
        <v>0</v>
      </c>
      <c r="U37" s="125">
        <f t="shared" si="7"/>
        <v>0</v>
      </c>
      <c r="V37" s="4" t="e">
        <f>IF($Q37&lt;&gt;3,VLOOKUP(F37,'Points Table A'!B$3:$F$33,5),VLOOKUP(F37,'Points Table A'!H$3:$L$33,5))</f>
        <v>#N/A</v>
      </c>
      <c r="W37" s="4" t="e">
        <f>IF($Q37&lt;&gt;3,VLOOKUP(G37,'Points Table A'!C$3:$F$33,4),VLOOKUP(G37,'Points Table A'!I$3:$L$33,4))</f>
        <v>#N/A</v>
      </c>
      <c r="X37" s="4" t="e">
        <f>IF($Q37&lt;&gt;3,VLOOKUP(H37,'Points Table A'!D$3:$F$28,3),VLOOKUP(H37,'Points Table A'!J$3:$L$33,3))</f>
        <v>#N/A</v>
      </c>
      <c r="Y37" s="4" t="e">
        <f>IF($Q37&lt;&gt;3,VLOOKUP(I37,'Points Table A'!E$3:$F$33,2),VLOOKUP(I37,'Points Table A'!K$3:$L$33,2))</f>
        <v>#N/A</v>
      </c>
      <c r="Z37" s="4" t="e">
        <f t="shared" si="8"/>
        <v>#N/A</v>
      </c>
      <c r="AA37" s="4">
        <f>IF($S37=Lookups!$B$113,VLOOKUP(L37,'Points Table C'!A$3:$E$11,5),VLOOKUP(U37,'Points Table C'!B$3:$E$11,4))</f>
        <v>0</v>
      </c>
      <c r="AB37" s="4" t="e">
        <f>IF($Q37=1,0,VLOOKUP($J37,'Points Table C'!$C$3:$E$18,3))</f>
        <v>#N/A</v>
      </c>
      <c r="AC37" s="4">
        <f>VLOOKUP($K37,'Points Table C'!$D$3:$E$18,2)</f>
        <v>0</v>
      </c>
      <c r="AD37" s="4" t="e">
        <f>IF($Z37&lt;Lookups!$C$106,($AA37+AB37+AC37),IF($AA37&gt;=Lookups!$C$120,($AA37+AB37+AC37),$AA37+$AB37))</f>
        <v>#N/A</v>
      </c>
      <c r="AE37" s="7"/>
      <c r="AF37" s="7"/>
      <c r="AG37" s="7"/>
      <c r="AI37" s="7"/>
      <c r="AJ37" s="7"/>
      <c r="AK37" s="7"/>
      <c r="AL37" s="7"/>
      <c r="AM37" s="7"/>
      <c r="AN37" s="7"/>
      <c r="AO37" s="7"/>
      <c r="AP37" s="7"/>
      <c r="AQ37" s="7"/>
      <c r="AR37" s="7"/>
      <c r="AS37" s="7"/>
      <c r="AT37" s="7"/>
      <c r="AU37" s="7"/>
      <c r="AV37" s="7"/>
      <c r="AX37" s="7"/>
      <c r="AY37" s="7"/>
      <c r="AZ37" s="7"/>
      <c r="BA37" s="7"/>
    </row>
    <row r="38" spans="2:54" x14ac:dyDescent="0.2">
      <c r="B38" s="174"/>
      <c r="C38" s="176"/>
      <c r="F38" s="5">
        <v>0</v>
      </c>
      <c r="G38" s="192">
        <v>0</v>
      </c>
      <c r="H38" s="192">
        <v>0</v>
      </c>
      <c r="I38" s="5">
        <v>0</v>
      </c>
      <c r="J38" s="192">
        <v>0</v>
      </c>
      <c r="K38" s="192">
        <v>0</v>
      </c>
      <c r="L38" s="5">
        <v>0</v>
      </c>
      <c r="M38" s="5">
        <v>0</v>
      </c>
      <c r="N38" s="4" t="e">
        <f t="shared" si="9"/>
        <v>#N/A</v>
      </c>
      <c r="O38" s="4" t="e">
        <f>IF(ROUND(10.499-(((N38-VLOOKUP($C38,Lookups!$A$55:$D$64,3))/(VLOOKUP($C38,Lookups!$A$55:$D$64,4))*VLOOKUP($C38,Lookups!$C$2:$D$11,2))),0)&lt;1,1,IF(ROUND(10.499-(((N38-VLOOKUP($C38,Lookups!$A$55:$D$64,3))/(VLOOKUP($C38,Lookups!$A$55:$D$64,4))*VLOOKUP($C38,Lookups!$C$2:$D$11,2))),0)&lt;11,ROUND(10.499-(((N38-VLOOKUP($C38,Lookups!$A$55:$D$64,3))/(VLOOKUP($C38,Lookups!$A$55:$D$64,4))*VLOOKUP($C38,Lookups!$C$2:$D$11,2))),0),10))</f>
        <v>#N/A</v>
      </c>
      <c r="P38" s="13" t="str">
        <f>IF((SUM(F38:M38)=0),"J",VLOOKUP(O38,Lookups!$A$1:$B$11,2))</f>
        <v>J</v>
      </c>
      <c r="Q38" s="8" t="e">
        <f>VLOOKUP(C38,Lookups!$A$136:$C$144,3)</f>
        <v>#N/A</v>
      </c>
      <c r="R38" s="8" t="e">
        <f>VLOOKUP(C38,Lookups!$A$136:$C$144,2)</f>
        <v>#N/A</v>
      </c>
      <c r="S38" s="4" t="str">
        <f t="shared" si="5"/>
        <v>No</v>
      </c>
      <c r="T38" s="125">
        <f t="shared" si="6"/>
        <v>0</v>
      </c>
      <c r="U38" s="125">
        <f t="shared" si="7"/>
        <v>0</v>
      </c>
      <c r="V38" s="4" t="e">
        <f>IF($Q38&lt;&gt;3,VLOOKUP(F38,'Points Table A'!B$3:$F$33,5),VLOOKUP(F38,'Points Table A'!H$3:$L$33,5))</f>
        <v>#N/A</v>
      </c>
      <c r="W38" s="4" t="e">
        <f>IF($Q38&lt;&gt;3,VLOOKUP(G38,'Points Table A'!C$3:$F$33,4),VLOOKUP(G38,'Points Table A'!I$3:$L$33,4))</f>
        <v>#N/A</v>
      </c>
      <c r="X38" s="4" t="e">
        <f>IF($Q38&lt;&gt;3,VLOOKUP(H38,'Points Table A'!D$3:$F$28,3),VLOOKUP(H38,'Points Table A'!J$3:$L$33,3))</f>
        <v>#N/A</v>
      </c>
      <c r="Y38" s="4" t="e">
        <f>IF($Q38&lt;&gt;3,VLOOKUP(I38,'Points Table A'!E$3:$F$33,2),VLOOKUP(I38,'Points Table A'!K$3:$L$33,2))</f>
        <v>#N/A</v>
      </c>
      <c r="Z38" s="4" t="e">
        <f t="shared" si="8"/>
        <v>#N/A</v>
      </c>
      <c r="AA38" s="4">
        <f>IF($S38=Lookups!$B$113,VLOOKUP(L38,'Points Table C'!A$3:$E$11,5),VLOOKUP(U38,'Points Table C'!B$3:$E$11,4))</f>
        <v>0</v>
      </c>
      <c r="AB38" s="4" t="e">
        <f>IF($Q38=1,0,VLOOKUP($J38,'Points Table C'!$C$3:$E$18,3))</f>
        <v>#N/A</v>
      </c>
      <c r="AC38" s="4">
        <f>VLOOKUP($K38,'Points Table C'!$D$3:$E$18,2)</f>
        <v>0</v>
      </c>
      <c r="AD38" s="4" t="e">
        <f>IF($Z38&lt;Lookups!$C$106,($AA38+AB38+AC38),IF($AA38&gt;=Lookups!$C$120,($AA38+AB38+AC38),$AA38+$AB38))</f>
        <v>#N/A</v>
      </c>
      <c r="AE38" s="7"/>
      <c r="AF38" s="7"/>
      <c r="AG38" s="7"/>
      <c r="AI38" s="7"/>
      <c r="AJ38" s="7"/>
      <c r="AK38" s="7"/>
      <c r="AL38" s="7"/>
      <c r="AM38" s="7"/>
      <c r="AN38" s="7"/>
      <c r="AO38" s="7"/>
      <c r="AP38" s="7"/>
      <c r="AQ38" s="7"/>
      <c r="AR38" s="7"/>
      <c r="AS38" s="7"/>
      <c r="AT38" s="7"/>
      <c r="AU38" s="7"/>
      <c r="AV38" s="7"/>
      <c r="AX38" s="7"/>
      <c r="AY38" s="7"/>
      <c r="AZ38" s="7"/>
      <c r="BA38" s="7"/>
    </row>
    <row r="39" spans="2:54" x14ac:dyDescent="0.2">
      <c r="B39" s="174"/>
      <c r="C39" s="176"/>
      <c r="F39" s="5">
        <v>0</v>
      </c>
      <c r="G39" s="192">
        <v>0</v>
      </c>
      <c r="H39" s="192">
        <v>0</v>
      </c>
      <c r="I39" s="5">
        <v>0</v>
      </c>
      <c r="J39" s="192">
        <v>0</v>
      </c>
      <c r="K39" s="192">
        <v>0</v>
      </c>
      <c r="L39" s="5">
        <v>0</v>
      </c>
      <c r="M39" s="5">
        <v>0</v>
      </c>
      <c r="N39" s="4" t="e">
        <f t="shared" si="9"/>
        <v>#N/A</v>
      </c>
      <c r="O39" s="4" t="e">
        <f>IF(ROUND(10.499-(((N39-VLOOKUP($C39,Lookups!$A$55:$D$64,3))/(VLOOKUP($C39,Lookups!$A$55:$D$64,4))*VLOOKUP($C39,Lookups!$C$2:$D$11,2))),0)&lt;1,1,IF(ROUND(10.499-(((N39-VLOOKUP($C39,Lookups!$A$55:$D$64,3))/(VLOOKUP($C39,Lookups!$A$55:$D$64,4))*VLOOKUP($C39,Lookups!$C$2:$D$11,2))),0)&lt;11,ROUND(10.499-(((N39-VLOOKUP($C39,Lookups!$A$55:$D$64,3))/(VLOOKUP($C39,Lookups!$A$55:$D$64,4))*VLOOKUP($C39,Lookups!$C$2:$D$11,2))),0),10))</f>
        <v>#N/A</v>
      </c>
      <c r="P39" s="13" t="str">
        <f>IF((SUM(F39:M39)=0),"J",VLOOKUP(O39,Lookups!$A$1:$B$11,2))</f>
        <v>J</v>
      </c>
      <c r="Q39" s="8" t="e">
        <f>VLOOKUP(C39,Lookups!$A$136:$C$144,3)</f>
        <v>#N/A</v>
      </c>
      <c r="R39" s="8" t="e">
        <f>VLOOKUP(C39,Lookups!$A$136:$C$144,2)</f>
        <v>#N/A</v>
      </c>
      <c r="S39" s="4" t="str">
        <f t="shared" si="5"/>
        <v>No</v>
      </c>
      <c r="T39" s="125">
        <f t="shared" si="6"/>
        <v>0</v>
      </c>
      <c r="U39" s="125">
        <f t="shared" si="7"/>
        <v>0</v>
      </c>
      <c r="V39" s="4" t="e">
        <f>IF($Q39&lt;&gt;3,VLOOKUP(F39,'Points Table A'!B$3:$F$33,5),VLOOKUP(F39,'Points Table A'!H$3:$L$33,5))</f>
        <v>#N/A</v>
      </c>
      <c r="W39" s="4" t="e">
        <f>IF($Q39&lt;&gt;3,VLOOKUP(G39,'Points Table A'!C$3:$F$33,4),VLOOKUP(G39,'Points Table A'!I$3:$L$33,4))</f>
        <v>#N/A</v>
      </c>
      <c r="X39" s="4" t="e">
        <f>IF($Q39&lt;&gt;3,VLOOKUP(H39,'Points Table A'!D$3:$F$28,3),VLOOKUP(H39,'Points Table A'!J$3:$L$33,3))</f>
        <v>#N/A</v>
      </c>
      <c r="Y39" s="4" t="e">
        <f>IF($Q39&lt;&gt;3,VLOOKUP(I39,'Points Table A'!E$3:$F$33,2),VLOOKUP(I39,'Points Table A'!K$3:$L$33,2))</f>
        <v>#N/A</v>
      </c>
      <c r="Z39" s="4" t="e">
        <f t="shared" si="8"/>
        <v>#N/A</v>
      </c>
      <c r="AA39" s="4">
        <f>IF($S39=Lookups!$B$113,VLOOKUP(L39,'Points Table C'!A$3:$E$11,5),VLOOKUP(U39,'Points Table C'!B$3:$E$11,4))</f>
        <v>0</v>
      </c>
      <c r="AB39" s="4" t="e">
        <f>IF($Q39=1,0,VLOOKUP($J39,'Points Table C'!$C$3:$E$18,3))</f>
        <v>#N/A</v>
      </c>
      <c r="AC39" s="4">
        <f>VLOOKUP($K39,'Points Table C'!$D$3:$E$18,2)</f>
        <v>0</v>
      </c>
      <c r="AD39" s="4" t="e">
        <f>IF($Z39&lt;Lookups!$C$106,($AA39+AB39+AC39),IF($AA39&gt;=Lookups!$C$120,($AA39+AB39+AC39),$AA39+$AB39))</f>
        <v>#N/A</v>
      </c>
      <c r="AF39" s="7"/>
      <c r="AG39" s="7"/>
      <c r="AI39" s="7"/>
      <c r="AJ39" s="7"/>
      <c r="AK39" s="7"/>
      <c r="AL39" s="7"/>
      <c r="AM39" s="7"/>
      <c r="AN39" s="7"/>
      <c r="AO39" s="7"/>
      <c r="AP39" s="7"/>
      <c r="AQ39" s="7"/>
      <c r="AR39" s="7"/>
      <c r="AS39" s="7"/>
      <c r="AT39" s="7"/>
      <c r="AU39" s="7"/>
      <c r="AV39" s="7"/>
      <c r="AW39" s="7"/>
      <c r="AY39" s="7"/>
      <c r="AZ39" s="7"/>
      <c r="BA39" s="7"/>
      <c r="BB39" s="7"/>
    </row>
    <row r="40" spans="2:54" x14ac:dyDescent="0.2">
      <c r="B40" s="174"/>
      <c r="C40" s="176"/>
      <c r="F40" s="5">
        <v>0</v>
      </c>
      <c r="G40" s="192">
        <v>0</v>
      </c>
      <c r="H40" s="192">
        <v>0</v>
      </c>
      <c r="I40" s="5">
        <v>0</v>
      </c>
      <c r="J40" s="192">
        <v>0</v>
      </c>
      <c r="K40" s="192">
        <v>0</v>
      </c>
      <c r="L40" s="5">
        <v>0</v>
      </c>
      <c r="M40" s="5">
        <v>0</v>
      </c>
      <c r="N40" s="4" t="e">
        <f t="shared" si="9"/>
        <v>#N/A</v>
      </c>
      <c r="O40" s="4" t="e">
        <f>IF(ROUND(10.499-(((N40-VLOOKUP($C40,Lookups!$A$55:$D$64,3))/(VLOOKUP($C40,Lookups!$A$55:$D$64,4))*VLOOKUP($C40,Lookups!$C$2:$D$11,2))),0)&lt;1,1,IF(ROUND(10.499-(((N40-VLOOKUP($C40,Lookups!$A$55:$D$64,3))/(VLOOKUP($C40,Lookups!$A$55:$D$64,4))*VLOOKUP($C40,Lookups!$C$2:$D$11,2))),0)&lt;11,ROUND(10.499-(((N40-VLOOKUP($C40,Lookups!$A$55:$D$64,3))/(VLOOKUP($C40,Lookups!$A$55:$D$64,4))*VLOOKUP($C40,Lookups!$C$2:$D$11,2))),0),10))</f>
        <v>#N/A</v>
      </c>
      <c r="P40" s="13" t="str">
        <f>IF((SUM(F40:M40)=0),"J",VLOOKUP(O40,Lookups!$A$1:$B$11,2))</f>
        <v>J</v>
      </c>
      <c r="Q40" s="8" t="e">
        <f>VLOOKUP(C40,Lookups!$A$136:$C$144,3)</f>
        <v>#N/A</v>
      </c>
      <c r="R40" s="8" t="e">
        <f>VLOOKUP(C40,Lookups!$A$136:$C$144,2)</f>
        <v>#N/A</v>
      </c>
      <c r="S40" s="4" t="str">
        <f t="shared" si="5"/>
        <v>No</v>
      </c>
      <c r="T40" s="125">
        <f t="shared" si="6"/>
        <v>0</v>
      </c>
      <c r="U40" s="125">
        <f t="shared" si="7"/>
        <v>0</v>
      </c>
      <c r="V40" s="4" t="e">
        <f>IF($Q40&lt;&gt;3,VLOOKUP(F40,'Points Table A'!B$3:$F$33,5),VLOOKUP(F40,'Points Table A'!H$3:$L$33,5))</f>
        <v>#N/A</v>
      </c>
      <c r="W40" s="4" t="e">
        <f>IF($Q40&lt;&gt;3,VLOOKUP(G40,'Points Table A'!C$3:$F$33,4),VLOOKUP(G40,'Points Table A'!I$3:$L$33,4))</f>
        <v>#N/A</v>
      </c>
      <c r="X40" s="4" t="e">
        <f>IF($Q40&lt;&gt;3,VLOOKUP(H40,'Points Table A'!D$3:$F$28,3),VLOOKUP(H40,'Points Table A'!J$3:$L$33,3))</f>
        <v>#N/A</v>
      </c>
      <c r="Y40" s="4" t="e">
        <f>IF($Q40&lt;&gt;3,VLOOKUP(I40,'Points Table A'!E$3:$F$33,2),VLOOKUP(I40,'Points Table A'!K$3:$L$33,2))</f>
        <v>#N/A</v>
      </c>
      <c r="Z40" s="4" t="e">
        <f t="shared" si="8"/>
        <v>#N/A</v>
      </c>
      <c r="AA40" s="4">
        <f>IF($S40=Lookups!$B$113,VLOOKUP(L40,'Points Table C'!A$3:$E$11,5),VLOOKUP(U40,'Points Table C'!B$3:$E$11,4))</f>
        <v>0</v>
      </c>
      <c r="AB40" s="4" t="e">
        <f>IF($Q40=1,0,VLOOKUP($J40,'Points Table C'!$C$3:$E$18,3))</f>
        <v>#N/A</v>
      </c>
      <c r="AC40" s="4">
        <f>VLOOKUP($K40,'Points Table C'!$D$3:$E$18,2)</f>
        <v>0</v>
      </c>
      <c r="AD40" s="4" t="e">
        <f>IF($Z40&lt;Lookups!$C$106,($AA40+AB40+AC40),IF($AA40&gt;=Lookups!$C$120,($AA40+AB40+AC40),$AA40+$AB40))</f>
        <v>#N/A</v>
      </c>
      <c r="AF40" s="7"/>
      <c r="AG40" s="7"/>
      <c r="AH40" s="7"/>
      <c r="AI40" s="7"/>
      <c r="AJ40" s="7"/>
      <c r="AK40" s="7"/>
      <c r="AL40" s="7"/>
      <c r="AM40" s="7"/>
      <c r="AN40" s="7"/>
      <c r="AO40" s="7"/>
      <c r="AP40" s="7"/>
      <c r="AQ40" s="7"/>
      <c r="AR40" s="7"/>
      <c r="AS40" s="7"/>
      <c r="AT40" s="7"/>
      <c r="AU40" s="7"/>
      <c r="AV40" s="7"/>
      <c r="AW40" s="7"/>
      <c r="AY40" s="7"/>
      <c r="AZ40" s="7"/>
      <c r="BA40" s="7"/>
      <c r="BB40" s="7"/>
    </row>
    <row r="41" spans="2:54" x14ac:dyDescent="0.2">
      <c r="B41" s="174"/>
      <c r="C41" s="176"/>
      <c r="F41" s="5">
        <v>0</v>
      </c>
      <c r="G41" s="192">
        <v>0</v>
      </c>
      <c r="H41" s="192">
        <v>0</v>
      </c>
      <c r="I41" s="5">
        <v>0</v>
      </c>
      <c r="J41" s="192">
        <v>0</v>
      </c>
      <c r="K41" s="192">
        <v>0</v>
      </c>
      <c r="L41" s="5">
        <v>0</v>
      </c>
      <c r="M41" s="5">
        <v>0</v>
      </c>
      <c r="N41" s="4" t="e">
        <f t="shared" si="9"/>
        <v>#N/A</v>
      </c>
      <c r="O41" s="4" t="e">
        <f>IF(ROUND(10.499-(((N41-VLOOKUP($C41,Lookups!$A$55:$D$64,3))/(VLOOKUP($C41,Lookups!$A$55:$D$64,4))*VLOOKUP($C41,Lookups!$C$2:$D$11,2))),0)&lt;1,1,IF(ROUND(10.499-(((N41-VLOOKUP($C41,Lookups!$A$55:$D$64,3))/(VLOOKUP($C41,Lookups!$A$55:$D$64,4))*VLOOKUP($C41,Lookups!$C$2:$D$11,2))),0)&lt;11,ROUND(10.499-(((N41-VLOOKUP($C41,Lookups!$A$55:$D$64,3))/(VLOOKUP($C41,Lookups!$A$55:$D$64,4))*VLOOKUP($C41,Lookups!$C$2:$D$11,2))),0),10))</f>
        <v>#N/A</v>
      </c>
      <c r="P41" s="13" t="str">
        <f>IF((SUM(F41:M41)=0),"J",VLOOKUP(O41,Lookups!$A$1:$B$11,2))</f>
        <v>J</v>
      </c>
      <c r="Q41" s="8" t="e">
        <f>VLOOKUP(C41,Lookups!$A$136:$C$144,3)</f>
        <v>#N/A</v>
      </c>
      <c r="R41" s="8" t="e">
        <f>VLOOKUP(C41,Lookups!$A$136:$C$144,2)</f>
        <v>#N/A</v>
      </c>
      <c r="S41" s="4" t="str">
        <f t="shared" si="5"/>
        <v>No</v>
      </c>
      <c r="T41" s="125">
        <f t="shared" si="6"/>
        <v>0</v>
      </c>
      <c r="U41" s="125">
        <f t="shared" si="7"/>
        <v>0</v>
      </c>
      <c r="V41" s="4" t="e">
        <f>IF($Q41&lt;&gt;3,VLOOKUP(F41,'Points Table A'!B$3:$F$33,5),VLOOKUP(F41,'Points Table A'!H$3:$L$33,5))</f>
        <v>#N/A</v>
      </c>
      <c r="W41" s="4" t="e">
        <f>IF($Q41&lt;&gt;3,VLOOKUP(G41,'Points Table A'!C$3:$F$33,4),VLOOKUP(G41,'Points Table A'!I$3:$L$33,4))</f>
        <v>#N/A</v>
      </c>
      <c r="X41" s="4" t="e">
        <f>IF($Q41&lt;&gt;3,VLOOKUP(H41,'Points Table A'!D$3:$F$28,3),VLOOKUP(H41,'Points Table A'!J$3:$L$33,3))</f>
        <v>#N/A</v>
      </c>
      <c r="Y41" s="4" t="e">
        <f>IF($Q41&lt;&gt;3,VLOOKUP(I41,'Points Table A'!E$3:$F$33,2),VLOOKUP(I41,'Points Table A'!K$3:$L$33,2))</f>
        <v>#N/A</v>
      </c>
      <c r="Z41" s="4" t="e">
        <f t="shared" si="8"/>
        <v>#N/A</v>
      </c>
      <c r="AA41" s="4">
        <f>IF($S41=Lookups!$B$113,VLOOKUP(L41,'Points Table C'!A$3:$E$11,5),VLOOKUP(U41,'Points Table C'!B$3:$E$11,4))</f>
        <v>0</v>
      </c>
      <c r="AB41" s="4" t="e">
        <f>IF($Q41=1,0,VLOOKUP($J41,'Points Table C'!$C$3:$E$18,3))</f>
        <v>#N/A</v>
      </c>
      <c r="AC41" s="4">
        <f>VLOOKUP($K41,'Points Table C'!$D$3:$E$18,2)</f>
        <v>0</v>
      </c>
      <c r="AD41" s="4" t="e">
        <f>IF($Z41&lt;Lookups!$C$106,($AA41+AB41+AC41),IF($AA41&gt;=Lookups!$C$120,($AA41+AB41+AC41),$AA41+$AB41))</f>
        <v>#N/A</v>
      </c>
      <c r="AF41" s="7"/>
      <c r="AG41" s="7"/>
      <c r="AH41" s="7"/>
      <c r="AI41" s="7"/>
      <c r="AJ41" s="7"/>
      <c r="AK41" s="7"/>
      <c r="AL41" s="7"/>
      <c r="AM41" s="7"/>
      <c r="AN41" s="7"/>
      <c r="AO41" s="7"/>
      <c r="AP41" s="7"/>
      <c r="AQ41" s="7"/>
      <c r="AR41" s="7"/>
      <c r="AS41" s="7"/>
      <c r="AT41" s="7"/>
      <c r="AU41" s="7"/>
      <c r="AV41" s="7"/>
      <c r="AW41" s="7"/>
      <c r="AY41" s="7"/>
      <c r="AZ41" s="7"/>
      <c r="BA41" s="7"/>
      <c r="BB41" s="7"/>
    </row>
    <row r="42" spans="2:54" x14ac:dyDescent="0.2">
      <c r="B42" s="174"/>
      <c r="C42" s="176"/>
      <c r="F42" s="5">
        <v>0</v>
      </c>
      <c r="G42" s="192">
        <v>0</v>
      </c>
      <c r="H42" s="192">
        <v>0</v>
      </c>
      <c r="I42" s="5">
        <v>0</v>
      </c>
      <c r="J42" s="192">
        <v>0</v>
      </c>
      <c r="K42" s="192">
        <v>0</v>
      </c>
      <c r="L42" s="5">
        <v>0</v>
      </c>
      <c r="M42" s="5">
        <v>0</v>
      </c>
      <c r="N42" s="4" t="e">
        <f t="shared" si="9"/>
        <v>#N/A</v>
      </c>
      <c r="O42" s="4" t="e">
        <f>IF(ROUND(10.499-(((N42-VLOOKUP($C42,Lookups!$A$55:$D$64,3))/(VLOOKUP($C42,Lookups!$A$55:$D$64,4))*VLOOKUP($C42,Lookups!$C$2:$D$11,2))),0)&lt;1,1,IF(ROUND(10.499-(((N42-VLOOKUP($C42,Lookups!$A$55:$D$64,3))/(VLOOKUP($C42,Lookups!$A$55:$D$64,4))*VLOOKUP($C42,Lookups!$C$2:$D$11,2))),0)&lt;11,ROUND(10.499-(((N42-VLOOKUP($C42,Lookups!$A$55:$D$64,3))/(VLOOKUP($C42,Lookups!$A$55:$D$64,4))*VLOOKUP($C42,Lookups!$C$2:$D$11,2))),0),10))</f>
        <v>#N/A</v>
      </c>
      <c r="P42" s="13" t="str">
        <f>IF((SUM(F42:M42)=0),"J",VLOOKUP(O42,Lookups!$A$1:$B$11,2))</f>
        <v>J</v>
      </c>
      <c r="Q42" s="8" t="e">
        <f>VLOOKUP(C42,Lookups!$A$136:$C$144,3)</f>
        <v>#N/A</v>
      </c>
      <c r="R42" s="8" t="e">
        <f>VLOOKUP(C42,Lookups!$A$136:$C$144,2)</f>
        <v>#N/A</v>
      </c>
      <c r="S42" s="4" t="str">
        <f t="shared" si="5"/>
        <v>No</v>
      </c>
      <c r="T42" s="125">
        <f t="shared" si="6"/>
        <v>0</v>
      </c>
      <c r="U42" s="125">
        <f t="shared" si="7"/>
        <v>0</v>
      </c>
      <c r="V42" s="4" t="e">
        <f>IF($Q42&lt;&gt;3,VLOOKUP(F42,'Points Table A'!B$3:$F$33,5),VLOOKUP(F42,'Points Table A'!H$3:$L$33,5))</f>
        <v>#N/A</v>
      </c>
      <c r="W42" s="4" t="e">
        <f>IF($Q42&lt;&gt;3,VLOOKUP(G42,'Points Table A'!C$3:$F$33,4),VLOOKUP(G42,'Points Table A'!I$3:$L$33,4))</f>
        <v>#N/A</v>
      </c>
      <c r="X42" s="4" t="e">
        <f>IF($Q42&lt;&gt;3,VLOOKUP(H42,'Points Table A'!D$3:$F$28,3),VLOOKUP(H42,'Points Table A'!J$3:$L$33,3))</f>
        <v>#N/A</v>
      </c>
      <c r="Y42" s="4" t="e">
        <f>IF($Q42&lt;&gt;3,VLOOKUP(I42,'Points Table A'!E$3:$F$33,2),VLOOKUP(I42,'Points Table A'!K$3:$L$33,2))</f>
        <v>#N/A</v>
      </c>
      <c r="Z42" s="4" t="e">
        <f t="shared" si="8"/>
        <v>#N/A</v>
      </c>
      <c r="AA42" s="4">
        <f>IF($S42=Lookups!$B$113,VLOOKUP(L42,'Points Table C'!A$3:$E$11,5),VLOOKUP(U42,'Points Table C'!B$3:$E$11,4))</f>
        <v>0</v>
      </c>
      <c r="AB42" s="4" t="e">
        <f>IF($Q42=1,0,VLOOKUP($J42,'Points Table C'!$C$3:$E$18,3))</f>
        <v>#N/A</v>
      </c>
      <c r="AC42" s="4">
        <f>VLOOKUP($K42,'Points Table C'!$D$3:$E$18,2)</f>
        <v>0</v>
      </c>
      <c r="AD42" s="4" t="e">
        <f>IF($Z42&lt;Lookups!$C$106,($AA42+AB42+AC42),IF($AA42&gt;=Lookups!$C$120,($AA42+AB42+AC42),$AA42+$AB42))</f>
        <v>#N/A</v>
      </c>
      <c r="AF42" s="7"/>
      <c r="AG42" s="7"/>
      <c r="AH42" s="7"/>
      <c r="AI42" s="7"/>
      <c r="AJ42" s="7"/>
      <c r="AK42" s="7"/>
      <c r="AL42" s="7"/>
      <c r="AM42" s="7"/>
      <c r="AN42" s="7"/>
      <c r="AO42" s="7"/>
      <c r="AP42" s="7"/>
      <c r="AQ42" s="7"/>
      <c r="AR42" s="7"/>
      <c r="AS42" s="7"/>
      <c r="AT42" s="7"/>
      <c r="AU42" s="7"/>
      <c r="AV42" s="7"/>
      <c r="AW42" s="7"/>
      <c r="AY42" s="7"/>
      <c r="AZ42" s="7"/>
      <c r="BA42" s="7"/>
      <c r="BB42" s="7"/>
    </row>
    <row r="43" spans="2:54" x14ac:dyDescent="0.2">
      <c r="B43" s="174"/>
      <c r="C43" s="176"/>
      <c r="F43" s="5">
        <v>0</v>
      </c>
      <c r="G43" s="192">
        <v>0</v>
      </c>
      <c r="H43" s="192">
        <v>0</v>
      </c>
      <c r="I43" s="5">
        <v>0</v>
      </c>
      <c r="J43" s="192">
        <v>0</v>
      </c>
      <c r="K43" s="192">
        <v>0</v>
      </c>
      <c r="L43" s="5">
        <v>0</v>
      </c>
      <c r="M43" s="5">
        <v>0</v>
      </c>
      <c r="N43" s="4" t="e">
        <f t="shared" si="9"/>
        <v>#N/A</v>
      </c>
      <c r="O43" s="4" t="e">
        <f>IF(ROUND(10.499-(((N43-VLOOKUP($C43,Lookups!$A$55:$D$64,3))/(VLOOKUP($C43,Lookups!$A$55:$D$64,4))*VLOOKUP($C43,Lookups!$C$2:$D$11,2))),0)&lt;1,1,IF(ROUND(10.499-(((N43-VLOOKUP($C43,Lookups!$A$55:$D$64,3))/(VLOOKUP($C43,Lookups!$A$55:$D$64,4))*VLOOKUP($C43,Lookups!$C$2:$D$11,2))),0)&lt;11,ROUND(10.499-(((N43-VLOOKUP($C43,Lookups!$A$55:$D$64,3))/(VLOOKUP($C43,Lookups!$A$55:$D$64,4))*VLOOKUP($C43,Lookups!$C$2:$D$11,2))),0),10))</f>
        <v>#N/A</v>
      </c>
      <c r="P43" s="13" t="str">
        <f>IF((SUM(F43:M43)=0),"J",VLOOKUP(O43,Lookups!$A$1:$B$11,2))</f>
        <v>J</v>
      </c>
      <c r="Q43" s="8" t="e">
        <f>VLOOKUP(C43,Lookups!$A$136:$C$144,3)</f>
        <v>#N/A</v>
      </c>
      <c r="R43" s="8" t="e">
        <f>VLOOKUP(C43,Lookups!$A$136:$C$144,2)</f>
        <v>#N/A</v>
      </c>
      <c r="S43" s="4" t="str">
        <f t="shared" si="5"/>
        <v>No</v>
      </c>
      <c r="T43" s="125">
        <f t="shared" si="6"/>
        <v>0</v>
      </c>
      <c r="U43" s="125">
        <f t="shared" si="7"/>
        <v>0</v>
      </c>
      <c r="V43" s="4" t="e">
        <f>IF($Q43&lt;&gt;3,VLOOKUP(F43,'Points Table A'!B$3:$F$33,5),VLOOKUP(F43,'Points Table A'!H$3:$L$33,5))</f>
        <v>#N/A</v>
      </c>
      <c r="W43" s="4" t="e">
        <f>IF($Q43&lt;&gt;3,VLOOKUP(G43,'Points Table A'!C$3:$F$33,4),VLOOKUP(G43,'Points Table A'!I$3:$L$33,4))</f>
        <v>#N/A</v>
      </c>
      <c r="X43" s="4" t="e">
        <f>IF($Q43&lt;&gt;3,VLOOKUP(H43,'Points Table A'!D$3:$F$28,3),VLOOKUP(H43,'Points Table A'!J$3:$L$33,3))</f>
        <v>#N/A</v>
      </c>
      <c r="Y43" s="4" t="e">
        <f>IF($Q43&lt;&gt;3,VLOOKUP(I43,'Points Table A'!E$3:$F$33,2),VLOOKUP(I43,'Points Table A'!K$3:$L$33,2))</f>
        <v>#N/A</v>
      </c>
      <c r="Z43" s="4" t="e">
        <f t="shared" si="8"/>
        <v>#N/A</v>
      </c>
      <c r="AA43" s="4">
        <f>IF($S43=Lookups!$B$113,VLOOKUP(L43,'Points Table C'!A$3:$E$11,5),VLOOKUP(U43,'Points Table C'!B$3:$E$11,4))</f>
        <v>0</v>
      </c>
      <c r="AB43" s="4" t="e">
        <f>IF($Q43=1,0,VLOOKUP($J43,'Points Table C'!$C$3:$E$18,3))</f>
        <v>#N/A</v>
      </c>
      <c r="AC43" s="4">
        <f>VLOOKUP($K43,'Points Table C'!$D$3:$E$18,2)</f>
        <v>0</v>
      </c>
      <c r="AD43" s="4" t="e">
        <f>IF($Z43&lt;Lookups!$C$106,($AA43+AB43+AC43),IF($AA43&gt;=Lookups!$C$120,($AA43+AB43+AC43),$AA43+$AB43))</f>
        <v>#N/A</v>
      </c>
      <c r="AF43" s="7"/>
      <c r="AG43" s="7"/>
      <c r="AH43" s="7"/>
      <c r="AI43" s="7"/>
      <c r="AJ43" s="7"/>
      <c r="AK43" s="7"/>
      <c r="AL43" s="7"/>
      <c r="AM43" s="7"/>
      <c r="AN43" s="7"/>
      <c r="AO43" s="7"/>
      <c r="AP43" s="7"/>
      <c r="AQ43" s="7"/>
      <c r="AR43" s="7"/>
      <c r="AS43" s="7"/>
      <c r="AT43" s="7"/>
      <c r="AU43" s="7"/>
      <c r="AV43" s="7"/>
      <c r="AW43" s="7"/>
      <c r="AY43" s="7"/>
      <c r="AZ43" s="7"/>
      <c r="BA43" s="7"/>
      <c r="BB43" s="7"/>
    </row>
    <row r="44" spans="2:54" x14ac:dyDescent="0.2">
      <c r="B44" s="174"/>
      <c r="C44" s="176"/>
      <c r="F44" s="5">
        <v>0</v>
      </c>
      <c r="G44" s="192">
        <v>0</v>
      </c>
      <c r="H44" s="192">
        <v>0</v>
      </c>
      <c r="I44" s="5">
        <v>0</v>
      </c>
      <c r="J44" s="192">
        <v>0</v>
      </c>
      <c r="K44" s="192">
        <v>0</v>
      </c>
      <c r="L44" s="5">
        <v>0</v>
      </c>
      <c r="M44" s="5">
        <v>0</v>
      </c>
      <c r="N44" s="4" t="e">
        <f t="shared" si="9"/>
        <v>#N/A</v>
      </c>
      <c r="O44" s="4" t="e">
        <f>IF(ROUND(10.499-(((N44-VLOOKUP($C44,Lookups!$A$55:$D$64,3))/(VLOOKUP($C44,Lookups!$A$55:$D$64,4))*VLOOKUP($C44,Lookups!$C$2:$D$11,2))),0)&lt;1,1,IF(ROUND(10.499-(((N44-VLOOKUP($C44,Lookups!$A$55:$D$64,3))/(VLOOKUP($C44,Lookups!$A$55:$D$64,4))*VLOOKUP($C44,Lookups!$C$2:$D$11,2))),0)&lt;11,ROUND(10.499-(((N44-VLOOKUP($C44,Lookups!$A$55:$D$64,3))/(VLOOKUP($C44,Lookups!$A$55:$D$64,4))*VLOOKUP($C44,Lookups!$C$2:$D$11,2))),0),10))</f>
        <v>#N/A</v>
      </c>
      <c r="P44" s="13" t="str">
        <f>IF((SUM(F44:M44)=0),"J",VLOOKUP(O44,Lookups!$A$1:$B$11,2))</f>
        <v>J</v>
      </c>
      <c r="Q44" s="8" t="e">
        <f>VLOOKUP(C44,Lookups!$A$136:$C$144,3)</f>
        <v>#N/A</v>
      </c>
      <c r="R44" s="8" t="e">
        <f>VLOOKUP(C44,Lookups!$A$136:$C$144,2)</f>
        <v>#N/A</v>
      </c>
      <c r="S44" s="4" t="str">
        <f t="shared" si="5"/>
        <v>No</v>
      </c>
      <c r="T44" s="125">
        <f t="shared" si="6"/>
        <v>0</v>
      </c>
      <c r="U44" s="125">
        <f t="shared" si="7"/>
        <v>0</v>
      </c>
      <c r="V44" s="4" t="e">
        <f>IF($Q44&lt;&gt;3,VLOOKUP(F44,'Points Table A'!B$3:$F$33,5),VLOOKUP(F44,'Points Table A'!H$3:$L$33,5))</f>
        <v>#N/A</v>
      </c>
      <c r="W44" s="4" t="e">
        <f>IF($Q44&lt;&gt;3,VLOOKUP(G44,'Points Table A'!C$3:$F$33,4),VLOOKUP(G44,'Points Table A'!I$3:$L$33,4))</f>
        <v>#N/A</v>
      </c>
      <c r="X44" s="4" t="e">
        <f>IF($Q44&lt;&gt;3,VLOOKUP(H44,'Points Table A'!D$3:$F$28,3),VLOOKUP(H44,'Points Table A'!J$3:$L$33,3))</f>
        <v>#N/A</v>
      </c>
      <c r="Y44" s="4" t="e">
        <f>IF($Q44&lt;&gt;3,VLOOKUP(I44,'Points Table A'!E$3:$F$33,2),VLOOKUP(I44,'Points Table A'!K$3:$L$33,2))</f>
        <v>#N/A</v>
      </c>
      <c r="Z44" s="4" t="e">
        <f t="shared" si="8"/>
        <v>#N/A</v>
      </c>
      <c r="AA44" s="4">
        <f>IF($S44=Lookups!$B$113,VLOOKUP(L44,'Points Table C'!A$3:$E$11,5),VLOOKUP(U44,'Points Table C'!B$3:$E$11,4))</f>
        <v>0</v>
      </c>
      <c r="AB44" s="4" t="e">
        <f>IF($Q44=1,0,VLOOKUP($J44,'Points Table C'!$C$3:$E$18,3))</f>
        <v>#N/A</v>
      </c>
      <c r="AC44" s="4">
        <f>VLOOKUP($K44,'Points Table C'!$D$3:$E$18,2)</f>
        <v>0</v>
      </c>
      <c r="AD44" s="4" t="e">
        <f>IF($Z44&lt;Lookups!$C$106,($AA44+AB44+AC44),IF($AA44&gt;=Lookups!$C$120,($AA44+AB44+AC44),$AA44+$AB44))</f>
        <v>#N/A</v>
      </c>
      <c r="AF44" s="7"/>
      <c r="AG44" s="7"/>
      <c r="AH44" s="7"/>
      <c r="AI44" s="7"/>
      <c r="AJ44" s="7"/>
      <c r="AK44" s="7"/>
      <c r="AL44" s="7"/>
      <c r="AM44" s="7"/>
      <c r="AN44" s="7"/>
      <c r="AO44" s="7"/>
      <c r="AP44" s="7"/>
      <c r="AQ44" s="7"/>
      <c r="AR44" s="7"/>
      <c r="AS44" s="7"/>
      <c r="AT44" s="7"/>
      <c r="AU44" s="7"/>
      <c r="AV44" s="7"/>
      <c r="AW44" s="7"/>
      <c r="AY44" s="7"/>
      <c r="AZ44" s="7"/>
      <c r="BA44" s="7"/>
      <c r="BB44" s="7"/>
    </row>
    <row r="45" spans="2:54" x14ac:dyDescent="0.2">
      <c r="B45" s="174"/>
      <c r="C45" s="176"/>
      <c r="F45" s="5">
        <v>0</v>
      </c>
      <c r="G45" s="192">
        <v>0</v>
      </c>
      <c r="H45" s="192">
        <v>0</v>
      </c>
      <c r="I45" s="5">
        <v>0</v>
      </c>
      <c r="J45" s="192">
        <v>0</v>
      </c>
      <c r="K45" s="192">
        <v>0</v>
      </c>
      <c r="L45" s="5">
        <v>0</v>
      </c>
      <c r="M45" s="5">
        <v>0</v>
      </c>
      <c r="N45" s="4" t="e">
        <f t="shared" si="9"/>
        <v>#N/A</v>
      </c>
      <c r="O45" s="4" t="e">
        <f>IF(ROUND(10.499-(((N45-VLOOKUP($C45,Lookups!$A$55:$D$64,3))/(VLOOKUP($C45,Lookups!$A$55:$D$64,4))*VLOOKUP($C45,Lookups!$C$2:$D$11,2))),0)&lt;1,1,IF(ROUND(10.499-(((N45-VLOOKUP($C45,Lookups!$A$55:$D$64,3))/(VLOOKUP($C45,Lookups!$A$55:$D$64,4))*VLOOKUP($C45,Lookups!$C$2:$D$11,2))),0)&lt;11,ROUND(10.499-(((N45-VLOOKUP($C45,Lookups!$A$55:$D$64,3))/(VLOOKUP($C45,Lookups!$A$55:$D$64,4))*VLOOKUP($C45,Lookups!$C$2:$D$11,2))),0),10))</f>
        <v>#N/A</v>
      </c>
      <c r="P45" s="13" t="str">
        <f>IF((SUM(F45:M45)=0),"J",VLOOKUP(O45,Lookups!$A$1:$B$11,2))</f>
        <v>J</v>
      </c>
      <c r="Q45" s="8" t="e">
        <f>VLOOKUP(C45,Lookups!$A$136:$C$144,3)</f>
        <v>#N/A</v>
      </c>
      <c r="R45" s="8" t="e">
        <f>VLOOKUP(C45,Lookups!$A$136:$C$144,2)</f>
        <v>#N/A</v>
      </c>
      <c r="S45" s="4" t="str">
        <f t="shared" si="5"/>
        <v>No</v>
      </c>
      <c r="T45" s="125">
        <f t="shared" si="6"/>
        <v>0</v>
      </c>
      <c r="U45" s="125">
        <f t="shared" si="7"/>
        <v>0</v>
      </c>
      <c r="V45" s="4" t="e">
        <f>IF($Q45&lt;&gt;3,VLOOKUP(F45,'Points Table A'!B$3:$F$33,5),VLOOKUP(F45,'Points Table A'!H$3:$L$33,5))</f>
        <v>#N/A</v>
      </c>
      <c r="W45" s="4" t="e">
        <f>IF($Q45&lt;&gt;3,VLOOKUP(G45,'Points Table A'!C$3:$F$33,4),VLOOKUP(G45,'Points Table A'!I$3:$L$33,4))</f>
        <v>#N/A</v>
      </c>
      <c r="X45" s="4" t="e">
        <f>IF($Q45&lt;&gt;3,VLOOKUP(H45,'Points Table A'!D$3:$F$28,3),VLOOKUP(H45,'Points Table A'!J$3:$L$33,3))</f>
        <v>#N/A</v>
      </c>
      <c r="Y45" s="4" t="e">
        <f>IF($Q45&lt;&gt;3,VLOOKUP(I45,'Points Table A'!E$3:$F$33,2),VLOOKUP(I45,'Points Table A'!K$3:$L$33,2))</f>
        <v>#N/A</v>
      </c>
      <c r="Z45" s="4" t="e">
        <f t="shared" si="8"/>
        <v>#N/A</v>
      </c>
      <c r="AA45" s="4">
        <f>IF($S45=Lookups!$B$113,VLOOKUP(L45,'Points Table C'!A$3:$E$11,5),VLOOKUP(U45,'Points Table C'!B$3:$E$11,4))</f>
        <v>0</v>
      </c>
      <c r="AB45" s="4" t="e">
        <f>IF($Q45=1,0,VLOOKUP($J45,'Points Table C'!$C$3:$E$18,3))</f>
        <v>#N/A</v>
      </c>
      <c r="AC45" s="4">
        <f>VLOOKUP($K45,'Points Table C'!$D$3:$E$18,2)</f>
        <v>0</v>
      </c>
      <c r="AD45" s="4" t="e">
        <f>IF($Z45&lt;Lookups!$C$106,($AA45+AB45+AC45),IF($AA45&gt;=Lookups!$C$120,($AA45+AB45+AC45),$AA45+$AB45))</f>
        <v>#N/A</v>
      </c>
      <c r="AF45" s="7"/>
      <c r="AG45" s="7"/>
      <c r="AH45" s="7"/>
      <c r="AI45" s="7"/>
      <c r="AJ45" s="7"/>
      <c r="AK45" s="7"/>
      <c r="AL45" s="7"/>
      <c r="AM45" s="7"/>
      <c r="AN45" s="7"/>
      <c r="AO45" s="7"/>
      <c r="AP45" s="7"/>
      <c r="AQ45" s="7"/>
      <c r="AR45" s="7"/>
      <c r="AS45" s="7"/>
      <c r="AT45" s="7"/>
      <c r="AU45" s="7"/>
      <c r="AV45" s="7"/>
      <c r="AW45" s="7"/>
      <c r="AY45" s="7"/>
      <c r="AZ45" s="7"/>
      <c r="BA45" s="7"/>
      <c r="BB45" s="7"/>
    </row>
    <row r="46" spans="2:54" x14ac:dyDescent="0.2">
      <c r="B46" s="174"/>
      <c r="C46" s="176"/>
      <c r="F46" s="5">
        <v>0</v>
      </c>
      <c r="G46" s="192">
        <v>0</v>
      </c>
      <c r="H46" s="192">
        <v>0</v>
      </c>
      <c r="I46" s="5">
        <v>0</v>
      </c>
      <c r="J46" s="192">
        <v>0</v>
      </c>
      <c r="K46" s="192">
        <v>0</v>
      </c>
      <c r="L46" s="5">
        <v>0</v>
      </c>
      <c r="M46" s="5">
        <v>0</v>
      </c>
      <c r="N46" s="4" t="e">
        <f t="shared" si="9"/>
        <v>#N/A</v>
      </c>
      <c r="O46" s="4" t="e">
        <f>IF(ROUND(10.499-(((N46-VLOOKUP($C46,Lookups!$A$55:$D$64,3))/(VLOOKUP($C46,Lookups!$A$55:$D$64,4))*VLOOKUP($C46,Lookups!$C$2:$D$11,2))),0)&lt;1,1,IF(ROUND(10.499-(((N46-VLOOKUP($C46,Lookups!$A$55:$D$64,3))/(VLOOKUP($C46,Lookups!$A$55:$D$64,4))*VLOOKUP($C46,Lookups!$C$2:$D$11,2))),0)&lt;11,ROUND(10.499-(((N46-VLOOKUP($C46,Lookups!$A$55:$D$64,3))/(VLOOKUP($C46,Lookups!$A$55:$D$64,4))*VLOOKUP($C46,Lookups!$C$2:$D$11,2))),0),10))</f>
        <v>#N/A</v>
      </c>
      <c r="P46" s="13" t="str">
        <f>IF((SUM(F46:M46)=0),"J",VLOOKUP(O46,Lookups!$A$1:$B$11,2))</f>
        <v>J</v>
      </c>
      <c r="Q46" s="8" t="e">
        <f>VLOOKUP(C46,Lookups!$A$136:$C$144,3)</f>
        <v>#N/A</v>
      </c>
      <c r="R46" s="8" t="e">
        <f>VLOOKUP(C46,Lookups!$A$136:$C$144,2)</f>
        <v>#N/A</v>
      </c>
      <c r="S46" s="4" t="str">
        <f t="shared" si="5"/>
        <v>No</v>
      </c>
      <c r="T46" s="125">
        <f t="shared" si="6"/>
        <v>0</v>
      </c>
      <c r="U46" s="125">
        <f t="shared" si="7"/>
        <v>0</v>
      </c>
      <c r="V46" s="4" t="e">
        <f>IF($Q46&lt;&gt;3,VLOOKUP(F46,'Points Table A'!B$3:$F$33,5),VLOOKUP(F46,'Points Table A'!H$3:$L$33,5))</f>
        <v>#N/A</v>
      </c>
      <c r="W46" s="4" t="e">
        <f>IF($Q46&lt;&gt;3,VLOOKUP(G46,'Points Table A'!C$3:$F$33,4),VLOOKUP(G46,'Points Table A'!I$3:$L$33,4))</f>
        <v>#N/A</v>
      </c>
      <c r="X46" s="4" t="e">
        <f>IF($Q46&lt;&gt;3,VLOOKUP(H46,'Points Table A'!D$3:$F$28,3),VLOOKUP(H46,'Points Table A'!J$3:$L$33,3))</f>
        <v>#N/A</v>
      </c>
      <c r="Y46" s="4" t="e">
        <f>IF($Q46&lt;&gt;3,VLOOKUP(I46,'Points Table A'!E$3:$F$33,2),VLOOKUP(I46,'Points Table A'!K$3:$L$33,2))</f>
        <v>#N/A</v>
      </c>
      <c r="Z46" s="4" t="e">
        <f t="shared" si="8"/>
        <v>#N/A</v>
      </c>
      <c r="AA46" s="4">
        <f>IF($S46=Lookups!$B$113,VLOOKUP(L46,'Points Table C'!A$3:$E$11,5),VLOOKUP(U46,'Points Table C'!B$3:$E$11,4))</f>
        <v>0</v>
      </c>
      <c r="AB46" s="4" t="e">
        <f>IF($Q46=1,0,VLOOKUP($J46,'Points Table C'!$C$3:$E$18,3))</f>
        <v>#N/A</v>
      </c>
      <c r="AC46" s="4">
        <f>VLOOKUP($K46,'Points Table C'!$D$3:$E$18,2)</f>
        <v>0</v>
      </c>
      <c r="AD46" s="4" t="e">
        <f>IF($Z46&lt;Lookups!$C$106,($AA46+AB46+AC46),IF($AA46&gt;=Lookups!$C$120,($AA46+AB46+AC46),$AA46+$AB46))</f>
        <v>#N/A</v>
      </c>
      <c r="AF46" s="7"/>
      <c r="AG46" s="7"/>
      <c r="AH46" s="7"/>
      <c r="AI46" s="7"/>
      <c r="AJ46" s="7"/>
      <c r="AK46" s="7"/>
      <c r="AL46" s="7"/>
      <c r="AM46" s="7"/>
      <c r="AN46" s="7"/>
      <c r="AO46" s="7"/>
      <c r="AP46" s="7"/>
      <c r="AQ46" s="7"/>
      <c r="AR46" s="7"/>
      <c r="AS46" s="7"/>
      <c r="AT46" s="7"/>
      <c r="AU46" s="7"/>
      <c r="AV46" s="7"/>
      <c r="AW46" s="7"/>
      <c r="AY46" s="7"/>
      <c r="AZ46" s="7"/>
      <c r="BA46" s="7"/>
      <c r="BB46" s="7"/>
    </row>
    <row r="47" spans="2:54" x14ac:dyDescent="0.2">
      <c r="B47" s="174"/>
      <c r="C47" s="176"/>
      <c r="F47" s="5">
        <v>0</v>
      </c>
      <c r="G47" s="192">
        <v>0</v>
      </c>
      <c r="H47" s="192">
        <v>0</v>
      </c>
      <c r="I47" s="5">
        <v>0</v>
      </c>
      <c r="J47" s="192">
        <v>0</v>
      </c>
      <c r="K47" s="192">
        <v>0</v>
      </c>
      <c r="L47" s="5">
        <v>0</v>
      </c>
      <c r="M47" s="5">
        <v>0</v>
      </c>
      <c r="N47" s="4" t="e">
        <f t="shared" si="9"/>
        <v>#N/A</v>
      </c>
      <c r="O47" s="4" t="e">
        <f>IF(ROUND(10.499-(((N47-VLOOKUP($C47,Lookups!$A$55:$D$64,3))/(VLOOKUP($C47,Lookups!$A$55:$D$64,4))*VLOOKUP($C47,Lookups!$C$2:$D$11,2))),0)&lt;1,1,IF(ROUND(10.499-(((N47-VLOOKUP($C47,Lookups!$A$55:$D$64,3))/(VLOOKUP($C47,Lookups!$A$55:$D$64,4))*VLOOKUP($C47,Lookups!$C$2:$D$11,2))),0)&lt;11,ROUND(10.499-(((N47-VLOOKUP($C47,Lookups!$A$55:$D$64,3))/(VLOOKUP($C47,Lookups!$A$55:$D$64,4))*VLOOKUP($C47,Lookups!$C$2:$D$11,2))),0),10))</f>
        <v>#N/A</v>
      </c>
      <c r="P47" s="13" t="str">
        <f>IF((SUM(F47:M47)=0),"J",VLOOKUP(O47,Lookups!$A$1:$B$11,2))</f>
        <v>J</v>
      </c>
      <c r="Q47" s="8" t="e">
        <f>VLOOKUP(C47,Lookups!$A$136:$C$144,3)</f>
        <v>#N/A</v>
      </c>
      <c r="R47" s="8" t="e">
        <f>VLOOKUP(C47,Lookups!$A$136:$C$144,2)</f>
        <v>#N/A</v>
      </c>
      <c r="S47" s="4" t="str">
        <f t="shared" si="5"/>
        <v>No</v>
      </c>
      <c r="T47" s="125">
        <f t="shared" si="6"/>
        <v>0</v>
      </c>
      <c r="U47" s="125">
        <f t="shared" si="7"/>
        <v>0</v>
      </c>
      <c r="V47" s="4" t="e">
        <f>IF($Q47&lt;&gt;3,VLOOKUP(F47,'Points Table A'!B$3:$F$33,5),VLOOKUP(F47,'Points Table A'!H$3:$L$33,5))</f>
        <v>#N/A</v>
      </c>
      <c r="W47" s="4" t="e">
        <f>IF($Q47&lt;&gt;3,VLOOKUP(G47,'Points Table A'!C$3:$F$33,4),VLOOKUP(G47,'Points Table A'!I$3:$L$33,4))</f>
        <v>#N/A</v>
      </c>
      <c r="X47" s="4" t="e">
        <f>IF($Q47&lt;&gt;3,VLOOKUP(H47,'Points Table A'!D$3:$F$28,3),VLOOKUP(H47,'Points Table A'!J$3:$L$33,3))</f>
        <v>#N/A</v>
      </c>
      <c r="Y47" s="4" t="e">
        <f>IF($Q47&lt;&gt;3,VLOOKUP(I47,'Points Table A'!E$3:$F$33,2),VLOOKUP(I47,'Points Table A'!K$3:$L$33,2))</f>
        <v>#N/A</v>
      </c>
      <c r="Z47" s="4" t="e">
        <f t="shared" si="8"/>
        <v>#N/A</v>
      </c>
      <c r="AA47" s="4">
        <f>IF($S47=Lookups!$B$113,VLOOKUP(L47,'Points Table C'!A$3:$E$11,5),VLOOKUP(U47,'Points Table C'!B$3:$E$11,4))</f>
        <v>0</v>
      </c>
      <c r="AB47" s="4" t="e">
        <f>IF($Q47=1,0,VLOOKUP($J47,'Points Table C'!$C$3:$E$18,3))</f>
        <v>#N/A</v>
      </c>
      <c r="AC47" s="4">
        <f>VLOOKUP($K47,'Points Table C'!$D$3:$E$18,2)</f>
        <v>0</v>
      </c>
      <c r="AD47" s="4" t="e">
        <f>IF($Z47&lt;Lookups!$C$106,($AA47+AB47+AC47),IF($AA47&gt;=Lookups!$C$120,($AA47+AB47+AC47),$AA47+$AB47))</f>
        <v>#N/A</v>
      </c>
      <c r="AF47" s="7"/>
      <c r="AG47" s="7"/>
      <c r="AH47" s="7"/>
      <c r="AI47" s="7"/>
      <c r="AJ47" s="7"/>
      <c r="AK47" s="7"/>
      <c r="AL47" s="7"/>
      <c r="AM47" s="7"/>
      <c r="AN47" s="7"/>
      <c r="AO47" s="7"/>
      <c r="AP47" s="7"/>
      <c r="AQ47" s="7"/>
      <c r="AR47" s="7"/>
      <c r="AS47" s="7"/>
      <c r="AT47" s="7"/>
      <c r="AU47" s="7"/>
      <c r="AV47" s="7"/>
      <c r="AW47" s="7"/>
      <c r="AY47" s="7"/>
      <c r="AZ47" s="7"/>
      <c r="BA47" s="7"/>
      <c r="BB47" s="7"/>
    </row>
    <row r="48" spans="2:54" x14ac:dyDescent="0.2">
      <c r="B48" s="174"/>
      <c r="C48" s="176"/>
      <c r="F48" s="5">
        <v>0</v>
      </c>
      <c r="G48" s="192">
        <v>0</v>
      </c>
      <c r="H48" s="192">
        <v>0</v>
      </c>
      <c r="I48" s="5">
        <v>0</v>
      </c>
      <c r="J48" s="192">
        <v>0</v>
      </c>
      <c r="K48" s="192">
        <v>0</v>
      </c>
      <c r="L48" s="5">
        <v>0</v>
      </c>
      <c r="M48" s="5">
        <v>0</v>
      </c>
      <c r="N48" s="4" t="e">
        <f t="shared" si="9"/>
        <v>#N/A</v>
      </c>
      <c r="O48" s="4" t="e">
        <f>IF(ROUND(10.499-(((N48-VLOOKUP($C48,Lookups!$A$55:$D$64,3))/(VLOOKUP($C48,Lookups!$A$55:$D$64,4))*VLOOKUP($C48,Lookups!$C$2:$D$11,2))),0)&lt;1,1,IF(ROUND(10.499-(((N48-VLOOKUP($C48,Lookups!$A$55:$D$64,3))/(VLOOKUP($C48,Lookups!$A$55:$D$64,4))*VLOOKUP($C48,Lookups!$C$2:$D$11,2))),0)&lt;11,ROUND(10.499-(((N48-VLOOKUP($C48,Lookups!$A$55:$D$64,3))/(VLOOKUP($C48,Lookups!$A$55:$D$64,4))*VLOOKUP($C48,Lookups!$C$2:$D$11,2))),0),10))</f>
        <v>#N/A</v>
      </c>
      <c r="P48" s="13" t="str">
        <f>IF((SUM(F48:M48)=0),"J",VLOOKUP(O48,Lookups!$A$1:$B$11,2))</f>
        <v>J</v>
      </c>
      <c r="Q48" s="8" t="e">
        <f>VLOOKUP(C48,Lookups!$A$136:$C$144,3)</f>
        <v>#N/A</v>
      </c>
      <c r="R48" s="8" t="e">
        <f>VLOOKUP(C48,Lookups!$A$136:$C$144,2)</f>
        <v>#N/A</v>
      </c>
      <c r="S48" s="4" t="str">
        <f t="shared" si="5"/>
        <v>No</v>
      </c>
      <c r="T48" s="125">
        <f t="shared" si="6"/>
        <v>0</v>
      </c>
      <c r="U48" s="125">
        <f t="shared" si="7"/>
        <v>0</v>
      </c>
      <c r="V48" s="4" t="e">
        <f>IF($Q48&lt;&gt;3,VLOOKUP(F48,'Points Table A'!B$3:$F$33,5),VLOOKUP(F48,'Points Table A'!H$3:$L$33,5))</f>
        <v>#N/A</v>
      </c>
      <c r="W48" s="4" t="e">
        <f>IF($Q48&lt;&gt;3,VLOOKUP(G48,'Points Table A'!C$3:$F$33,4),VLOOKUP(G48,'Points Table A'!I$3:$L$33,4))</f>
        <v>#N/A</v>
      </c>
      <c r="X48" s="4" t="e">
        <f>IF($Q48&lt;&gt;3,VLOOKUP(H48,'Points Table A'!D$3:$F$28,3),VLOOKUP(H48,'Points Table A'!J$3:$L$33,3))</f>
        <v>#N/A</v>
      </c>
      <c r="Y48" s="4" t="e">
        <f>IF($Q48&lt;&gt;3,VLOOKUP(I48,'Points Table A'!E$3:$F$33,2),VLOOKUP(I48,'Points Table A'!K$3:$L$33,2))</f>
        <v>#N/A</v>
      </c>
      <c r="Z48" s="4" t="e">
        <f t="shared" si="8"/>
        <v>#N/A</v>
      </c>
      <c r="AA48" s="4">
        <f>IF($S48=Lookups!$B$113,VLOOKUP(L48,'Points Table C'!A$3:$E$11,5),VLOOKUP(U48,'Points Table C'!B$3:$E$11,4))</f>
        <v>0</v>
      </c>
      <c r="AB48" s="4" t="e">
        <f>IF($Q48=1,0,VLOOKUP($J48,'Points Table C'!$C$3:$E$18,3))</f>
        <v>#N/A</v>
      </c>
      <c r="AC48" s="4">
        <f>VLOOKUP($K48,'Points Table C'!$D$3:$E$18,2)</f>
        <v>0</v>
      </c>
      <c r="AD48" s="4" t="e">
        <f>IF($Z48&lt;Lookups!$C$106,($AA48+AB48+AC48),IF($AA48&gt;=Lookups!$C$120,($AA48+AB48+AC48),$AA48+$AB48))</f>
        <v>#N/A</v>
      </c>
      <c r="AF48" s="7"/>
      <c r="AG48" s="7"/>
      <c r="AH48" s="7"/>
      <c r="AI48" s="7"/>
      <c r="AJ48" s="7"/>
      <c r="AK48" s="7"/>
      <c r="AL48" s="7"/>
      <c r="AM48" s="7"/>
      <c r="AN48" s="7"/>
      <c r="AO48" s="7"/>
      <c r="AP48" s="7"/>
      <c r="AQ48" s="7"/>
      <c r="AR48" s="7"/>
      <c r="AS48" s="7"/>
      <c r="AT48" s="7"/>
      <c r="AU48" s="7"/>
      <c r="AV48" s="7"/>
      <c r="AW48" s="7"/>
      <c r="AY48" s="7"/>
      <c r="AZ48" s="7"/>
      <c r="BA48" s="7"/>
      <c r="BB48" s="7"/>
    </row>
    <row r="49" spans="2:54" x14ac:dyDescent="0.2">
      <c r="B49" s="174"/>
      <c r="C49" s="176"/>
      <c r="F49" s="5">
        <v>0</v>
      </c>
      <c r="G49" s="192">
        <v>0</v>
      </c>
      <c r="H49" s="192">
        <v>0</v>
      </c>
      <c r="I49" s="5">
        <v>0</v>
      </c>
      <c r="J49" s="192">
        <v>0</v>
      </c>
      <c r="K49" s="192">
        <v>0</v>
      </c>
      <c r="L49" s="5">
        <v>0</v>
      </c>
      <c r="M49" s="5">
        <v>0</v>
      </c>
      <c r="N49" s="4" t="e">
        <f t="shared" si="9"/>
        <v>#N/A</v>
      </c>
      <c r="O49" s="4" t="e">
        <f>IF(ROUND(10.499-(((N49-VLOOKUP($C49,Lookups!$A$55:$D$64,3))/(VLOOKUP($C49,Lookups!$A$55:$D$64,4))*VLOOKUP($C49,Lookups!$C$2:$D$11,2))),0)&lt;1,1,IF(ROUND(10.499-(((N49-VLOOKUP($C49,Lookups!$A$55:$D$64,3))/(VLOOKUP($C49,Lookups!$A$55:$D$64,4))*VLOOKUP($C49,Lookups!$C$2:$D$11,2))),0)&lt;11,ROUND(10.499-(((N49-VLOOKUP($C49,Lookups!$A$55:$D$64,3))/(VLOOKUP($C49,Lookups!$A$55:$D$64,4))*VLOOKUP($C49,Lookups!$C$2:$D$11,2))),0),10))</f>
        <v>#N/A</v>
      </c>
      <c r="P49" s="13" t="str">
        <f>IF((SUM(F49:M49)=0),"J",VLOOKUP(O49,Lookups!$A$1:$B$11,2))</f>
        <v>J</v>
      </c>
      <c r="Q49" s="8" t="e">
        <f>VLOOKUP(C49,Lookups!$A$136:$C$144,3)</f>
        <v>#N/A</v>
      </c>
      <c r="R49" s="8" t="e">
        <f>VLOOKUP(C49,Lookups!$A$136:$C$144,2)</f>
        <v>#N/A</v>
      </c>
      <c r="S49" s="4" t="str">
        <f t="shared" si="5"/>
        <v>No</v>
      </c>
      <c r="T49" s="125">
        <f t="shared" si="6"/>
        <v>0</v>
      </c>
      <c r="U49" s="125">
        <f t="shared" si="7"/>
        <v>0</v>
      </c>
      <c r="V49" s="4" t="e">
        <f>IF($Q49&lt;&gt;3,VLOOKUP(F49,'Points Table A'!B$3:$F$33,5),VLOOKUP(F49,'Points Table A'!H$3:$L$33,5))</f>
        <v>#N/A</v>
      </c>
      <c r="W49" s="4" t="e">
        <f>IF($Q49&lt;&gt;3,VLOOKUP(G49,'Points Table A'!C$3:$F$33,4),VLOOKUP(G49,'Points Table A'!I$3:$L$33,4))</f>
        <v>#N/A</v>
      </c>
      <c r="X49" s="4" t="e">
        <f>IF($Q49&lt;&gt;3,VLOOKUP(H49,'Points Table A'!D$3:$F$28,3),VLOOKUP(H49,'Points Table A'!J$3:$L$33,3))</f>
        <v>#N/A</v>
      </c>
      <c r="Y49" s="4" t="e">
        <f>IF($Q49&lt;&gt;3,VLOOKUP(I49,'Points Table A'!E$3:$F$33,2),VLOOKUP(I49,'Points Table A'!K$3:$L$33,2))</f>
        <v>#N/A</v>
      </c>
      <c r="Z49" s="4" t="e">
        <f t="shared" si="8"/>
        <v>#N/A</v>
      </c>
      <c r="AA49" s="4">
        <f>IF($S49=Lookups!$B$113,VLOOKUP(L49,'Points Table C'!A$3:$E$11,5),VLOOKUP(U49,'Points Table C'!B$3:$E$11,4))</f>
        <v>0</v>
      </c>
      <c r="AB49" s="4" t="e">
        <f>IF($Q49=1,0,VLOOKUP($J49,'Points Table C'!$C$3:$E$18,3))</f>
        <v>#N/A</v>
      </c>
      <c r="AC49" s="4">
        <f>VLOOKUP($K49,'Points Table C'!$D$3:$E$18,2)</f>
        <v>0</v>
      </c>
      <c r="AD49" s="4" t="e">
        <f>IF($Z49&lt;Lookups!$C$106,($AA49+AB49+AC49),IF($AA49&gt;=Lookups!$C$120,($AA49+AB49+AC49),$AA49+$AB49))</f>
        <v>#N/A</v>
      </c>
      <c r="AF49" s="7"/>
      <c r="AG49" s="7"/>
      <c r="AH49" s="7"/>
      <c r="AI49" s="7"/>
      <c r="AJ49" s="7"/>
      <c r="AK49" s="7"/>
      <c r="AL49" s="7"/>
      <c r="AM49" s="7"/>
      <c r="AN49" s="7"/>
      <c r="AO49" s="7"/>
      <c r="AP49" s="7"/>
      <c r="AQ49" s="7"/>
      <c r="AR49" s="7"/>
      <c r="AS49" s="7"/>
      <c r="AT49" s="7"/>
      <c r="AU49" s="7"/>
      <c r="AV49" s="7"/>
      <c r="AW49" s="7"/>
      <c r="AY49" s="7"/>
      <c r="AZ49" s="7"/>
      <c r="BA49" s="7"/>
      <c r="BB49" s="7"/>
    </row>
    <row r="50" spans="2:54" x14ac:dyDescent="0.2">
      <c r="B50" s="174"/>
      <c r="C50" s="176"/>
      <c r="F50" s="5">
        <v>0</v>
      </c>
      <c r="G50" s="192">
        <v>0</v>
      </c>
      <c r="H50" s="192">
        <v>0</v>
      </c>
      <c r="I50" s="5">
        <v>0</v>
      </c>
      <c r="J50" s="192">
        <v>0</v>
      </c>
      <c r="K50" s="192">
        <v>0</v>
      </c>
      <c r="L50" s="5">
        <v>0</v>
      </c>
      <c r="M50" s="5">
        <v>0</v>
      </c>
      <c r="N50" s="4" t="e">
        <f t="shared" si="9"/>
        <v>#N/A</v>
      </c>
      <c r="O50" s="4" t="e">
        <f>IF(ROUND(10.499-(((N50-VLOOKUP($C50,Lookups!$A$55:$D$64,3))/(VLOOKUP($C50,Lookups!$A$55:$D$64,4))*VLOOKUP($C50,Lookups!$C$2:$D$11,2))),0)&lt;1,1,IF(ROUND(10.499-(((N50-VLOOKUP($C50,Lookups!$A$55:$D$64,3))/(VLOOKUP($C50,Lookups!$A$55:$D$64,4))*VLOOKUP($C50,Lookups!$C$2:$D$11,2))),0)&lt;11,ROUND(10.499-(((N50-VLOOKUP($C50,Lookups!$A$55:$D$64,3))/(VLOOKUP($C50,Lookups!$A$55:$D$64,4))*VLOOKUP($C50,Lookups!$C$2:$D$11,2))),0),10))</f>
        <v>#N/A</v>
      </c>
      <c r="P50" s="13" t="str">
        <f>IF((SUM(F50:M50)=0),"J",VLOOKUP(O50,Lookups!$A$1:$B$11,2))</f>
        <v>J</v>
      </c>
      <c r="Q50" s="8" t="e">
        <f>VLOOKUP(C50,Lookups!$A$136:$C$144,3)</f>
        <v>#N/A</v>
      </c>
      <c r="R50" s="8" t="e">
        <f>VLOOKUP(C50,Lookups!$A$136:$C$144,2)</f>
        <v>#N/A</v>
      </c>
      <c r="S50" s="4" t="str">
        <f t="shared" si="5"/>
        <v>No</v>
      </c>
      <c r="T50" s="125">
        <f t="shared" si="6"/>
        <v>0</v>
      </c>
      <c r="U50" s="125">
        <f t="shared" si="7"/>
        <v>0</v>
      </c>
      <c r="V50" s="4" t="e">
        <f>IF($Q50&lt;&gt;3,VLOOKUP(F50,'Points Table A'!B$3:$F$33,5),VLOOKUP(F50,'Points Table A'!H$3:$L$33,5))</f>
        <v>#N/A</v>
      </c>
      <c r="W50" s="4" t="e">
        <f>IF($Q50&lt;&gt;3,VLOOKUP(G50,'Points Table A'!C$3:$F$33,4),VLOOKUP(G50,'Points Table A'!I$3:$L$33,4))</f>
        <v>#N/A</v>
      </c>
      <c r="X50" s="4" t="e">
        <f>IF($Q50&lt;&gt;3,VLOOKUP(H50,'Points Table A'!D$3:$F$28,3),VLOOKUP(H50,'Points Table A'!J$3:$L$33,3))</f>
        <v>#N/A</v>
      </c>
      <c r="Y50" s="4" t="e">
        <f>IF($Q50&lt;&gt;3,VLOOKUP(I50,'Points Table A'!E$3:$F$33,2),VLOOKUP(I50,'Points Table A'!K$3:$L$33,2))</f>
        <v>#N/A</v>
      </c>
      <c r="Z50" s="4" t="e">
        <f t="shared" si="8"/>
        <v>#N/A</v>
      </c>
      <c r="AA50" s="4">
        <f>IF($S50=Lookups!$B$113,VLOOKUP(L50,'Points Table C'!A$3:$E$11,5),VLOOKUP(U50,'Points Table C'!B$3:$E$11,4))</f>
        <v>0</v>
      </c>
      <c r="AB50" s="4" t="e">
        <f>IF($Q50=1,0,VLOOKUP($J50,'Points Table C'!$C$3:$E$18,3))</f>
        <v>#N/A</v>
      </c>
      <c r="AC50" s="4">
        <f>VLOOKUP($K50,'Points Table C'!$D$3:$E$18,2)</f>
        <v>0</v>
      </c>
      <c r="AD50" s="4" t="e">
        <f>IF($Z50&lt;Lookups!$C$106,($AA50+AB50+AC50),IF($AA50&gt;=Lookups!$C$120,($AA50+AB50+AC50),$AA50+$AB50))</f>
        <v>#N/A</v>
      </c>
      <c r="AF50" s="7"/>
      <c r="AG50" s="7"/>
      <c r="AH50" s="7"/>
      <c r="AI50" s="7"/>
      <c r="AJ50" s="7"/>
      <c r="AK50" s="7"/>
      <c r="AL50" s="7"/>
      <c r="AM50" s="7"/>
      <c r="AN50" s="7"/>
      <c r="AO50" s="7"/>
      <c r="AP50" s="7"/>
      <c r="AQ50" s="7"/>
      <c r="AR50" s="7"/>
      <c r="AS50" s="7"/>
      <c r="AT50" s="7"/>
      <c r="AU50" s="7"/>
      <c r="AV50" s="7"/>
      <c r="AW50" s="7"/>
      <c r="AY50" s="7"/>
      <c r="AZ50" s="7"/>
      <c r="BA50" s="7"/>
      <c r="BB50" s="7"/>
    </row>
    <row r="51" spans="2:54" x14ac:dyDescent="0.2">
      <c r="B51" s="174"/>
      <c r="C51" s="176"/>
      <c r="F51" s="5">
        <v>0</v>
      </c>
      <c r="G51" s="192">
        <v>0</v>
      </c>
      <c r="H51" s="192">
        <v>0</v>
      </c>
      <c r="I51" s="5">
        <v>0</v>
      </c>
      <c r="J51" s="192">
        <v>0</v>
      </c>
      <c r="K51" s="192">
        <v>0</v>
      </c>
      <c r="L51" s="5">
        <v>0</v>
      </c>
      <c r="M51" s="5">
        <v>0</v>
      </c>
      <c r="N51" s="4" t="e">
        <f t="shared" si="9"/>
        <v>#N/A</v>
      </c>
      <c r="O51" s="4" t="e">
        <f>IF(ROUND(10.499-(((N51-VLOOKUP($C51,Lookups!$A$55:$D$64,3))/(VLOOKUP($C51,Lookups!$A$55:$D$64,4))*VLOOKUP($C51,Lookups!$C$2:$D$11,2))),0)&lt;1,1,IF(ROUND(10.499-(((N51-VLOOKUP($C51,Lookups!$A$55:$D$64,3))/(VLOOKUP($C51,Lookups!$A$55:$D$64,4))*VLOOKUP($C51,Lookups!$C$2:$D$11,2))),0)&lt;11,ROUND(10.499-(((N51-VLOOKUP($C51,Lookups!$A$55:$D$64,3))/(VLOOKUP($C51,Lookups!$A$55:$D$64,4))*VLOOKUP($C51,Lookups!$C$2:$D$11,2))),0),10))</f>
        <v>#N/A</v>
      </c>
      <c r="P51" s="13" t="str">
        <f>IF((SUM(F51:M51)=0),"J",VLOOKUP(O51,Lookups!$A$1:$B$11,2))</f>
        <v>J</v>
      </c>
      <c r="Q51" s="8" t="e">
        <f>VLOOKUP(C51,Lookups!$A$136:$C$144,3)</f>
        <v>#N/A</v>
      </c>
      <c r="R51" s="8" t="e">
        <f>VLOOKUP(C51,Lookups!$A$136:$C$144,2)</f>
        <v>#N/A</v>
      </c>
      <c r="S51" s="4" t="str">
        <f t="shared" si="5"/>
        <v>No</v>
      </c>
      <c r="T51" s="125">
        <f t="shared" si="6"/>
        <v>0</v>
      </c>
      <c r="U51" s="125">
        <f t="shared" si="7"/>
        <v>0</v>
      </c>
      <c r="V51" s="4" t="e">
        <f>IF($Q51&lt;&gt;3,VLOOKUP(F51,'Points Table A'!B$3:$F$33,5),VLOOKUP(F51,'Points Table A'!H$3:$L$33,5))</f>
        <v>#N/A</v>
      </c>
      <c r="W51" s="4" t="e">
        <f>IF($Q51&lt;&gt;3,VLOOKUP(G51,'Points Table A'!C$3:$F$33,4),VLOOKUP(G51,'Points Table A'!I$3:$L$33,4))</f>
        <v>#N/A</v>
      </c>
      <c r="X51" s="4" t="e">
        <f>IF($Q51&lt;&gt;3,VLOOKUP(H51,'Points Table A'!D$3:$F$28,3),VLOOKUP(H51,'Points Table A'!J$3:$L$33,3))</f>
        <v>#N/A</v>
      </c>
      <c r="Y51" s="4" t="e">
        <f>IF($Q51&lt;&gt;3,VLOOKUP(I51,'Points Table A'!E$3:$F$33,2),VLOOKUP(I51,'Points Table A'!K$3:$L$33,2))</f>
        <v>#N/A</v>
      </c>
      <c r="Z51" s="4" t="e">
        <f t="shared" si="8"/>
        <v>#N/A</v>
      </c>
      <c r="AA51" s="4">
        <f>IF($S51=Lookups!$B$113,VLOOKUP(L51,'Points Table C'!A$3:$E$11,5),VLOOKUP(U51,'Points Table C'!B$3:$E$11,4))</f>
        <v>0</v>
      </c>
      <c r="AB51" s="4" t="e">
        <f>IF($Q51=1,0,VLOOKUP($J51,'Points Table C'!$C$3:$E$18,3))</f>
        <v>#N/A</v>
      </c>
      <c r="AC51" s="4">
        <f>VLOOKUP($K51,'Points Table C'!$D$3:$E$18,2)</f>
        <v>0</v>
      </c>
      <c r="AD51" s="4" t="e">
        <f>IF($Z51&lt;Lookups!$C$106,($AA51+AB51+AC51),IF($AA51&gt;=Lookups!$C$120,($AA51+AB51+AC51),$AA51+$AB51))</f>
        <v>#N/A</v>
      </c>
      <c r="AF51" s="7"/>
      <c r="AG51" s="7"/>
      <c r="AH51" s="7"/>
      <c r="AI51" s="7"/>
      <c r="AJ51" s="7"/>
      <c r="AK51" s="7"/>
      <c r="AL51" s="7"/>
      <c r="AM51" s="7"/>
      <c r="AN51" s="7"/>
      <c r="AO51" s="7"/>
      <c r="AP51" s="7"/>
      <c r="AQ51" s="7"/>
      <c r="AR51" s="7"/>
      <c r="AS51" s="7"/>
      <c r="AT51" s="7"/>
      <c r="AU51" s="7"/>
      <c r="AV51" s="7"/>
      <c r="AW51" s="7"/>
      <c r="AY51" s="7"/>
      <c r="AZ51" s="7"/>
      <c r="BA51" s="7"/>
      <c r="BB51" s="7"/>
    </row>
    <row r="52" spans="2:54" x14ac:dyDescent="0.2">
      <c r="B52" s="174"/>
      <c r="C52" s="176"/>
      <c r="F52" s="5">
        <v>0</v>
      </c>
      <c r="G52" s="192">
        <v>0</v>
      </c>
      <c r="H52" s="192">
        <v>0</v>
      </c>
      <c r="I52" s="5">
        <v>0</v>
      </c>
      <c r="J52" s="192">
        <v>0</v>
      </c>
      <c r="K52" s="192">
        <v>0</v>
      </c>
      <c r="L52" s="5">
        <v>0</v>
      </c>
      <c r="M52" s="5">
        <v>0</v>
      </c>
      <c r="N52" s="4" t="e">
        <f t="shared" si="9"/>
        <v>#N/A</v>
      </c>
      <c r="O52" s="4" t="e">
        <f>IF(ROUND(10.499-(((N52-VLOOKUP($C52,Lookups!$A$55:$D$64,3))/(VLOOKUP($C52,Lookups!$A$55:$D$64,4))*VLOOKUP($C52,Lookups!$C$2:$D$11,2))),0)&lt;1,1,IF(ROUND(10.499-(((N52-VLOOKUP($C52,Lookups!$A$55:$D$64,3))/(VLOOKUP($C52,Lookups!$A$55:$D$64,4))*VLOOKUP($C52,Lookups!$C$2:$D$11,2))),0)&lt;11,ROUND(10.499-(((N52-VLOOKUP($C52,Lookups!$A$55:$D$64,3))/(VLOOKUP($C52,Lookups!$A$55:$D$64,4))*VLOOKUP($C52,Lookups!$C$2:$D$11,2))),0),10))</f>
        <v>#N/A</v>
      </c>
      <c r="P52" s="13" t="str">
        <f>IF((SUM(F52:M52)=0),"J",VLOOKUP(O52,Lookups!$A$1:$B$11,2))</f>
        <v>J</v>
      </c>
      <c r="Q52" s="8" t="e">
        <f>VLOOKUP(C52,Lookups!$A$136:$C$144,3)</f>
        <v>#N/A</v>
      </c>
      <c r="R52" s="8" t="e">
        <f>VLOOKUP(C52,Lookups!$A$136:$C$144,2)</f>
        <v>#N/A</v>
      </c>
      <c r="S52" s="4" t="str">
        <f t="shared" si="5"/>
        <v>No</v>
      </c>
      <c r="T52" s="125">
        <f t="shared" si="6"/>
        <v>0</v>
      </c>
      <c r="U52" s="125">
        <f t="shared" si="7"/>
        <v>0</v>
      </c>
      <c r="V52" s="4" t="e">
        <f>IF($Q52&lt;&gt;3,VLOOKUP(F52,'Points Table A'!B$3:$F$33,5),VLOOKUP(F52,'Points Table A'!H$3:$L$33,5))</f>
        <v>#N/A</v>
      </c>
      <c r="W52" s="4" t="e">
        <f>IF($Q52&lt;&gt;3,VLOOKUP(G52,'Points Table A'!C$3:$F$33,4),VLOOKUP(G52,'Points Table A'!I$3:$L$33,4))</f>
        <v>#N/A</v>
      </c>
      <c r="X52" s="4" t="e">
        <f>IF($Q52&lt;&gt;3,VLOOKUP(H52,'Points Table A'!D$3:$F$28,3),VLOOKUP(H52,'Points Table A'!J$3:$L$33,3))</f>
        <v>#N/A</v>
      </c>
      <c r="Y52" s="4" t="e">
        <f>IF($Q52&lt;&gt;3,VLOOKUP(I52,'Points Table A'!E$3:$F$33,2),VLOOKUP(I52,'Points Table A'!K$3:$L$33,2))</f>
        <v>#N/A</v>
      </c>
      <c r="Z52" s="4" t="e">
        <f t="shared" si="8"/>
        <v>#N/A</v>
      </c>
      <c r="AA52" s="4">
        <f>IF($S52=Lookups!$B$113,VLOOKUP(L52,'Points Table C'!A$3:$E$11,5),VLOOKUP(U52,'Points Table C'!B$3:$E$11,4))</f>
        <v>0</v>
      </c>
      <c r="AB52" s="4" t="e">
        <f>IF($Q52=1,0,VLOOKUP($J52,'Points Table C'!$C$3:$E$18,3))</f>
        <v>#N/A</v>
      </c>
      <c r="AC52" s="4">
        <f>VLOOKUP($K52,'Points Table C'!$D$3:$E$18,2)</f>
        <v>0</v>
      </c>
      <c r="AD52" s="4" t="e">
        <f>IF($Z52&lt;Lookups!$C$106,($AA52+AB52+AC52),IF($AA52&gt;=Lookups!$C$120,($AA52+AB52+AC52),$AA52+$AB52))</f>
        <v>#N/A</v>
      </c>
      <c r="AF52" s="7"/>
      <c r="AG52" s="7"/>
      <c r="AH52" s="7"/>
      <c r="AI52" s="7"/>
      <c r="AJ52" s="7"/>
      <c r="AK52" s="7"/>
      <c r="AL52" s="7"/>
      <c r="AM52" s="7"/>
      <c r="AN52" s="7"/>
      <c r="AO52" s="7"/>
      <c r="AP52" s="7"/>
      <c r="AQ52" s="7"/>
      <c r="AR52" s="7"/>
      <c r="AS52" s="7"/>
      <c r="AT52" s="7"/>
      <c r="AU52" s="7"/>
      <c r="AV52" s="7"/>
      <c r="AW52" s="7"/>
      <c r="AY52" s="7"/>
      <c r="AZ52" s="7"/>
      <c r="BA52" s="7"/>
      <c r="BB52" s="7"/>
    </row>
    <row r="53" spans="2:54" x14ac:dyDescent="0.2">
      <c r="B53" s="174"/>
      <c r="C53" s="176"/>
      <c r="F53" s="5">
        <v>0</v>
      </c>
      <c r="G53" s="192">
        <v>0</v>
      </c>
      <c r="H53" s="192">
        <v>0</v>
      </c>
      <c r="I53" s="5">
        <v>0</v>
      </c>
      <c r="J53" s="192">
        <v>0</v>
      </c>
      <c r="K53" s="192">
        <v>0</v>
      </c>
      <c r="L53" s="5">
        <v>0</v>
      </c>
      <c r="M53" s="5">
        <v>0</v>
      </c>
      <c r="N53" s="4" t="e">
        <f t="shared" si="9"/>
        <v>#N/A</v>
      </c>
      <c r="O53" s="4" t="e">
        <f>IF(ROUND(10.499-(((N53-VLOOKUP($C53,Lookups!$A$55:$D$64,3))/(VLOOKUP($C53,Lookups!$A$55:$D$64,4))*VLOOKUP($C53,Lookups!$C$2:$D$11,2))),0)&lt;1,1,IF(ROUND(10.499-(((N53-VLOOKUP($C53,Lookups!$A$55:$D$64,3))/(VLOOKUP($C53,Lookups!$A$55:$D$64,4))*VLOOKUP($C53,Lookups!$C$2:$D$11,2))),0)&lt;11,ROUND(10.499-(((N53-VLOOKUP($C53,Lookups!$A$55:$D$64,3))/(VLOOKUP($C53,Lookups!$A$55:$D$64,4))*VLOOKUP($C53,Lookups!$C$2:$D$11,2))),0),10))</f>
        <v>#N/A</v>
      </c>
      <c r="P53" s="13" t="str">
        <f>IF((SUM(F53:M53)=0),"J",VLOOKUP(O53,Lookups!$A$1:$B$11,2))</f>
        <v>J</v>
      </c>
      <c r="Q53" s="8" t="e">
        <f>VLOOKUP(C53,Lookups!$A$136:$C$144,3)</f>
        <v>#N/A</v>
      </c>
      <c r="R53" s="8" t="e">
        <f>VLOOKUP(C53,Lookups!$A$136:$C$144,2)</f>
        <v>#N/A</v>
      </c>
      <c r="S53" s="4" t="str">
        <f t="shared" si="5"/>
        <v>No</v>
      </c>
      <c r="T53" s="125">
        <f t="shared" si="6"/>
        <v>0</v>
      </c>
      <c r="U53" s="125">
        <f t="shared" si="7"/>
        <v>0</v>
      </c>
      <c r="V53" s="4" t="e">
        <f>IF($Q53&lt;&gt;3,VLOOKUP(F53,'Points Table A'!B$3:$F$33,5),VLOOKUP(F53,'Points Table A'!H$3:$L$33,5))</f>
        <v>#N/A</v>
      </c>
      <c r="W53" s="4" t="e">
        <f>IF($Q53&lt;&gt;3,VLOOKUP(G53,'Points Table A'!C$3:$F$33,4),VLOOKUP(G53,'Points Table A'!I$3:$L$33,4))</f>
        <v>#N/A</v>
      </c>
      <c r="X53" s="4" t="e">
        <f>IF($Q53&lt;&gt;3,VLOOKUP(H53,'Points Table A'!D$3:$F$28,3),VLOOKUP(H53,'Points Table A'!J$3:$L$33,3))</f>
        <v>#N/A</v>
      </c>
      <c r="Y53" s="4" t="e">
        <f>IF($Q53&lt;&gt;3,VLOOKUP(I53,'Points Table A'!E$3:$F$33,2),VLOOKUP(I53,'Points Table A'!K$3:$L$33,2))</f>
        <v>#N/A</v>
      </c>
      <c r="Z53" s="4" t="e">
        <f t="shared" si="8"/>
        <v>#N/A</v>
      </c>
      <c r="AA53" s="4">
        <f>IF($S53=Lookups!$B$113,VLOOKUP(L53,'Points Table C'!A$3:$E$11,5),VLOOKUP(U53,'Points Table C'!B$3:$E$11,4))</f>
        <v>0</v>
      </c>
      <c r="AB53" s="4" t="e">
        <f>IF($Q53=1,0,VLOOKUP($J53,'Points Table C'!$C$3:$E$18,3))</f>
        <v>#N/A</v>
      </c>
      <c r="AC53" s="4">
        <f>VLOOKUP($K53,'Points Table C'!$D$3:$E$18,2)</f>
        <v>0</v>
      </c>
      <c r="AD53" s="4" t="e">
        <f>IF($Z53&lt;Lookups!$C$106,($AA53+AB53+AC53),IF($AA53&gt;=Lookups!$C$120,($AA53+AB53+AC53),$AA53+$AB53))</f>
        <v>#N/A</v>
      </c>
      <c r="AF53" s="7"/>
      <c r="AG53" s="7"/>
      <c r="AH53" s="7"/>
      <c r="AI53" s="7"/>
      <c r="AJ53" s="7"/>
      <c r="AK53" s="7"/>
      <c r="AL53" s="7"/>
      <c r="AM53" s="7"/>
      <c r="AN53" s="7"/>
      <c r="AO53" s="7"/>
      <c r="AP53" s="7"/>
      <c r="AQ53" s="7"/>
      <c r="AR53" s="7"/>
      <c r="AS53" s="7"/>
      <c r="AT53" s="7"/>
      <c r="AU53" s="7"/>
      <c r="AV53" s="7"/>
      <c r="AW53" s="7"/>
      <c r="AY53" s="7"/>
      <c r="AZ53" s="7"/>
      <c r="BA53" s="7"/>
      <c r="BB53" s="7"/>
    </row>
    <row r="54" spans="2:54" x14ac:dyDescent="0.2">
      <c r="B54" s="174"/>
      <c r="C54" s="176"/>
      <c r="F54" s="5">
        <v>0</v>
      </c>
      <c r="G54" s="192">
        <v>0</v>
      </c>
      <c r="H54" s="192">
        <v>0</v>
      </c>
      <c r="I54" s="5">
        <v>0</v>
      </c>
      <c r="J54" s="192">
        <v>0</v>
      </c>
      <c r="K54" s="192">
        <v>0</v>
      </c>
      <c r="L54" s="5">
        <v>0</v>
      </c>
      <c r="M54" s="5">
        <v>0</v>
      </c>
      <c r="N54" s="4" t="e">
        <f t="shared" si="9"/>
        <v>#N/A</v>
      </c>
      <c r="O54" s="4" t="e">
        <f>IF(ROUND(10.499-(((N54-VLOOKUP($C54,Lookups!$A$55:$D$64,3))/(VLOOKUP($C54,Lookups!$A$55:$D$64,4))*VLOOKUP($C54,Lookups!$C$2:$D$11,2))),0)&lt;1,1,IF(ROUND(10.499-(((N54-VLOOKUP($C54,Lookups!$A$55:$D$64,3))/(VLOOKUP($C54,Lookups!$A$55:$D$64,4))*VLOOKUP($C54,Lookups!$C$2:$D$11,2))),0)&lt;11,ROUND(10.499-(((N54-VLOOKUP($C54,Lookups!$A$55:$D$64,3))/(VLOOKUP($C54,Lookups!$A$55:$D$64,4))*VLOOKUP($C54,Lookups!$C$2:$D$11,2))),0),10))</f>
        <v>#N/A</v>
      </c>
      <c r="P54" s="13" t="str">
        <f>IF((SUM(F54:M54)=0),"J",VLOOKUP(O54,Lookups!$A$1:$B$11,2))</f>
        <v>J</v>
      </c>
      <c r="Q54" s="8" t="e">
        <f>VLOOKUP(C54,Lookups!$A$136:$C$144,3)</f>
        <v>#N/A</v>
      </c>
      <c r="R54" s="8" t="e">
        <f>VLOOKUP(C54,Lookups!$A$136:$C$144,2)</f>
        <v>#N/A</v>
      </c>
      <c r="S54" s="4" t="str">
        <f t="shared" si="5"/>
        <v>No</v>
      </c>
      <c r="T54" s="125">
        <f t="shared" si="6"/>
        <v>0</v>
      </c>
      <c r="U54" s="125">
        <f t="shared" si="7"/>
        <v>0</v>
      </c>
      <c r="V54" s="4" t="e">
        <f>IF($Q54&lt;&gt;3,VLOOKUP(F54,'Points Table A'!B$3:$F$33,5),VLOOKUP(F54,'Points Table A'!H$3:$L$33,5))</f>
        <v>#N/A</v>
      </c>
      <c r="W54" s="4" t="e">
        <f>IF($Q54&lt;&gt;3,VLOOKUP(G54,'Points Table A'!C$3:$F$33,4),VLOOKUP(G54,'Points Table A'!I$3:$L$33,4))</f>
        <v>#N/A</v>
      </c>
      <c r="X54" s="4" t="e">
        <f>IF($Q54&lt;&gt;3,VLOOKUP(H54,'Points Table A'!D$3:$F$28,3),VLOOKUP(H54,'Points Table A'!J$3:$L$33,3))</f>
        <v>#N/A</v>
      </c>
      <c r="Y54" s="4" t="e">
        <f>IF($Q54&lt;&gt;3,VLOOKUP(I54,'Points Table A'!E$3:$F$33,2),VLOOKUP(I54,'Points Table A'!K$3:$L$33,2))</f>
        <v>#N/A</v>
      </c>
      <c r="Z54" s="4" t="e">
        <f t="shared" si="8"/>
        <v>#N/A</v>
      </c>
      <c r="AA54" s="4">
        <f>IF($S54=Lookups!$B$113,VLOOKUP(L54,'Points Table C'!A$3:$E$11,5),VLOOKUP(U54,'Points Table C'!B$3:$E$11,4))</f>
        <v>0</v>
      </c>
      <c r="AB54" s="4" t="e">
        <f>IF($Q54=1,0,VLOOKUP($J54,'Points Table C'!$C$3:$E$18,3))</f>
        <v>#N/A</v>
      </c>
      <c r="AC54" s="4">
        <f>VLOOKUP($K54,'Points Table C'!$D$3:$E$18,2)</f>
        <v>0</v>
      </c>
      <c r="AD54" s="4" t="e">
        <f>IF($Z54&lt;Lookups!$C$106,($AA54+AB54+AC54),IF($AA54&gt;=Lookups!$C$120,($AA54+AB54+AC54),$AA54+$AB54))</f>
        <v>#N/A</v>
      </c>
      <c r="AF54" s="7"/>
      <c r="AG54" s="7"/>
      <c r="AH54" s="7"/>
      <c r="AI54" s="7"/>
      <c r="AJ54" s="7"/>
      <c r="AK54" s="7"/>
      <c r="AL54" s="7"/>
      <c r="AM54" s="7"/>
      <c r="AN54" s="7"/>
      <c r="AO54" s="7"/>
      <c r="AP54" s="7"/>
      <c r="AQ54" s="7"/>
      <c r="AR54" s="7"/>
      <c r="AS54" s="7"/>
      <c r="AT54" s="7"/>
      <c r="AU54" s="7"/>
      <c r="AV54" s="7"/>
      <c r="AW54" s="7"/>
      <c r="AY54" s="7"/>
      <c r="AZ54" s="7"/>
      <c r="BA54" s="7"/>
      <c r="BB54" s="7"/>
    </row>
    <row r="55" spans="2:54" x14ac:dyDescent="0.2">
      <c r="B55" s="174"/>
      <c r="C55" s="176"/>
      <c r="F55" s="5">
        <v>0</v>
      </c>
      <c r="G55" s="192">
        <v>0</v>
      </c>
      <c r="H55" s="192">
        <v>0</v>
      </c>
      <c r="I55" s="5">
        <v>0</v>
      </c>
      <c r="J55" s="192">
        <v>0</v>
      </c>
      <c r="K55" s="192">
        <v>0</v>
      </c>
      <c r="L55" s="5">
        <v>0</v>
      </c>
      <c r="M55" s="5">
        <v>0</v>
      </c>
      <c r="N55" s="4" t="e">
        <f t="shared" si="9"/>
        <v>#N/A</v>
      </c>
      <c r="O55" s="4" t="e">
        <f>IF(ROUND(10.499-(((N55-VLOOKUP($C55,Lookups!$A$55:$D$64,3))/(VLOOKUP($C55,Lookups!$A$55:$D$64,4))*VLOOKUP($C55,Lookups!$C$2:$D$11,2))),0)&lt;1,1,IF(ROUND(10.499-(((N55-VLOOKUP($C55,Lookups!$A$55:$D$64,3))/(VLOOKUP($C55,Lookups!$A$55:$D$64,4))*VLOOKUP($C55,Lookups!$C$2:$D$11,2))),0)&lt;11,ROUND(10.499-(((N55-VLOOKUP($C55,Lookups!$A$55:$D$64,3))/(VLOOKUP($C55,Lookups!$A$55:$D$64,4))*VLOOKUP($C55,Lookups!$C$2:$D$11,2))),0),10))</f>
        <v>#N/A</v>
      </c>
      <c r="P55" s="13" t="str">
        <f>IF((SUM(F55:M55)=0),"J",VLOOKUP(O55,Lookups!$A$1:$B$11,2))</f>
        <v>J</v>
      </c>
      <c r="Q55" s="8" t="e">
        <f>VLOOKUP(C55,Lookups!$A$136:$C$144,3)</f>
        <v>#N/A</v>
      </c>
      <c r="R55" s="8" t="e">
        <f>VLOOKUP(C55,Lookups!$A$136:$C$144,2)</f>
        <v>#N/A</v>
      </c>
      <c r="S55" s="4" t="str">
        <f t="shared" si="5"/>
        <v>No</v>
      </c>
      <c r="T55" s="125">
        <f t="shared" si="6"/>
        <v>0</v>
      </c>
      <c r="U55" s="125">
        <f t="shared" si="7"/>
        <v>0</v>
      </c>
      <c r="V55" s="4" t="e">
        <f>IF($Q55&lt;&gt;3,VLOOKUP(F55,'Points Table A'!B$3:$F$33,5),VLOOKUP(F55,'Points Table A'!H$3:$L$33,5))</f>
        <v>#N/A</v>
      </c>
      <c r="W55" s="4" t="e">
        <f>IF($Q55&lt;&gt;3,VLOOKUP(G55,'Points Table A'!C$3:$F$33,4),VLOOKUP(G55,'Points Table A'!I$3:$L$33,4))</f>
        <v>#N/A</v>
      </c>
      <c r="X55" s="4" t="e">
        <f>IF($Q55&lt;&gt;3,VLOOKUP(H55,'Points Table A'!D$3:$F$28,3),VLOOKUP(H55,'Points Table A'!J$3:$L$33,3))</f>
        <v>#N/A</v>
      </c>
      <c r="Y55" s="4" t="e">
        <f>IF($Q55&lt;&gt;3,VLOOKUP(I55,'Points Table A'!E$3:$F$33,2),VLOOKUP(I55,'Points Table A'!K$3:$L$33,2))</f>
        <v>#N/A</v>
      </c>
      <c r="Z55" s="4" t="e">
        <f t="shared" si="8"/>
        <v>#N/A</v>
      </c>
      <c r="AA55" s="4">
        <f>IF($S55=Lookups!$B$113,VLOOKUP(L55,'Points Table C'!A$3:$E$11,5),VLOOKUP(U55,'Points Table C'!B$3:$E$11,4))</f>
        <v>0</v>
      </c>
      <c r="AB55" s="4" t="e">
        <f>IF($Q55=1,0,VLOOKUP($J55,'Points Table C'!$C$3:$E$18,3))</f>
        <v>#N/A</v>
      </c>
      <c r="AC55" s="4">
        <f>VLOOKUP($K55,'Points Table C'!$D$3:$E$18,2)</f>
        <v>0</v>
      </c>
      <c r="AD55" s="4" t="e">
        <f>IF($Z55&lt;Lookups!$C$106,($AA55+AB55+AC55),IF($AA55&gt;=Lookups!$C$120,($AA55+AB55+AC55),$AA55+$AB55))</f>
        <v>#N/A</v>
      </c>
      <c r="AF55" s="7"/>
      <c r="AG55" s="7"/>
      <c r="AH55" s="7"/>
      <c r="AI55" s="7"/>
      <c r="AJ55" s="7"/>
      <c r="AK55" s="7"/>
      <c r="AL55" s="7"/>
      <c r="AM55" s="7"/>
      <c r="AN55" s="7"/>
      <c r="AO55" s="7"/>
      <c r="AP55" s="7"/>
      <c r="AQ55" s="7"/>
      <c r="AR55" s="7"/>
      <c r="AS55" s="7"/>
      <c r="AT55" s="7"/>
      <c r="AU55" s="7"/>
      <c r="AV55" s="7"/>
      <c r="AW55" s="7"/>
      <c r="AY55" s="7"/>
      <c r="AZ55" s="7"/>
      <c r="BA55" s="7"/>
      <c r="BB55" s="7"/>
    </row>
    <row r="56" spans="2:54" x14ac:dyDescent="0.2">
      <c r="B56" s="174"/>
      <c r="C56" s="176"/>
      <c r="F56" s="5">
        <v>0</v>
      </c>
      <c r="G56" s="192">
        <v>0</v>
      </c>
      <c r="H56" s="192">
        <v>0</v>
      </c>
      <c r="I56" s="5">
        <v>0</v>
      </c>
      <c r="J56" s="192">
        <v>0</v>
      </c>
      <c r="K56" s="192">
        <v>0</v>
      </c>
      <c r="L56" s="5">
        <v>0</v>
      </c>
      <c r="M56" s="5">
        <v>0</v>
      </c>
      <c r="N56" s="4" t="e">
        <f t="shared" si="9"/>
        <v>#N/A</v>
      </c>
      <c r="O56" s="4" t="e">
        <f>IF(ROUND(10.499-(((N56-VLOOKUP($C56,Lookups!$A$55:$D$64,3))/(VLOOKUP($C56,Lookups!$A$55:$D$64,4))*VLOOKUP($C56,Lookups!$C$2:$D$11,2))),0)&lt;1,1,IF(ROUND(10.499-(((N56-VLOOKUP($C56,Lookups!$A$55:$D$64,3))/(VLOOKUP($C56,Lookups!$A$55:$D$64,4))*VLOOKUP($C56,Lookups!$C$2:$D$11,2))),0)&lt;11,ROUND(10.499-(((N56-VLOOKUP($C56,Lookups!$A$55:$D$64,3))/(VLOOKUP($C56,Lookups!$A$55:$D$64,4))*VLOOKUP($C56,Lookups!$C$2:$D$11,2))),0),10))</f>
        <v>#N/A</v>
      </c>
      <c r="P56" s="13" t="str">
        <f>IF((SUM(F56:M56)=0),"J",VLOOKUP(O56,Lookups!$A$1:$B$11,2))</f>
        <v>J</v>
      </c>
      <c r="Q56" s="8" t="e">
        <f>VLOOKUP(C56,Lookups!$A$136:$C$144,3)</f>
        <v>#N/A</v>
      </c>
      <c r="R56" s="8" t="e">
        <f>VLOOKUP(C56,Lookups!$A$136:$C$144,2)</f>
        <v>#N/A</v>
      </c>
      <c r="S56" s="4" t="str">
        <f t="shared" si="5"/>
        <v>No</v>
      </c>
      <c r="T56" s="125">
        <f t="shared" si="6"/>
        <v>0</v>
      </c>
      <c r="U56" s="125">
        <f t="shared" si="7"/>
        <v>0</v>
      </c>
      <c r="V56" s="4" t="e">
        <f>IF($Q56&lt;&gt;3,VLOOKUP(F56,'Points Table A'!B$3:$F$33,5),VLOOKUP(F56,'Points Table A'!H$3:$L$33,5))</f>
        <v>#N/A</v>
      </c>
      <c r="W56" s="4" t="e">
        <f>IF($Q56&lt;&gt;3,VLOOKUP(G56,'Points Table A'!C$3:$F$33,4),VLOOKUP(G56,'Points Table A'!I$3:$L$33,4))</f>
        <v>#N/A</v>
      </c>
      <c r="X56" s="4" t="e">
        <f>IF($Q56&lt;&gt;3,VLOOKUP(H56,'Points Table A'!D$3:$F$28,3),VLOOKUP(H56,'Points Table A'!J$3:$L$33,3))</f>
        <v>#N/A</v>
      </c>
      <c r="Y56" s="4" t="e">
        <f>IF($Q56&lt;&gt;3,VLOOKUP(I56,'Points Table A'!E$3:$F$33,2),VLOOKUP(I56,'Points Table A'!K$3:$L$33,2))</f>
        <v>#N/A</v>
      </c>
      <c r="Z56" s="4" t="e">
        <f t="shared" si="8"/>
        <v>#N/A</v>
      </c>
      <c r="AA56" s="4">
        <f>IF($S56=Lookups!$B$113,VLOOKUP(L56,'Points Table C'!A$3:$E$11,5),VLOOKUP(U56,'Points Table C'!B$3:$E$11,4))</f>
        <v>0</v>
      </c>
      <c r="AB56" s="4" t="e">
        <f>IF($Q56=1,0,VLOOKUP($J56,'Points Table C'!$C$3:$E$18,3))</f>
        <v>#N/A</v>
      </c>
      <c r="AC56" s="4">
        <f>VLOOKUP($K56,'Points Table C'!$D$3:$E$18,2)</f>
        <v>0</v>
      </c>
      <c r="AD56" s="4" t="e">
        <f>IF($Z56&lt;Lookups!$C$106,($AA56+AB56+AC56),IF($AA56&gt;=Lookups!$C$120,($AA56+AB56+AC56),$AA56+$AB56))</f>
        <v>#N/A</v>
      </c>
      <c r="AF56" s="7"/>
      <c r="AG56" s="7"/>
      <c r="AH56" s="7"/>
      <c r="AI56" s="7"/>
      <c r="AJ56" s="7"/>
      <c r="AK56" s="7"/>
      <c r="AL56" s="7"/>
      <c r="AM56" s="7"/>
      <c r="AN56" s="7"/>
      <c r="AO56" s="7"/>
      <c r="AP56" s="7"/>
      <c r="AQ56" s="7"/>
      <c r="AR56" s="7"/>
      <c r="AS56" s="7"/>
      <c r="AT56" s="7"/>
      <c r="AU56" s="7"/>
      <c r="AV56" s="7"/>
      <c r="AW56" s="7"/>
      <c r="AY56" s="7"/>
      <c r="AZ56" s="7"/>
      <c r="BA56" s="7"/>
      <c r="BB56" s="7"/>
    </row>
    <row r="57" spans="2:54" x14ac:dyDescent="0.2">
      <c r="B57" s="174"/>
      <c r="C57" s="176"/>
      <c r="F57" s="5">
        <v>0</v>
      </c>
      <c r="G57" s="192">
        <v>0</v>
      </c>
      <c r="H57" s="192">
        <v>0</v>
      </c>
      <c r="I57" s="5">
        <v>0</v>
      </c>
      <c r="J57" s="192">
        <v>0</v>
      </c>
      <c r="K57" s="192">
        <v>0</v>
      </c>
      <c r="L57" s="5">
        <v>0</v>
      </c>
      <c r="M57" s="5">
        <v>0</v>
      </c>
      <c r="N57" s="4" t="e">
        <f t="shared" si="9"/>
        <v>#N/A</v>
      </c>
      <c r="O57" s="4" t="e">
        <f>IF(ROUND(10.499-(((N57-VLOOKUP($C57,Lookups!$A$55:$D$64,3))/(VLOOKUP($C57,Lookups!$A$55:$D$64,4))*VLOOKUP($C57,Lookups!$C$2:$D$11,2))),0)&lt;1,1,IF(ROUND(10.499-(((N57-VLOOKUP($C57,Lookups!$A$55:$D$64,3))/(VLOOKUP($C57,Lookups!$A$55:$D$64,4))*VLOOKUP($C57,Lookups!$C$2:$D$11,2))),0)&lt;11,ROUND(10.499-(((N57-VLOOKUP($C57,Lookups!$A$55:$D$64,3))/(VLOOKUP($C57,Lookups!$A$55:$D$64,4))*VLOOKUP($C57,Lookups!$C$2:$D$11,2))),0),10))</f>
        <v>#N/A</v>
      </c>
      <c r="P57" s="13" t="str">
        <f>IF((SUM(F57:M57)=0),"J",VLOOKUP(O57,Lookups!$A$1:$B$11,2))</f>
        <v>J</v>
      </c>
      <c r="Q57" s="8" t="e">
        <f>VLOOKUP(C57,Lookups!$A$136:$C$144,3)</f>
        <v>#N/A</v>
      </c>
      <c r="R57" s="8" t="e">
        <f>VLOOKUP(C57,Lookups!$A$136:$C$144,2)</f>
        <v>#N/A</v>
      </c>
      <c r="S57" s="4" t="str">
        <f t="shared" si="5"/>
        <v>No</v>
      </c>
      <c r="T57" s="125">
        <f t="shared" si="6"/>
        <v>0</v>
      </c>
      <c r="U57" s="125">
        <f t="shared" si="7"/>
        <v>0</v>
      </c>
      <c r="V57" s="4" t="e">
        <f>IF($Q57&lt;&gt;3,VLOOKUP(F57,'Points Table A'!B$3:$F$33,5),VLOOKUP(F57,'Points Table A'!H$3:$L$33,5))</f>
        <v>#N/A</v>
      </c>
      <c r="W57" s="4" t="e">
        <f>IF($Q57&lt;&gt;3,VLOOKUP(G57,'Points Table A'!C$3:$F$33,4),VLOOKUP(G57,'Points Table A'!I$3:$L$33,4))</f>
        <v>#N/A</v>
      </c>
      <c r="X57" s="4" t="e">
        <f>IF($Q57&lt;&gt;3,VLOOKUP(H57,'Points Table A'!D$3:$F$28,3),VLOOKUP(H57,'Points Table A'!J$3:$L$33,3))</f>
        <v>#N/A</v>
      </c>
      <c r="Y57" s="4" t="e">
        <f>IF($Q57&lt;&gt;3,VLOOKUP(I57,'Points Table A'!E$3:$F$33,2),VLOOKUP(I57,'Points Table A'!K$3:$L$33,2))</f>
        <v>#N/A</v>
      </c>
      <c r="Z57" s="4" t="e">
        <f t="shared" si="8"/>
        <v>#N/A</v>
      </c>
      <c r="AA57" s="4">
        <f>IF($S57=Lookups!$B$113,VLOOKUP(L57,'Points Table C'!A$3:$E$11,5),VLOOKUP(U57,'Points Table C'!B$3:$E$11,4))</f>
        <v>0</v>
      </c>
      <c r="AB57" s="4" t="e">
        <f>IF($Q57=1,0,VLOOKUP($J57,'Points Table C'!$C$3:$E$18,3))</f>
        <v>#N/A</v>
      </c>
      <c r="AC57" s="4">
        <f>VLOOKUP($K57,'Points Table C'!$D$3:$E$18,2)</f>
        <v>0</v>
      </c>
      <c r="AD57" s="4" t="e">
        <f>IF($Z57&lt;Lookups!$C$106,($AA57+AB57+AC57),IF($AA57&gt;=Lookups!$C$120,($AA57+AB57+AC57),$AA57+$AB57))</f>
        <v>#N/A</v>
      </c>
      <c r="AF57" s="7"/>
      <c r="AG57" s="7"/>
      <c r="AH57" s="7"/>
      <c r="AI57" s="7"/>
      <c r="AJ57" s="7"/>
      <c r="AK57" s="7"/>
      <c r="AL57" s="7"/>
      <c r="AM57" s="7"/>
      <c r="AN57" s="7"/>
      <c r="AO57" s="7"/>
      <c r="AP57" s="7"/>
      <c r="AQ57" s="7"/>
      <c r="AR57" s="7"/>
      <c r="AS57" s="7"/>
      <c r="AT57" s="7"/>
      <c r="AU57" s="7"/>
      <c r="AV57" s="7"/>
      <c r="AW57" s="7"/>
      <c r="AY57" s="7"/>
      <c r="AZ57" s="7"/>
      <c r="BA57" s="7"/>
      <c r="BB57" s="7"/>
    </row>
    <row r="58" spans="2:54" x14ac:dyDescent="0.2">
      <c r="B58" s="174"/>
      <c r="C58" s="176"/>
      <c r="F58" s="5">
        <v>0</v>
      </c>
      <c r="G58" s="192">
        <v>0</v>
      </c>
      <c r="H58" s="192">
        <v>0</v>
      </c>
      <c r="I58" s="5">
        <v>0</v>
      </c>
      <c r="J58" s="192">
        <v>0</v>
      </c>
      <c r="K58" s="192">
        <v>0</v>
      </c>
      <c r="L58" s="5">
        <v>0</v>
      </c>
      <c r="M58" s="5">
        <v>0</v>
      </c>
      <c r="N58" s="4" t="e">
        <f t="shared" si="9"/>
        <v>#N/A</v>
      </c>
      <c r="O58" s="4" t="e">
        <f>IF(ROUND(10.499-(((N58-VLOOKUP($C58,Lookups!$A$55:$D$64,3))/(VLOOKUP($C58,Lookups!$A$55:$D$64,4))*VLOOKUP($C58,Lookups!$C$2:$D$11,2))),0)&lt;1,1,IF(ROUND(10.499-(((N58-VLOOKUP($C58,Lookups!$A$55:$D$64,3))/(VLOOKUP($C58,Lookups!$A$55:$D$64,4))*VLOOKUP($C58,Lookups!$C$2:$D$11,2))),0)&lt;11,ROUND(10.499-(((N58-VLOOKUP($C58,Lookups!$A$55:$D$64,3))/(VLOOKUP($C58,Lookups!$A$55:$D$64,4))*VLOOKUP($C58,Lookups!$C$2:$D$11,2))),0),10))</f>
        <v>#N/A</v>
      </c>
      <c r="P58" s="13" t="str">
        <f>IF((SUM(F58:M58)=0),"J",VLOOKUP(O58,Lookups!$A$1:$B$11,2))</f>
        <v>J</v>
      </c>
      <c r="Q58" s="8" t="e">
        <f>VLOOKUP(C58,Lookups!$A$136:$C$144,3)</f>
        <v>#N/A</v>
      </c>
      <c r="R58" s="8" t="e">
        <f>VLOOKUP(C58,Lookups!$A$136:$C$144,2)</f>
        <v>#N/A</v>
      </c>
      <c r="S58" s="4" t="str">
        <f t="shared" si="5"/>
        <v>No</v>
      </c>
      <c r="T58" s="125">
        <f t="shared" si="6"/>
        <v>0</v>
      </c>
      <c r="U58" s="125">
        <f t="shared" si="7"/>
        <v>0</v>
      </c>
      <c r="V58" s="4" t="e">
        <f>IF($Q58&lt;&gt;3,VLOOKUP(F58,'Points Table A'!B$3:$F$33,5),VLOOKUP(F58,'Points Table A'!H$3:$L$33,5))</f>
        <v>#N/A</v>
      </c>
      <c r="W58" s="4" t="e">
        <f>IF($Q58&lt;&gt;3,VLOOKUP(G58,'Points Table A'!C$3:$F$33,4),VLOOKUP(G58,'Points Table A'!I$3:$L$33,4))</f>
        <v>#N/A</v>
      </c>
      <c r="X58" s="4" t="e">
        <f>IF($Q58&lt;&gt;3,VLOOKUP(H58,'Points Table A'!D$3:$F$28,3),VLOOKUP(H58,'Points Table A'!J$3:$L$33,3))</f>
        <v>#N/A</v>
      </c>
      <c r="Y58" s="4" t="e">
        <f>IF($Q58&lt;&gt;3,VLOOKUP(I58,'Points Table A'!E$3:$F$33,2),VLOOKUP(I58,'Points Table A'!K$3:$L$33,2))</f>
        <v>#N/A</v>
      </c>
      <c r="Z58" s="4" t="e">
        <f t="shared" si="8"/>
        <v>#N/A</v>
      </c>
      <c r="AA58" s="4">
        <f>IF($S58=Lookups!$B$113,VLOOKUP(L58,'Points Table C'!A$3:$E$11,5),VLOOKUP(U58,'Points Table C'!B$3:$E$11,4))</f>
        <v>0</v>
      </c>
      <c r="AB58" s="4" t="e">
        <f>IF($Q58=1,0,VLOOKUP($J58,'Points Table C'!$C$3:$E$18,3))</f>
        <v>#N/A</v>
      </c>
      <c r="AC58" s="4">
        <f>VLOOKUP($K58,'Points Table C'!$D$3:$E$18,2)</f>
        <v>0</v>
      </c>
      <c r="AD58" s="4" t="e">
        <f>IF($Z58&lt;Lookups!$C$106,($AA58+AB58+AC58),IF($AA58&gt;=Lookups!$C$120,($AA58+AB58+AC58),$AA58+$AB58))</f>
        <v>#N/A</v>
      </c>
      <c r="AF58" s="7"/>
      <c r="AG58" s="7"/>
      <c r="AH58" s="7"/>
      <c r="AI58" s="7"/>
      <c r="AJ58" s="7"/>
      <c r="AK58" s="7"/>
      <c r="AL58" s="7"/>
      <c r="AM58" s="7"/>
      <c r="AN58" s="7"/>
      <c r="AO58" s="7"/>
      <c r="AP58" s="7"/>
      <c r="AQ58" s="7"/>
      <c r="AR58" s="7"/>
      <c r="AS58" s="7"/>
      <c r="AT58" s="7"/>
      <c r="AU58" s="7"/>
      <c r="AV58" s="7"/>
      <c r="AW58" s="7"/>
      <c r="AY58" s="7"/>
      <c r="AZ58" s="7"/>
      <c r="BA58" s="7"/>
      <c r="BB58" s="7"/>
    </row>
    <row r="59" spans="2:54" x14ac:dyDescent="0.2">
      <c r="B59" s="174"/>
      <c r="C59" s="176"/>
      <c r="F59" s="5">
        <v>0</v>
      </c>
      <c r="G59" s="192">
        <v>0</v>
      </c>
      <c r="H59" s="192">
        <v>0</v>
      </c>
      <c r="I59" s="5">
        <v>0</v>
      </c>
      <c r="J59" s="192">
        <v>0</v>
      </c>
      <c r="K59" s="192">
        <v>0</v>
      </c>
      <c r="L59" s="5">
        <v>0</v>
      </c>
      <c r="M59" s="5">
        <v>0</v>
      </c>
      <c r="N59" s="4" t="e">
        <f t="shared" si="9"/>
        <v>#N/A</v>
      </c>
      <c r="O59" s="4" t="e">
        <f>IF(ROUND(10.499-(((N59-VLOOKUP($C59,Lookups!$A$55:$D$64,3))/(VLOOKUP($C59,Lookups!$A$55:$D$64,4))*VLOOKUP($C59,Lookups!$C$2:$D$11,2))),0)&lt;1,1,IF(ROUND(10.499-(((N59-VLOOKUP($C59,Lookups!$A$55:$D$64,3))/(VLOOKUP($C59,Lookups!$A$55:$D$64,4))*VLOOKUP($C59,Lookups!$C$2:$D$11,2))),0)&lt;11,ROUND(10.499-(((N59-VLOOKUP($C59,Lookups!$A$55:$D$64,3))/(VLOOKUP($C59,Lookups!$A$55:$D$64,4))*VLOOKUP($C59,Lookups!$C$2:$D$11,2))),0),10))</f>
        <v>#N/A</v>
      </c>
      <c r="P59" s="13" t="str">
        <f>IF((SUM(F59:M59)=0),"J",VLOOKUP(O59,Lookups!$A$1:$B$11,2))</f>
        <v>J</v>
      </c>
      <c r="Q59" s="8" t="e">
        <f>VLOOKUP(C59,Lookups!$A$136:$C$144,3)</f>
        <v>#N/A</v>
      </c>
      <c r="R59" s="8" t="e">
        <f>VLOOKUP(C59,Lookups!$A$136:$C$144,2)</f>
        <v>#N/A</v>
      </c>
      <c r="S59" s="4" t="str">
        <f t="shared" si="5"/>
        <v>No</v>
      </c>
      <c r="T59" s="125">
        <f t="shared" si="6"/>
        <v>0</v>
      </c>
      <c r="U59" s="125">
        <f t="shared" si="7"/>
        <v>0</v>
      </c>
      <c r="V59" s="4" t="e">
        <f>IF($Q59&lt;&gt;3,VLOOKUP(F59,'Points Table A'!B$3:$F$33,5),VLOOKUP(F59,'Points Table A'!H$3:$L$33,5))</f>
        <v>#N/A</v>
      </c>
      <c r="W59" s="4" t="e">
        <f>IF($Q59&lt;&gt;3,VLOOKUP(G59,'Points Table A'!C$3:$F$33,4),VLOOKUP(G59,'Points Table A'!I$3:$L$33,4))</f>
        <v>#N/A</v>
      </c>
      <c r="X59" s="4" t="e">
        <f>IF($Q59&lt;&gt;3,VLOOKUP(H59,'Points Table A'!D$3:$F$28,3),VLOOKUP(H59,'Points Table A'!J$3:$L$33,3))</f>
        <v>#N/A</v>
      </c>
      <c r="Y59" s="4" t="e">
        <f>IF($Q59&lt;&gt;3,VLOOKUP(I59,'Points Table A'!E$3:$F$33,2),VLOOKUP(I59,'Points Table A'!K$3:$L$33,2))</f>
        <v>#N/A</v>
      </c>
      <c r="Z59" s="4" t="e">
        <f t="shared" si="8"/>
        <v>#N/A</v>
      </c>
      <c r="AA59" s="4">
        <f>IF($S59=Lookups!$B$113,VLOOKUP(L59,'Points Table C'!A$3:$E$11,5),VLOOKUP(U59,'Points Table C'!B$3:$E$11,4))</f>
        <v>0</v>
      </c>
      <c r="AB59" s="4" t="e">
        <f>IF($Q59=1,0,VLOOKUP($J59,'Points Table C'!$C$3:$E$18,3))</f>
        <v>#N/A</v>
      </c>
      <c r="AC59" s="4">
        <f>VLOOKUP($K59,'Points Table C'!$D$3:$E$18,2)</f>
        <v>0</v>
      </c>
      <c r="AD59" s="4" t="e">
        <f>IF($Z59&lt;Lookups!$C$106,($AA59+AB59+AC59),IF($AA59&gt;=Lookups!$C$120,($AA59+AB59+AC59),$AA59+$AB59))</f>
        <v>#N/A</v>
      </c>
      <c r="AF59" s="7"/>
      <c r="AG59" s="7"/>
      <c r="AH59" s="7"/>
      <c r="AI59" s="7"/>
      <c r="AJ59" s="7"/>
      <c r="AK59" s="7"/>
      <c r="AL59" s="7"/>
      <c r="AM59" s="7"/>
      <c r="AN59" s="7"/>
      <c r="AO59" s="7"/>
      <c r="AP59" s="7"/>
      <c r="AQ59" s="7"/>
      <c r="AR59" s="7"/>
      <c r="AS59" s="7"/>
      <c r="AT59" s="7"/>
      <c r="AU59" s="7"/>
      <c r="AV59" s="7"/>
      <c r="AW59" s="7"/>
      <c r="AY59" s="7"/>
      <c r="AZ59" s="7"/>
      <c r="BA59" s="7"/>
      <c r="BB59" s="7"/>
    </row>
    <row r="60" spans="2:54" x14ac:dyDescent="0.2">
      <c r="B60" s="174"/>
      <c r="C60" s="176"/>
      <c r="F60" s="5">
        <v>0</v>
      </c>
      <c r="G60" s="192">
        <v>0</v>
      </c>
      <c r="H60" s="192">
        <v>0</v>
      </c>
      <c r="I60" s="5">
        <v>0</v>
      </c>
      <c r="J60" s="192">
        <v>0</v>
      </c>
      <c r="K60" s="192">
        <v>0</v>
      </c>
      <c r="L60" s="5">
        <v>0</v>
      </c>
      <c r="M60" s="5">
        <v>0</v>
      </c>
      <c r="N60" s="4" t="e">
        <f t="shared" si="9"/>
        <v>#N/A</v>
      </c>
      <c r="O60" s="4" t="e">
        <f>IF(ROUND(10.499-(((N60-VLOOKUP($C60,Lookups!$A$55:$D$64,3))/(VLOOKUP($C60,Lookups!$A$55:$D$64,4))*VLOOKUP($C60,Lookups!$C$2:$D$11,2))),0)&lt;1,1,IF(ROUND(10.499-(((N60-VLOOKUP($C60,Lookups!$A$55:$D$64,3))/(VLOOKUP($C60,Lookups!$A$55:$D$64,4))*VLOOKUP($C60,Lookups!$C$2:$D$11,2))),0)&lt;11,ROUND(10.499-(((N60-VLOOKUP($C60,Lookups!$A$55:$D$64,3))/(VLOOKUP($C60,Lookups!$A$55:$D$64,4))*VLOOKUP($C60,Lookups!$C$2:$D$11,2))),0),10))</f>
        <v>#N/A</v>
      </c>
      <c r="P60" s="13" t="str">
        <f>IF((SUM(F60:M60)=0),"J",VLOOKUP(O60,Lookups!$A$1:$B$11,2))</f>
        <v>J</v>
      </c>
      <c r="Q60" s="8" t="e">
        <f>VLOOKUP(C60,Lookups!$A$136:$C$144,3)</f>
        <v>#N/A</v>
      </c>
      <c r="R60" s="8" t="e">
        <f>VLOOKUP(C60,Lookups!$A$136:$C$144,2)</f>
        <v>#N/A</v>
      </c>
      <c r="S60" s="4" t="str">
        <f t="shared" si="5"/>
        <v>No</v>
      </c>
      <c r="T60" s="125">
        <f t="shared" si="6"/>
        <v>0</v>
      </c>
      <c r="U60" s="125">
        <f t="shared" si="7"/>
        <v>0</v>
      </c>
      <c r="V60" s="4" t="e">
        <f>IF($Q60&lt;&gt;3,VLOOKUP(F60,'Points Table A'!B$3:$F$33,5),VLOOKUP(F60,'Points Table A'!H$3:$L$33,5))</f>
        <v>#N/A</v>
      </c>
      <c r="W60" s="4" t="e">
        <f>IF($Q60&lt;&gt;3,VLOOKUP(G60,'Points Table A'!C$3:$F$33,4),VLOOKUP(G60,'Points Table A'!I$3:$L$33,4))</f>
        <v>#N/A</v>
      </c>
      <c r="X60" s="4" t="e">
        <f>IF($Q60&lt;&gt;3,VLOOKUP(H60,'Points Table A'!D$3:$F$28,3),VLOOKUP(H60,'Points Table A'!J$3:$L$33,3))</f>
        <v>#N/A</v>
      </c>
      <c r="Y60" s="4" t="e">
        <f>IF($Q60&lt;&gt;3,VLOOKUP(I60,'Points Table A'!E$3:$F$33,2),VLOOKUP(I60,'Points Table A'!K$3:$L$33,2))</f>
        <v>#N/A</v>
      </c>
      <c r="Z60" s="4" t="e">
        <f t="shared" si="8"/>
        <v>#N/A</v>
      </c>
      <c r="AA60" s="4">
        <f>IF($S60=Lookups!$B$113,VLOOKUP(L60,'Points Table C'!A$3:$E$11,5),VLOOKUP(U60,'Points Table C'!B$3:$E$11,4))</f>
        <v>0</v>
      </c>
      <c r="AB60" s="4" t="e">
        <f>IF($Q60=1,0,VLOOKUP($J60,'Points Table C'!$C$3:$E$18,3))</f>
        <v>#N/A</v>
      </c>
      <c r="AC60" s="4">
        <f>VLOOKUP($K60,'Points Table C'!$D$3:$E$18,2)</f>
        <v>0</v>
      </c>
      <c r="AD60" s="4" t="e">
        <f>IF($Z60&lt;Lookups!$C$106,($AA60+AB60+AC60),IF($AA60&gt;=Lookups!$C$120,($AA60+AB60+AC60),$AA60+$AB60))</f>
        <v>#N/A</v>
      </c>
      <c r="AF60" s="7"/>
      <c r="AG60" s="7"/>
      <c r="AH60" s="7"/>
      <c r="AI60" s="7"/>
      <c r="AJ60" s="7"/>
      <c r="AK60" s="7"/>
      <c r="AL60" s="7"/>
      <c r="AM60" s="7"/>
      <c r="AN60" s="7"/>
      <c r="AO60" s="7"/>
      <c r="AP60" s="7"/>
      <c r="AQ60" s="7"/>
      <c r="AR60" s="7"/>
      <c r="AS60" s="7"/>
      <c r="AT60" s="7"/>
      <c r="AU60" s="7"/>
      <c r="AV60" s="7"/>
      <c r="AW60" s="7"/>
      <c r="AY60" s="7"/>
      <c r="AZ60" s="7"/>
      <c r="BA60" s="7"/>
      <c r="BB60" s="7"/>
    </row>
    <row r="61" spans="2:54" x14ac:dyDescent="0.2">
      <c r="B61" s="174"/>
      <c r="C61" s="176"/>
      <c r="F61" s="5">
        <v>0</v>
      </c>
      <c r="G61" s="192">
        <v>0</v>
      </c>
      <c r="H61" s="192">
        <v>0</v>
      </c>
      <c r="I61" s="5">
        <v>0</v>
      </c>
      <c r="J61" s="192">
        <v>0</v>
      </c>
      <c r="K61" s="192">
        <v>0</v>
      </c>
      <c r="L61" s="5">
        <v>0</v>
      </c>
      <c r="M61" s="5">
        <v>0</v>
      </c>
      <c r="N61" s="4" t="e">
        <f t="shared" si="9"/>
        <v>#N/A</v>
      </c>
      <c r="O61" s="4" t="e">
        <f>IF(ROUND(10.499-(((N61-VLOOKUP($C61,Lookups!$A$55:$D$64,3))/(VLOOKUP($C61,Lookups!$A$55:$D$64,4))*VLOOKUP($C61,Lookups!$C$2:$D$11,2))),0)&lt;1,1,IF(ROUND(10.499-(((N61-VLOOKUP($C61,Lookups!$A$55:$D$64,3))/(VLOOKUP($C61,Lookups!$A$55:$D$64,4))*VLOOKUP($C61,Lookups!$C$2:$D$11,2))),0)&lt;11,ROUND(10.499-(((N61-VLOOKUP($C61,Lookups!$A$55:$D$64,3))/(VLOOKUP($C61,Lookups!$A$55:$D$64,4))*VLOOKUP($C61,Lookups!$C$2:$D$11,2))),0),10))</f>
        <v>#N/A</v>
      </c>
      <c r="P61" s="13" t="str">
        <f>IF((SUM(F61:M61)=0),"J",VLOOKUP(O61,Lookups!$A$1:$B$11,2))</f>
        <v>J</v>
      </c>
      <c r="Q61" s="8" t="e">
        <f>VLOOKUP(C61,Lookups!$A$136:$C$144,3)</f>
        <v>#N/A</v>
      </c>
      <c r="R61" s="8" t="e">
        <f>VLOOKUP(C61,Lookups!$A$136:$C$144,2)</f>
        <v>#N/A</v>
      </c>
      <c r="S61" s="4" t="str">
        <f t="shared" si="5"/>
        <v>No</v>
      </c>
      <c r="T61" s="125">
        <f t="shared" si="6"/>
        <v>0</v>
      </c>
      <c r="U61" s="125">
        <f t="shared" si="7"/>
        <v>0</v>
      </c>
      <c r="V61" s="4" t="e">
        <f>IF($Q61&lt;&gt;3,VLOOKUP(F61,'Points Table A'!B$3:$F$33,5),VLOOKUP(F61,'Points Table A'!H$3:$L$33,5))</f>
        <v>#N/A</v>
      </c>
      <c r="W61" s="4" t="e">
        <f>IF($Q61&lt;&gt;3,VLOOKUP(G61,'Points Table A'!C$3:$F$33,4),VLOOKUP(G61,'Points Table A'!I$3:$L$33,4))</f>
        <v>#N/A</v>
      </c>
      <c r="X61" s="4" t="e">
        <f>IF($Q61&lt;&gt;3,VLOOKUP(H61,'Points Table A'!D$3:$F$28,3),VLOOKUP(H61,'Points Table A'!J$3:$L$33,3))</f>
        <v>#N/A</v>
      </c>
      <c r="Y61" s="4" t="e">
        <f>IF($Q61&lt;&gt;3,VLOOKUP(I61,'Points Table A'!E$3:$F$33,2),VLOOKUP(I61,'Points Table A'!K$3:$L$33,2))</f>
        <v>#N/A</v>
      </c>
      <c r="Z61" s="4" t="e">
        <f t="shared" si="8"/>
        <v>#N/A</v>
      </c>
      <c r="AA61" s="4">
        <f>IF($S61=Lookups!$B$113,VLOOKUP(L61,'Points Table C'!A$3:$E$11,5),VLOOKUP(U61,'Points Table C'!B$3:$E$11,4))</f>
        <v>0</v>
      </c>
      <c r="AB61" s="4" t="e">
        <f>IF($Q61=1,0,VLOOKUP($J61,'Points Table C'!$C$3:$E$18,3))</f>
        <v>#N/A</v>
      </c>
      <c r="AC61" s="4">
        <f>VLOOKUP($K61,'Points Table C'!$D$3:$E$18,2)</f>
        <v>0</v>
      </c>
      <c r="AD61" s="4" t="e">
        <f>IF($Z61&lt;Lookups!$C$106,($AA61+AB61+AC61),IF($AA61&gt;=Lookups!$C$120,($AA61+AB61+AC61),$AA61+$AB61))</f>
        <v>#N/A</v>
      </c>
      <c r="AF61" s="7"/>
      <c r="AG61" s="7"/>
      <c r="AH61" s="7"/>
      <c r="AI61" s="7"/>
      <c r="AJ61" s="7"/>
      <c r="AK61" s="7"/>
      <c r="AL61" s="7"/>
      <c r="AM61" s="7"/>
      <c r="AN61" s="7"/>
      <c r="AO61" s="7"/>
      <c r="AP61" s="7"/>
      <c r="AQ61" s="7"/>
      <c r="AR61" s="7"/>
      <c r="AS61" s="7"/>
      <c r="AT61" s="7"/>
      <c r="AU61" s="7"/>
      <c r="AV61" s="7"/>
      <c r="AW61" s="7"/>
      <c r="AY61" s="7"/>
      <c r="AZ61" s="7"/>
      <c r="BA61" s="7"/>
      <c r="BB61" s="7"/>
    </row>
    <row r="62" spans="2:54" x14ac:dyDescent="0.2">
      <c r="B62" s="174"/>
      <c r="C62" s="176"/>
      <c r="F62" s="5">
        <v>0</v>
      </c>
      <c r="G62" s="192">
        <v>0</v>
      </c>
      <c r="H62" s="192">
        <v>0</v>
      </c>
      <c r="I62" s="5">
        <v>0</v>
      </c>
      <c r="J62" s="192">
        <v>0</v>
      </c>
      <c r="K62" s="192">
        <v>0</v>
      </c>
      <c r="L62" s="5">
        <v>0</v>
      </c>
      <c r="M62" s="5">
        <v>0</v>
      </c>
      <c r="N62" s="4" t="e">
        <f t="shared" si="9"/>
        <v>#N/A</v>
      </c>
      <c r="O62" s="4" t="e">
        <f>IF(ROUND(10.499-(((N62-VLOOKUP($C62,Lookups!$A$55:$D$64,3))/(VLOOKUP($C62,Lookups!$A$55:$D$64,4))*VLOOKUP($C62,Lookups!$C$2:$D$11,2))),0)&lt;1,1,IF(ROUND(10.499-(((N62-VLOOKUP($C62,Lookups!$A$55:$D$64,3))/(VLOOKUP($C62,Lookups!$A$55:$D$64,4))*VLOOKUP($C62,Lookups!$C$2:$D$11,2))),0)&lt;11,ROUND(10.499-(((N62-VLOOKUP($C62,Lookups!$A$55:$D$64,3))/(VLOOKUP($C62,Lookups!$A$55:$D$64,4))*VLOOKUP($C62,Lookups!$C$2:$D$11,2))),0),10))</f>
        <v>#N/A</v>
      </c>
      <c r="P62" s="13" t="str">
        <f>IF((SUM(F62:M62)=0),"J",VLOOKUP(O62,Lookups!$A$1:$B$11,2))</f>
        <v>J</v>
      </c>
      <c r="Q62" s="8" t="e">
        <f>VLOOKUP(C62,Lookups!$A$136:$C$144,3)</f>
        <v>#N/A</v>
      </c>
      <c r="R62" s="8" t="e">
        <f>VLOOKUP(C62,Lookups!$A$136:$C$144,2)</f>
        <v>#N/A</v>
      </c>
      <c r="S62" s="4" t="str">
        <f t="shared" si="5"/>
        <v>No</v>
      </c>
      <c r="T62" s="125">
        <f t="shared" si="6"/>
        <v>0</v>
      </c>
      <c r="U62" s="125">
        <f t="shared" si="7"/>
        <v>0</v>
      </c>
      <c r="V62" s="4" t="e">
        <f>IF($Q62&lt;&gt;3,VLOOKUP(F62,'Points Table A'!B$3:$F$33,5),VLOOKUP(F62,'Points Table A'!H$3:$L$33,5))</f>
        <v>#N/A</v>
      </c>
      <c r="W62" s="4" t="e">
        <f>IF($Q62&lt;&gt;3,VLOOKUP(G62,'Points Table A'!C$3:$F$33,4),VLOOKUP(G62,'Points Table A'!I$3:$L$33,4))</f>
        <v>#N/A</v>
      </c>
      <c r="X62" s="4" t="e">
        <f>IF($Q62&lt;&gt;3,VLOOKUP(H62,'Points Table A'!D$3:$F$28,3),VLOOKUP(H62,'Points Table A'!J$3:$L$33,3))</f>
        <v>#N/A</v>
      </c>
      <c r="Y62" s="4" t="e">
        <f>IF($Q62&lt;&gt;3,VLOOKUP(I62,'Points Table A'!E$3:$F$33,2),VLOOKUP(I62,'Points Table A'!K$3:$L$33,2))</f>
        <v>#N/A</v>
      </c>
      <c r="Z62" s="4" t="e">
        <f t="shared" si="8"/>
        <v>#N/A</v>
      </c>
      <c r="AA62" s="4">
        <f>IF($S62=Lookups!$B$113,VLOOKUP(L62,'Points Table C'!A$3:$E$11,5),VLOOKUP(U62,'Points Table C'!B$3:$E$11,4))</f>
        <v>0</v>
      </c>
      <c r="AB62" s="4" t="e">
        <f>IF($Q62=1,0,VLOOKUP($J62,'Points Table C'!$C$3:$E$18,3))</f>
        <v>#N/A</v>
      </c>
      <c r="AC62" s="4">
        <f>VLOOKUP($K62,'Points Table C'!$D$3:$E$18,2)</f>
        <v>0</v>
      </c>
      <c r="AD62" s="4" t="e">
        <f>IF($Z62&lt;Lookups!$C$106,($AA62+AB62+AC62),IF($AA62&gt;=Lookups!$C$120,($AA62+AB62+AC62),$AA62+$AB62))</f>
        <v>#N/A</v>
      </c>
      <c r="AF62" s="7"/>
      <c r="AG62" s="7"/>
      <c r="AH62" s="7"/>
      <c r="AI62" s="7"/>
      <c r="AJ62" s="7"/>
      <c r="AK62" s="7"/>
      <c r="AL62" s="7"/>
      <c r="AM62" s="7"/>
      <c r="AN62" s="7"/>
      <c r="AO62" s="7"/>
      <c r="AP62" s="7"/>
      <c r="AQ62" s="7"/>
      <c r="AR62" s="7"/>
      <c r="AS62" s="7"/>
      <c r="AT62" s="7"/>
      <c r="AU62" s="7"/>
      <c r="AV62" s="7"/>
      <c r="AW62" s="7"/>
      <c r="AY62" s="7"/>
      <c r="AZ62" s="7"/>
      <c r="BA62" s="7"/>
      <c r="BB62" s="7"/>
    </row>
    <row r="63" spans="2:54" x14ac:dyDescent="0.2">
      <c r="B63" s="174"/>
      <c r="C63" s="176"/>
      <c r="F63" s="5">
        <v>0</v>
      </c>
      <c r="G63" s="192">
        <v>0</v>
      </c>
      <c r="H63" s="192">
        <v>0</v>
      </c>
      <c r="I63" s="5">
        <v>0</v>
      </c>
      <c r="J63" s="192">
        <v>0</v>
      </c>
      <c r="K63" s="192">
        <v>0</v>
      </c>
      <c r="L63" s="5">
        <v>0</v>
      </c>
      <c r="M63" s="5">
        <v>0</v>
      </c>
      <c r="N63" s="4" t="e">
        <f t="shared" si="9"/>
        <v>#N/A</v>
      </c>
      <c r="O63" s="4" t="e">
        <f>IF(ROUND(10.499-(((N63-VLOOKUP($C63,Lookups!$A$55:$D$64,3))/(VLOOKUP($C63,Lookups!$A$55:$D$64,4))*VLOOKUP($C63,Lookups!$C$2:$D$11,2))),0)&lt;1,1,IF(ROUND(10.499-(((N63-VLOOKUP($C63,Lookups!$A$55:$D$64,3))/(VLOOKUP($C63,Lookups!$A$55:$D$64,4))*VLOOKUP($C63,Lookups!$C$2:$D$11,2))),0)&lt;11,ROUND(10.499-(((N63-VLOOKUP($C63,Lookups!$A$55:$D$64,3))/(VLOOKUP($C63,Lookups!$A$55:$D$64,4))*VLOOKUP($C63,Lookups!$C$2:$D$11,2))),0),10))</f>
        <v>#N/A</v>
      </c>
      <c r="P63" s="13" t="str">
        <f>IF((SUM(F63:M63)=0),"J",VLOOKUP(O63,Lookups!$A$1:$B$11,2))</f>
        <v>J</v>
      </c>
      <c r="Q63" s="8" t="e">
        <f>VLOOKUP(C63,Lookups!$A$136:$C$144,3)</f>
        <v>#N/A</v>
      </c>
      <c r="R63" s="8" t="e">
        <f>VLOOKUP(C63,Lookups!$A$136:$C$144,2)</f>
        <v>#N/A</v>
      </c>
      <c r="S63" s="4" t="str">
        <f t="shared" si="5"/>
        <v>No</v>
      </c>
      <c r="T63" s="125">
        <f t="shared" si="6"/>
        <v>0</v>
      </c>
      <c r="U63" s="125">
        <f t="shared" si="7"/>
        <v>0</v>
      </c>
      <c r="V63" s="4" t="e">
        <f>IF($Q63&lt;&gt;3,VLOOKUP(F63,'Points Table A'!B$3:$F$33,5),VLOOKUP(F63,'Points Table A'!H$3:$L$33,5))</f>
        <v>#N/A</v>
      </c>
      <c r="W63" s="4" t="e">
        <f>IF($Q63&lt;&gt;3,VLOOKUP(G63,'Points Table A'!C$3:$F$33,4),VLOOKUP(G63,'Points Table A'!I$3:$L$33,4))</f>
        <v>#N/A</v>
      </c>
      <c r="X63" s="4" t="e">
        <f>IF($Q63&lt;&gt;3,VLOOKUP(H63,'Points Table A'!D$3:$F$28,3),VLOOKUP(H63,'Points Table A'!J$3:$L$33,3))</f>
        <v>#N/A</v>
      </c>
      <c r="Y63" s="4" t="e">
        <f>IF($Q63&lt;&gt;3,VLOOKUP(I63,'Points Table A'!E$3:$F$33,2),VLOOKUP(I63,'Points Table A'!K$3:$L$33,2))</f>
        <v>#N/A</v>
      </c>
      <c r="Z63" s="4" t="e">
        <f t="shared" si="8"/>
        <v>#N/A</v>
      </c>
      <c r="AA63" s="4">
        <f>IF($S63=Lookups!$B$113,VLOOKUP(L63,'Points Table C'!A$3:$E$11,5),VLOOKUP(U63,'Points Table C'!B$3:$E$11,4))</f>
        <v>0</v>
      </c>
      <c r="AB63" s="4" t="e">
        <f>IF($Q63=1,0,VLOOKUP($J63,'Points Table C'!$C$3:$E$18,3))</f>
        <v>#N/A</v>
      </c>
      <c r="AC63" s="4">
        <f>VLOOKUP($K63,'Points Table C'!$D$3:$E$18,2)</f>
        <v>0</v>
      </c>
      <c r="AD63" s="4" t="e">
        <f>IF($Z63&lt;Lookups!$C$106,($AA63+AB63+AC63),IF($AA63&gt;=Lookups!$C$120,($AA63+AB63+AC63),$AA63+$AB63))</f>
        <v>#N/A</v>
      </c>
      <c r="AF63" s="7"/>
      <c r="AG63" s="7"/>
      <c r="AH63" s="7"/>
      <c r="AI63" s="7"/>
      <c r="AJ63" s="7"/>
      <c r="AK63" s="7"/>
      <c r="AL63" s="7"/>
      <c r="AM63" s="7"/>
      <c r="AN63" s="7"/>
      <c r="AO63" s="7"/>
      <c r="AP63" s="7"/>
      <c r="AQ63" s="7"/>
      <c r="AR63" s="7"/>
      <c r="AS63" s="7"/>
      <c r="AT63" s="7"/>
      <c r="AU63" s="7"/>
      <c r="AV63" s="7"/>
      <c r="AW63" s="7"/>
      <c r="AY63" s="7"/>
      <c r="AZ63" s="7"/>
      <c r="BA63" s="7"/>
      <c r="BB63" s="7"/>
    </row>
    <row r="64" spans="2:54" x14ac:dyDescent="0.2">
      <c r="B64" s="174"/>
      <c r="C64" s="176"/>
      <c r="F64" s="5">
        <v>0</v>
      </c>
      <c r="G64" s="192">
        <v>0</v>
      </c>
      <c r="H64" s="192">
        <v>0</v>
      </c>
      <c r="I64" s="5">
        <v>0</v>
      </c>
      <c r="J64" s="192">
        <v>0</v>
      </c>
      <c r="K64" s="192">
        <v>0</v>
      </c>
      <c r="L64" s="5">
        <v>0</v>
      </c>
      <c r="M64" s="5">
        <v>0</v>
      </c>
      <c r="N64" s="4" t="e">
        <f t="shared" si="9"/>
        <v>#N/A</v>
      </c>
      <c r="O64" s="4" t="e">
        <f>IF(ROUND(10.499-(((N64-VLOOKUP($C64,Lookups!$A$55:$D$64,3))/(VLOOKUP($C64,Lookups!$A$55:$D$64,4))*VLOOKUP($C64,Lookups!$C$2:$D$11,2))),0)&lt;1,1,IF(ROUND(10.499-(((N64-VLOOKUP($C64,Lookups!$A$55:$D$64,3))/(VLOOKUP($C64,Lookups!$A$55:$D$64,4))*VLOOKUP($C64,Lookups!$C$2:$D$11,2))),0)&lt;11,ROUND(10.499-(((N64-VLOOKUP($C64,Lookups!$A$55:$D$64,3))/(VLOOKUP($C64,Lookups!$A$55:$D$64,4))*VLOOKUP($C64,Lookups!$C$2:$D$11,2))),0),10))</f>
        <v>#N/A</v>
      </c>
      <c r="P64" s="13" t="str">
        <f>IF((SUM(F64:M64)=0),"J",VLOOKUP(O64,Lookups!$A$1:$B$11,2))</f>
        <v>J</v>
      </c>
      <c r="Q64" s="8" t="e">
        <f>VLOOKUP(C64,Lookups!$A$136:$C$144,3)</f>
        <v>#N/A</v>
      </c>
      <c r="R64" s="8" t="e">
        <f>VLOOKUP(C64,Lookups!$A$136:$C$144,2)</f>
        <v>#N/A</v>
      </c>
      <c r="S64" s="4" t="str">
        <f t="shared" si="5"/>
        <v>No</v>
      </c>
      <c r="T64" s="125">
        <f t="shared" si="6"/>
        <v>0</v>
      </c>
      <c r="U64" s="125">
        <f t="shared" si="7"/>
        <v>0</v>
      </c>
      <c r="V64" s="4" t="e">
        <f>IF($Q64&lt;&gt;3,VLOOKUP(F64,'Points Table A'!B$3:$F$33,5),VLOOKUP(F64,'Points Table A'!H$3:$L$33,5))</f>
        <v>#N/A</v>
      </c>
      <c r="W64" s="4" t="e">
        <f>IF($Q64&lt;&gt;3,VLOOKUP(G64,'Points Table A'!C$3:$F$33,4),VLOOKUP(G64,'Points Table A'!I$3:$L$33,4))</f>
        <v>#N/A</v>
      </c>
      <c r="X64" s="4" t="e">
        <f>IF($Q64&lt;&gt;3,VLOOKUP(H64,'Points Table A'!D$3:$F$28,3),VLOOKUP(H64,'Points Table A'!J$3:$L$33,3))</f>
        <v>#N/A</v>
      </c>
      <c r="Y64" s="4" t="e">
        <f>IF($Q64&lt;&gt;3,VLOOKUP(I64,'Points Table A'!E$3:$F$33,2),VLOOKUP(I64,'Points Table A'!K$3:$L$33,2))</f>
        <v>#N/A</v>
      </c>
      <c r="Z64" s="4" t="e">
        <f t="shared" si="8"/>
        <v>#N/A</v>
      </c>
      <c r="AA64" s="4">
        <f>IF($S64=Lookups!$B$113,VLOOKUP(L64,'Points Table C'!A$3:$E$11,5),VLOOKUP(U64,'Points Table C'!B$3:$E$11,4))</f>
        <v>0</v>
      </c>
      <c r="AB64" s="4" t="e">
        <f>IF($Q64=1,0,VLOOKUP($J64,'Points Table C'!$C$3:$E$18,3))</f>
        <v>#N/A</v>
      </c>
      <c r="AC64" s="4">
        <f>VLOOKUP($K64,'Points Table C'!$D$3:$E$18,2)</f>
        <v>0</v>
      </c>
      <c r="AD64" s="4" t="e">
        <f>IF($Z64&lt;Lookups!$C$106,($AA64+AB64+AC64),IF($AA64&gt;=Lookups!$C$120,($AA64+AB64+AC64),$AA64+$AB64))</f>
        <v>#N/A</v>
      </c>
      <c r="AF64" s="7"/>
      <c r="AG64" s="7"/>
      <c r="AH64" s="7"/>
      <c r="AI64" s="7"/>
      <c r="AJ64" s="7"/>
      <c r="AK64" s="7"/>
      <c r="AL64" s="7"/>
      <c r="AM64" s="7"/>
      <c r="AN64" s="7"/>
      <c r="AO64" s="7"/>
      <c r="AP64" s="7"/>
      <c r="AQ64" s="7"/>
      <c r="AR64" s="7"/>
      <c r="AS64" s="7"/>
      <c r="AT64" s="7"/>
      <c r="AU64" s="7"/>
      <c r="AV64" s="7"/>
      <c r="AW64" s="7"/>
      <c r="AY64" s="7"/>
      <c r="AZ64" s="7"/>
      <c r="BA64" s="7"/>
      <c r="BB64" s="7"/>
    </row>
    <row r="65" spans="2:54" x14ac:dyDescent="0.2">
      <c r="B65" s="174"/>
      <c r="C65" s="176"/>
      <c r="F65" s="5">
        <v>0</v>
      </c>
      <c r="G65" s="192">
        <v>0</v>
      </c>
      <c r="H65" s="192">
        <v>0</v>
      </c>
      <c r="I65" s="5">
        <v>0</v>
      </c>
      <c r="J65" s="192">
        <v>0</v>
      </c>
      <c r="K65" s="192">
        <v>0</v>
      </c>
      <c r="L65" s="5">
        <v>0</v>
      </c>
      <c r="M65" s="5">
        <v>0</v>
      </c>
      <c r="N65" s="4" t="e">
        <f t="shared" si="9"/>
        <v>#N/A</v>
      </c>
      <c r="O65" s="4" t="e">
        <f>IF(ROUND(10.499-(((N65-VLOOKUP($C65,Lookups!$A$55:$D$64,3))/(VLOOKUP($C65,Lookups!$A$55:$D$64,4))*VLOOKUP($C65,Lookups!$C$2:$D$11,2))),0)&lt;1,1,IF(ROUND(10.499-(((N65-VLOOKUP($C65,Lookups!$A$55:$D$64,3))/(VLOOKUP($C65,Lookups!$A$55:$D$64,4))*VLOOKUP($C65,Lookups!$C$2:$D$11,2))),0)&lt;11,ROUND(10.499-(((N65-VLOOKUP($C65,Lookups!$A$55:$D$64,3))/(VLOOKUP($C65,Lookups!$A$55:$D$64,4))*VLOOKUP($C65,Lookups!$C$2:$D$11,2))),0),10))</f>
        <v>#N/A</v>
      </c>
      <c r="P65" s="13" t="str">
        <f>IF((SUM(F65:M65)=0),"J",VLOOKUP(O65,Lookups!$A$1:$B$11,2))</f>
        <v>J</v>
      </c>
      <c r="Q65" s="8" t="e">
        <f>VLOOKUP(C65,Lookups!$A$136:$C$144,3)</f>
        <v>#N/A</v>
      </c>
      <c r="R65" s="8" t="e">
        <f>VLOOKUP(C65,Lookups!$A$136:$C$144,2)</f>
        <v>#N/A</v>
      </c>
      <c r="S65" s="4" t="str">
        <f t="shared" si="5"/>
        <v>No</v>
      </c>
      <c r="T65" s="125">
        <f t="shared" si="6"/>
        <v>0</v>
      </c>
      <c r="U65" s="125">
        <f t="shared" si="7"/>
        <v>0</v>
      </c>
      <c r="V65" s="4" t="e">
        <f>IF($Q65&lt;&gt;3,VLOOKUP(F65,'Points Table A'!B$3:$F$33,5),VLOOKUP(F65,'Points Table A'!H$3:$L$33,5))</f>
        <v>#N/A</v>
      </c>
      <c r="W65" s="4" t="e">
        <f>IF($Q65&lt;&gt;3,VLOOKUP(G65,'Points Table A'!C$3:$F$33,4),VLOOKUP(G65,'Points Table A'!I$3:$L$33,4))</f>
        <v>#N/A</v>
      </c>
      <c r="X65" s="4" t="e">
        <f>IF($Q65&lt;&gt;3,VLOOKUP(H65,'Points Table A'!D$3:$F$28,3),VLOOKUP(H65,'Points Table A'!J$3:$L$33,3))</f>
        <v>#N/A</v>
      </c>
      <c r="Y65" s="4" t="e">
        <f>IF($Q65&lt;&gt;3,VLOOKUP(I65,'Points Table A'!E$3:$F$33,2),VLOOKUP(I65,'Points Table A'!K$3:$L$33,2))</f>
        <v>#N/A</v>
      </c>
      <c r="Z65" s="4" t="e">
        <f t="shared" si="8"/>
        <v>#N/A</v>
      </c>
      <c r="AA65" s="4">
        <f>IF($S65=Lookups!$B$113,VLOOKUP(L65,'Points Table C'!A$3:$E$11,5),VLOOKUP(U65,'Points Table C'!B$3:$E$11,4))</f>
        <v>0</v>
      </c>
      <c r="AB65" s="4" t="e">
        <f>IF($Q65=1,0,VLOOKUP($J65,'Points Table C'!$C$3:$E$18,3))</f>
        <v>#N/A</v>
      </c>
      <c r="AC65" s="4">
        <f>VLOOKUP($K65,'Points Table C'!$D$3:$E$18,2)</f>
        <v>0</v>
      </c>
      <c r="AD65" s="4" t="e">
        <f>IF($Z65&lt;Lookups!$C$106,($AA65+AB65+AC65),IF($AA65&gt;=Lookups!$C$120,($AA65+AB65+AC65),$AA65+$AB65))</f>
        <v>#N/A</v>
      </c>
      <c r="AF65" s="7"/>
      <c r="AG65" s="7"/>
      <c r="AH65" s="7"/>
      <c r="AI65" s="7"/>
      <c r="AJ65" s="7"/>
      <c r="AK65" s="7"/>
      <c r="AL65" s="7"/>
      <c r="AM65" s="7"/>
      <c r="AN65" s="7"/>
      <c r="AO65" s="7"/>
      <c r="AP65" s="7"/>
      <c r="AQ65" s="7"/>
      <c r="AR65" s="7"/>
      <c r="AS65" s="7"/>
      <c r="AT65" s="7"/>
      <c r="AU65" s="7"/>
      <c r="AV65" s="7"/>
      <c r="AW65" s="7"/>
      <c r="AY65" s="7"/>
      <c r="AZ65" s="7"/>
      <c r="BA65" s="7"/>
      <c r="BB65" s="7"/>
    </row>
    <row r="66" spans="2:54" x14ac:dyDescent="0.2">
      <c r="B66" s="174"/>
      <c r="C66" s="176"/>
      <c r="F66" s="5">
        <v>0</v>
      </c>
      <c r="G66" s="192">
        <v>0</v>
      </c>
      <c r="H66" s="192">
        <v>0</v>
      </c>
      <c r="I66" s="5">
        <v>0</v>
      </c>
      <c r="J66" s="192">
        <v>0</v>
      </c>
      <c r="K66" s="192">
        <v>0</v>
      </c>
      <c r="L66" s="5">
        <v>0</v>
      </c>
      <c r="M66" s="5">
        <v>0</v>
      </c>
      <c r="N66" s="4" t="e">
        <f t="shared" ref="N66:N97" si="10">$Z66-$AD66</f>
        <v>#N/A</v>
      </c>
      <c r="O66" s="4" t="e">
        <f>IF(ROUND(10.499-(((N66-VLOOKUP($C66,Lookups!$A$55:$D$64,3))/(VLOOKUP($C66,Lookups!$A$55:$D$64,4))*VLOOKUP($C66,Lookups!$C$2:$D$11,2))),0)&lt;1,1,IF(ROUND(10.499-(((N66-VLOOKUP($C66,Lookups!$A$55:$D$64,3))/(VLOOKUP($C66,Lookups!$A$55:$D$64,4))*VLOOKUP($C66,Lookups!$C$2:$D$11,2))),0)&lt;11,ROUND(10.499-(((N66-VLOOKUP($C66,Lookups!$A$55:$D$64,3))/(VLOOKUP($C66,Lookups!$A$55:$D$64,4))*VLOOKUP($C66,Lookups!$C$2:$D$11,2))),0),10))</f>
        <v>#N/A</v>
      </c>
      <c r="P66" s="13" t="str">
        <f>IF((SUM(F66:M66)=0),"J",VLOOKUP(O66,Lookups!$A$1:$B$11,2))</f>
        <v>J</v>
      </c>
      <c r="Q66" s="8" t="e">
        <f>VLOOKUP(C66,Lookups!$A$136:$C$144,3)</f>
        <v>#N/A</v>
      </c>
      <c r="R66" s="8" t="e">
        <f>VLOOKUP(C66,Lookups!$A$136:$C$144,2)</f>
        <v>#N/A</v>
      </c>
      <c r="S66" s="4" t="str">
        <f t="shared" si="5"/>
        <v>No</v>
      </c>
      <c r="T66" s="125">
        <f t="shared" si="6"/>
        <v>0</v>
      </c>
      <c r="U66" s="125">
        <f t="shared" si="7"/>
        <v>0</v>
      </c>
      <c r="V66" s="4" t="e">
        <f>IF($Q66&lt;&gt;3,VLOOKUP(F66,'Points Table A'!B$3:$F$33,5),VLOOKUP(F66,'Points Table A'!H$3:$L$33,5))</f>
        <v>#N/A</v>
      </c>
      <c r="W66" s="4" t="e">
        <f>IF($Q66&lt;&gt;3,VLOOKUP(G66,'Points Table A'!C$3:$F$33,4),VLOOKUP(G66,'Points Table A'!I$3:$L$33,4))</f>
        <v>#N/A</v>
      </c>
      <c r="X66" s="4" t="e">
        <f>IF($Q66&lt;&gt;3,VLOOKUP(H66,'Points Table A'!D$3:$F$28,3),VLOOKUP(H66,'Points Table A'!J$3:$L$33,3))</f>
        <v>#N/A</v>
      </c>
      <c r="Y66" s="4" t="e">
        <f>IF($Q66&lt;&gt;3,VLOOKUP(I66,'Points Table A'!E$3:$F$33,2),VLOOKUP(I66,'Points Table A'!K$3:$L$33,2))</f>
        <v>#N/A</v>
      </c>
      <c r="Z66" s="4" t="e">
        <f t="shared" si="8"/>
        <v>#N/A</v>
      </c>
      <c r="AA66" s="4">
        <f>IF($S66=Lookups!$B$113,VLOOKUP(L66,'Points Table C'!A$3:$E$11,5),VLOOKUP(U66,'Points Table C'!B$3:$E$11,4))</f>
        <v>0</v>
      </c>
      <c r="AB66" s="4" t="e">
        <f>IF($Q66=1,0,VLOOKUP($J66,'Points Table C'!$C$3:$E$18,3))</f>
        <v>#N/A</v>
      </c>
      <c r="AC66" s="4">
        <f>VLOOKUP($K66,'Points Table C'!$D$3:$E$18,2)</f>
        <v>0</v>
      </c>
      <c r="AD66" s="4" t="e">
        <f>IF($Z66&lt;Lookups!$C$106,($AA66+AB66+AC66),IF($AA66&gt;=Lookups!$C$120,($AA66+AB66+AC66),$AA66+$AB66))</f>
        <v>#N/A</v>
      </c>
      <c r="AF66" s="7"/>
      <c r="AG66" s="7"/>
      <c r="AH66" s="7"/>
      <c r="AI66" s="7"/>
      <c r="AJ66" s="7"/>
      <c r="AK66" s="7"/>
      <c r="AL66" s="7"/>
      <c r="AM66" s="7"/>
      <c r="AN66" s="7"/>
      <c r="AO66" s="7"/>
      <c r="AP66" s="7"/>
      <c r="AQ66" s="7"/>
      <c r="AR66" s="7"/>
      <c r="AS66" s="7"/>
      <c r="AT66" s="7"/>
      <c r="AU66" s="7"/>
      <c r="AV66" s="7"/>
      <c r="AW66" s="7"/>
      <c r="AY66" s="7"/>
      <c r="AZ66" s="7"/>
      <c r="BA66" s="7"/>
      <c r="BB66" s="7"/>
    </row>
    <row r="67" spans="2:54" x14ac:dyDescent="0.2">
      <c r="B67" s="174"/>
      <c r="C67" s="176"/>
      <c r="F67" s="5">
        <v>0</v>
      </c>
      <c r="G67" s="192">
        <v>0</v>
      </c>
      <c r="H67" s="192">
        <v>0</v>
      </c>
      <c r="I67" s="5">
        <v>0</v>
      </c>
      <c r="J67" s="192">
        <v>0</v>
      </c>
      <c r="K67" s="192">
        <v>0</v>
      </c>
      <c r="L67" s="5">
        <v>0</v>
      </c>
      <c r="M67" s="5">
        <v>0</v>
      </c>
      <c r="N67" s="4" t="e">
        <f t="shared" si="10"/>
        <v>#N/A</v>
      </c>
      <c r="O67" s="4" t="e">
        <f>IF(ROUND(10.499-(((N67-VLOOKUP($C67,Lookups!$A$55:$D$64,3))/(VLOOKUP($C67,Lookups!$A$55:$D$64,4))*VLOOKUP($C67,Lookups!$C$2:$D$11,2))),0)&lt;1,1,IF(ROUND(10.499-(((N67-VLOOKUP($C67,Lookups!$A$55:$D$64,3))/(VLOOKUP($C67,Lookups!$A$55:$D$64,4))*VLOOKUP($C67,Lookups!$C$2:$D$11,2))),0)&lt;11,ROUND(10.499-(((N67-VLOOKUP($C67,Lookups!$A$55:$D$64,3))/(VLOOKUP($C67,Lookups!$A$55:$D$64,4))*VLOOKUP($C67,Lookups!$C$2:$D$11,2))),0),10))</f>
        <v>#N/A</v>
      </c>
      <c r="P67" s="13" t="str">
        <f>IF((SUM(F67:M67)=0),"J",VLOOKUP(O67,Lookups!$A$1:$B$11,2))</f>
        <v>J</v>
      </c>
      <c r="Q67" s="8" t="e">
        <f>VLOOKUP(C67,Lookups!$A$136:$C$144,3)</f>
        <v>#N/A</v>
      </c>
      <c r="R67" s="8" t="e">
        <f>VLOOKUP(C67,Lookups!$A$136:$C$144,2)</f>
        <v>#N/A</v>
      </c>
      <c r="S67" s="4" t="str">
        <f t="shared" si="5"/>
        <v>No</v>
      </c>
      <c r="T67" s="125">
        <f t="shared" si="6"/>
        <v>0</v>
      </c>
      <c r="U67" s="125">
        <f t="shared" si="7"/>
        <v>0</v>
      </c>
      <c r="V67" s="4" t="e">
        <f>IF($Q67&lt;&gt;3,VLOOKUP(F67,'Points Table A'!B$3:$F$33,5),VLOOKUP(F67,'Points Table A'!H$3:$L$33,5))</f>
        <v>#N/A</v>
      </c>
      <c r="W67" s="4" t="e">
        <f>IF($Q67&lt;&gt;3,VLOOKUP(G67,'Points Table A'!C$3:$F$33,4),VLOOKUP(G67,'Points Table A'!I$3:$L$33,4))</f>
        <v>#N/A</v>
      </c>
      <c r="X67" s="4" t="e">
        <f>IF($Q67&lt;&gt;3,VLOOKUP(H67,'Points Table A'!D$3:$F$28,3),VLOOKUP(H67,'Points Table A'!J$3:$L$33,3))</f>
        <v>#N/A</v>
      </c>
      <c r="Y67" s="4" t="e">
        <f>IF($Q67&lt;&gt;3,VLOOKUP(I67,'Points Table A'!E$3:$F$33,2),VLOOKUP(I67,'Points Table A'!K$3:$L$33,2))</f>
        <v>#N/A</v>
      </c>
      <c r="Z67" s="4" t="e">
        <f t="shared" si="8"/>
        <v>#N/A</v>
      </c>
      <c r="AA67" s="4">
        <f>IF($S67=Lookups!$B$113,VLOOKUP(L67,'Points Table C'!A$3:$E$11,5),VLOOKUP(U67,'Points Table C'!B$3:$E$11,4))</f>
        <v>0</v>
      </c>
      <c r="AB67" s="4" t="e">
        <f>IF($Q67=1,0,VLOOKUP($J67,'Points Table C'!$C$3:$E$18,3))</f>
        <v>#N/A</v>
      </c>
      <c r="AC67" s="4">
        <f>VLOOKUP($K67,'Points Table C'!$D$3:$E$18,2)</f>
        <v>0</v>
      </c>
      <c r="AD67" s="4" t="e">
        <f>IF($Z67&lt;Lookups!$C$106,($AA67+AB67+AC67),IF($AA67&gt;=Lookups!$C$120,($AA67+AB67+AC67),$AA67+$AB67))</f>
        <v>#N/A</v>
      </c>
      <c r="AF67" s="7"/>
      <c r="AG67" s="7"/>
      <c r="AH67" s="7"/>
      <c r="AI67" s="7"/>
      <c r="AJ67" s="7"/>
      <c r="AK67" s="7"/>
      <c r="AL67" s="7"/>
      <c r="AM67" s="7"/>
      <c r="AN67" s="7"/>
      <c r="AO67" s="7"/>
      <c r="AP67" s="7"/>
      <c r="AQ67" s="7"/>
      <c r="AR67" s="7"/>
      <c r="AS67" s="7"/>
      <c r="AT67" s="7"/>
      <c r="AU67" s="7"/>
      <c r="AV67" s="7"/>
      <c r="AW67" s="7"/>
      <c r="AY67" s="7"/>
      <c r="AZ67" s="7"/>
      <c r="BA67" s="7"/>
      <c r="BB67" s="7"/>
    </row>
    <row r="68" spans="2:54" x14ac:dyDescent="0.2">
      <c r="B68" s="174"/>
      <c r="C68" s="176"/>
      <c r="F68" s="5">
        <v>0</v>
      </c>
      <c r="G68" s="192">
        <v>0</v>
      </c>
      <c r="H68" s="192">
        <v>0</v>
      </c>
      <c r="I68" s="5">
        <v>0</v>
      </c>
      <c r="J68" s="192">
        <v>0</v>
      </c>
      <c r="K68" s="192">
        <v>0</v>
      </c>
      <c r="L68" s="5">
        <v>0</v>
      </c>
      <c r="M68" s="5">
        <v>0</v>
      </c>
      <c r="N68" s="4" t="e">
        <f t="shared" si="10"/>
        <v>#N/A</v>
      </c>
      <c r="O68" s="4" t="e">
        <f>IF(ROUND(10.499-(((N68-VLOOKUP($C68,Lookups!$A$55:$D$64,3))/(VLOOKUP($C68,Lookups!$A$55:$D$64,4))*VLOOKUP($C68,Lookups!$C$2:$D$11,2))),0)&lt;1,1,IF(ROUND(10.499-(((N68-VLOOKUP($C68,Lookups!$A$55:$D$64,3))/(VLOOKUP($C68,Lookups!$A$55:$D$64,4))*VLOOKUP($C68,Lookups!$C$2:$D$11,2))),0)&lt;11,ROUND(10.499-(((N68-VLOOKUP($C68,Lookups!$A$55:$D$64,3))/(VLOOKUP($C68,Lookups!$A$55:$D$64,4))*VLOOKUP($C68,Lookups!$C$2:$D$11,2))),0),10))</f>
        <v>#N/A</v>
      </c>
      <c r="P68" s="13" t="str">
        <f>IF((SUM(F68:M68)=0),"J",VLOOKUP(O68,Lookups!$A$1:$B$11,2))</f>
        <v>J</v>
      </c>
      <c r="Q68" s="8" t="e">
        <f>VLOOKUP(C68,Lookups!$A$136:$C$144,3)</f>
        <v>#N/A</v>
      </c>
      <c r="R68" s="8" t="e">
        <f>VLOOKUP(C68,Lookups!$A$136:$C$144,2)</f>
        <v>#N/A</v>
      </c>
      <c r="S68" s="4" t="str">
        <f t="shared" si="5"/>
        <v>No</v>
      </c>
      <c r="T68" s="125">
        <f t="shared" si="6"/>
        <v>0</v>
      </c>
      <c r="U68" s="125">
        <f t="shared" si="7"/>
        <v>0</v>
      </c>
      <c r="V68" s="4" t="e">
        <f>IF($Q68&lt;&gt;3,VLOOKUP(F68,'Points Table A'!B$3:$F$33,5),VLOOKUP(F68,'Points Table A'!H$3:$L$33,5))</f>
        <v>#N/A</v>
      </c>
      <c r="W68" s="4" t="e">
        <f>IF($Q68&lt;&gt;3,VLOOKUP(G68,'Points Table A'!C$3:$F$33,4),VLOOKUP(G68,'Points Table A'!I$3:$L$33,4))</f>
        <v>#N/A</v>
      </c>
      <c r="X68" s="4" t="e">
        <f>IF($Q68&lt;&gt;3,VLOOKUP(H68,'Points Table A'!D$3:$F$28,3),VLOOKUP(H68,'Points Table A'!J$3:$L$33,3))</f>
        <v>#N/A</v>
      </c>
      <c r="Y68" s="4" t="e">
        <f>IF($Q68&lt;&gt;3,VLOOKUP(I68,'Points Table A'!E$3:$F$33,2),VLOOKUP(I68,'Points Table A'!K$3:$L$33,2))</f>
        <v>#N/A</v>
      </c>
      <c r="Z68" s="4" t="e">
        <f t="shared" si="8"/>
        <v>#N/A</v>
      </c>
      <c r="AA68" s="4">
        <f>IF($S68=Lookups!$B$113,VLOOKUP(L68,'Points Table C'!A$3:$E$11,5),VLOOKUP(U68,'Points Table C'!B$3:$E$11,4))</f>
        <v>0</v>
      </c>
      <c r="AB68" s="4" t="e">
        <f>IF($Q68=1,0,VLOOKUP($J68,'Points Table C'!$C$3:$E$18,3))</f>
        <v>#N/A</v>
      </c>
      <c r="AC68" s="4">
        <f>VLOOKUP($K68,'Points Table C'!$D$3:$E$18,2)</f>
        <v>0</v>
      </c>
      <c r="AD68" s="4" t="e">
        <f>IF($Z68&lt;Lookups!$C$106,($AA68+AB68+AC68),IF($AA68&gt;=Lookups!$C$120,($AA68+AB68+AC68),$AA68+$AB68))</f>
        <v>#N/A</v>
      </c>
      <c r="AF68" s="7"/>
      <c r="AG68" s="7"/>
      <c r="AH68" s="7"/>
      <c r="AI68" s="7"/>
      <c r="AJ68" s="7"/>
      <c r="AK68" s="7"/>
      <c r="AL68" s="7"/>
      <c r="AM68" s="7"/>
      <c r="AN68" s="7"/>
      <c r="AO68" s="7"/>
      <c r="AP68" s="7"/>
      <c r="AQ68" s="7"/>
      <c r="AR68" s="7"/>
      <c r="AS68" s="7"/>
      <c r="AT68" s="7"/>
      <c r="AU68" s="7"/>
      <c r="AV68" s="7"/>
      <c r="AW68" s="7"/>
      <c r="AY68" s="7"/>
      <c r="AZ68" s="7"/>
      <c r="BA68" s="7"/>
      <c r="BB68" s="7"/>
    </row>
    <row r="69" spans="2:54" x14ac:dyDescent="0.2">
      <c r="B69" s="174"/>
      <c r="C69" s="176"/>
      <c r="F69" s="5">
        <v>0</v>
      </c>
      <c r="G69" s="192">
        <v>0</v>
      </c>
      <c r="H69" s="192">
        <v>0</v>
      </c>
      <c r="I69" s="5">
        <v>0</v>
      </c>
      <c r="J69" s="192">
        <v>0</v>
      </c>
      <c r="K69" s="192">
        <v>0</v>
      </c>
      <c r="L69" s="5">
        <v>0</v>
      </c>
      <c r="M69" s="5">
        <v>0</v>
      </c>
      <c r="N69" s="4" t="e">
        <f t="shared" si="10"/>
        <v>#N/A</v>
      </c>
      <c r="O69" s="4" t="e">
        <f>IF(ROUND(10.499-(((N69-VLOOKUP($C69,Lookups!$A$55:$D$64,3))/(VLOOKUP($C69,Lookups!$A$55:$D$64,4))*VLOOKUP($C69,Lookups!$C$2:$D$11,2))),0)&lt;1,1,IF(ROUND(10.499-(((N69-VLOOKUP($C69,Lookups!$A$55:$D$64,3))/(VLOOKUP($C69,Lookups!$A$55:$D$64,4))*VLOOKUP($C69,Lookups!$C$2:$D$11,2))),0)&lt;11,ROUND(10.499-(((N69-VLOOKUP($C69,Lookups!$A$55:$D$64,3))/(VLOOKUP($C69,Lookups!$A$55:$D$64,4))*VLOOKUP($C69,Lookups!$C$2:$D$11,2))),0),10))</f>
        <v>#N/A</v>
      </c>
      <c r="P69" s="13" t="str">
        <f>IF((SUM(F69:M69)=0),"J",VLOOKUP(O69,Lookups!$A$1:$B$11,2))</f>
        <v>J</v>
      </c>
      <c r="Q69" s="8" t="e">
        <f>VLOOKUP(C69,Lookups!$A$136:$C$144,3)</f>
        <v>#N/A</v>
      </c>
      <c r="R69" s="8" t="e">
        <f>VLOOKUP(C69,Lookups!$A$136:$C$144,2)</f>
        <v>#N/A</v>
      </c>
      <c r="S69" s="4" t="str">
        <f t="shared" si="5"/>
        <v>No</v>
      </c>
      <c r="T69" s="125">
        <f t="shared" si="6"/>
        <v>0</v>
      </c>
      <c r="U69" s="125">
        <f t="shared" si="7"/>
        <v>0</v>
      </c>
      <c r="V69" s="4" t="e">
        <f>IF($Q69&lt;&gt;3,VLOOKUP(F69,'Points Table A'!B$3:$F$33,5),VLOOKUP(F69,'Points Table A'!H$3:$L$33,5))</f>
        <v>#N/A</v>
      </c>
      <c r="W69" s="4" t="e">
        <f>IF($Q69&lt;&gt;3,VLOOKUP(G69,'Points Table A'!C$3:$F$33,4),VLOOKUP(G69,'Points Table A'!I$3:$L$33,4))</f>
        <v>#N/A</v>
      </c>
      <c r="X69" s="4" t="e">
        <f>IF($Q69&lt;&gt;3,VLOOKUP(H69,'Points Table A'!D$3:$F$28,3),VLOOKUP(H69,'Points Table A'!J$3:$L$33,3))</f>
        <v>#N/A</v>
      </c>
      <c r="Y69" s="4" t="e">
        <f>IF($Q69&lt;&gt;3,VLOOKUP(I69,'Points Table A'!E$3:$F$33,2),VLOOKUP(I69,'Points Table A'!K$3:$L$33,2))</f>
        <v>#N/A</v>
      </c>
      <c r="Z69" s="4" t="e">
        <f t="shared" si="8"/>
        <v>#N/A</v>
      </c>
      <c r="AA69" s="4">
        <f>IF($S69=Lookups!$B$113,VLOOKUP(L69,'Points Table C'!A$3:$E$11,5),VLOOKUP(U69,'Points Table C'!B$3:$E$11,4))</f>
        <v>0</v>
      </c>
      <c r="AB69" s="4" t="e">
        <f>IF($Q69=1,0,VLOOKUP($J69,'Points Table C'!$C$3:$E$18,3))</f>
        <v>#N/A</v>
      </c>
      <c r="AC69" s="4">
        <f>VLOOKUP($K69,'Points Table C'!$D$3:$E$18,2)</f>
        <v>0</v>
      </c>
      <c r="AD69" s="4" t="e">
        <f>IF($Z69&lt;Lookups!$C$106,($AA69+AB69+AC69),IF($AA69&gt;=Lookups!$C$120,($AA69+AB69+AC69),$AA69+$AB69))</f>
        <v>#N/A</v>
      </c>
      <c r="AF69" s="7"/>
      <c r="AG69" s="7"/>
      <c r="AH69" s="7"/>
      <c r="AI69" s="7"/>
      <c r="AJ69" s="7"/>
      <c r="AK69" s="7"/>
      <c r="AL69" s="7"/>
      <c r="AM69" s="7"/>
      <c r="AN69" s="7"/>
      <c r="AO69" s="7"/>
      <c r="AP69" s="7"/>
      <c r="AQ69" s="7"/>
      <c r="AR69" s="7"/>
      <c r="AS69" s="7"/>
      <c r="AT69" s="7"/>
      <c r="AU69" s="7"/>
      <c r="AV69" s="7"/>
      <c r="AW69" s="7"/>
      <c r="AY69" s="7"/>
      <c r="AZ69" s="7"/>
      <c r="BA69" s="7"/>
      <c r="BB69" s="7"/>
    </row>
    <row r="70" spans="2:54" x14ac:dyDescent="0.2">
      <c r="B70" s="174"/>
      <c r="C70" s="176"/>
      <c r="F70" s="5">
        <v>0</v>
      </c>
      <c r="G70" s="192">
        <v>0</v>
      </c>
      <c r="H70" s="192">
        <v>0</v>
      </c>
      <c r="I70" s="5">
        <v>0</v>
      </c>
      <c r="J70" s="192">
        <v>0</v>
      </c>
      <c r="K70" s="192">
        <v>0</v>
      </c>
      <c r="L70" s="5">
        <v>0</v>
      </c>
      <c r="M70" s="5">
        <v>0</v>
      </c>
      <c r="N70" s="4" t="e">
        <f t="shared" si="10"/>
        <v>#N/A</v>
      </c>
      <c r="O70" s="4" t="e">
        <f>IF(ROUND(10.499-(((N70-VLOOKUP($C70,Lookups!$A$55:$D$64,3))/(VLOOKUP($C70,Lookups!$A$55:$D$64,4))*VLOOKUP($C70,Lookups!$C$2:$D$11,2))),0)&lt;1,1,IF(ROUND(10.499-(((N70-VLOOKUP($C70,Lookups!$A$55:$D$64,3))/(VLOOKUP($C70,Lookups!$A$55:$D$64,4))*VLOOKUP($C70,Lookups!$C$2:$D$11,2))),0)&lt;11,ROUND(10.499-(((N70-VLOOKUP($C70,Lookups!$A$55:$D$64,3))/(VLOOKUP($C70,Lookups!$A$55:$D$64,4))*VLOOKUP($C70,Lookups!$C$2:$D$11,2))),0),10))</f>
        <v>#N/A</v>
      </c>
      <c r="P70" s="13" t="str">
        <f>IF((SUM(F70:M70)=0),"J",VLOOKUP(O70,Lookups!$A$1:$B$11,2))</f>
        <v>J</v>
      </c>
      <c r="Q70" s="8" t="e">
        <f>VLOOKUP(C70,Lookups!$A$136:$C$144,3)</f>
        <v>#N/A</v>
      </c>
      <c r="R70" s="8" t="e">
        <f>VLOOKUP(C70,Lookups!$A$136:$C$144,2)</f>
        <v>#N/A</v>
      </c>
      <c r="S70" s="4" t="str">
        <f t="shared" si="5"/>
        <v>No</v>
      </c>
      <c r="T70" s="125">
        <f t="shared" si="6"/>
        <v>0</v>
      </c>
      <c r="U70" s="125">
        <f t="shared" si="7"/>
        <v>0</v>
      </c>
      <c r="V70" s="4" t="e">
        <f>IF($Q70&lt;&gt;3,VLOOKUP(F70,'Points Table A'!B$3:$F$33,5),VLOOKUP(F70,'Points Table A'!H$3:$L$33,5))</f>
        <v>#N/A</v>
      </c>
      <c r="W70" s="4" t="e">
        <f>IF($Q70&lt;&gt;3,VLOOKUP(G70,'Points Table A'!C$3:$F$33,4),VLOOKUP(G70,'Points Table A'!I$3:$L$33,4))</f>
        <v>#N/A</v>
      </c>
      <c r="X70" s="4" t="e">
        <f>IF($Q70&lt;&gt;3,VLOOKUP(H70,'Points Table A'!D$3:$F$28,3),VLOOKUP(H70,'Points Table A'!J$3:$L$33,3))</f>
        <v>#N/A</v>
      </c>
      <c r="Y70" s="4" t="e">
        <f>IF($Q70&lt;&gt;3,VLOOKUP(I70,'Points Table A'!E$3:$F$33,2),VLOOKUP(I70,'Points Table A'!K$3:$L$33,2))</f>
        <v>#N/A</v>
      </c>
      <c r="Z70" s="4" t="e">
        <f t="shared" si="8"/>
        <v>#N/A</v>
      </c>
      <c r="AA70" s="4">
        <f>IF($S70=Lookups!$B$113,VLOOKUP(L70,'Points Table C'!A$3:$E$11,5),VLOOKUP(U70,'Points Table C'!B$3:$E$11,4))</f>
        <v>0</v>
      </c>
      <c r="AB70" s="4" t="e">
        <f>IF($Q70=1,0,VLOOKUP($J70,'Points Table C'!$C$3:$E$18,3))</f>
        <v>#N/A</v>
      </c>
      <c r="AC70" s="4">
        <f>VLOOKUP($K70,'Points Table C'!$D$3:$E$18,2)</f>
        <v>0</v>
      </c>
      <c r="AD70" s="4" t="e">
        <f>IF($Z70&lt;Lookups!$C$106,($AA70+AB70+AC70),IF($AA70&gt;=Lookups!$C$120,($AA70+AB70+AC70),$AA70+$AB70))</f>
        <v>#N/A</v>
      </c>
      <c r="AF70" s="7"/>
      <c r="AG70" s="7"/>
      <c r="AH70" s="7"/>
      <c r="AI70" s="7"/>
      <c r="AJ70" s="7"/>
      <c r="AK70" s="7"/>
      <c r="AL70" s="7"/>
      <c r="AM70" s="7"/>
      <c r="AN70" s="7"/>
      <c r="AO70" s="7"/>
      <c r="AP70" s="7"/>
      <c r="AQ70" s="7"/>
      <c r="AR70" s="7"/>
      <c r="AS70" s="7"/>
      <c r="AT70" s="7"/>
      <c r="AU70" s="7"/>
      <c r="AV70" s="7"/>
      <c r="AW70" s="7"/>
      <c r="AY70" s="7"/>
      <c r="AZ70" s="7"/>
      <c r="BA70" s="7"/>
      <c r="BB70" s="7"/>
    </row>
    <row r="71" spans="2:54" x14ac:dyDescent="0.2">
      <c r="B71" s="174"/>
      <c r="C71" s="176"/>
      <c r="F71" s="5">
        <v>0</v>
      </c>
      <c r="G71" s="192">
        <v>0</v>
      </c>
      <c r="H71" s="192">
        <v>0</v>
      </c>
      <c r="I71" s="5">
        <v>0</v>
      </c>
      <c r="J71" s="192">
        <v>0</v>
      </c>
      <c r="K71" s="192">
        <v>0</v>
      </c>
      <c r="L71" s="5">
        <v>0</v>
      </c>
      <c r="M71" s="5">
        <v>0</v>
      </c>
      <c r="N71" s="4" t="e">
        <f t="shared" si="10"/>
        <v>#N/A</v>
      </c>
      <c r="O71" s="4" t="e">
        <f>IF(ROUND(10.499-(((N71-VLOOKUP($C71,Lookups!$A$55:$D$64,3))/(VLOOKUP($C71,Lookups!$A$55:$D$64,4))*VLOOKUP($C71,Lookups!$C$2:$D$11,2))),0)&lt;1,1,IF(ROUND(10.499-(((N71-VLOOKUP($C71,Lookups!$A$55:$D$64,3))/(VLOOKUP($C71,Lookups!$A$55:$D$64,4))*VLOOKUP($C71,Lookups!$C$2:$D$11,2))),0)&lt;11,ROUND(10.499-(((N71-VLOOKUP($C71,Lookups!$A$55:$D$64,3))/(VLOOKUP($C71,Lookups!$A$55:$D$64,4))*VLOOKUP($C71,Lookups!$C$2:$D$11,2))),0),10))</f>
        <v>#N/A</v>
      </c>
      <c r="P71" s="13" t="str">
        <f>IF((SUM(F71:M71)=0),"J",VLOOKUP(O71,Lookups!$A$1:$B$11,2))</f>
        <v>J</v>
      </c>
      <c r="Q71" s="8" t="e">
        <f>VLOOKUP(C71,Lookups!$A$136:$C$144,3)</f>
        <v>#N/A</v>
      </c>
      <c r="R71" s="8" t="e">
        <f>VLOOKUP(C71,Lookups!$A$136:$C$144,2)</f>
        <v>#N/A</v>
      </c>
      <c r="S71" s="4" t="str">
        <f t="shared" si="5"/>
        <v>No</v>
      </c>
      <c r="T71" s="125">
        <f t="shared" si="6"/>
        <v>0</v>
      </c>
      <c r="U71" s="125">
        <f t="shared" si="7"/>
        <v>0</v>
      </c>
      <c r="V71" s="4" t="e">
        <f>IF($Q71&lt;&gt;3,VLOOKUP(F71,'Points Table A'!B$3:$F$33,5),VLOOKUP(F71,'Points Table A'!H$3:$L$33,5))</f>
        <v>#N/A</v>
      </c>
      <c r="W71" s="4" t="e">
        <f>IF($Q71&lt;&gt;3,VLOOKUP(G71,'Points Table A'!C$3:$F$33,4),VLOOKUP(G71,'Points Table A'!I$3:$L$33,4))</f>
        <v>#N/A</v>
      </c>
      <c r="X71" s="4" t="e">
        <f>IF($Q71&lt;&gt;3,VLOOKUP(H71,'Points Table A'!D$3:$F$28,3),VLOOKUP(H71,'Points Table A'!J$3:$L$33,3))</f>
        <v>#N/A</v>
      </c>
      <c r="Y71" s="4" t="e">
        <f>IF($Q71&lt;&gt;3,VLOOKUP(I71,'Points Table A'!E$3:$F$33,2),VLOOKUP(I71,'Points Table A'!K$3:$L$33,2))</f>
        <v>#N/A</v>
      </c>
      <c r="Z71" s="4" t="e">
        <f t="shared" si="8"/>
        <v>#N/A</v>
      </c>
      <c r="AA71" s="4">
        <f>IF($S71=Lookups!$B$113,VLOOKUP(L71,'Points Table C'!A$3:$E$11,5),VLOOKUP(U71,'Points Table C'!B$3:$E$11,4))</f>
        <v>0</v>
      </c>
      <c r="AB71" s="4" t="e">
        <f>IF($Q71=1,0,VLOOKUP($J71,'Points Table C'!$C$3:$E$18,3))</f>
        <v>#N/A</v>
      </c>
      <c r="AC71" s="4">
        <f>VLOOKUP($K71,'Points Table C'!$D$3:$E$18,2)</f>
        <v>0</v>
      </c>
      <c r="AD71" s="4" t="e">
        <f>IF($Z71&lt;Lookups!$C$106,($AA71+AB71+AC71),IF($AA71&gt;=Lookups!$C$120,($AA71+AB71+AC71),$AA71+$AB71))</f>
        <v>#N/A</v>
      </c>
      <c r="AF71" s="7"/>
      <c r="AG71" s="7"/>
      <c r="AH71" s="7"/>
      <c r="AI71" s="7"/>
      <c r="AJ71" s="7"/>
      <c r="AK71" s="7"/>
      <c r="AL71" s="7"/>
      <c r="AM71" s="7"/>
      <c r="AN71" s="7"/>
      <c r="AO71" s="7"/>
      <c r="AP71" s="7"/>
      <c r="AQ71" s="7"/>
      <c r="AR71" s="7"/>
      <c r="AS71" s="7"/>
      <c r="AT71" s="7"/>
      <c r="AU71" s="7"/>
      <c r="AV71" s="7"/>
      <c r="AW71" s="7"/>
      <c r="AY71" s="7"/>
      <c r="AZ71" s="7"/>
      <c r="BA71" s="7"/>
      <c r="BB71" s="7"/>
    </row>
    <row r="72" spans="2:54" x14ac:dyDescent="0.2">
      <c r="B72" s="174"/>
      <c r="C72" s="176"/>
      <c r="F72" s="5">
        <v>0</v>
      </c>
      <c r="G72" s="192">
        <v>0</v>
      </c>
      <c r="H72" s="192">
        <v>0</v>
      </c>
      <c r="I72" s="5">
        <v>0</v>
      </c>
      <c r="J72" s="192">
        <v>0</v>
      </c>
      <c r="K72" s="192">
        <v>0</v>
      </c>
      <c r="L72" s="5">
        <v>0</v>
      </c>
      <c r="M72" s="5">
        <v>0</v>
      </c>
      <c r="N72" s="4" t="e">
        <f t="shared" si="10"/>
        <v>#N/A</v>
      </c>
      <c r="O72" s="4" t="e">
        <f>IF(ROUND(10.499-(((N72-VLOOKUP($C72,Lookups!$A$55:$D$64,3))/(VLOOKUP($C72,Lookups!$A$55:$D$64,4))*VLOOKUP($C72,Lookups!$C$2:$D$11,2))),0)&lt;1,1,IF(ROUND(10.499-(((N72-VLOOKUP($C72,Lookups!$A$55:$D$64,3))/(VLOOKUP($C72,Lookups!$A$55:$D$64,4))*VLOOKUP($C72,Lookups!$C$2:$D$11,2))),0)&lt;11,ROUND(10.499-(((N72-VLOOKUP($C72,Lookups!$A$55:$D$64,3))/(VLOOKUP($C72,Lookups!$A$55:$D$64,4))*VLOOKUP($C72,Lookups!$C$2:$D$11,2))),0),10))</f>
        <v>#N/A</v>
      </c>
      <c r="P72" s="13" t="str">
        <f>IF((SUM(F72:M72)=0),"J",VLOOKUP(O72,Lookups!$A$1:$B$11,2))</f>
        <v>J</v>
      </c>
      <c r="Q72" s="8" t="e">
        <f>VLOOKUP(C72,Lookups!$A$136:$C$144,3)</f>
        <v>#N/A</v>
      </c>
      <c r="R72" s="8" t="e">
        <f>VLOOKUP(C72,Lookups!$A$136:$C$144,2)</f>
        <v>#N/A</v>
      </c>
      <c r="S72" s="4" t="str">
        <f t="shared" si="5"/>
        <v>No</v>
      </c>
      <c r="T72" s="125">
        <f t="shared" si="6"/>
        <v>0</v>
      </c>
      <c r="U72" s="125">
        <f t="shared" si="7"/>
        <v>0</v>
      </c>
      <c r="V72" s="4" t="e">
        <f>IF($Q72&lt;&gt;3,VLOOKUP(F72,'Points Table A'!B$3:$F$33,5),VLOOKUP(F72,'Points Table A'!H$3:$L$33,5))</f>
        <v>#N/A</v>
      </c>
      <c r="W72" s="4" t="e">
        <f>IF($Q72&lt;&gt;3,VLOOKUP(G72,'Points Table A'!C$3:$F$33,4),VLOOKUP(G72,'Points Table A'!I$3:$L$33,4))</f>
        <v>#N/A</v>
      </c>
      <c r="X72" s="4" t="e">
        <f>IF($Q72&lt;&gt;3,VLOOKUP(H72,'Points Table A'!D$3:$F$28,3),VLOOKUP(H72,'Points Table A'!J$3:$L$33,3))</f>
        <v>#N/A</v>
      </c>
      <c r="Y72" s="4" t="e">
        <f>IF($Q72&lt;&gt;3,VLOOKUP(I72,'Points Table A'!E$3:$F$33,2),VLOOKUP(I72,'Points Table A'!K$3:$L$33,2))</f>
        <v>#N/A</v>
      </c>
      <c r="Z72" s="4" t="e">
        <f t="shared" si="8"/>
        <v>#N/A</v>
      </c>
      <c r="AA72" s="4">
        <f>IF($S72=Lookups!$B$113,VLOOKUP(L72,'Points Table C'!A$3:$E$11,5),VLOOKUP(U72,'Points Table C'!B$3:$E$11,4))</f>
        <v>0</v>
      </c>
      <c r="AB72" s="4" t="e">
        <f>IF($Q72=1,0,VLOOKUP($J72,'Points Table C'!$C$3:$E$18,3))</f>
        <v>#N/A</v>
      </c>
      <c r="AC72" s="4">
        <f>VLOOKUP($K72,'Points Table C'!$D$3:$E$18,2)</f>
        <v>0</v>
      </c>
      <c r="AD72" s="4" t="e">
        <f>IF($Z72&lt;Lookups!$C$106,($AA72+AB72+AC72),IF($AA72&gt;=Lookups!$C$120,($AA72+AB72+AC72),$AA72+$AB72))</f>
        <v>#N/A</v>
      </c>
      <c r="AF72" s="7"/>
      <c r="AG72" s="7"/>
      <c r="AH72" s="7"/>
      <c r="AI72" s="7"/>
      <c r="AJ72" s="7"/>
      <c r="AK72" s="7"/>
      <c r="AL72" s="7"/>
      <c r="AM72" s="7"/>
      <c r="AN72" s="7"/>
      <c r="AO72" s="7"/>
      <c r="AP72" s="7"/>
      <c r="AQ72" s="7"/>
      <c r="AR72" s="7"/>
      <c r="AS72" s="7"/>
      <c r="AT72" s="7"/>
      <c r="AU72" s="7"/>
      <c r="AV72" s="7"/>
      <c r="AW72" s="7"/>
      <c r="AY72" s="7"/>
      <c r="AZ72" s="7"/>
      <c r="BA72" s="7"/>
      <c r="BB72" s="7"/>
    </row>
    <row r="73" spans="2:54" x14ac:dyDescent="0.2">
      <c r="B73" s="174"/>
      <c r="C73" s="176"/>
      <c r="F73" s="5">
        <v>0</v>
      </c>
      <c r="G73" s="192">
        <v>0</v>
      </c>
      <c r="H73" s="192">
        <v>0</v>
      </c>
      <c r="I73" s="5">
        <v>0</v>
      </c>
      <c r="J73" s="192">
        <v>0</v>
      </c>
      <c r="K73" s="192">
        <v>0</v>
      </c>
      <c r="L73" s="5">
        <v>0</v>
      </c>
      <c r="M73" s="5">
        <v>0</v>
      </c>
      <c r="N73" s="4" t="e">
        <f t="shared" si="10"/>
        <v>#N/A</v>
      </c>
      <c r="O73" s="4" t="e">
        <f>IF(ROUND(10.499-(((N73-VLOOKUP($C73,Lookups!$A$55:$D$64,3))/(VLOOKUP($C73,Lookups!$A$55:$D$64,4))*VLOOKUP($C73,Lookups!$C$2:$D$11,2))),0)&lt;1,1,IF(ROUND(10.499-(((N73-VLOOKUP($C73,Lookups!$A$55:$D$64,3))/(VLOOKUP($C73,Lookups!$A$55:$D$64,4))*VLOOKUP($C73,Lookups!$C$2:$D$11,2))),0)&lt;11,ROUND(10.499-(((N73-VLOOKUP($C73,Lookups!$A$55:$D$64,3))/(VLOOKUP($C73,Lookups!$A$55:$D$64,4))*VLOOKUP($C73,Lookups!$C$2:$D$11,2))),0),10))</f>
        <v>#N/A</v>
      </c>
      <c r="P73" s="13" t="str">
        <f>IF((SUM(F73:M73)=0),"J",VLOOKUP(O73,Lookups!$A$1:$B$11,2))</f>
        <v>J</v>
      </c>
      <c r="Q73" s="8" t="e">
        <f>VLOOKUP(C73,Lookups!$A$136:$C$144,3)</f>
        <v>#N/A</v>
      </c>
      <c r="R73" s="8" t="e">
        <f>VLOOKUP(C73,Lookups!$A$136:$C$144,2)</f>
        <v>#N/A</v>
      </c>
      <c r="S73" s="4" t="str">
        <f t="shared" si="5"/>
        <v>No</v>
      </c>
      <c r="T73" s="125">
        <f t="shared" si="6"/>
        <v>0</v>
      </c>
      <c r="U73" s="125">
        <f t="shared" si="7"/>
        <v>0</v>
      </c>
      <c r="V73" s="4" t="e">
        <f>IF($Q73&lt;&gt;3,VLOOKUP(F73,'Points Table A'!B$3:$F$33,5),VLOOKUP(F73,'Points Table A'!H$3:$L$33,5))</f>
        <v>#N/A</v>
      </c>
      <c r="W73" s="4" t="e">
        <f>IF($Q73&lt;&gt;3,VLOOKUP(G73,'Points Table A'!C$3:$F$33,4),VLOOKUP(G73,'Points Table A'!I$3:$L$33,4))</f>
        <v>#N/A</v>
      </c>
      <c r="X73" s="4" t="e">
        <f>IF($Q73&lt;&gt;3,VLOOKUP(H73,'Points Table A'!D$3:$F$28,3),VLOOKUP(H73,'Points Table A'!J$3:$L$33,3))</f>
        <v>#N/A</v>
      </c>
      <c r="Y73" s="4" t="e">
        <f>IF($Q73&lt;&gt;3,VLOOKUP(I73,'Points Table A'!E$3:$F$33,2),VLOOKUP(I73,'Points Table A'!K$3:$L$33,2))</f>
        <v>#N/A</v>
      </c>
      <c r="Z73" s="4" t="e">
        <f t="shared" si="8"/>
        <v>#N/A</v>
      </c>
      <c r="AA73" s="4">
        <f>IF($S73=Lookups!$B$113,VLOOKUP(L73,'Points Table C'!A$3:$E$11,5),VLOOKUP(U73,'Points Table C'!B$3:$E$11,4))</f>
        <v>0</v>
      </c>
      <c r="AB73" s="4" t="e">
        <f>IF($Q73=1,0,VLOOKUP($J73,'Points Table C'!$C$3:$E$18,3))</f>
        <v>#N/A</v>
      </c>
      <c r="AC73" s="4">
        <f>VLOOKUP($K73,'Points Table C'!$D$3:$E$18,2)</f>
        <v>0</v>
      </c>
      <c r="AD73" s="4" t="e">
        <f>IF($Z73&lt;Lookups!$C$106,($AA73+AB73+AC73),IF($AA73&gt;=Lookups!$C$120,($AA73+AB73+AC73),$AA73+$AB73))</f>
        <v>#N/A</v>
      </c>
      <c r="AF73" s="7"/>
      <c r="AG73" s="7"/>
      <c r="AH73" s="7"/>
      <c r="AI73" s="7"/>
      <c r="AJ73" s="7"/>
      <c r="AK73" s="7"/>
      <c r="AL73" s="7"/>
      <c r="AM73" s="7"/>
      <c r="AN73" s="7"/>
      <c r="AO73" s="7"/>
      <c r="AP73" s="7"/>
      <c r="AQ73" s="7"/>
      <c r="AR73" s="7"/>
      <c r="AS73" s="7"/>
      <c r="AT73" s="7"/>
      <c r="AU73" s="7"/>
      <c r="AV73" s="7"/>
      <c r="AW73" s="7"/>
      <c r="AY73" s="7"/>
      <c r="AZ73" s="7"/>
      <c r="BA73" s="7"/>
      <c r="BB73" s="7"/>
    </row>
    <row r="74" spans="2:54" x14ac:dyDescent="0.2">
      <c r="B74" s="174"/>
      <c r="C74" s="176"/>
      <c r="F74" s="5">
        <v>0</v>
      </c>
      <c r="G74" s="192">
        <v>0</v>
      </c>
      <c r="H74" s="192">
        <v>0</v>
      </c>
      <c r="I74" s="5">
        <v>0</v>
      </c>
      <c r="J74" s="192">
        <v>0</v>
      </c>
      <c r="K74" s="192">
        <v>0</v>
      </c>
      <c r="L74" s="5">
        <v>0</v>
      </c>
      <c r="M74" s="5">
        <v>0</v>
      </c>
      <c r="N74" s="4" t="e">
        <f t="shared" si="10"/>
        <v>#N/A</v>
      </c>
      <c r="O74" s="4" t="e">
        <f>IF(ROUND(10.499-(((N74-VLOOKUP($C74,Lookups!$A$55:$D$64,3))/(VLOOKUP($C74,Lookups!$A$55:$D$64,4))*VLOOKUP($C74,Lookups!$C$2:$D$11,2))),0)&lt;1,1,IF(ROUND(10.499-(((N74-VLOOKUP($C74,Lookups!$A$55:$D$64,3))/(VLOOKUP($C74,Lookups!$A$55:$D$64,4))*VLOOKUP($C74,Lookups!$C$2:$D$11,2))),0)&lt;11,ROUND(10.499-(((N74-VLOOKUP($C74,Lookups!$A$55:$D$64,3))/(VLOOKUP($C74,Lookups!$A$55:$D$64,4))*VLOOKUP($C74,Lookups!$C$2:$D$11,2))),0),10))</f>
        <v>#N/A</v>
      </c>
      <c r="P74" s="13" t="str">
        <f>IF((SUM(F74:M74)=0),"J",VLOOKUP(O74,Lookups!$A$1:$B$11,2))</f>
        <v>J</v>
      </c>
      <c r="Q74" s="8" t="e">
        <f>VLOOKUP(C74,Lookups!$A$136:$C$144,3)</f>
        <v>#N/A</v>
      </c>
      <c r="R74" s="8" t="e">
        <f>VLOOKUP(C74,Lookups!$A$136:$C$144,2)</f>
        <v>#N/A</v>
      </c>
      <c r="S74" s="4" t="str">
        <f t="shared" si="5"/>
        <v>No</v>
      </c>
      <c r="T74" s="125">
        <f t="shared" si="6"/>
        <v>0</v>
      </c>
      <c r="U74" s="125">
        <f t="shared" si="7"/>
        <v>0</v>
      </c>
      <c r="V74" s="4" t="e">
        <f>IF($Q74&lt;&gt;3,VLOOKUP(F74,'Points Table A'!B$3:$F$33,5),VLOOKUP(F74,'Points Table A'!H$3:$L$33,5))</f>
        <v>#N/A</v>
      </c>
      <c r="W74" s="4" t="e">
        <f>IF($Q74&lt;&gt;3,VLOOKUP(G74,'Points Table A'!C$3:$F$33,4),VLOOKUP(G74,'Points Table A'!I$3:$L$33,4))</f>
        <v>#N/A</v>
      </c>
      <c r="X74" s="4" t="e">
        <f>IF($Q74&lt;&gt;3,VLOOKUP(H74,'Points Table A'!D$3:$F$28,3),VLOOKUP(H74,'Points Table A'!J$3:$L$33,3))</f>
        <v>#N/A</v>
      </c>
      <c r="Y74" s="4" t="e">
        <f>IF($Q74&lt;&gt;3,VLOOKUP(I74,'Points Table A'!E$3:$F$33,2),VLOOKUP(I74,'Points Table A'!K$3:$L$33,2))</f>
        <v>#N/A</v>
      </c>
      <c r="Z74" s="4" t="e">
        <f t="shared" si="8"/>
        <v>#N/A</v>
      </c>
      <c r="AA74" s="4">
        <f>IF($S74=Lookups!$B$113,VLOOKUP(L74,'Points Table C'!A$3:$E$11,5),VLOOKUP(U74,'Points Table C'!B$3:$E$11,4))</f>
        <v>0</v>
      </c>
      <c r="AB74" s="4" t="e">
        <f>IF($Q74=1,0,VLOOKUP($J74,'Points Table C'!$C$3:$E$18,3))</f>
        <v>#N/A</v>
      </c>
      <c r="AC74" s="4">
        <f>VLOOKUP($K74,'Points Table C'!$D$3:$E$18,2)</f>
        <v>0</v>
      </c>
      <c r="AD74" s="4" t="e">
        <f>IF($Z74&lt;Lookups!$C$106,($AA74+AB74+AC74),IF($AA74&gt;=Lookups!$C$120,($AA74+AB74+AC74),$AA74+$AB74))</f>
        <v>#N/A</v>
      </c>
      <c r="AF74" s="7"/>
      <c r="AG74" s="7"/>
      <c r="AH74" s="7"/>
      <c r="AI74" s="7"/>
      <c r="AJ74" s="7"/>
      <c r="AK74" s="7"/>
      <c r="AL74" s="7"/>
      <c r="AM74" s="7"/>
      <c r="AN74" s="7"/>
      <c r="AO74" s="7"/>
      <c r="AP74" s="7"/>
      <c r="AQ74" s="7"/>
      <c r="AR74" s="7"/>
      <c r="AS74" s="7"/>
      <c r="AT74" s="7"/>
      <c r="AU74" s="7"/>
      <c r="AV74" s="7"/>
      <c r="AW74" s="7"/>
      <c r="AY74" s="7"/>
      <c r="AZ74" s="7"/>
      <c r="BA74" s="7"/>
      <c r="BB74" s="7"/>
    </row>
    <row r="75" spans="2:54" x14ac:dyDescent="0.2">
      <c r="B75" s="174"/>
      <c r="C75" s="176"/>
      <c r="F75" s="5">
        <v>0</v>
      </c>
      <c r="G75" s="192">
        <v>0</v>
      </c>
      <c r="H75" s="192">
        <v>0</v>
      </c>
      <c r="I75" s="5">
        <v>0</v>
      </c>
      <c r="J75" s="192">
        <v>0</v>
      </c>
      <c r="K75" s="192">
        <v>0</v>
      </c>
      <c r="L75" s="5">
        <v>0</v>
      </c>
      <c r="M75" s="5">
        <v>0</v>
      </c>
      <c r="N75" s="4" t="e">
        <f t="shared" si="10"/>
        <v>#N/A</v>
      </c>
      <c r="O75" s="4" t="e">
        <f>IF(ROUND(10.499-(((N75-VLOOKUP($C75,Lookups!$A$55:$D$64,3))/(VLOOKUP($C75,Lookups!$A$55:$D$64,4))*VLOOKUP($C75,Lookups!$C$2:$D$11,2))),0)&lt;1,1,IF(ROUND(10.499-(((N75-VLOOKUP($C75,Lookups!$A$55:$D$64,3))/(VLOOKUP($C75,Lookups!$A$55:$D$64,4))*VLOOKUP($C75,Lookups!$C$2:$D$11,2))),0)&lt;11,ROUND(10.499-(((N75-VLOOKUP($C75,Lookups!$A$55:$D$64,3))/(VLOOKUP($C75,Lookups!$A$55:$D$64,4))*VLOOKUP($C75,Lookups!$C$2:$D$11,2))),0),10))</f>
        <v>#N/A</v>
      </c>
      <c r="P75" s="13" t="str">
        <f>IF((SUM(F75:M75)=0),"J",VLOOKUP(O75,Lookups!$A$1:$B$11,2))</f>
        <v>J</v>
      </c>
      <c r="Q75" s="8" t="e">
        <f>VLOOKUP(C75,Lookups!$A$136:$C$144,3)</f>
        <v>#N/A</v>
      </c>
      <c r="R75" s="8" t="e">
        <f>VLOOKUP(C75,Lookups!$A$136:$C$144,2)</f>
        <v>#N/A</v>
      </c>
      <c r="S75" s="4" t="str">
        <f t="shared" si="5"/>
        <v>No</v>
      </c>
      <c r="T75" s="125">
        <f t="shared" si="6"/>
        <v>0</v>
      </c>
      <c r="U75" s="125">
        <f t="shared" si="7"/>
        <v>0</v>
      </c>
      <c r="V75" s="4" t="e">
        <f>IF($Q75&lt;&gt;3,VLOOKUP(F75,'Points Table A'!B$3:$F$33,5),VLOOKUP(F75,'Points Table A'!H$3:$L$33,5))</f>
        <v>#N/A</v>
      </c>
      <c r="W75" s="4" t="e">
        <f>IF($Q75&lt;&gt;3,VLOOKUP(G75,'Points Table A'!C$3:$F$33,4),VLOOKUP(G75,'Points Table A'!I$3:$L$33,4))</f>
        <v>#N/A</v>
      </c>
      <c r="X75" s="4" t="e">
        <f>IF($Q75&lt;&gt;3,VLOOKUP(H75,'Points Table A'!D$3:$F$28,3),VLOOKUP(H75,'Points Table A'!J$3:$L$33,3))</f>
        <v>#N/A</v>
      </c>
      <c r="Y75" s="4" t="e">
        <f>IF($Q75&lt;&gt;3,VLOOKUP(I75,'Points Table A'!E$3:$F$33,2),VLOOKUP(I75,'Points Table A'!K$3:$L$33,2))</f>
        <v>#N/A</v>
      </c>
      <c r="Z75" s="4" t="e">
        <f t="shared" si="8"/>
        <v>#N/A</v>
      </c>
      <c r="AA75" s="4">
        <f>IF($S75=Lookups!$B$113,VLOOKUP(L75,'Points Table C'!A$3:$E$11,5),VLOOKUP(U75,'Points Table C'!B$3:$E$11,4))</f>
        <v>0</v>
      </c>
      <c r="AB75" s="4" t="e">
        <f>IF($Q75=1,0,VLOOKUP($J75,'Points Table C'!$C$3:$E$18,3))</f>
        <v>#N/A</v>
      </c>
      <c r="AC75" s="4">
        <f>VLOOKUP($K75,'Points Table C'!$D$3:$E$18,2)</f>
        <v>0</v>
      </c>
      <c r="AD75" s="4" t="e">
        <f>IF($Z75&lt;Lookups!$C$106,($AA75+AB75+AC75),IF($AA75&gt;=Lookups!$C$120,($AA75+AB75+AC75),$AA75+$AB75))</f>
        <v>#N/A</v>
      </c>
      <c r="AF75" s="7"/>
      <c r="AG75" s="7"/>
      <c r="AH75" s="7"/>
      <c r="AI75" s="7"/>
      <c r="AJ75" s="7"/>
      <c r="AK75" s="7"/>
      <c r="AL75" s="7"/>
      <c r="AM75" s="7"/>
      <c r="AN75" s="7"/>
      <c r="AO75" s="7"/>
      <c r="AP75" s="7"/>
      <c r="AQ75" s="7"/>
      <c r="AR75" s="7"/>
      <c r="AS75" s="7"/>
      <c r="AT75" s="7"/>
      <c r="AU75" s="7"/>
      <c r="AV75" s="7"/>
      <c r="AW75" s="7"/>
      <c r="AY75" s="7"/>
      <c r="AZ75" s="7"/>
      <c r="BA75" s="7"/>
      <c r="BB75" s="7"/>
    </row>
    <row r="76" spans="2:54" x14ac:dyDescent="0.2">
      <c r="B76" s="174"/>
      <c r="C76" s="176"/>
      <c r="F76" s="5">
        <v>0</v>
      </c>
      <c r="G76" s="192">
        <v>0</v>
      </c>
      <c r="H76" s="192">
        <v>0</v>
      </c>
      <c r="I76" s="5">
        <v>0</v>
      </c>
      <c r="J76" s="192">
        <v>0</v>
      </c>
      <c r="K76" s="192">
        <v>0</v>
      </c>
      <c r="L76" s="5">
        <v>0</v>
      </c>
      <c r="M76" s="5">
        <v>0</v>
      </c>
      <c r="N76" s="4" t="e">
        <f t="shared" si="10"/>
        <v>#N/A</v>
      </c>
      <c r="O76" s="4" t="e">
        <f>IF(ROUND(10.499-(((N76-VLOOKUP($C76,Lookups!$A$55:$D$64,3))/(VLOOKUP($C76,Lookups!$A$55:$D$64,4))*VLOOKUP($C76,Lookups!$C$2:$D$11,2))),0)&lt;1,1,IF(ROUND(10.499-(((N76-VLOOKUP($C76,Lookups!$A$55:$D$64,3))/(VLOOKUP($C76,Lookups!$A$55:$D$64,4))*VLOOKUP($C76,Lookups!$C$2:$D$11,2))),0)&lt;11,ROUND(10.499-(((N76-VLOOKUP($C76,Lookups!$A$55:$D$64,3))/(VLOOKUP($C76,Lookups!$A$55:$D$64,4))*VLOOKUP($C76,Lookups!$C$2:$D$11,2))),0),10))</f>
        <v>#N/A</v>
      </c>
      <c r="P76" s="13" t="str">
        <f>IF((SUM(F76:M76)=0),"J",VLOOKUP(O76,Lookups!$A$1:$B$11,2))</f>
        <v>J</v>
      </c>
      <c r="Q76" s="8" t="e">
        <f>VLOOKUP(C76,Lookups!$A$136:$C$144,3)</f>
        <v>#N/A</v>
      </c>
      <c r="R76" s="8" t="e">
        <f>VLOOKUP(C76,Lookups!$A$136:$C$144,2)</f>
        <v>#N/A</v>
      </c>
      <c r="S76" s="4" t="str">
        <f t="shared" si="5"/>
        <v>No</v>
      </c>
      <c r="T76" s="125">
        <f t="shared" si="6"/>
        <v>0</v>
      </c>
      <c r="U76" s="125">
        <f t="shared" si="7"/>
        <v>0</v>
      </c>
      <c r="V76" s="4" t="e">
        <f>IF($Q76&lt;&gt;3,VLOOKUP(F76,'Points Table A'!B$3:$F$33,5),VLOOKUP(F76,'Points Table A'!H$3:$L$33,5))</f>
        <v>#N/A</v>
      </c>
      <c r="W76" s="4" t="e">
        <f>IF($Q76&lt;&gt;3,VLOOKUP(G76,'Points Table A'!C$3:$F$33,4),VLOOKUP(G76,'Points Table A'!I$3:$L$33,4))</f>
        <v>#N/A</v>
      </c>
      <c r="X76" s="4" t="e">
        <f>IF($Q76&lt;&gt;3,VLOOKUP(H76,'Points Table A'!D$3:$F$28,3),VLOOKUP(H76,'Points Table A'!J$3:$L$33,3))</f>
        <v>#N/A</v>
      </c>
      <c r="Y76" s="4" t="e">
        <f>IF($Q76&lt;&gt;3,VLOOKUP(I76,'Points Table A'!E$3:$F$33,2),VLOOKUP(I76,'Points Table A'!K$3:$L$33,2))</f>
        <v>#N/A</v>
      </c>
      <c r="Z76" s="4" t="e">
        <f t="shared" si="8"/>
        <v>#N/A</v>
      </c>
      <c r="AA76" s="4">
        <f>IF($S76=Lookups!$B$113,VLOOKUP(L76,'Points Table C'!A$3:$E$11,5),VLOOKUP(U76,'Points Table C'!B$3:$E$11,4))</f>
        <v>0</v>
      </c>
      <c r="AB76" s="4" t="e">
        <f>IF($Q76=1,0,VLOOKUP($J76,'Points Table C'!$C$3:$E$18,3))</f>
        <v>#N/A</v>
      </c>
      <c r="AC76" s="4">
        <f>VLOOKUP($K76,'Points Table C'!$D$3:$E$18,2)</f>
        <v>0</v>
      </c>
      <c r="AD76" s="4" t="e">
        <f>IF($Z76&lt;Lookups!$C$106,($AA76+AB76+AC76),IF($AA76&gt;=Lookups!$C$120,($AA76+AB76+AC76),$AA76+$AB76))</f>
        <v>#N/A</v>
      </c>
      <c r="AF76" s="7"/>
      <c r="AG76" s="7"/>
      <c r="AH76" s="7"/>
      <c r="AI76" s="7"/>
      <c r="AJ76" s="7"/>
      <c r="AK76" s="7"/>
      <c r="AL76" s="7"/>
      <c r="AM76" s="7"/>
      <c r="AN76" s="7"/>
      <c r="AO76" s="7"/>
      <c r="AP76" s="7"/>
      <c r="AQ76" s="7"/>
      <c r="AR76" s="7"/>
      <c r="AS76" s="7"/>
      <c r="AT76" s="7"/>
      <c r="AU76" s="7"/>
      <c r="AV76" s="7"/>
      <c r="AW76" s="7"/>
      <c r="AY76" s="7"/>
      <c r="AZ76" s="7"/>
      <c r="BA76" s="7"/>
      <c r="BB76" s="7"/>
    </row>
    <row r="77" spans="2:54" x14ac:dyDescent="0.2">
      <c r="B77" s="174"/>
      <c r="C77" s="176"/>
      <c r="F77" s="5">
        <v>0</v>
      </c>
      <c r="G77" s="192">
        <v>0</v>
      </c>
      <c r="H77" s="192">
        <v>0</v>
      </c>
      <c r="I77" s="5">
        <v>0</v>
      </c>
      <c r="J77" s="192">
        <v>0</v>
      </c>
      <c r="K77" s="192">
        <v>0</v>
      </c>
      <c r="L77" s="5">
        <v>0</v>
      </c>
      <c r="M77" s="5">
        <v>0</v>
      </c>
      <c r="N77" s="4" t="e">
        <f t="shared" si="10"/>
        <v>#N/A</v>
      </c>
      <c r="O77" s="4" t="e">
        <f>IF(ROUND(10.499-(((N77-VLOOKUP($C77,Lookups!$A$55:$D$64,3))/(VLOOKUP($C77,Lookups!$A$55:$D$64,4))*VLOOKUP($C77,Lookups!$C$2:$D$11,2))),0)&lt;1,1,IF(ROUND(10.499-(((N77-VLOOKUP($C77,Lookups!$A$55:$D$64,3))/(VLOOKUP($C77,Lookups!$A$55:$D$64,4))*VLOOKUP($C77,Lookups!$C$2:$D$11,2))),0)&lt;11,ROUND(10.499-(((N77-VLOOKUP($C77,Lookups!$A$55:$D$64,3))/(VLOOKUP($C77,Lookups!$A$55:$D$64,4))*VLOOKUP($C77,Lookups!$C$2:$D$11,2))),0),10))</f>
        <v>#N/A</v>
      </c>
      <c r="P77" s="13" t="str">
        <f>IF((SUM(F77:M77)=0),"J",VLOOKUP(O77,Lookups!$A$1:$B$11,2))</f>
        <v>J</v>
      </c>
      <c r="Q77" s="8" t="e">
        <f>VLOOKUP(C77,Lookups!$A$136:$C$144,3)</f>
        <v>#N/A</v>
      </c>
      <c r="R77" s="8" t="e">
        <f>VLOOKUP(C77,Lookups!$A$136:$C$144,2)</f>
        <v>#N/A</v>
      </c>
      <c r="S77" s="4" t="str">
        <f t="shared" si="5"/>
        <v>No</v>
      </c>
      <c r="T77" s="125">
        <f t="shared" si="6"/>
        <v>0</v>
      </c>
      <c r="U77" s="125">
        <f t="shared" si="7"/>
        <v>0</v>
      </c>
      <c r="V77" s="4" t="e">
        <f>IF($Q77&lt;&gt;3,VLOOKUP(F77,'Points Table A'!B$3:$F$33,5),VLOOKUP(F77,'Points Table A'!H$3:$L$33,5))</f>
        <v>#N/A</v>
      </c>
      <c r="W77" s="4" t="e">
        <f>IF($Q77&lt;&gt;3,VLOOKUP(G77,'Points Table A'!C$3:$F$33,4),VLOOKUP(G77,'Points Table A'!I$3:$L$33,4))</f>
        <v>#N/A</v>
      </c>
      <c r="X77" s="4" t="e">
        <f>IF($Q77&lt;&gt;3,VLOOKUP(H77,'Points Table A'!D$3:$F$28,3),VLOOKUP(H77,'Points Table A'!J$3:$L$33,3))</f>
        <v>#N/A</v>
      </c>
      <c r="Y77" s="4" t="e">
        <f>IF($Q77&lt;&gt;3,VLOOKUP(I77,'Points Table A'!E$3:$F$33,2),VLOOKUP(I77,'Points Table A'!K$3:$L$33,2))</f>
        <v>#N/A</v>
      </c>
      <c r="Z77" s="4" t="e">
        <f t="shared" si="8"/>
        <v>#N/A</v>
      </c>
      <c r="AA77" s="4">
        <f>IF($S77=Lookups!$B$113,VLOOKUP(L77,'Points Table C'!A$3:$E$11,5),VLOOKUP(U77,'Points Table C'!B$3:$E$11,4))</f>
        <v>0</v>
      </c>
      <c r="AB77" s="4" t="e">
        <f>IF($Q77=1,0,VLOOKUP($J77,'Points Table C'!$C$3:$E$18,3))</f>
        <v>#N/A</v>
      </c>
      <c r="AC77" s="4">
        <f>VLOOKUP($K77,'Points Table C'!$D$3:$E$18,2)</f>
        <v>0</v>
      </c>
      <c r="AD77" s="4" t="e">
        <f>IF($Z77&lt;Lookups!$C$106,($AA77+AB77+AC77),IF($AA77&gt;=Lookups!$C$120,($AA77+AB77+AC77),$AA77+$AB77))</f>
        <v>#N/A</v>
      </c>
      <c r="AF77" s="7"/>
      <c r="AG77" s="7"/>
      <c r="AH77" s="7"/>
      <c r="AI77" s="7"/>
      <c r="AJ77" s="7"/>
      <c r="AK77" s="7"/>
      <c r="AL77" s="7"/>
      <c r="AM77" s="7"/>
      <c r="AN77" s="7"/>
      <c r="AO77" s="7"/>
      <c r="AP77" s="7"/>
      <c r="AQ77" s="7"/>
      <c r="AR77" s="7"/>
      <c r="AS77" s="7"/>
      <c r="AT77" s="7"/>
      <c r="AU77" s="7"/>
      <c r="AV77" s="7"/>
      <c r="AW77" s="7"/>
      <c r="AY77" s="7"/>
      <c r="AZ77" s="7"/>
      <c r="BA77" s="7"/>
      <c r="BB77" s="7"/>
    </row>
    <row r="78" spans="2:54" x14ac:dyDescent="0.2">
      <c r="B78" s="174"/>
      <c r="C78" s="176"/>
      <c r="F78" s="5">
        <v>0</v>
      </c>
      <c r="G78" s="192">
        <v>0</v>
      </c>
      <c r="H78" s="192">
        <v>0</v>
      </c>
      <c r="I78" s="5">
        <v>0</v>
      </c>
      <c r="J78" s="192">
        <v>0</v>
      </c>
      <c r="K78" s="192">
        <v>0</v>
      </c>
      <c r="L78" s="5">
        <v>0</v>
      </c>
      <c r="M78" s="5">
        <v>0</v>
      </c>
      <c r="N78" s="4" t="e">
        <f t="shared" si="10"/>
        <v>#N/A</v>
      </c>
      <c r="O78" s="4" t="e">
        <f>IF(ROUND(10.499-(((N78-VLOOKUP($C78,Lookups!$A$55:$D$64,3))/(VLOOKUP($C78,Lookups!$A$55:$D$64,4))*VLOOKUP($C78,Lookups!$C$2:$D$11,2))),0)&lt;1,1,IF(ROUND(10.499-(((N78-VLOOKUP($C78,Lookups!$A$55:$D$64,3))/(VLOOKUP($C78,Lookups!$A$55:$D$64,4))*VLOOKUP($C78,Lookups!$C$2:$D$11,2))),0)&lt;11,ROUND(10.499-(((N78-VLOOKUP($C78,Lookups!$A$55:$D$64,3))/(VLOOKUP($C78,Lookups!$A$55:$D$64,4))*VLOOKUP($C78,Lookups!$C$2:$D$11,2))),0),10))</f>
        <v>#N/A</v>
      </c>
      <c r="P78" s="13" t="str">
        <f>IF((SUM(F78:M78)=0),"J",VLOOKUP(O78,Lookups!$A$1:$B$11,2))</f>
        <v>J</v>
      </c>
      <c r="Q78" s="8" t="e">
        <f>VLOOKUP(C78,Lookups!$A$136:$C$144,3)</f>
        <v>#N/A</v>
      </c>
      <c r="R78" s="8" t="e">
        <f>VLOOKUP(C78,Lookups!$A$136:$C$144,2)</f>
        <v>#N/A</v>
      </c>
      <c r="S78" s="4" t="str">
        <f t="shared" si="5"/>
        <v>No</v>
      </c>
      <c r="T78" s="125">
        <f t="shared" si="6"/>
        <v>0</v>
      </c>
      <c r="U78" s="125">
        <f t="shared" si="7"/>
        <v>0</v>
      </c>
      <c r="V78" s="4" t="e">
        <f>IF($Q78&lt;&gt;3,VLOOKUP(F78,'Points Table A'!B$3:$F$33,5),VLOOKUP(F78,'Points Table A'!H$3:$L$33,5))</f>
        <v>#N/A</v>
      </c>
      <c r="W78" s="4" t="e">
        <f>IF($Q78&lt;&gt;3,VLOOKUP(G78,'Points Table A'!C$3:$F$33,4),VLOOKUP(G78,'Points Table A'!I$3:$L$33,4))</f>
        <v>#N/A</v>
      </c>
      <c r="X78" s="4" t="e">
        <f>IF($Q78&lt;&gt;3,VLOOKUP(H78,'Points Table A'!D$3:$F$28,3),VLOOKUP(H78,'Points Table A'!J$3:$L$33,3))</f>
        <v>#N/A</v>
      </c>
      <c r="Y78" s="4" t="e">
        <f>IF($Q78&lt;&gt;3,VLOOKUP(I78,'Points Table A'!E$3:$F$33,2),VLOOKUP(I78,'Points Table A'!K$3:$L$33,2))</f>
        <v>#N/A</v>
      </c>
      <c r="Z78" s="4" t="e">
        <f t="shared" si="8"/>
        <v>#N/A</v>
      </c>
      <c r="AA78" s="4">
        <f>IF($S78=Lookups!$B$113,VLOOKUP(L78,'Points Table C'!A$3:$E$11,5),VLOOKUP(U78,'Points Table C'!B$3:$E$11,4))</f>
        <v>0</v>
      </c>
      <c r="AB78" s="4" t="e">
        <f>IF($Q78=1,0,VLOOKUP($J78,'Points Table C'!$C$3:$E$18,3))</f>
        <v>#N/A</v>
      </c>
      <c r="AC78" s="4">
        <f>VLOOKUP($K78,'Points Table C'!$D$3:$E$18,2)</f>
        <v>0</v>
      </c>
      <c r="AD78" s="4" t="e">
        <f>IF($Z78&lt;Lookups!$C$106,($AA78+AB78+AC78),IF($AA78&gt;=Lookups!$C$120,($AA78+AB78+AC78),$AA78+$AB78))</f>
        <v>#N/A</v>
      </c>
      <c r="AF78" s="7"/>
      <c r="AG78" s="7"/>
      <c r="AH78" s="7"/>
      <c r="AI78" s="7"/>
      <c r="AJ78" s="7"/>
      <c r="AK78" s="7"/>
      <c r="AL78" s="7"/>
      <c r="AM78" s="7"/>
      <c r="AN78" s="7"/>
      <c r="AO78" s="7"/>
      <c r="AP78" s="7"/>
      <c r="AQ78" s="7"/>
      <c r="AR78" s="7"/>
      <c r="AS78" s="7"/>
      <c r="AT78" s="7"/>
      <c r="AU78" s="7"/>
      <c r="AV78" s="7"/>
      <c r="AW78" s="7"/>
      <c r="AY78" s="7"/>
      <c r="AZ78" s="7"/>
      <c r="BA78" s="7"/>
      <c r="BB78" s="7"/>
    </row>
    <row r="79" spans="2:54" x14ac:dyDescent="0.2">
      <c r="B79" s="174"/>
      <c r="C79" s="176"/>
      <c r="F79" s="5">
        <v>0</v>
      </c>
      <c r="G79" s="192">
        <v>0</v>
      </c>
      <c r="H79" s="192">
        <v>0</v>
      </c>
      <c r="I79" s="5">
        <v>0</v>
      </c>
      <c r="J79" s="192">
        <v>0</v>
      </c>
      <c r="K79" s="192">
        <v>0</v>
      </c>
      <c r="L79" s="5">
        <v>0</v>
      </c>
      <c r="M79" s="5">
        <v>0</v>
      </c>
      <c r="N79" s="4" t="e">
        <f t="shared" si="10"/>
        <v>#N/A</v>
      </c>
      <c r="O79" s="4" t="e">
        <f>IF(ROUND(10.499-(((N79-VLOOKUP($C79,Lookups!$A$55:$D$64,3))/(VLOOKUP($C79,Lookups!$A$55:$D$64,4))*VLOOKUP($C79,Lookups!$C$2:$D$11,2))),0)&lt;1,1,IF(ROUND(10.499-(((N79-VLOOKUP($C79,Lookups!$A$55:$D$64,3))/(VLOOKUP($C79,Lookups!$A$55:$D$64,4))*VLOOKUP($C79,Lookups!$C$2:$D$11,2))),0)&lt;11,ROUND(10.499-(((N79-VLOOKUP($C79,Lookups!$A$55:$D$64,3))/(VLOOKUP($C79,Lookups!$A$55:$D$64,4))*VLOOKUP($C79,Lookups!$C$2:$D$11,2))),0),10))</f>
        <v>#N/A</v>
      </c>
      <c r="P79" s="13" t="str">
        <f>IF((SUM(F79:M79)=0),"J",VLOOKUP(O79,Lookups!$A$1:$B$11,2))</f>
        <v>J</v>
      </c>
      <c r="Q79" s="8" t="e">
        <f>VLOOKUP(C79,Lookups!$A$136:$C$144,3)</f>
        <v>#N/A</v>
      </c>
      <c r="R79" s="8" t="e">
        <f>VLOOKUP(C79,Lookups!$A$136:$C$144,2)</f>
        <v>#N/A</v>
      </c>
      <c r="S79" s="4" t="str">
        <f t="shared" ref="S79:S142" si="11">IF(AND(L79&gt;0,M79=0),"Yes","No")</f>
        <v>No</v>
      </c>
      <c r="T79" s="125">
        <f t="shared" ref="T79:T142" si="12">L79+M79</f>
        <v>0</v>
      </c>
      <c r="U79" s="125">
        <f t="shared" ref="U79:U142" si="13">ROUND(100*(M79+2*L79)/(M79+2*L79+(100-L79-M79)),2)</f>
        <v>0</v>
      </c>
      <c r="V79" s="4" t="e">
        <f>IF($Q79&lt;&gt;3,VLOOKUP(F79,'Points Table A'!B$3:$F$33,5),VLOOKUP(F79,'Points Table A'!H$3:$L$33,5))</f>
        <v>#N/A</v>
      </c>
      <c r="W79" s="4" t="e">
        <f>IF($Q79&lt;&gt;3,VLOOKUP(G79,'Points Table A'!C$3:$F$33,4),VLOOKUP(G79,'Points Table A'!I$3:$L$33,4))</f>
        <v>#N/A</v>
      </c>
      <c r="X79" s="4" t="e">
        <f>IF($Q79&lt;&gt;3,VLOOKUP(H79,'Points Table A'!D$3:$F$28,3),VLOOKUP(H79,'Points Table A'!J$3:$L$33,3))</f>
        <v>#N/A</v>
      </c>
      <c r="Y79" s="4" t="e">
        <f>IF($Q79&lt;&gt;3,VLOOKUP(I79,'Points Table A'!E$3:$F$33,2),VLOOKUP(I79,'Points Table A'!K$3:$L$33,2))</f>
        <v>#N/A</v>
      </c>
      <c r="Z79" s="4" t="e">
        <f t="shared" ref="Z79:Z142" si="14">SUM(V79:Y79)</f>
        <v>#N/A</v>
      </c>
      <c r="AA79" s="4">
        <f>IF($S79=Lookups!$B$113,VLOOKUP(L79,'Points Table C'!A$3:$E$11,5),VLOOKUP(U79,'Points Table C'!B$3:$E$11,4))</f>
        <v>0</v>
      </c>
      <c r="AB79" s="4" t="e">
        <f>IF($Q79=1,0,VLOOKUP($J79,'Points Table C'!$C$3:$E$18,3))</f>
        <v>#N/A</v>
      </c>
      <c r="AC79" s="4">
        <f>VLOOKUP($K79,'Points Table C'!$D$3:$E$18,2)</f>
        <v>0</v>
      </c>
      <c r="AD79" s="4" t="e">
        <f>IF($Z79&lt;Lookups!$C$106,($AA79+AB79+AC79),IF($AA79&gt;=Lookups!$C$120,($AA79+AB79+AC79),$AA79+$AB79))</f>
        <v>#N/A</v>
      </c>
      <c r="AF79" s="7"/>
      <c r="AG79" s="7"/>
      <c r="AH79" s="7"/>
      <c r="AI79" s="7"/>
      <c r="AJ79" s="7"/>
      <c r="AK79" s="7"/>
      <c r="AL79" s="7"/>
      <c r="AM79" s="7"/>
      <c r="AN79" s="7"/>
      <c r="AO79" s="7"/>
      <c r="AP79" s="7"/>
      <c r="AQ79" s="7"/>
      <c r="AR79" s="7"/>
      <c r="AS79" s="7"/>
      <c r="AT79" s="7"/>
      <c r="AU79" s="7"/>
      <c r="AV79" s="7"/>
      <c r="AW79" s="7"/>
      <c r="AY79" s="7"/>
      <c r="AZ79" s="7"/>
      <c r="BA79" s="7"/>
      <c r="BB79" s="7"/>
    </row>
    <row r="80" spans="2:54" x14ac:dyDescent="0.2">
      <c r="B80" s="174"/>
      <c r="C80" s="176"/>
      <c r="F80" s="5">
        <v>0</v>
      </c>
      <c r="G80" s="192">
        <v>0</v>
      </c>
      <c r="H80" s="192">
        <v>0</v>
      </c>
      <c r="I80" s="5">
        <v>0</v>
      </c>
      <c r="J80" s="192">
        <v>0</v>
      </c>
      <c r="K80" s="192">
        <v>0</v>
      </c>
      <c r="L80" s="5">
        <v>0</v>
      </c>
      <c r="M80" s="5">
        <v>0</v>
      </c>
      <c r="N80" s="4" t="e">
        <f t="shared" si="10"/>
        <v>#N/A</v>
      </c>
      <c r="O80" s="4" t="e">
        <f>IF(ROUND(10.499-(((N80-VLOOKUP($C80,Lookups!$A$55:$D$64,3))/(VLOOKUP($C80,Lookups!$A$55:$D$64,4))*VLOOKUP($C80,Lookups!$C$2:$D$11,2))),0)&lt;1,1,IF(ROUND(10.499-(((N80-VLOOKUP($C80,Lookups!$A$55:$D$64,3))/(VLOOKUP($C80,Lookups!$A$55:$D$64,4))*VLOOKUP($C80,Lookups!$C$2:$D$11,2))),0)&lt;11,ROUND(10.499-(((N80-VLOOKUP($C80,Lookups!$A$55:$D$64,3))/(VLOOKUP($C80,Lookups!$A$55:$D$64,4))*VLOOKUP($C80,Lookups!$C$2:$D$11,2))),0),10))</f>
        <v>#N/A</v>
      </c>
      <c r="P80" s="13" t="str">
        <f>IF((SUM(F80:M80)=0),"J",VLOOKUP(O80,Lookups!$A$1:$B$11,2))</f>
        <v>J</v>
      </c>
      <c r="Q80" s="8" t="e">
        <f>VLOOKUP(C80,Lookups!$A$136:$C$144,3)</f>
        <v>#N/A</v>
      </c>
      <c r="R80" s="8" t="e">
        <f>VLOOKUP(C80,Lookups!$A$136:$C$144,2)</f>
        <v>#N/A</v>
      </c>
      <c r="S80" s="4" t="str">
        <f t="shared" si="11"/>
        <v>No</v>
      </c>
      <c r="T80" s="125">
        <f t="shared" si="12"/>
        <v>0</v>
      </c>
      <c r="U80" s="125">
        <f t="shared" si="13"/>
        <v>0</v>
      </c>
      <c r="V80" s="4" t="e">
        <f>IF($Q80&lt;&gt;3,VLOOKUP(F80,'Points Table A'!B$3:$F$33,5),VLOOKUP(F80,'Points Table A'!H$3:$L$33,5))</f>
        <v>#N/A</v>
      </c>
      <c r="W80" s="4" t="e">
        <f>IF($Q80&lt;&gt;3,VLOOKUP(G80,'Points Table A'!C$3:$F$33,4),VLOOKUP(G80,'Points Table A'!I$3:$L$33,4))</f>
        <v>#N/A</v>
      </c>
      <c r="X80" s="4" t="e">
        <f>IF($Q80&lt;&gt;3,VLOOKUP(H80,'Points Table A'!D$3:$F$28,3),VLOOKUP(H80,'Points Table A'!J$3:$L$33,3))</f>
        <v>#N/A</v>
      </c>
      <c r="Y80" s="4" t="e">
        <f>IF($Q80&lt;&gt;3,VLOOKUP(I80,'Points Table A'!E$3:$F$33,2),VLOOKUP(I80,'Points Table A'!K$3:$L$33,2))</f>
        <v>#N/A</v>
      </c>
      <c r="Z80" s="4" t="e">
        <f t="shared" si="14"/>
        <v>#N/A</v>
      </c>
      <c r="AA80" s="4">
        <f>IF($S80=Lookups!$B$113,VLOOKUP(L80,'Points Table C'!A$3:$E$11,5),VLOOKUP(U80,'Points Table C'!B$3:$E$11,4))</f>
        <v>0</v>
      </c>
      <c r="AB80" s="4" t="e">
        <f>IF($Q80=1,0,VLOOKUP($J80,'Points Table C'!$C$3:$E$18,3))</f>
        <v>#N/A</v>
      </c>
      <c r="AC80" s="4">
        <f>VLOOKUP($K80,'Points Table C'!$D$3:$E$18,2)</f>
        <v>0</v>
      </c>
      <c r="AD80" s="4" t="e">
        <f>IF($Z80&lt;Lookups!$C$106,($AA80+AB80+AC80),IF($AA80&gt;=Lookups!$C$120,($AA80+AB80+AC80),$AA80+$AB80))</f>
        <v>#N/A</v>
      </c>
      <c r="AF80" s="7"/>
      <c r="AG80" s="7"/>
      <c r="AH80" s="7"/>
      <c r="AI80" s="7"/>
      <c r="AJ80" s="7"/>
      <c r="AK80" s="7"/>
      <c r="AL80" s="7"/>
      <c r="AM80" s="7"/>
      <c r="AN80" s="7"/>
      <c r="AO80" s="7"/>
      <c r="AP80" s="7"/>
      <c r="AQ80" s="7"/>
      <c r="AR80" s="7"/>
      <c r="AS80" s="7"/>
      <c r="AT80" s="7"/>
      <c r="AU80" s="7"/>
      <c r="AV80" s="7"/>
      <c r="AW80" s="7"/>
      <c r="AY80" s="7"/>
      <c r="AZ80" s="7"/>
      <c r="BA80" s="7"/>
      <c r="BB80" s="7"/>
    </row>
    <row r="81" spans="2:54" x14ac:dyDescent="0.2">
      <c r="B81" s="174"/>
      <c r="C81" s="176"/>
      <c r="F81" s="5">
        <v>0</v>
      </c>
      <c r="G81" s="192">
        <v>0</v>
      </c>
      <c r="H81" s="192">
        <v>0</v>
      </c>
      <c r="I81" s="5">
        <v>0</v>
      </c>
      <c r="J81" s="192">
        <v>0</v>
      </c>
      <c r="K81" s="192">
        <v>0</v>
      </c>
      <c r="L81" s="5">
        <v>0</v>
      </c>
      <c r="M81" s="5">
        <v>0</v>
      </c>
      <c r="N81" s="4" t="e">
        <f t="shared" si="10"/>
        <v>#N/A</v>
      </c>
      <c r="O81" s="4" t="e">
        <f>IF(ROUND(10.499-(((N81-VLOOKUP($C81,Lookups!$A$55:$D$64,3))/(VLOOKUP($C81,Lookups!$A$55:$D$64,4))*VLOOKUP($C81,Lookups!$C$2:$D$11,2))),0)&lt;1,1,IF(ROUND(10.499-(((N81-VLOOKUP($C81,Lookups!$A$55:$D$64,3))/(VLOOKUP($C81,Lookups!$A$55:$D$64,4))*VLOOKUP($C81,Lookups!$C$2:$D$11,2))),0)&lt;11,ROUND(10.499-(((N81-VLOOKUP($C81,Lookups!$A$55:$D$64,3))/(VLOOKUP($C81,Lookups!$A$55:$D$64,4))*VLOOKUP($C81,Lookups!$C$2:$D$11,2))),0),10))</f>
        <v>#N/A</v>
      </c>
      <c r="P81" s="13" t="str">
        <f>IF((SUM(F81:M81)=0),"J",VLOOKUP(O81,Lookups!$A$1:$B$11,2))</f>
        <v>J</v>
      </c>
      <c r="Q81" s="8" t="e">
        <f>VLOOKUP(C81,Lookups!$A$136:$C$144,3)</f>
        <v>#N/A</v>
      </c>
      <c r="R81" s="8" t="e">
        <f>VLOOKUP(C81,Lookups!$A$136:$C$144,2)</f>
        <v>#N/A</v>
      </c>
      <c r="S81" s="4" t="str">
        <f t="shared" si="11"/>
        <v>No</v>
      </c>
      <c r="T81" s="125">
        <f t="shared" si="12"/>
        <v>0</v>
      </c>
      <c r="U81" s="125">
        <f t="shared" si="13"/>
        <v>0</v>
      </c>
      <c r="V81" s="4" t="e">
        <f>IF($Q81&lt;&gt;3,VLOOKUP(F81,'Points Table A'!B$3:$F$33,5),VLOOKUP(F81,'Points Table A'!H$3:$L$33,5))</f>
        <v>#N/A</v>
      </c>
      <c r="W81" s="4" t="e">
        <f>IF($Q81&lt;&gt;3,VLOOKUP(G81,'Points Table A'!C$3:$F$33,4),VLOOKUP(G81,'Points Table A'!I$3:$L$33,4))</f>
        <v>#N/A</v>
      </c>
      <c r="X81" s="4" t="e">
        <f>IF($Q81&lt;&gt;3,VLOOKUP(H81,'Points Table A'!D$3:$F$28,3),VLOOKUP(H81,'Points Table A'!J$3:$L$33,3))</f>
        <v>#N/A</v>
      </c>
      <c r="Y81" s="4" t="e">
        <f>IF($Q81&lt;&gt;3,VLOOKUP(I81,'Points Table A'!E$3:$F$33,2),VLOOKUP(I81,'Points Table A'!K$3:$L$33,2))</f>
        <v>#N/A</v>
      </c>
      <c r="Z81" s="4" t="e">
        <f t="shared" si="14"/>
        <v>#N/A</v>
      </c>
      <c r="AA81" s="4">
        <f>IF($S81=Lookups!$B$113,VLOOKUP(L81,'Points Table C'!A$3:$E$11,5),VLOOKUP(U81,'Points Table C'!B$3:$E$11,4))</f>
        <v>0</v>
      </c>
      <c r="AB81" s="4" t="e">
        <f>IF($Q81=1,0,VLOOKUP($J81,'Points Table C'!$C$3:$E$18,3))</f>
        <v>#N/A</v>
      </c>
      <c r="AC81" s="4">
        <f>VLOOKUP($K81,'Points Table C'!$D$3:$E$18,2)</f>
        <v>0</v>
      </c>
      <c r="AD81" s="4" t="e">
        <f>IF($Z81&lt;Lookups!$C$106,($AA81+AB81+AC81),IF($AA81&gt;=Lookups!$C$120,($AA81+AB81+AC81),$AA81+$AB81))</f>
        <v>#N/A</v>
      </c>
      <c r="AF81" s="7"/>
      <c r="AG81" s="7"/>
      <c r="AH81" s="7"/>
      <c r="AI81" s="7"/>
      <c r="AJ81" s="7"/>
      <c r="AK81" s="7"/>
      <c r="AL81" s="7"/>
      <c r="AM81" s="7"/>
      <c r="AN81" s="7"/>
      <c r="AO81" s="7"/>
      <c r="AP81" s="7"/>
      <c r="AQ81" s="7"/>
      <c r="AR81" s="7"/>
      <c r="AS81" s="7"/>
      <c r="AT81" s="7"/>
      <c r="AU81" s="7"/>
      <c r="AV81" s="7"/>
      <c r="AW81" s="7"/>
      <c r="AY81" s="7"/>
      <c r="AZ81" s="7"/>
      <c r="BA81" s="7"/>
      <c r="BB81" s="7"/>
    </row>
    <row r="82" spans="2:54" x14ac:dyDescent="0.2">
      <c r="B82" s="174"/>
      <c r="C82" s="176"/>
      <c r="F82" s="5">
        <v>0</v>
      </c>
      <c r="G82" s="192">
        <v>0</v>
      </c>
      <c r="H82" s="192">
        <v>0</v>
      </c>
      <c r="I82" s="5">
        <v>0</v>
      </c>
      <c r="J82" s="192">
        <v>0</v>
      </c>
      <c r="K82" s="192">
        <v>0</v>
      </c>
      <c r="L82" s="5">
        <v>0</v>
      </c>
      <c r="M82" s="5">
        <v>0</v>
      </c>
      <c r="N82" s="4" t="e">
        <f t="shared" si="10"/>
        <v>#N/A</v>
      </c>
      <c r="O82" s="4" t="e">
        <f>IF(ROUND(10.499-(((N82-VLOOKUP($C82,Lookups!$A$55:$D$64,3))/(VLOOKUP($C82,Lookups!$A$55:$D$64,4))*VLOOKUP($C82,Lookups!$C$2:$D$11,2))),0)&lt;1,1,IF(ROUND(10.499-(((N82-VLOOKUP($C82,Lookups!$A$55:$D$64,3))/(VLOOKUP($C82,Lookups!$A$55:$D$64,4))*VLOOKUP($C82,Lookups!$C$2:$D$11,2))),0)&lt;11,ROUND(10.499-(((N82-VLOOKUP($C82,Lookups!$A$55:$D$64,3))/(VLOOKUP($C82,Lookups!$A$55:$D$64,4))*VLOOKUP($C82,Lookups!$C$2:$D$11,2))),0),10))</f>
        <v>#N/A</v>
      </c>
      <c r="P82" s="13" t="str">
        <f>IF((SUM(F82:M82)=0),"J",VLOOKUP(O82,Lookups!$A$1:$B$11,2))</f>
        <v>J</v>
      </c>
      <c r="Q82" s="8" t="e">
        <f>VLOOKUP(C82,Lookups!$A$136:$C$144,3)</f>
        <v>#N/A</v>
      </c>
      <c r="R82" s="8" t="e">
        <f>VLOOKUP(C82,Lookups!$A$136:$C$144,2)</f>
        <v>#N/A</v>
      </c>
      <c r="S82" s="4" t="str">
        <f t="shared" si="11"/>
        <v>No</v>
      </c>
      <c r="T82" s="125">
        <f t="shared" si="12"/>
        <v>0</v>
      </c>
      <c r="U82" s="125">
        <f t="shared" si="13"/>
        <v>0</v>
      </c>
      <c r="V82" s="4" t="e">
        <f>IF($Q82&lt;&gt;3,VLOOKUP(F82,'Points Table A'!B$3:$F$33,5),VLOOKUP(F82,'Points Table A'!H$3:$L$33,5))</f>
        <v>#N/A</v>
      </c>
      <c r="W82" s="4" t="e">
        <f>IF($Q82&lt;&gt;3,VLOOKUP(G82,'Points Table A'!C$3:$F$33,4),VLOOKUP(G82,'Points Table A'!I$3:$L$33,4))</f>
        <v>#N/A</v>
      </c>
      <c r="X82" s="4" t="e">
        <f>IF($Q82&lt;&gt;3,VLOOKUP(H82,'Points Table A'!D$3:$F$28,3),VLOOKUP(H82,'Points Table A'!J$3:$L$33,3))</f>
        <v>#N/A</v>
      </c>
      <c r="Y82" s="4" t="e">
        <f>IF($Q82&lt;&gt;3,VLOOKUP(I82,'Points Table A'!E$3:$F$33,2),VLOOKUP(I82,'Points Table A'!K$3:$L$33,2))</f>
        <v>#N/A</v>
      </c>
      <c r="Z82" s="4" t="e">
        <f t="shared" si="14"/>
        <v>#N/A</v>
      </c>
      <c r="AA82" s="4">
        <f>IF($S82=Lookups!$B$113,VLOOKUP(L82,'Points Table C'!A$3:$E$11,5),VLOOKUP(U82,'Points Table C'!B$3:$E$11,4))</f>
        <v>0</v>
      </c>
      <c r="AB82" s="4" t="e">
        <f>IF($Q82=1,0,VLOOKUP($J82,'Points Table C'!$C$3:$E$18,3))</f>
        <v>#N/A</v>
      </c>
      <c r="AC82" s="4">
        <f>VLOOKUP($K82,'Points Table C'!$D$3:$E$18,2)</f>
        <v>0</v>
      </c>
      <c r="AD82" s="4" t="e">
        <f>IF($Z82&lt;Lookups!$C$106,($AA82+AB82+AC82),IF($AA82&gt;=Lookups!$C$120,($AA82+AB82+AC82),$AA82+$AB82))</f>
        <v>#N/A</v>
      </c>
      <c r="AF82" s="7"/>
      <c r="AG82" s="7"/>
      <c r="AH82" s="7"/>
      <c r="AI82" s="7"/>
      <c r="AJ82" s="7"/>
      <c r="AK82" s="7"/>
      <c r="AL82" s="7"/>
      <c r="AM82" s="7"/>
      <c r="AN82" s="7"/>
      <c r="AO82" s="7"/>
      <c r="AP82" s="7"/>
      <c r="AQ82" s="7"/>
      <c r="AR82" s="7"/>
      <c r="AS82" s="7"/>
      <c r="AT82" s="7"/>
      <c r="AU82" s="7"/>
      <c r="AV82" s="7"/>
      <c r="AW82" s="7"/>
      <c r="AY82" s="7"/>
      <c r="AZ82" s="7"/>
      <c r="BA82" s="7"/>
      <c r="BB82" s="7"/>
    </row>
    <row r="83" spans="2:54" x14ac:dyDescent="0.2">
      <c r="B83" s="174"/>
      <c r="C83" s="176"/>
      <c r="F83" s="5">
        <v>0</v>
      </c>
      <c r="G83" s="192">
        <v>0</v>
      </c>
      <c r="H83" s="192">
        <v>0</v>
      </c>
      <c r="I83" s="5">
        <v>0</v>
      </c>
      <c r="J83" s="192">
        <v>0</v>
      </c>
      <c r="K83" s="192">
        <v>0</v>
      </c>
      <c r="L83" s="5">
        <v>0</v>
      </c>
      <c r="M83" s="5">
        <v>0</v>
      </c>
      <c r="N83" s="4" t="e">
        <f t="shared" si="10"/>
        <v>#N/A</v>
      </c>
      <c r="O83" s="4" t="e">
        <f>IF(ROUND(10.499-(((N83-VLOOKUP($C83,Lookups!$A$55:$D$64,3))/(VLOOKUP($C83,Lookups!$A$55:$D$64,4))*VLOOKUP($C83,Lookups!$C$2:$D$11,2))),0)&lt;1,1,IF(ROUND(10.499-(((N83-VLOOKUP($C83,Lookups!$A$55:$D$64,3))/(VLOOKUP($C83,Lookups!$A$55:$D$64,4))*VLOOKUP($C83,Lookups!$C$2:$D$11,2))),0)&lt;11,ROUND(10.499-(((N83-VLOOKUP($C83,Lookups!$A$55:$D$64,3))/(VLOOKUP($C83,Lookups!$A$55:$D$64,4))*VLOOKUP($C83,Lookups!$C$2:$D$11,2))),0),10))</f>
        <v>#N/A</v>
      </c>
      <c r="P83" s="13" t="str">
        <f>IF((SUM(F83:M83)=0),"J",VLOOKUP(O83,Lookups!$A$1:$B$11,2))</f>
        <v>J</v>
      </c>
      <c r="Q83" s="8" t="e">
        <f>VLOOKUP(C83,Lookups!$A$136:$C$144,3)</f>
        <v>#N/A</v>
      </c>
      <c r="R83" s="8" t="e">
        <f>VLOOKUP(C83,Lookups!$A$136:$C$144,2)</f>
        <v>#N/A</v>
      </c>
      <c r="S83" s="4" t="str">
        <f t="shared" si="11"/>
        <v>No</v>
      </c>
      <c r="T83" s="125">
        <f t="shared" si="12"/>
        <v>0</v>
      </c>
      <c r="U83" s="125">
        <f t="shared" si="13"/>
        <v>0</v>
      </c>
      <c r="V83" s="4" t="e">
        <f>IF($Q83&lt;&gt;3,VLOOKUP(F83,'Points Table A'!B$3:$F$33,5),VLOOKUP(F83,'Points Table A'!H$3:$L$33,5))</f>
        <v>#N/A</v>
      </c>
      <c r="W83" s="4" t="e">
        <f>IF($Q83&lt;&gt;3,VLOOKUP(G83,'Points Table A'!C$3:$F$33,4),VLOOKUP(G83,'Points Table A'!I$3:$L$33,4))</f>
        <v>#N/A</v>
      </c>
      <c r="X83" s="4" t="e">
        <f>IF($Q83&lt;&gt;3,VLOOKUP(H83,'Points Table A'!D$3:$F$28,3),VLOOKUP(H83,'Points Table A'!J$3:$L$33,3))</f>
        <v>#N/A</v>
      </c>
      <c r="Y83" s="4" t="e">
        <f>IF($Q83&lt;&gt;3,VLOOKUP(I83,'Points Table A'!E$3:$F$33,2),VLOOKUP(I83,'Points Table A'!K$3:$L$33,2))</f>
        <v>#N/A</v>
      </c>
      <c r="Z83" s="4" t="e">
        <f t="shared" si="14"/>
        <v>#N/A</v>
      </c>
      <c r="AA83" s="4">
        <f>IF($S83=Lookups!$B$113,VLOOKUP(L83,'Points Table C'!A$3:$E$11,5),VLOOKUP(U83,'Points Table C'!B$3:$E$11,4))</f>
        <v>0</v>
      </c>
      <c r="AB83" s="4" t="e">
        <f>IF($Q83=1,0,VLOOKUP($J83,'Points Table C'!$C$3:$E$18,3))</f>
        <v>#N/A</v>
      </c>
      <c r="AC83" s="4">
        <f>VLOOKUP($K83,'Points Table C'!$D$3:$E$18,2)</f>
        <v>0</v>
      </c>
      <c r="AD83" s="4" t="e">
        <f>IF($Z83&lt;Lookups!$C$106,($AA83+AB83+AC83),IF($AA83&gt;=Lookups!$C$120,($AA83+AB83+AC83),$AA83+$AB83))</f>
        <v>#N/A</v>
      </c>
      <c r="AF83" s="7"/>
      <c r="AG83" s="7"/>
      <c r="AH83" s="7"/>
      <c r="AI83" s="7"/>
      <c r="AJ83" s="7"/>
      <c r="AK83" s="7"/>
      <c r="AL83" s="7"/>
      <c r="AM83" s="7"/>
      <c r="AN83" s="7"/>
      <c r="AO83" s="7"/>
      <c r="AP83" s="7"/>
      <c r="AQ83" s="7"/>
      <c r="AR83" s="7"/>
      <c r="AS83" s="7"/>
      <c r="AT83" s="7"/>
      <c r="AU83" s="7"/>
      <c r="AV83" s="7"/>
      <c r="AW83" s="7"/>
      <c r="AY83" s="7"/>
      <c r="AZ83" s="7"/>
      <c r="BA83" s="7"/>
      <c r="BB83" s="7"/>
    </row>
    <row r="84" spans="2:54" x14ac:dyDescent="0.2">
      <c r="B84" s="174"/>
      <c r="C84" s="176"/>
      <c r="F84" s="5">
        <v>0</v>
      </c>
      <c r="G84" s="192">
        <v>0</v>
      </c>
      <c r="H84" s="192">
        <v>0</v>
      </c>
      <c r="I84" s="5">
        <v>0</v>
      </c>
      <c r="J84" s="192">
        <v>0</v>
      </c>
      <c r="K84" s="192">
        <v>0</v>
      </c>
      <c r="L84" s="5">
        <v>0</v>
      </c>
      <c r="M84" s="5">
        <v>0</v>
      </c>
      <c r="N84" s="4" t="e">
        <f t="shared" si="10"/>
        <v>#N/A</v>
      </c>
      <c r="O84" s="4" t="e">
        <f>IF(ROUND(10.499-(((N84-VLOOKUP($C84,Lookups!$A$55:$D$64,3))/(VLOOKUP($C84,Lookups!$A$55:$D$64,4))*VLOOKUP($C84,Lookups!$C$2:$D$11,2))),0)&lt;1,1,IF(ROUND(10.499-(((N84-VLOOKUP($C84,Lookups!$A$55:$D$64,3))/(VLOOKUP($C84,Lookups!$A$55:$D$64,4))*VLOOKUP($C84,Lookups!$C$2:$D$11,2))),0)&lt;11,ROUND(10.499-(((N84-VLOOKUP($C84,Lookups!$A$55:$D$64,3))/(VLOOKUP($C84,Lookups!$A$55:$D$64,4))*VLOOKUP($C84,Lookups!$C$2:$D$11,2))),0),10))</f>
        <v>#N/A</v>
      </c>
      <c r="P84" s="13" t="str">
        <f>IF((SUM(F84:M84)=0),"J",VLOOKUP(O84,Lookups!$A$1:$B$11,2))</f>
        <v>J</v>
      </c>
      <c r="Q84" s="8" t="e">
        <f>VLOOKUP(C84,Lookups!$A$136:$C$144,3)</f>
        <v>#N/A</v>
      </c>
      <c r="R84" s="8" t="e">
        <f>VLOOKUP(C84,Lookups!$A$136:$C$144,2)</f>
        <v>#N/A</v>
      </c>
      <c r="S84" s="4" t="str">
        <f t="shared" si="11"/>
        <v>No</v>
      </c>
      <c r="T84" s="125">
        <f t="shared" si="12"/>
        <v>0</v>
      </c>
      <c r="U84" s="125">
        <f t="shared" si="13"/>
        <v>0</v>
      </c>
      <c r="V84" s="4" t="e">
        <f>IF($Q84&lt;&gt;3,VLOOKUP(F84,'Points Table A'!B$3:$F$33,5),VLOOKUP(F84,'Points Table A'!H$3:$L$33,5))</f>
        <v>#N/A</v>
      </c>
      <c r="W84" s="4" t="e">
        <f>IF($Q84&lt;&gt;3,VLOOKUP(G84,'Points Table A'!C$3:$F$33,4),VLOOKUP(G84,'Points Table A'!I$3:$L$33,4))</f>
        <v>#N/A</v>
      </c>
      <c r="X84" s="4" t="e">
        <f>IF($Q84&lt;&gt;3,VLOOKUP(H84,'Points Table A'!D$3:$F$28,3),VLOOKUP(H84,'Points Table A'!J$3:$L$33,3))</f>
        <v>#N/A</v>
      </c>
      <c r="Y84" s="4" t="e">
        <f>IF($Q84&lt;&gt;3,VLOOKUP(I84,'Points Table A'!E$3:$F$33,2),VLOOKUP(I84,'Points Table A'!K$3:$L$33,2))</f>
        <v>#N/A</v>
      </c>
      <c r="Z84" s="4" t="e">
        <f t="shared" si="14"/>
        <v>#N/A</v>
      </c>
      <c r="AA84" s="4">
        <f>IF($S84=Lookups!$B$113,VLOOKUP(L84,'Points Table C'!A$3:$E$11,5),VLOOKUP(U84,'Points Table C'!B$3:$E$11,4))</f>
        <v>0</v>
      </c>
      <c r="AB84" s="4" t="e">
        <f>IF($Q84=1,0,VLOOKUP($J84,'Points Table C'!$C$3:$E$18,3))</f>
        <v>#N/A</v>
      </c>
      <c r="AC84" s="4">
        <f>VLOOKUP($K84,'Points Table C'!$D$3:$E$18,2)</f>
        <v>0</v>
      </c>
      <c r="AD84" s="4" t="e">
        <f>IF($Z84&lt;Lookups!$C$106,($AA84+AB84+AC84),IF($AA84&gt;=Lookups!$C$120,($AA84+AB84+AC84),$AA84+$AB84))</f>
        <v>#N/A</v>
      </c>
      <c r="AF84" s="7"/>
      <c r="AG84" s="7"/>
      <c r="AH84" s="7"/>
      <c r="AI84" s="7"/>
      <c r="AJ84" s="7"/>
      <c r="AK84" s="7"/>
      <c r="AL84" s="7"/>
      <c r="AM84" s="7"/>
      <c r="AN84" s="7"/>
      <c r="AO84" s="7"/>
      <c r="AP84" s="7"/>
      <c r="AQ84" s="7"/>
      <c r="AR84" s="7"/>
      <c r="AS84" s="7"/>
      <c r="AT84" s="7"/>
      <c r="AU84" s="7"/>
      <c r="AV84" s="7"/>
      <c r="AW84" s="7"/>
      <c r="AY84" s="7"/>
      <c r="AZ84" s="7"/>
      <c r="BA84" s="7"/>
      <c r="BB84" s="7"/>
    </row>
    <row r="85" spans="2:54" x14ac:dyDescent="0.2">
      <c r="B85" s="174"/>
      <c r="C85" s="176"/>
      <c r="F85" s="5">
        <v>0</v>
      </c>
      <c r="G85" s="192">
        <v>0</v>
      </c>
      <c r="H85" s="192">
        <v>0</v>
      </c>
      <c r="I85" s="5">
        <v>0</v>
      </c>
      <c r="J85" s="192">
        <v>0</v>
      </c>
      <c r="K85" s="192">
        <v>0</v>
      </c>
      <c r="L85" s="5">
        <v>0</v>
      </c>
      <c r="M85" s="5">
        <v>0</v>
      </c>
      <c r="N85" s="4" t="e">
        <f t="shared" si="10"/>
        <v>#N/A</v>
      </c>
      <c r="O85" s="4" t="e">
        <f>IF(ROUND(10.499-(((N85-VLOOKUP($C85,Lookups!$A$55:$D$64,3))/(VLOOKUP($C85,Lookups!$A$55:$D$64,4))*VLOOKUP($C85,Lookups!$C$2:$D$11,2))),0)&lt;1,1,IF(ROUND(10.499-(((N85-VLOOKUP($C85,Lookups!$A$55:$D$64,3))/(VLOOKUP($C85,Lookups!$A$55:$D$64,4))*VLOOKUP($C85,Lookups!$C$2:$D$11,2))),0)&lt;11,ROUND(10.499-(((N85-VLOOKUP($C85,Lookups!$A$55:$D$64,3))/(VLOOKUP($C85,Lookups!$A$55:$D$64,4))*VLOOKUP($C85,Lookups!$C$2:$D$11,2))),0),10))</f>
        <v>#N/A</v>
      </c>
      <c r="P85" s="13" t="str">
        <f>IF((SUM(F85:M85)=0),"J",VLOOKUP(O85,Lookups!$A$1:$B$11,2))</f>
        <v>J</v>
      </c>
      <c r="Q85" s="8" t="e">
        <f>VLOOKUP(C85,Lookups!$A$136:$C$144,3)</f>
        <v>#N/A</v>
      </c>
      <c r="R85" s="8" t="e">
        <f>VLOOKUP(C85,Lookups!$A$136:$C$144,2)</f>
        <v>#N/A</v>
      </c>
      <c r="S85" s="4" t="str">
        <f t="shared" si="11"/>
        <v>No</v>
      </c>
      <c r="T85" s="125">
        <f t="shared" si="12"/>
        <v>0</v>
      </c>
      <c r="U85" s="125">
        <f t="shared" si="13"/>
        <v>0</v>
      </c>
      <c r="V85" s="4" t="e">
        <f>IF($Q85&lt;&gt;3,VLOOKUP(F85,'Points Table A'!B$3:$F$33,5),VLOOKUP(F85,'Points Table A'!H$3:$L$33,5))</f>
        <v>#N/A</v>
      </c>
      <c r="W85" s="4" t="e">
        <f>IF($Q85&lt;&gt;3,VLOOKUP(G85,'Points Table A'!C$3:$F$33,4),VLOOKUP(G85,'Points Table A'!I$3:$L$33,4))</f>
        <v>#N/A</v>
      </c>
      <c r="X85" s="4" t="e">
        <f>IF($Q85&lt;&gt;3,VLOOKUP(H85,'Points Table A'!D$3:$F$28,3),VLOOKUP(H85,'Points Table A'!J$3:$L$33,3))</f>
        <v>#N/A</v>
      </c>
      <c r="Y85" s="4" t="e">
        <f>IF($Q85&lt;&gt;3,VLOOKUP(I85,'Points Table A'!E$3:$F$33,2),VLOOKUP(I85,'Points Table A'!K$3:$L$33,2))</f>
        <v>#N/A</v>
      </c>
      <c r="Z85" s="4" t="e">
        <f t="shared" si="14"/>
        <v>#N/A</v>
      </c>
      <c r="AA85" s="4">
        <f>IF($S85=Lookups!$B$113,VLOOKUP(L85,'Points Table C'!A$3:$E$11,5),VLOOKUP(U85,'Points Table C'!B$3:$E$11,4))</f>
        <v>0</v>
      </c>
      <c r="AB85" s="4" t="e">
        <f>IF($Q85=1,0,VLOOKUP($J85,'Points Table C'!$C$3:$E$18,3))</f>
        <v>#N/A</v>
      </c>
      <c r="AC85" s="4">
        <f>VLOOKUP($K85,'Points Table C'!$D$3:$E$18,2)</f>
        <v>0</v>
      </c>
      <c r="AD85" s="4" t="e">
        <f>IF($Z85&lt;Lookups!$C$106,($AA85+AB85+AC85),IF($AA85&gt;=Lookups!$C$120,($AA85+AB85+AC85),$AA85+$AB85))</f>
        <v>#N/A</v>
      </c>
      <c r="AF85" s="7"/>
      <c r="AG85" s="7"/>
      <c r="AH85" s="7"/>
      <c r="AI85" s="7"/>
      <c r="AJ85" s="7"/>
      <c r="AK85" s="7"/>
      <c r="AL85" s="7"/>
      <c r="AM85" s="7"/>
      <c r="AN85" s="7"/>
      <c r="AO85" s="7"/>
      <c r="AP85" s="7"/>
      <c r="AQ85" s="7"/>
      <c r="AR85" s="7"/>
      <c r="AS85" s="7"/>
      <c r="AT85" s="7"/>
      <c r="AU85" s="7"/>
      <c r="AV85" s="7"/>
      <c r="AW85" s="7"/>
      <c r="AY85" s="7"/>
      <c r="AZ85" s="7"/>
      <c r="BA85" s="7"/>
      <c r="BB85" s="7"/>
    </row>
    <row r="86" spans="2:54" x14ac:dyDescent="0.2">
      <c r="B86" s="174"/>
      <c r="C86" s="176"/>
      <c r="F86" s="5">
        <v>0</v>
      </c>
      <c r="G86" s="192">
        <v>0</v>
      </c>
      <c r="H86" s="192">
        <v>0</v>
      </c>
      <c r="I86" s="5">
        <v>0</v>
      </c>
      <c r="J86" s="192">
        <v>0</v>
      </c>
      <c r="K86" s="192">
        <v>0</v>
      </c>
      <c r="L86" s="5">
        <v>0</v>
      </c>
      <c r="M86" s="5">
        <v>0</v>
      </c>
      <c r="N86" s="4" t="e">
        <f t="shared" si="10"/>
        <v>#N/A</v>
      </c>
      <c r="O86" s="4" t="e">
        <f>IF(ROUND(10.499-(((N86-VLOOKUP($C86,Lookups!$A$55:$D$64,3))/(VLOOKUP($C86,Lookups!$A$55:$D$64,4))*VLOOKUP($C86,Lookups!$C$2:$D$11,2))),0)&lt;1,1,IF(ROUND(10.499-(((N86-VLOOKUP($C86,Lookups!$A$55:$D$64,3))/(VLOOKUP($C86,Lookups!$A$55:$D$64,4))*VLOOKUP($C86,Lookups!$C$2:$D$11,2))),0)&lt;11,ROUND(10.499-(((N86-VLOOKUP($C86,Lookups!$A$55:$D$64,3))/(VLOOKUP($C86,Lookups!$A$55:$D$64,4))*VLOOKUP($C86,Lookups!$C$2:$D$11,2))),0),10))</f>
        <v>#N/A</v>
      </c>
      <c r="P86" s="13" t="str">
        <f>IF((SUM(F86:M86)=0),"J",VLOOKUP(O86,Lookups!$A$1:$B$11,2))</f>
        <v>J</v>
      </c>
      <c r="Q86" s="8" t="e">
        <f>VLOOKUP(C86,Lookups!$A$136:$C$144,3)</f>
        <v>#N/A</v>
      </c>
      <c r="R86" s="8" t="e">
        <f>VLOOKUP(C86,Lookups!$A$136:$C$144,2)</f>
        <v>#N/A</v>
      </c>
      <c r="S86" s="4" t="str">
        <f t="shared" si="11"/>
        <v>No</v>
      </c>
      <c r="T86" s="125">
        <f t="shared" si="12"/>
        <v>0</v>
      </c>
      <c r="U86" s="125">
        <f t="shared" si="13"/>
        <v>0</v>
      </c>
      <c r="V86" s="4" t="e">
        <f>IF($Q86&lt;&gt;3,VLOOKUP(F86,'Points Table A'!B$3:$F$33,5),VLOOKUP(F86,'Points Table A'!H$3:$L$33,5))</f>
        <v>#N/A</v>
      </c>
      <c r="W86" s="4" t="e">
        <f>IF($Q86&lt;&gt;3,VLOOKUP(G86,'Points Table A'!C$3:$F$33,4),VLOOKUP(G86,'Points Table A'!I$3:$L$33,4))</f>
        <v>#N/A</v>
      </c>
      <c r="X86" s="4" t="e">
        <f>IF($Q86&lt;&gt;3,VLOOKUP(H86,'Points Table A'!D$3:$F$28,3),VLOOKUP(H86,'Points Table A'!J$3:$L$33,3))</f>
        <v>#N/A</v>
      </c>
      <c r="Y86" s="4" t="e">
        <f>IF($Q86&lt;&gt;3,VLOOKUP(I86,'Points Table A'!E$3:$F$33,2),VLOOKUP(I86,'Points Table A'!K$3:$L$33,2))</f>
        <v>#N/A</v>
      </c>
      <c r="Z86" s="4" t="e">
        <f t="shared" si="14"/>
        <v>#N/A</v>
      </c>
      <c r="AA86" s="4">
        <f>IF($S86=Lookups!$B$113,VLOOKUP(L86,'Points Table C'!A$3:$E$11,5),VLOOKUP(U86,'Points Table C'!B$3:$E$11,4))</f>
        <v>0</v>
      </c>
      <c r="AB86" s="4" t="e">
        <f>IF($Q86=1,0,VLOOKUP($J86,'Points Table C'!$C$3:$E$18,3))</f>
        <v>#N/A</v>
      </c>
      <c r="AC86" s="4">
        <f>VLOOKUP($K86,'Points Table C'!$D$3:$E$18,2)</f>
        <v>0</v>
      </c>
      <c r="AD86" s="4" t="e">
        <f>IF($Z86&lt;Lookups!$C$106,($AA86+AB86+AC86),IF($AA86&gt;=Lookups!$C$120,($AA86+AB86+AC86),$AA86+$AB86))</f>
        <v>#N/A</v>
      </c>
      <c r="AF86" s="7"/>
      <c r="AG86" s="7"/>
      <c r="AH86" s="7"/>
      <c r="AI86" s="7"/>
      <c r="AJ86" s="7"/>
      <c r="AK86" s="7"/>
      <c r="AL86" s="7"/>
      <c r="AM86" s="7"/>
      <c r="AN86" s="7"/>
      <c r="AO86" s="7"/>
      <c r="AP86" s="7"/>
      <c r="AQ86" s="7"/>
      <c r="AR86" s="7"/>
      <c r="AS86" s="7"/>
      <c r="AT86" s="7"/>
      <c r="AU86" s="7"/>
      <c r="AV86" s="7"/>
      <c r="AW86" s="7"/>
      <c r="AY86" s="7"/>
      <c r="AZ86" s="7"/>
      <c r="BA86" s="7"/>
      <c r="BB86" s="7"/>
    </row>
    <row r="87" spans="2:54" x14ac:dyDescent="0.2">
      <c r="B87" s="174"/>
      <c r="C87" s="176"/>
      <c r="F87" s="5">
        <v>0</v>
      </c>
      <c r="G87" s="192">
        <v>0</v>
      </c>
      <c r="H87" s="192">
        <v>0</v>
      </c>
      <c r="I87" s="5">
        <v>0</v>
      </c>
      <c r="J87" s="192">
        <v>0</v>
      </c>
      <c r="K87" s="192">
        <v>0</v>
      </c>
      <c r="L87" s="5">
        <v>0</v>
      </c>
      <c r="M87" s="5">
        <v>0</v>
      </c>
      <c r="N87" s="4" t="e">
        <f t="shared" si="10"/>
        <v>#N/A</v>
      </c>
      <c r="O87" s="4" t="e">
        <f>IF(ROUND(10.499-(((N87-VLOOKUP($C87,Lookups!$A$55:$D$64,3))/(VLOOKUP($C87,Lookups!$A$55:$D$64,4))*VLOOKUP($C87,Lookups!$C$2:$D$11,2))),0)&lt;1,1,IF(ROUND(10.499-(((N87-VLOOKUP($C87,Lookups!$A$55:$D$64,3))/(VLOOKUP($C87,Lookups!$A$55:$D$64,4))*VLOOKUP($C87,Lookups!$C$2:$D$11,2))),0)&lt;11,ROUND(10.499-(((N87-VLOOKUP($C87,Lookups!$A$55:$D$64,3))/(VLOOKUP($C87,Lookups!$A$55:$D$64,4))*VLOOKUP($C87,Lookups!$C$2:$D$11,2))),0),10))</f>
        <v>#N/A</v>
      </c>
      <c r="P87" s="13" t="str">
        <f>IF((SUM(F87:M87)=0),"J",VLOOKUP(O87,Lookups!$A$1:$B$11,2))</f>
        <v>J</v>
      </c>
      <c r="Q87" s="8" t="e">
        <f>VLOOKUP(C87,Lookups!$A$136:$C$144,3)</f>
        <v>#N/A</v>
      </c>
      <c r="R87" s="8" t="e">
        <f>VLOOKUP(C87,Lookups!$A$136:$C$144,2)</f>
        <v>#N/A</v>
      </c>
      <c r="S87" s="4" t="str">
        <f t="shared" si="11"/>
        <v>No</v>
      </c>
      <c r="T87" s="125">
        <f t="shared" si="12"/>
        <v>0</v>
      </c>
      <c r="U87" s="125">
        <f t="shared" si="13"/>
        <v>0</v>
      </c>
      <c r="V87" s="4" t="e">
        <f>IF($Q87&lt;&gt;3,VLOOKUP(F87,'Points Table A'!B$3:$F$33,5),VLOOKUP(F87,'Points Table A'!H$3:$L$33,5))</f>
        <v>#N/A</v>
      </c>
      <c r="W87" s="4" t="e">
        <f>IF($Q87&lt;&gt;3,VLOOKUP(G87,'Points Table A'!C$3:$F$33,4),VLOOKUP(G87,'Points Table A'!I$3:$L$33,4))</f>
        <v>#N/A</v>
      </c>
      <c r="X87" s="4" t="e">
        <f>IF($Q87&lt;&gt;3,VLOOKUP(H87,'Points Table A'!D$3:$F$28,3),VLOOKUP(H87,'Points Table A'!J$3:$L$33,3))</f>
        <v>#N/A</v>
      </c>
      <c r="Y87" s="4" t="e">
        <f>IF($Q87&lt;&gt;3,VLOOKUP(I87,'Points Table A'!E$3:$F$33,2),VLOOKUP(I87,'Points Table A'!K$3:$L$33,2))</f>
        <v>#N/A</v>
      </c>
      <c r="Z87" s="4" t="e">
        <f t="shared" si="14"/>
        <v>#N/A</v>
      </c>
      <c r="AA87" s="4">
        <f>IF($S87=Lookups!$B$113,VLOOKUP(L87,'Points Table C'!A$3:$E$11,5),VLOOKUP(U87,'Points Table C'!B$3:$E$11,4))</f>
        <v>0</v>
      </c>
      <c r="AB87" s="4" t="e">
        <f>IF($Q87=1,0,VLOOKUP($J87,'Points Table C'!$C$3:$E$18,3))</f>
        <v>#N/A</v>
      </c>
      <c r="AC87" s="4">
        <f>VLOOKUP($K87,'Points Table C'!$D$3:$E$18,2)</f>
        <v>0</v>
      </c>
      <c r="AD87" s="4" t="e">
        <f>IF($Z87&lt;Lookups!$C$106,($AA87+AB87+AC87),IF($AA87&gt;=Lookups!$C$120,($AA87+AB87+AC87),$AA87+$AB87))</f>
        <v>#N/A</v>
      </c>
      <c r="AF87" s="7"/>
      <c r="AG87" s="7"/>
      <c r="AH87" s="7"/>
      <c r="AI87" s="7"/>
      <c r="AJ87" s="7"/>
      <c r="AK87" s="7"/>
      <c r="AL87" s="7"/>
      <c r="AM87" s="7"/>
      <c r="AN87" s="7"/>
      <c r="AO87" s="7"/>
      <c r="AP87" s="7"/>
      <c r="AQ87" s="7"/>
      <c r="AR87" s="7"/>
      <c r="AS87" s="7"/>
      <c r="AT87" s="7"/>
      <c r="AU87" s="7"/>
      <c r="AV87" s="7"/>
      <c r="AW87" s="7"/>
      <c r="AY87" s="7"/>
      <c r="AZ87" s="7"/>
      <c r="BA87" s="7"/>
      <c r="BB87" s="7"/>
    </row>
    <row r="88" spans="2:54" x14ac:dyDescent="0.2">
      <c r="B88" s="174"/>
      <c r="C88" s="176"/>
      <c r="F88" s="5">
        <v>0</v>
      </c>
      <c r="G88" s="192">
        <v>0</v>
      </c>
      <c r="H88" s="192">
        <v>0</v>
      </c>
      <c r="I88" s="5">
        <v>0</v>
      </c>
      <c r="J88" s="192">
        <v>0</v>
      </c>
      <c r="K88" s="192">
        <v>0</v>
      </c>
      <c r="L88" s="5">
        <v>0</v>
      </c>
      <c r="M88" s="5">
        <v>0</v>
      </c>
      <c r="N88" s="4" t="e">
        <f t="shared" si="10"/>
        <v>#N/A</v>
      </c>
      <c r="O88" s="4" t="e">
        <f>IF(ROUND(10.499-(((N88-VLOOKUP($C88,Lookups!$A$55:$D$64,3))/(VLOOKUP($C88,Lookups!$A$55:$D$64,4))*VLOOKUP($C88,Lookups!$C$2:$D$11,2))),0)&lt;1,1,IF(ROUND(10.499-(((N88-VLOOKUP($C88,Lookups!$A$55:$D$64,3))/(VLOOKUP($C88,Lookups!$A$55:$D$64,4))*VLOOKUP($C88,Lookups!$C$2:$D$11,2))),0)&lt;11,ROUND(10.499-(((N88-VLOOKUP($C88,Lookups!$A$55:$D$64,3))/(VLOOKUP($C88,Lookups!$A$55:$D$64,4))*VLOOKUP($C88,Lookups!$C$2:$D$11,2))),0),10))</f>
        <v>#N/A</v>
      </c>
      <c r="P88" s="13" t="str">
        <f>IF((SUM(F88:M88)=0),"J",VLOOKUP(O88,Lookups!$A$1:$B$11,2))</f>
        <v>J</v>
      </c>
      <c r="Q88" s="8" t="e">
        <f>VLOOKUP(C88,Lookups!$A$136:$C$144,3)</f>
        <v>#N/A</v>
      </c>
      <c r="R88" s="8" t="e">
        <f>VLOOKUP(C88,Lookups!$A$136:$C$144,2)</f>
        <v>#N/A</v>
      </c>
      <c r="S88" s="4" t="str">
        <f t="shared" si="11"/>
        <v>No</v>
      </c>
      <c r="T88" s="125">
        <f t="shared" si="12"/>
        <v>0</v>
      </c>
      <c r="U88" s="125">
        <f t="shared" si="13"/>
        <v>0</v>
      </c>
      <c r="V88" s="4" t="e">
        <f>IF($Q88&lt;&gt;3,VLOOKUP(F88,'Points Table A'!B$3:$F$33,5),VLOOKUP(F88,'Points Table A'!H$3:$L$33,5))</f>
        <v>#N/A</v>
      </c>
      <c r="W88" s="4" t="e">
        <f>IF($Q88&lt;&gt;3,VLOOKUP(G88,'Points Table A'!C$3:$F$33,4),VLOOKUP(G88,'Points Table A'!I$3:$L$33,4))</f>
        <v>#N/A</v>
      </c>
      <c r="X88" s="4" t="e">
        <f>IF($Q88&lt;&gt;3,VLOOKUP(H88,'Points Table A'!D$3:$F$28,3),VLOOKUP(H88,'Points Table A'!J$3:$L$33,3))</f>
        <v>#N/A</v>
      </c>
      <c r="Y88" s="4" t="e">
        <f>IF($Q88&lt;&gt;3,VLOOKUP(I88,'Points Table A'!E$3:$F$33,2),VLOOKUP(I88,'Points Table A'!K$3:$L$33,2))</f>
        <v>#N/A</v>
      </c>
      <c r="Z88" s="4" t="e">
        <f t="shared" si="14"/>
        <v>#N/A</v>
      </c>
      <c r="AA88" s="4">
        <f>IF($S88=Lookups!$B$113,VLOOKUP(L88,'Points Table C'!A$3:$E$11,5),VLOOKUP(U88,'Points Table C'!B$3:$E$11,4))</f>
        <v>0</v>
      </c>
      <c r="AB88" s="4" t="e">
        <f>IF($Q88=1,0,VLOOKUP($J88,'Points Table C'!$C$3:$E$18,3))</f>
        <v>#N/A</v>
      </c>
      <c r="AC88" s="4">
        <f>VLOOKUP($K88,'Points Table C'!$D$3:$E$18,2)</f>
        <v>0</v>
      </c>
      <c r="AD88" s="4" t="e">
        <f>IF($Z88&lt;Lookups!$C$106,($AA88+AB88+AC88),IF($AA88&gt;=Lookups!$C$120,($AA88+AB88+AC88),$AA88+$AB88))</f>
        <v>#N/A</v>
      </c>
      <c r="AF88" s="7"/>
      <c r="AG88" s="7"/>
      <c r="AH88" s="7"/>
      <c r="AI88" s="7"/>
      <c r="AJ88" s="7"/>
      <c r="AK88" s="7"/>
      <c r="AL88" s="7"/>
      <c r="AM88" s="7"/>
      <c r="AN88" s="7"/>
      <c r="AO88" s="7"/>
      <c r="AP88" s="7"/>
      <c r="AQ88" s="7"/>
      <c r="AR88" s="7"/>
      <c r="AS88" s="7"/>
      <c r="AT88" s="7"/>
      <c r="AU88" s="7"/>
      <c r="AV88" s="7"/>
      <c r="AW88" s="7"/>
      <c r="AY88" s="7"/>
      <c r="AZ88" s="7"/>
      <c r="BA88" s="7"/>
      <c r="BB88" s="7"/>
    </row>
    <row r="89" spans="2:54" x14ac:dyDescent="0.2">
      <c r="B89" s="174"/>
      <c r="C89" s="176"/>
      <c r="F89" s="5">
        <v>0</v>
      </c>
      <c r="G89" s="192">
        <v>0</v>
      </c>
      <c r="H89" s="192">
        <v>0</v>
      </c>
      <c r="I89" s="5">
        <v>0</v>
      </c>
      <c r="J89" s="192">
        <v>0</v>
      </c>
      <c r="K89" s="192">
        <v>0</v>
      </c>
      <c r="L89" s="5">
        <v>0</v>
      </c>
      <c r="M89" s="5">
        <v>0</v>
      </c>
      <c r="N89" s="4" t="e">
        <f t="shared" si="10"/>
        <v>#N/A</v>
      </c>
      <c r="O89" s="4" t="e">
        <f>IF(ROUND(10.499-(((N89-VLOOKUP($C89,Lookups!$A$55:$D$64,3))/(VLOOKUP($C89,Lookups!$A$55:$D$64,4))*VLOOKUP($C89,Lookups!$C$2:$D$11,2))),0)&lt;1,1,IF(ROUND(10.499-(((N89-VLOOKUP($C89,Lookups!$A$55:$D$64,3))/(VLOOKUP($C89,Lookups!$A$55:$D$64,4))*VLOOKUP($C89,Lookups!$C$2:$D$11,2))),0)&lt;11,ROUND(10.499-(((N89-VLOOKUP($C89,Lookups!$A$55:$D$64,3))/(VLOOKUP($C89,Lookups!$A$55:$D$64,4))*VLOOKUP($C89,Lookups!$C$2:$D$11,2))),0),10))</f>
        <v>#N/A</v>
      </c>
      <c r="P89" s="13" t="str">
        <f>IF((SUM(F89:M89)=0),"J",VLOOKUP(O89,Lookups!$A$1:$B$11,2))</f>
        <v>J</v>
      </c>
      <c r="Q89" s="8" t="e">
        <f>VLOOKUP(C89,Lookups!$A$136:$C$144,3)</f>
        <v>#N/A</v>
      </c>
      <c r="R89" s="8" t="e">
        <f>VLOOKUP(C89,Lookups!$A$136:$C$144,2)</f>
        <v>#N/A</v>
      </c>
      <c r="S89" s="4" t="str">
        <f t="shared" si="11"/>
        <v>No</v>
      </c>
      <c r="T89" s="125">
        <f t="shared" si="12"/>
        <v>0</v>
      </c>
      <c r="U89" s="125">
        <f t="shared" si="13"/>
        <v>0</v>
      </c>
      <c r="V89" s="4" t="e">
        <f>IF($Q89&lt;&gt;3,VLOOKUP(F89,'Points Table A'!B$3:$F$33,5),VLOOKUP(F89,'Points Table A'!H$3:$L$33,5))</f>
        <v>#N/A</v>
      </c>
      <c r="W89" s="4" t="e">
        <f>IF($Q89&lt;&gt;3,VLOOKUP(G89,'Points Table A'!C$3:$F$33,4),VLOOKUP(G89,'Points Table A'!I$3:$L$33,4))</f>
        <v>#N/A</v>
      </c>
      <c r="X89" s="4" t="e">
        <f>IF($Q89&lt;&gt;3,VLOOKUP(H89,'Points Table A'!D$3:$F$28,3),VLOOKUP(H89,'Points Table A'!J$3:$L$33,3))</f>
        <v>#N/A</v>
      </c>
      <c r="Y89" s="4" t="e">
        <f>IF($Q89&lt;&gt;3,VLOOKUP(I89,'Points Table A'!E$3:$F$33,2),VLOOKUP(I89,'Points Table A'!K$3:$L$33,2))</f>
        <v>#N/A</v>
      </c>
      <c r="Z89" s="4" t="e">
        <f t="shared" si="14"/>
        <v>#N/A</v>
      </c>
      <c r="AA89" s="4">
        <f>IF($S89=Lookups!$B$113,VLOOKUP(L89,'Points Table C'!A$3:$E$11,5),VLOOKUP(U89,'Points Table C'!B$3:$E$11,4))</f>
        <v>0</v>
      </c>
      <c r="AB89" s="4" t="e">
        <f>IF($Q89=1,0,VLOOKUP($J89,'Points Table C'!$C$3:$E$18,3))</f>
        <v>#N/A</v>
      </c>
      <c r="AC89" s="4">
        <f>VLOOKUP($K89,'Points Table C'!$D$3:$E$18,2)</f>
        <v>0</v>
      </c>
      <c r="AD89" s="4" t="e">
        <f>IF($Z89&lt;Lookups!$C$106,($AA89+AB89+AC89),IF($AA89&gt;=Lookups!$C$120,($AA89+AB89+AC89),$AA89+$AB89))</f>
        <v>#N/A</v>
      </c>
      <c r="AF89" s="7"/>
      <c r="AG89" s="7"/>
      <c r="AH89" s="7"/>
      <c r="AI89" s="7"/>
      <c r="AJ89" s="7"/>
      <c r="AK89" s="7"/>
      <c r="AL89" s="7"/>
      <c r="AM89" s="7"/>
      <c r="AN89" s="7"/>
      <c r="AO89" s="7"/>
      <c r="AP89" s="7"/>
      <c r="AQ89" s="7"/>
      <c r="AR89" s="7"/>
      <c r="AS89" s="7"/>
      <c r="AT89" s="7"/>
      <c r="AU89" s="7"/>
      <c r="AV89" s="7"/>
      <c r="AW89" s="7"/>
      <c r="AY89" s="7"/>
      <c r="AZ89" s="7"/>
      <c r="BA89" s="7"/>
      <c r="BB89" s="7"/>
    </row>
    <row r="90" spans="2:54" x14ac:dyDescent="0.2">
      <c r="B90" s="174"/>
      <c r="C90" s="176"/>
      <c r="F90" s="5">
        <v>0</v>
      </c>
      <c r="G90" s="192">
        <v>0</v>
      </c>
      <c r="H90" s="192">
        <v>0</v>
      </c>
      <c r="I90" s="5">
        <v>0</v>
      </c>
      <c r="J90" s="192">
        <v>0</v>
      </c>
      <c r="K90" s="192">
        <v>0</v>
      </c>
      <c r="L90" s="5">
        <v>0</v>
      </c>
      <c r="M90" s="5">
        <v>0</v>
      </c>
      <c r="N90" s="4" t="e">
        <f t="shared" si="10"/>
        <v>#N/A</v>
      </c>
      <c r="O90" s="4" t="e">
        <f>IF(ROUND(10.499-(((N90-VLOOKUP($C90,Lookups!$A$55:$D$64,3))/(VLOOKUP($C90,Lookups!$A$55:$D$64,4))*VLOOKUP($C90,Lookups!$C$2:$D$11,2))),0)&lt;1,1,IF(ROUND(10.499-(((N90-VLOOKUP($C90,Lookups!$A$55:$D$64,3))/(VLOOKUP($C90,Lookups!$A$55:$D$64,4))*VLOOKUP($C90,Lookups!$C$2:$D$11,2))),0)&lt;11,ROUND(10.499-(((N90-VLOOKUP($C90,Lookups!$A$55:$D$64,3))/(VLOOKUP($C90,Lookups!$A$55:$D$64,4))*VLOOKUP($C90,Lookups!$C$2:$D$11,2))),0),10))</f>
        <v>#N/A</v>
      </c>
      <c r="P90" s="13" t="str">
        <f>IF((SUM(F90:M90)=0),"J",VLOOKUP(O90,Lookups!$A$1:$B$11,2))</f>
        <v>J</v>
      </c>
      <c r="Q90" s="8" t="e">
        <f>VLOOKUP(C90,Lookups!$A$136:$C$144,3)</f>
        <v>#N/A</v>
      </c>
      <c r="R90" s="8" t="e">
        <f>VLOOKUP(C90,Lookups!$A$136:$C$144,2)</f>
        <v>#N/A</v>
      </c>
      <c r="S90" s="4" t="str">
        <f t="shared" si="11"/>
        <v>No</v>
      </c>
      <c r="T90" s="125">
        <f t="shared" si="12"/>
        <v>0</v>
      </c>
      <c r="U90" s="125">
        <f t="shared" si="13"/>
        <v>0</v>
      </c>
      <c r="V90" s="4" t="e">
        <f>IF($Q90&lt;&gt;3,VLOOKUP(F90,'Points Table A'!B$3:$F$33,5),VLOOKUP(F90,'Points Table A'!H$3:$L$33,5))</f>
        <v>#N/A</v>
      </c>
      <c r="W90" s="4" t="e">
        <f>IF($Q90&lt;&gt;3,VLOOKUP(G90,'Points Table A'!C$3:$F$33,4),VLOOKUP(G90,'Points Table A'!I$3:$L$33,4))</f>
        <v>#N/A</v>
      </c>
      <c r="X90" s="4" t="e">
        <f>IF($Q90&lt;&gt;3,VLOOKUP(H90,'Points Table A'!D$3:$F$28,3),VLOOKUP(H90,'Points Table A'!J$3:$L$33,3))</f>
        <v>#N/A</v>
      </c>
      <c r="Y90" s="4" t="e">
        <f>IF($Q90&lt;&gt;3,VLOOKUP(I90,'Points Table A'!E$3:$F$33,2),VLOOKUP(I90,'Points Table A'!K$3:$L$33,2))</f>
        <v>#N/A</v>
      </c>
      <c r="Z90" s="4" t="e">
        <f t="shared" si="14"/>
        <v>#N/A</v>
      </c>
      <c r="AA90" s="4">
        <f>IF($S90=Lookups!$B$113,VLOOKUP(L90,'Points Table C'!A$3:$E$11,5),VLOOKUP(U90,'Points Table C'!B$3:$E$11,4))</f>
        <v>0</v>
      </c>
      <c r="AB90" s="4" t="e">
        <f>IF($Q90=1,0,VLOOKUP($J90,'Points Table C'!$C$3:$E$18,3))</f>
        <v>#N/A</v>
      </c>
      <c r="AC90" s="4">
        <f>VLOOKUP($K90,'Points Table C'!$D$3:$E$18,2)</f>
        <v>0</v>
      </c>
      <c r="AD90" s="4" t="e">
        <f>IF($Z90&lt;Lookups!$C$106,($AA90+AB90+AC90),IF($AA90&gt;=Lookups!$C$120,($AA90+AB90+AC90),$AA90+$AB90))</f>
        <v>#N/A</v>
      </c>
      <c r="AF90" s="7"/>
      <c r="AG90" s="7"/>
      <c r="AH90" s="7"/>
      <c r="AI90" s="7"/>
      <c r="AJ90" s="7"/>
      <c r="AK90" s="7"/>
      <c r="AL90" s="7"/>
      <c r="AM90" s="7"/>
      <c r="AN90" s="7"/>
      <c r="AO90" s="7"/>
      <c r="AP90" s="7"/>
      <c r="AQ90" s="7"/>
      <c r="AR90" s="7"/>
      <c r="AS90" s="7"/>
      <c r="AT90" s="7"/>
      <c r="AU90" s="7"/>
      <c r="AV90" s="7"/>
      <c r="AW90" s="7"/>
      <c r="AY90" s="7"/>
      <c r="AZ90" s="7"/>
      <c r="BA90" s="7"/>
      <c r="BB90" s="7"/>
    </row>
    <row r="91" spans="2:54" x14ac:dyDescent="0.2">
      <c r="B91" s="174"/>
      <c r="C91" s="176"/>
      <c r="F91" s="5">
        <v>0</v>
      </c>
      <c r="G91" s="192">
        <v>0</v>
      </c>
      <c r="H91" s="192">
        <v>0</v>
      </c>
      <c r="I91" s="5">
        <v>0</v>
      </c>
      <c r="J91" s="192">
        <v>0</v>
      </c>
      <c r="K91" s="192">
        <v>0</v>
      </c>
      <c r="L91" s="5">
        <v>0</v>
      </c>
      <c r="M91" s="5">
        <v>0</v>
      </c>
      <c r="N91" s="4" t="e">
        <f t="shared" si="10"/>
        <v>#N/A</v>
      </c>
      <c r="O91" s="4" t="e">
        <f>IF(ROUND(10.499-(((N91-VLOOKUP($C91,Lookups!$A$55:$D$64,3))/(VLOOKUP($C91,Lookups!$A$55:$D$64,4))*VLOOKUP($C91,Lookups!$C$2:$D$11,2))),0)&lt;1,1,IF(ROUND(10.499-(((N91-VLOOKUP($C91,Lookups!$A$55:$D$64,3))/(VLOOKUP($C91,Lookups!$A$55:$D$64,4))*VLOOKUP($C91,Lookups!$C$2:$D$11,2))),0)&lt;11,ROUND(10.499-(((N91-VLOOKUP($C91,Lookups!$A$55:$D$64,3))/(VLOOKUP($C91,Lookups!$A$55:$D$64,4))*VLOOKUP($C91,Lookups!$C$2:$D$11,2))),0),10))</f>
        <v>#N/A</v>
      </c>
      <c r="P91" s="13" t="str">
        <f>IF((SUM(F91:M91)=0),"J",VLOOKUP(O91,Lookups!$A$1:$B$11,2))</f>
        <v>J</v>
      </c>
      <c r="Q91" s="8" t="e">
        <f>VLOOKUP(C91,Lookups!$A$136:$C$144,3)</f>
        <v>#N/A</v>
      </c>
      <c r="R91" s="8" t="e">
        <f>VLOOKUP(C91,Lookups!$A$136:$C$144,2)</f>
        <v>#N/A</v>
      </c>
      <c r="S91" s="4" t="str">
        <f t="shared" si="11"/>
        <v>No</v>
      </c>
      <c r="T91" s="125">
        <f t="shared" si="12"/>
        <v>0</v>
      </c>
      <c r="U91" s="125">
        <f t="shared" si="13"/>
        <v>0</v>
      </c>
      <c r="V91" s="4" t="e">
        <f>IF($Q91&lt;&gt;3,VLOOKUP(F91,'Points Table A'!B$3:$F$33,5),VLOOKUP(F91,'Points Table A'!H$3:$L$33,5))</f>
        <v>#N/A</v>
      </c>
      <c r="W91" s="4" t="e">
        <f>IF($Q91&lt;&gt;3,VLOOKUP(G91,'Points Table A'!C$3:$F$33,4),VLOOKUP(G91,'Points Table A'!I$3:$L$33,4))</f>
        <v>#N/A</v>
      </c>
      <c r="X91" s="4" t="e">
        <f>IF($Q91&lt;&gt;3,VLOOKUP(H91,'Points Table A'!D$3:$F$28,3),VLOOKUP(H91,'Points Table A'!J$3:$L$33,3))</f>
        <v>#N/A</v>
      </c>
      <c r="Y91" s="4" t="e">
        <f>IF($Q91&lt;&gt;3,VLOOKUP(I91,'Points Table A'!E$3:$F$33,2),VLOOKUP(I91,'Points Table A'!K$3:$L$33,2))</f>
        <v>#N/A</v>
      </c>
      <c r="Z91" s="4" t="e">
        <f t="shared" si="14"/>
        <v>#N/A</v>
      </c>
      <c r="AA91" s="4">
        <f>IF($S91=Lookups!$B$113,VLOOKUP(L91,'Points Table C'!A$3:$E$11,5),VLOOKUP(U91,'Points Table C'!B$3:$E$11,4))</f>
        <v>0</v>
      </c>
      <c r="AB91" s="4" t="e">
        <f>IF($Q91=1,0,VLOOKUP($J91,'Points Table C'!$C$3:$E$18,3))</f>
        <v>#N/A</v>
      </c>
      <c r="AC91" s="4">
        <f>VLOOKUP($K91,'Points Table C'!$D$3:$E$18,2)</f>
        <v>0</v>
      </c>
      <c r="AD91" s="4" t="e">
        <f>IF($Z91&lt;Lookups!$C$106,($AA91+AB91+AC91),IF($AA91&gt;=Lookups!$C$120,($AA91+AB91+AC91),$AA91+$AB91))</f>
        <v>#N/A</v>
      </c>
      <c r="AF91" s="7"/>
      <c r="AG91" s="7"/>
      <c r="AH91" s="7"/>
      <c r="AI91" s="7"/>
      <c r="AJ91" s="7"/>
      <c r="AK91" s="7"/>
      <c r="AL91" s="7"/>
      <c r="AM91" s="7"/>
      <c r="AN91" s="7"/>
      <c r="AO91" s="7"/>
      <c r="AP91" s="7"/>
      <c r="AQ91" s="7"/>
      <c r="AR91" s="7"/>
      <c r="AS91" s="7"/>
      <c r="AT91" s="7"/>
      <c r="AU91" s="7"/>
      <c r="AV91" s="7"/>
      <c r="AW91" s="7"/>
      <c r="AY91" s="7"/>
      <c r="AZ91" s="7"/>
      <c r="BA91" s="7"/>
      <c r="BB91" s="7"/>
    </row>
    <row r="92" spans="2:54" x14ac:dyDescent="0.2">
      <c r="B92" s="174"/>
      <c r="C92" s="176"/>
      <c r="F92" s="5">
        <v>0</v>
      </c>
      <c r="G92" s="192">
        <v>0</v>
      </c>
      <c r="H92" s="192">
        <v>0</v>
      </c>
      <c r="I92" s="5">
        <v>0</v>
      </c>
      <c r="J92" s="192">
        <v>0</v>
      </c>
      <c r="K92" s="192">
        <v>0</v>
      </c>
      <c r="L92" s="5">
        <v>0</v>
      </c>
      <c r="M92" s="5">
        <v>0</v>
      </c>
      <c r="N92" s="4" t="e">
        <f t="shared" si="10"/>
        <v>#N/A</v>
      </c>
      <c r="O92" s="4" t="e">
        <f>IF(ROUND(10.499-(((N92-VLOOKUP($C92,Lookups!$A$55:$D$64,3))/(VLOOKUP($C92,Lookups!$A$55:$D$64,4))*VLOOKUP($C92,Lookups!$C$2:$D$11,2))),0)&lt;1,1,IF(ROUND(10.499-(((N92-VLOOKUP($C92,Lookups!$A$55:$D$64,3))/(VLOOKUP($C92,Lookups!$A$55:$D$64,4))*VLOOKUP($C92,Lookups!$C$2:$D$11,2))),0)&lt;11,ROUND(10.499-(((N92-VLOOKUP($C92,Lookups!$A$55:$D$64,3))/(VLOOKUP($C92,Lookups!$A$55:$D$64,4))*VLOOKUP($C92,Lookups!$C$2:$D$11,2))),0),10))</f>
        <v>#N/A</v>
      </c>
      <c r="P92" s="13" t="str">
        <f>IF((SUM(F92:M92)=0),"J",VLOOKUP(O92,Lookups!$A$1:$B$11,2))</f>
        <v>J</v>
      </c>
      <c r="Q92" s="8" t="e">
        <f>VLOOKUP(C92,Lookups!$A$136:$C$144,3)</f>
        <v>#N/A</v>
      </c>
      <c r="R92" s="8" t="e">
        <f>VLOOKUP(C92,Lookups!$A$136:$C$144,2)</f>
        <v>#N/A</v>
      </c>
      <c r="S92" s="4" t="str">
        <f t="shared" si="11"/>
        <v>No</v>
      </c>
      <c r="T92" s="125">
        <f t="shared" si="12"/>
        <v>0</v>
      </c>
      <c r="U92" s="125">
        <f t="shared" si="13"/>
        <v>0</v>
      </c>
      <c r="V92" s="4" t="e">
        <f>IF($Q92&lt;&gt;3,VLOOKUP(F92,'Points Table A'!B$3:$F$33,5),VLOOKUP(F92,'Points Table A'!H$3:$L$33,5))</f>
        <v>#N/A</v>
      </c>
      <c r="W92" s="4" t="e">
        <f>IF($Q92&lt;&gt;3,VLOOKUP(G92,'Points Table A'!C$3:$F$33,4),VLOOKUP(G92,'Points Table A'!I$3:$L$33,4))</f>
        <v>#N/A</v>
      </c>
      <c r="X92" s="4" t="e">
        <f>IF($Q92&lt;&gt;3,VLOOKUP(H92,'Points Table A'!D$3:$F$28,3),VLOOKUP(H92,'Points Table A'!J$3:$L$33,3))</f>
        <v>#N/A</v>
      </c>
      <c r="Y92" s="4" t="e">
        <f>IF($Q92&lt;&gt;3,VLOOKUP(I92,'Points Table A'!E$3:$F$33,2),VLOOKUP(I92,'Points Table A'!K$3:$L$33,2))</f>
        <v>#N/A</v>
      </c>
      <c r="Z92" s="4" t="e">
        <f t="shared" si="14"/>
        <v>#N/A</v>
      </c>
      <c r="AA92" s="4">
        <f>IF($S92=Lookups!$B$113,VLOOKUP(L92,'Points Table C'!A$3:$E$11,5),VLOOKUP(U92,'Points Table C'!B$3:$E$11,4))</f>
        <v>0</v>
      </c>
      <c r="AB92" s="4" t="e">
        <f>IF($Q92=1,0,VLOOKUP($J92,'Points Table C'!$C$3:$E$18,3))</f>
        <v>#N/A</v>
      </c>
      <c r="AC92" s="4">
        <f>VLOOKUP($K92,'Points Table C'!$D$3:$E$18,2)</f>
        <v>0</v>
      </c>
      <c r="AD92" s="4" t="e">
        <f>IF($Z92&lt;Lookups!$C$106,($AA92+AB92+AC92),IF($AA92&gt;=Lookups!$C$120,($AA92+AB92+AC92),$AA92+$AB92))</f>
        <v>#N/A</v>
      </c>
      <c r="AF92" s="7"/>
      <c r="AG92" s="7"/>
      <c r="AH92" s="7"/>
      <c r="AI92" s="7"/>
      <c r="AJ92" s="7"/>
      <c r="AK92" s="7"/>
      <c r="AL92" s="7"/>
      <c r="AM92" s="7"/>
      <c r="AN92" s="7"/>
      <c r="AO92" s="7"/>
      <c r="AP92" s="7"/>
      <c r="AQ92" s="7"/>
      <c r="AR92" s="7"/>
      <c r="AS92" s="7"/>
      <c r="AT92" s="7"/>
      <c r="AU92" s="7"/>
      <c r="AV92" s="7"/>
      <c r="AW92" s="7"/>
      <c r="AY92" s="7"/>
      <c r="AZ92" s="7"/>
      <c r="BA92" s="7"/>
      <c r="BB92" s="7"/>
    </row>
    <row r="93" spans="2:54" x14ac:dyDescent="0.2">
      <c r="B93" s="174"/>
      <c r="C93" s="176"/>
      <c r="F93" s="5">
        <v>0</v>
      </c>
      <c r="G93" s="192">
        <v>0</v>
      </c>
      <c r="H93" s="192">
        <v>0</v>
      </c>
      <c r="I93" s="5">
        <v>0</v>
      </c>
      <c r="J93" s="192">
        <v>0</v>
      </c>
      <c r="K93" s="192">
        <v>0</v>
      </c>
      <c r="L93" s="5">
        <v>0</v>
      </c>
      <c r="M93" s="5">
        <v>0</v>
      </c>
      <c r="N93" s="4" t="e">
        <f t="shared" si="10"/>
        <v>#N/A</v>
      </c>
      <c r="O93" s="4" t="e">
        <f>IF(ROUND(10.499-(((N93-VLOOKUP($C93,Lookups!$A$55:$D$64,3))/(VLOOKUP($C93,Lookups!$A$55:$D$64,4))*VLOOKUP($C93,Lookups!$C$2:$D$11,2))),0)&lt;1,1,IF(ROUND(10.499-(((N93-VLOOKUP($C93,Lookups!$A$55:$D$64,3))/(VLOOKUP($C93,Lookups!$A$55:$D$64,4))*VLOOKUP($C93,Lookups!$C$2:$D$11,2))),0)&lt;11,ROUND(10.499-(((N93-VLOOKUP($C93,Lookups!$A$55:$D$64,3))/(VLOOKUP($C93,Lookups!$A$55:$D$64,4))*VLOOKUP($C93,Lookups!$C$2:$D$11,2))),0),10))</f>
        <v>#N/A</v>
      </c>
      <c r="P93" s="13" t="str">
        <f>IF((SUM(F93:M93)=0),"J",VLOOKUP(O93,Lookups!$A$1:$B$11,2))</f>
        <v>J</v>
      </c>
      <c r="Q93" s="8" t="e">
        <f>VLOOKUP(C93,Lookups!$A$136:$C$144,3)</f>
        <v>#N/A</v>
      </c>
      <c r="R93" s="8" t="e">
        <f>VLOOKUP(C93,Lookups!$A$136:$C$144,2)</f>
        <v>#N/A</v>
      </c>
      <c r="S93" s="4" t="str">
        <f t="shared" si="11"/>
        <v>No</v>
      </c>
      <c r="T93" s="125">
        <f t="shared" si="12"/>
        <v>0</v>
      </c>
      <c r="U93" s="125">
        <f t="shared" si="13"/>
        <v>0</v>
      </c>
      <c r="V93" s="4" t="e">
        <f>IF($Q93&lt;&gt;3,VLOOKUP(F93,'Points Table A'!B$3:$F$33,5),VLOOKUP(F93,'Points Table A'!H$3:$L$33,5))</f>
        <v>#N/A</v>
      </c>
      <c r="W93" s="4" t="e">
        <f>IF($Q93&lt;&gt;3,VLOOKUP(G93,'Points Table A'!C$3:$F$33,4),VLOOKUP(G93,'Points Table A'!I$3:$L$33,4))</f>
        <v>#N/A</v>
      </c>
      <c r="X93" s="4" t="e">
        <f>IF($Q93&lt;&gt;3,VLOOKUP(H93,'Points Table A'!D$3:$F$28,3),VLOOKUP(H93,'Points Table A'!J$3:$L$33,3))</f>
        <v>#N/A</v>
      </c>
      <c r="Y93" s="4" t="e">
        <f>IF($Q93&lt;&gt;3,VLOOKUP(I93,'Points Table A'!E$3:$F$33,2),VLOOKUP(I93,'Points Table A'!K$3:$L$33,2))</f>
        <v>#N/A</v>
      </c>
      <c r="Z93" s="4" t="e">
        <f t="shared" si="14"/>
        <v>#N/A</v>
      </c>
      <c r="AA93" s="4">
        <f>IF($S93=Lookups!$B$113,VLOOKUP(L93,'Points Table C'!A$3:$E$11,5),VLOOKUP(U93,'Points Table C'!B$3:$E$11,4))</f>
        <v>0</v>
      </c>
      <c r="AB93" s="4" t="e">
        <f>IF($Q93=1,0,VLOOKUP($J93,'Points Table C'!$C$3:$E$18,3))</f>
        <v>#N/A</v>
      </c>
      <c r="AC93" s="4">
        <f>VLOOKUP($K93,'Points Table C'!$D$3:$E$18,2)</f>
        <v>0</v>
      </c>
      <c r="AD93" s="4" t="e">
        <f>IF($Z93&lt;Lookups!$C$106,($AA93+AB93+AC93),IF($AA93&gt;=Lookups!$C$120,($AA93+AB93+AC93),$AA93+$AB93))</f>
        <v>#N/A</v>
      </c>
      <c r="AF93" s="7"/>
      <c r="AG93" s="7"/>
      <c r="AH93" s="7"/>
      <c r="AI93" s="7"/>
      <c r="AJ93" s="7"/>
      <c r="AK93" s="7"/>
      <c r="AL93" s="7"/>
      <c r="AM93" s="7"/>
      <c r="AN93" s="7"/>
      <c r="AO93" s="7"/>
      <c r="AP93" s="7"/>
      <c r="AQ93" s="7"/>
      <c r="AR93" s="7"/>
      <c r="AS93" s="7"/>
      <c r="AT93" s="7"/>
      <c r="AU93" s="7"/>
      <c r="AV93" s="7"/>
      <c r="AW93" s="7"/>
      <c r="AY93" s="7"/>
      <c r="AZ93" s="7"/>
      <c r="BA93" s="7"/>
      <c r="BB93" s="7"/>
    </row>
    <row r="94" spans="2:54" x14ac:dyDescent="0.2">
      <c r="B94" s="174"/>
      <c r="C94" s="176"/>
      <c r="F94" s="5">
        <v>0</v>
      </c>
      <c r="G94" s="192">
        <v>0</v>
      </c>
      <c r="H94" s="192">
        <v>0</v>
      </c>
      <c r="I94" s="5">
        <v>0</v>
      </c>
      <c r="J94" s="192">
        <v>0</v>
      </c>
      <c r="K94" s="192">
        <v>0</v>
      </c>
      <c r="L94" s="5">
        <v>0</v>
      </c>
      <c r="M94" s="5">
        <v>0</v>
      </c>
      <c r="N94" s="4" t="e">
        <f t="shared" si="10"/>
        <v>#N/A</v>
      </c>
      <c r="O94" s="4" t="e">
        <f>IF(ROUND(10.499-(((N94-VLOOKUP($C94,Lookups!$A$55:$D$64,3))/(VLOOKUP($C94,Lookups!$A$55:$D$64,4))*VLOOKUP($C94,Lookups!$C$2:$D$11,2))),0)&lt;1,1,IF(ROUND(10.499-(((N94-VLOOKUP($C94,Lookups!$A$55:$D$64,3))/(VLOOKUP($C94,Lookups!$A$55:$D$64,4))*VLOOKUP($C94,Lookups!$C$2:$D$11,2))),0)&lt;11,ROUND(10.499-(((N94-VLOOKUP($C94,Lookups!$A$55:$D$64,3))/(VLOOKUP($C94,Lookups!$A$55:$D$64,4))*VLOOKUP($C94,Lookups!$C$2:$D$11,2))),0),10))</f>
        <v>#N/A</v>
      </c>
      <c r="P94" s="13" t="str">
        <f>IF((SUM(F94:M94)=0),"J",VLOOKUP(O94,Lookups!$A$1:$B$11,2))</f>
        <v>J</v>
      </c>
      <c r="Q94" s="8" t="e">
        <f>VLOOKUP(C94,Lookups!$A$136:$C$144,3)</f>
        <v>#N/A</v>
      </c>
      <c r="R94" s="8" t="e">
        <f>VLOOKUP(C94,Lookups!$A$136:$C$144,2)</f>
        <v>#N/A</v>
      </c>
      <c r="S94" s="4" t="str">
        <f t="shared" si="11"/>
        <v>No</v>
      </c>
      <c r="T94" s="125">
        <f t="shared" si="12"/>
        <v>0</v>
      </c>
      <c r="U94" s="125">
        <f t="shared" si="13"/>
        <v>0</v>
      </c>
      <c r="V94" s="4" t="e">
        <f>IF($Q94&lt;&gt;3,VLOOKUP(F94,'Points Table A'!B$3:$F$33,5),VLOOKUP(F94,'Points Table A'!H$3:$L$33,5))</f>
        <v>#N/A</v>
      </c>
      <c r="W94" s="4" t="e">
        <f>IF($Q94&lt;&gt;3,VLOOKUP(G94,'Points Table A'!C$3:$F$33,4),VLOOKUP(G94,'Points Table A'!I$3:$L$33,4))</f>
        <v>#N/A</v>
      </c>
      <c r="X94" s="4" t="e">
        <f>IF($Q94&lt;&gt;3,VLOOKUP(H94,'Points Table A'!D$3:$F$28,3),VLOOKUP(H94,'Points Table A'!J$3:$L$33,3))</f>
        <v>#N/A</v>
      </c>
      <c r="Y94" s="4" t="e">
        <f>IF($Q94&lt;&gt;3,VLOOKUP(I94,'Points Table A'!E$3:$F$33,2),VLOOKUP(I94,'Points Table A'!K$3:$L$33,2))</f>
        <v>#N/A</v>
      </c>
      <c r="Z94" s="4" t="e">
        <f t="shared" si="14"/>
        <v>#N/A</v>
      </c>
      <c r="AA94" s="4">
        <f>IF($S94=Lookups!$B$113,VLOOKUP(L94,'Points Table C'!A$3:$E$11,5),VLOOKUP(U94,'Points Table C'!B$3:$E$11,4))</f>
        <v>0</v>
      </c>
      <c r="AB94" s="4" t="e">
        <f>IF($Q94=1,0,VLOOKUP($J94,'Points Table C'!$C$3:$E$18,3))</f>
        <v>#N/A</v>
      </c>
      <c r="AC94" s="4">
        <f>VLOOKUP($K94,'Points Table C'!$D$3:$E$18,2)</f>
        <v>0</v>
      </c>
      <c r="AD94" s="4" t="e">
        <f>IF($Z94&lt;Lookups!$C$106,($AA94+AB94+AC94),IF($AA94&gt;=Lookups!$C$120,($AA94+AB94+AC94),$AA94+$AB94))</f>
        <v>#N/A</v>
      </c>
      <c r="AF94" s="7"/>
      <c r="AG94" s="7"/>
      <c r="AH94" s="7"/>
      <c r="AI94" s="7"/>
      <c r="AJ94" s="7"/>
      <c r="AK94" s="7"/>
      <c r="AL94" s="7"/>
      <c r="AM94" s="7"/>
      <c r="AN94" s="7"/>
      <c r="AO94" s="7"/>
      <c r="AP94" s="7"/>
      <c r="AQ94" s="7"/>
      <c r="AR94" s="7"/>
      <c r="AS94" s="7"/>
      <c r="AT94" s="7"/>
      <c r="AU94" s="7"/>
      <c r="AV94" s="7"/>
      <c r="AW94" s="7"/>
      <c r="AY94" s="7"/>
      <c r="AZ94" s="7"/>
      <c r="BA94" s="7"/>
      <c r="BB94" s="7"/>
    </row>
    <row r="95" spans="2:54" x14ac:dyDescent="0.2">
      <c r="B95" s="174"/>
      <c r="C95" s="176"/>
      <c r="F95" s="5">
        <v>0</v>
      </c>
      <c r="G95" s="192">
        <v>0</v>
      </c>
      <c r="H95" s="192">
        <v>0</v>
      </c>
      <c r="I95" s="5">
        <v>0</v>
      </c>
      <c r="J95" s="192">
        <v>0</v>
      </c>
      <c r="K95" s="192">
        <v>0</v>
      </c>
      <c r="L95" s="5">
        <v>0</v>
      </c>
      <c r="M95" s="5">
        <v>0</v>
      </c>
      <c r="N95" s="4" t="e">
        <f t="shared" si="10"/>
        <v>#N/A</v>
      </c>
      <c r="O95" s="4" t="e">
        <f>IF(ROUND(10.499-(((N95-VLOOKUP($C95,Lookups!$A$55:$D$64,3))/(VLOOKUP($C95,Lookups!$A$55:$D$64,4))*VLOOKUP($C95,Lookups!$C$2:$D$11,2))),0)&lt;1,1,IF(ROUND(10.499-(((N95-VLOOKUP($C95,Lookups!$A$55:$D$64,3))/(VLOOKUP($C95,Lookups!$A$55:$D$64,4))*VLOOKUP($C95,Lookups!$C$2:$D$11,2))),0)&lt;11,ROUND(10.499-(((N95-VLOOKUP($C95,Lookups!$A$55:$D$64,3))/(VLOOKUP($C95,Lookups!$A$55:$D$64,4))*VLOOKUP($C95,Lookups!$C$2:$D$11,2))),0),10))</f>
        <v>#N/A</v>
      </c>
      <c r="P95" s="13" t="str">
        <f>IF((SUM(F95:M95)=0),"J",VLOOKUP(O95,Lookups!$A$1:$B$11,2))</f>
        <v>J</v>
      </c>
      <c r="Q95" s="8" t="e">
        <f>VLOOKUP(C95,Lookups!$A$136:$C$144,3)</f>
        <v>#N/A</v>
      </c>
      <c r="R95" s="8" t="e">
        <f>VLOOKUP(C95,Lookups!$A$136:$C$144,2)</f>
        <v>#N/A</v>
      </c>
      <c r="S95" s="4" t="str">
        <f t="shared" si="11"/>
        <v>No</v>
      </c>
      <c r="T95" s="125">
        <f t="shared" si="12"/>
        <v>0</v>
      </c>
      <c r="U95" s="125">
        <f t="shared" si="13"/>
        <v>0</v>
      </c>
      <c r="V95" s="4" t="e">
        <f>IF($Q95&lt;&gt;3,VLOOKUP(F95,'Points Table A'!B$3:$F$33,5),VLOOKUP(F95,'Points Table A'!H$3:$L$33,5))</f>
        <v>#N/A</v>
      </c>
      <c r="W95" s="4" t="e">
        <f>IF($Q95&lt;&gt;3,VLOOKUP(G95,'Points Table A'!C$3:$F$33,4),VLOOKUP(G95,'Points Table A'!I$3:$L$33,4))</f>
        <v>#N/A</v>
      </c>
      <c r="X95" s="4" t="e">
        <f>IF($Q95&lt;&gt;3,VLOOKUP(H95,'Points Table A'!D$3:$F$28,3),VLOOKUP(H95,'Points Table A'!J$3:$L$33,3))</f>
        <v>#N/A</v>
      </c>
      <c r="Y95" s="4" t="e">
        <f>IF($Q95&lt;&gt;3,VLOOKUP(I95,'Points Table A'!E$3:$F$33,2),VLOOKUP(I95,'Points Table A'!K$3:$L$33,2))</f>
        <v>#N/A</v>
      </c>
      <c r="Z95" s="4" t="e">
        <f t="shared" si="14"/>
        <v>#N/A</v>
      </c>
      <c r="AA95" s="4">
        <f>IF($S95=Lookups!$B$113,VLOOKUP(L95,'Points Table C'!A$3:$E$11,5),VLOOKUP(U95,'Points Table C'!B$3:$E$11,4))</f>
        <v>0</v>
      </c>
      <c r="AB95" s="4" t="e">
        <f>IF($Q95=1,0,VLOOKUP($J95,'Points Table C'!$C$3:$E$18,3))</f>
        <v>#N/A</v>
      </c>
      <c r="AC95" s="4">
        <f>VLOOKUP($K95,'Points Table C'!$D$3:$E$18,2)</f>
        <v>0</v>
      </c>
      <c r="AD95" s="4" t="e">
        <f>IF($Z95&lt;Lookups!$C$106,($AA95+AB95+AC95),IF($AA95&gt;=Lookups!$C$120,($AA95+AB95+AC95),$AA95+$AB95))</f>
        <v>#N/A</v>
      </c>
      <c r="AF95" s="7"/>
      <c r="AG95" s="7"/>
      <c r="AH95" s="7"/>
      <c r="AI95" s="7"/>
      <c r="AJ95" s="7"/>
      <c r="AK95" s="7"/>
      <c r="AL95" s="7"/>
      <c r="AM95" s="7"/>
      <c r="AN95" s="7"/>
      <c r="AO95" s="7"/>
      <c r="AP95" s="7"/>
      <c r="AQ95" s="7"/>
      <c r="AR95" s="7"/>
      <c r="AS95" s="7"/>
      <c r="AT95" s="7"/>
      <c r="AU95" s="7"/>
      <c r="AV95" s="7"/>
      <c r="AW95" s="7"/>
      <c r="AY95" s="7"/>
      <c r="AZ95" s="7"/>
      <c r="BA95" s="7"/>
      <c r="BB95" s="7"/>
    </row>
    <row r="96" spans="2:54" x14ac:dyDescent="0.2">
      <c r="B96" s="174"/>
      <c r="C96" s="176"/>
      <c r="F96" s="5">
        <v>0</v>
      </c>
      <c r="G96" s="192">
        <v>0</v>
      </c>
      <c r="H96" s="192">
        <v>0</v>
      </c>
      <c r="I96" s="5">
        <v>0</v>
      </c>
      <c r="J96" s="192">
        <v>0</v>
      </c>
      <c r="K96" s="192">
        <v>0</v>
      </c>
      <c r="L96" s="5">
        <v>0</v>
      </c>
      <c r="M96" s="5">
        <v>0</v>
      </c>
      <c r="N96" s="4" t="e">
        <f t="shared" si="10"/>
        <v>#N/A</v>
      </c>
      <c r="O96" s="4" t="e">
        <f>IF(ROUND(10.499-(((N96-VLOOKUP($C96,Lookups!$A$55:$D$64,3))/(VLOOKUP($C96,Lookups!$A$55:$D$64,4))*VLOOKUP($C96,Lookups!$C$2:$D$11,2))),0)&lt;1,1,IF(ROUND(10.499-(((N96-VLOOKUP($C96,Lookups!$A$55:$D$64,3))/(VLOOKUP($C96,Lookups!$A$55:$D$64,4))*VLOOKUP($C96,Lookups!$C$2:$D$11,2))),0)&lt;11,ROUND(10.499-(((N96-VLOOKUP($C96,Lookups!$A$55:$D$64,3))/(VLOOKUP($C96,Lookups!$A$55:$D$64,4))*VLOOKUP($C96,Lookups!$C$2:$D$11,2))),0),10))</f>
        <v>#N/A</v>
      </c>
      <c r="P96" s="13" t="str">
        <f>IF((SUM(F96:M96)=0),"J",VLOOKUP(O96,Lookups!$A$1:$B$11,2))</f>
        <v>J</v>
      </c>
      <c r="Q96" s="8" t="e">
        <f>VLOOKUP(C96,Lookups!$A$136:$C$144,3)</f>
        <v>#N/A</v>
      </c>
      <c r="R96" s="8" t="e">
        <f>VLOOKUP(C96,Lookups!$A$136:$C$144,2)</f>
        <v>#N/A</v>
      </c>
      <c r="S96" s="4" t="str">
        <f t="shared" si="11"/>
        <v>No</v>
      </c>
      <c r="T96" s="125">
        <f t="shared" si="12"/>
        <v>0</v>
      </c>
      <c r="U96" s="125">
        <f t="shared" si="13"/>
        <v>0</v>
      </c>
      <c r="V96" s="4" t="e">
        <f>IF($Q96&lt;&gt;3,VLOOKUP(F96,'Points Table A'!B$3:$F$33,5),VLOOKUP(F96,'Points Table A'!H$3:$L$33,5))</f>
        <v>#N/A</v>
      </c>
      <c r="W96" s="4" t="e">
        <f>IF($Q96&lt;&gt;3,VLOOKUP(G96,'Points Table A'!C$3:$F$33,4),VLOOKUP(G96,'Points Table A'!I$3:$L$33,4))</f>
        <v>#N/A</v>
      </c>
      <c r="X96" s="4" t="e">
        <f>IF($Q96&lt;&gt;3,VLOOKUP(H96,'Points Table A'!D$3:$F$28,3),VLOOKUP(H96,'Points Table A'!J$3:$L$33,3))</f>
        <v>#N/A</v>
      </c>
      <c r="Y96" s="4" t="e">
        <f>IF($Q96&lt;&gt;3,VLOOKUP(I96,'Points Table A'!E$3:$F$33,2),VLOOKUP(I96,'Points Table A'!K$3:$L$33,2))</f>
        <v>#N/A</v>
      </c>
      <c r="Z96" s="4" t="e">
        <f t="shared" si="14"/>
        <v>#N/A</v>
      </c>
      <c r="AA96" s="4">
        <f>IF($S96=Lookups!$B$113,VLOOKUP(L96,'Points Table C'!A$3:$E$11,5),VLOOKUP(U96,'Points Table C'!B$3:$E$11,4))</f>
        <v>0</v>
      </c>
      <c r="AB96" s="4" t="e">
        <f>IF($Q96=1,0,VLOOKUP($J96,'Points Table C'!$C$3:$E$18,3))</f>
        <v>#N/A</v>
      </c>
      <c r="AC96" s="4">
        <f>VLOOKUP($K96,'Points Table C'!$D$3:$E$18,2)</f>
        <v>0</v>
      </c>
      <c r="AD96" s="4" t="e">
        <f>IF($Z96&lt;Lookups!$C$106,($AA96+AB96+AC96),IF($AA96&gt;=Lookups!$C$120,($AA96+AB96+AC96),$AA96+$AB96))</f>
        <v>#N/A</v>
      </c>
      <c r="AF96" s="7"/>
      <c r="AG96" s="7"/>
      <c r="AH96" s="7"/>
      <c r="AI96" s="7"/>
      <c r="AJ96" s="7"/>
      <c r="AK96" s="7"/>
      <c r="AL96" s="7"/>
      <c r="AM96" s="7"/>
      <c r="AN96" s="7"/>
      <c r="AO96" s="7"/>
      <c r="AP96" s="7"/>
      <c r="AQ96" s="7"/>
      <c r="AR96" s="7"/>
      <c r="AS96" s="7"/>
      <c r="AT96" s="7"/>
      <c r="AU96" s="7"/>
      <c r="AV96" s="7"/>
      <c r="AW96" s="7"/>
      <c r="AY96" s="7"/>
      <c r="AZ96" s="7"/>
      <c r="BA96" s="7"/>
      <c r="BB96" s="7"/>
    </row>
    <row r="97" spans="2:54" x14ac:dyDescent="0.2">
      <c r="B97" s="174"/>
      <c r="C97" s="176"/>
      <c r="F97" s="5">
        <v>0</v>
      </c>
      <c r="G97" s="192">
        <v>0</v>
      </c>
      <c r="H97" s="192">
        <v>0</v>
      </c>
      <c r="I97" s="5">
        <v>0</v>
      </c>
      <c r="J97" s="192">
        <v>0</v>
      </c>
      <c r="K97" s="192">
        <v>0</v>
      </c>
      <c r="L97" s="5">
        <v>0</v>
      </c>
      <c r="M97" s="5">
        <v>0</v>
      </c>
      <c r="N97" s="4" t="e">
        <f t="shared" si="10"/>
        <v>#N/A</v>
      </c>
      <c r="O97" s="4" t="e">
        <f>IF(ROUND(10.499-(((N97-VLOOKUP($C97,Lookups!$A$55:$D$64,3))/(VLOOKUP($C97,Lookups!$A$55:$D$64,4))*VLOOKUP($C97,Lookups!$C$2:$D$11,2))),0)&lt;1,1,IF(ROUND(10.499-(((N97-VLOOKUP($C97,Lookups!$A$55:$D$64,3))/(VLOOKUP($C97,Lookups!$A$55:$D$64,4))*VLOOKUP($C97,Lookups!$C$2:$D$11,2))),0)&lt;11,ROUND(10.499-(((N97-VLOOKUP($C97,Lookups!$A$55:$D$64,3))/(VLOOKUP($C97,Lookups!$A$55:$D$64,4))*VLOOKUP($C97,Lookups!$C$2:$D$11,2))),0),10))</f>
        <v>#N/A</v>
      </c>
      <c r="P97" s="13" t="str">
        <f>IF((SUM(F97:M97)=0),"J",VLOOKUP(O97,Lookups!$A$1:$B$11,2))</f>
        <v>J</v>
      </c>
      <c r="Q97" s="8" t="e">
        <f>VLOOKUP(C97,Lookups!$A$136:$C$144,3)</f>
        <v>#N/A</v>
      </c>
      <c r="R97" s="8" t="e">
        <f>VLOOKUP(C97,Lookups!$A$136:$C$144,2)</f>
        <v>#N/A</v>
      </c>
      <c r="S97" s="4" t="str">
        <f t="shared" si="11"/>
        <v>No</v>
      </c>
      <c r="T97" s="125">
        <f t="shared" si="12"/>
        <v>0</v>
      </c>
      <c r="U97" s="125">
        <f t="shared" si="13"/>
        <v>0</v>
      </c>
      <c r="V97" s="4" t="e">
        <f>IF($Q97&lt;&gt;3,VLOOKUP(F97,'Points Table A'!B$3:$F$33,5),VLOOKUP(F97,'Points Table A'!H$3:$L$33,5))</f>
        <v>#N/A</v>
      </c>
      <c r="W97" s="4" t="e">
        <f>IF($Q97&lt;&gt;3,VLOOKUP(G97,'Points Table A'!C$3:$F$33,4),VLOOKUP(G97,'Points Table A'!I$3:$L$33,4))</f>
        <v>#N/A</v>
      </c>
      <c r="X97" s="4" t="e">
        <f>IF($Q97&lt;&gt;3,VLOOKUP(H97,'Points Table A'!D$3:$F$28,3),VLOOKUP(H97,'Points Table A'!J$3:$L$33,3))</f>
        <v>#N/A</v>
      </c>
      <c r="Y97" s="4" t="e">
        <f>IF($Q97&lt;&gt;3,VLOOKUP(I97,'Points Table A'!E$3:$F$33,2),VLOOKUP(I97,'Points Table A'!K$3:$L$33,2))</f>
        <v>#N/A</v>
      </c>
      <c r="Z97" s="4" t="e">
        <f t="shared" si="14"/>
        <v>#N/A</v>
      </c>
      <c r="AA97" s="4">
        <f>IF($S97=Lookups!$B$113,VLOOKUP(L97,'Points Table C'!A$3:$E$11,5),VLOOKUP(U97,'Points Table C'!B$3:$E$11,4))</f>
        <v>0</v>
      </c>
      <c r="AB97" s="4" t="e">
        <f>IF($Q97=1,0,VLOOKUP($J97,'Points Table C'!$C$3:$E$18,3))</f>
        <v>#N/A</v>
      </c>
      <c r="AC97" s="4">
        <f>VLOOKUP($K97,'Points Table C'!$D$3:$E$18,2)</f>
        <v>0</v>
      </c>
      <c r="AD97" s="4" t="e">
        <f>IF($Z97&lt;Lookups!$C$106,($AA97+AB97+AC97),IF($AA97&gt;=Lookups!$C$120,($AA97+AB97+AC97),$AA97+$AB97))</f>
        <v>#N/A</v>
      </c>
      <c r="AF97" s="7"/>
      <c r="AG97" s="7"/>
      <c r="AH97" s="7"/>
      <c r="AI97" s="7"/>
      <c r="AJ97" s="7"/>
      <c r="AK97" s="7"/>
      <c r="AL97" s="7"/>
      <c r="AM97" s="7"/>
      <c r="AN97" s="7"/>
      <c r="AO97" s="7"/>
      <c r="AP97" s="7"/>
      <c r="AQ97" s="7"/>
      <c r="AR97" s="7"/>
      <c r="AS97" s="7"/>
      <c r="AT97" s="7"/>
      <c r="AU97" s="7"/>
      <c r="AV97" s="7"/>
      <c r="AW97" s="7"/>
      <c r="AY97" s="7"/>
      <c r="AZ97" s="7"/>
      <c r="BA97" s="7"/>
      <c r="BB97" s="7"/>
    </row>
    <row r="98" spans="2:54" x14ac:dyDescent="0.2">
      <c r="B98" s="174"/>
      <c r="C98" s="176"/>
      <c r="F98" s="5">
        <v>0</v>
      </c>
      <c r="G98" s="192">
        <v>0</v>
      </c>
      <c r="H98" s="192">
        <v>0</v>
      </c>
      <c r="I98" s="5">
        <v>0</v>
      </c>
      <c r="J98" s="192">
        <v>0</v>
      </c>
      <c r="K98" s="192">
        <v>0</v>
      </c>
      <c r="L98" s="5">
        <v>0</v>
      </c>
      <c r="M98" s="5">
        <v>0</v>
      </c>
      <c r="N98" s="4" t="e">
        <f t="shared" ref="N98:N120" si="15">$Z98-$AD98</f>
        <v>#N/A</v>
      </c>
      <c r="O98" s="4" t="e">
        <f>IF(ROUND(10.499-(((N98-VLOOKUP($C98,Lookups!$A$55:$D$64,3))/(VLOOKUP($C98,Lookups!$A$55:$D$64,4))*VLOOKUP($C98,Lookups!$C$2:$D$11,2))),0)&lt;1,1,IF(ROUND(10.499-(((N98-VLOOKUP($C98,Lookups!$A$55:$D$64,3))/(VLOOKUP($C98,Lookups!$A$55:$D$64,4))*VLOOKUP($C98,Lookups!$C$2:$D$11,2))),0)&lt;11,ROUND(10.499-(((N98-VLOOKUP($C98,Lookups!$A$55:$D$64,3))/(VLOOKUP($C98,Lookups!$A$55:$D$64,4))*VLOOKUP($C98,Lookups!$C$2:$D$11,2))),0),10))</f>
        <v>#N/A</v>
      </c>
      <c r="P98" s="13" t="str">
        <f>IF((SUM(F98:M98)=0),"J",VLOOKUP(O98,Lookups!$A$1:$B$11,2))</f>
        <v>J</v>
      </c>
      <c r="Q98" s="8" t="e">
        <f>VLOOKUP(C98,Lookups!$A$136:$C$144,3)</f>
        <v>#N/A</v>
      </c>
      <c r="R98" s="8" t="e">
        <f>VLOOKUP(C98,Lookups!$A$136:$C$144,2)</f>
        <v>#N/A</v>
      </c>
      <c r="S98" s="4" t="str">
        <f t="shared" si="11"/>
        <v>No</v>
      </c>
      <c r="T98" s="125">
        <f t="shared" si="12"/>
        <v>0</v>
      </c>
      <c r="U98" s="125">
        <f t="shared" si="13"/>
        <v>0</v>
      </c>
      <c r="V98" s="4" t="e">
        <f>IF($Q98&lt;&gt;3,VLOOKUP(F98,'Points Table A'!B$3:$F$33,5),VLOOKUP(F98,'Points Table A'!H$3:$L$33,5))</f>
        <v>#N/A</v>
      </c>
      <c r="W98" s="4" t="e">
        <f>IF($Q98&lt;&gt;3,VLOOKUP(G98,'Points Table A'!C$3:$F$33,4),VLOOKUP(G98,'Points Table A'!I$3:$L$33,4))</f>
        <v>#N/A</v>
      </c>
      <c r="X98" s="4" t="e">
        <f>IF($Q98&lt;&gt;3,VLOOKUP(H98,'Points Table A'!D$3:$F$28,3),VLOOKUP(H98,'Points Table A'!J$3:$L$33,3))</f>
        <v>#N/A</v>
      </c>
      <c r="Y98" s="4" t="e">
        <f>IF($Q98&lt;&gt;3,VLOOKUP(I98,'Points Table A'!E$3:$F$33,2),VLOOKUP(I98,'Points Table A'!K$3:$L$33,2))</f>
        <v>#N/A</v>
      </c>
      <c r="Z98" s="4" t="e">
        <f t="shared" si="14"/>
        <v>#N/A</v>
      </c>
      <c r="AA98" s="4">
        <f>IF($S98=Lookups!$B$113,VLOOKUP(L98,'Points Table C'!A$3:$E$11,5),VLOOKUP(U98,'Points Table C'!B$3:$E$11,4))</f>
        <v>0</v>
      </c>
      <c r="AB98" s="4" t="e">
        <f>IF($Q98=1,0,VLOOKUP($J98,'Points Table C'!$C$3:$E$18,3))</f>
        <v>#N/A</v>
      </c>
      <c r="AC98" s="4">
        <f>VLOOKUP($K98,'Points Table C'!$D$3:$E$18,2)</f>
        <v>0</v>
      </c>
      <c r="AD98" s="4" t="e">
        <f>IF($Z98&lt;Lookups!$C$106,($AA98+AB98+AC98),IF($AA98&gt;=Lookups!$C$120,($AA98+AB98+AC98),$AA98+$AB98))</f>
        <v>#N/A</v>
      </c>
      <c r="AF98" s="7"/>
      <c r="AG98" s="7"/>
      <c r="AH98" s="7"/>
      <c r="AI98" s="7"/>
      <c r="AJ98" s="7"/>
      <c r="AK98" s="7"/>
      <c r="AL98" s="7"/>
      <c r="AM98" s="7"/>
      <c r="AN98" s="7"/>
      <c r="AO98" s="7"/>
      <c r="AP98" s="7"/>
      <c r="AQ98" s="7"/>
      <c r="AR98" s="7"/>
      <c r="AS98" s="7"/>
      <c r="AT98" s="7"/>
      <c r="AU98" s="7"/>
      <c r="AV98" s="7"/>
      <c r="AW98" s="7"/>
      <c r="AY98" s="7"/>
      <c r="AZ98" s="7"/>
      <c r="BA98" s="7"/>
      <c r="BB98" s="7"/>
    </row>
    <row r="99" spans="2:54" x14ac:dyDescent="0.2">
      <c r="B99" s="174"/>
      <c r="C99" s="176"/>
      <c r="F99" s="5">
        <v>0</v>
      </c>
      <c r="G99" s="192">
        <v>0</v>
      </c>
      <c r="H99" s="192">
        <v>0</v>
      </c>
      <c r="I99" s="5">
        <v>0</v>
      </c>
      <c r="J99" s="192">
        <v>0</v>
      </c>
      <c r="K99" s="192">
        <v>0</v>
      </c>
      <c r="L99" s="5">
        <v>0</v>
      </c>
      <c r="M99" s="5">
        <v>0</v>
      </c>
      <c r="N99" s="4" t="e">
        <f t="shared" si="15"/>
        <v>#N/A</v>
      </c>
      <c r="O99" s="4" t="e">
        <f>IF(ROUND(10.499-(((N99-VLOOKUP($C99,Lookups!$A$55:$D$64,3))/(VLOOKUP($C99,Lookups!$A$55:$D$64,4))*VLOOKUP($C99,Lookups!$C$2:$D$11,2))),0)&lt;1,1,IF(ROUND(10.499-(((N99-VLOOKUP($C99,Lookups!$A$55:$D$64,3))/(VLOOKUP($C99,Lookups!$A$55:$D$64,4))*VLOOKUP($C99,Lookups!$C$2:$D$11,2))),0)&lt;11,ROUND(10.499-(((N99-VLOOKUP($C99,Lookups!$A$55:$D$64,3))/(VLOOKUP($C99,Lookups!$A$55:$D$64,4))*VLOOKUP($C99,Lookups!$C$2:$D$11,2))),0),10))</f>
        <v>#N/A</v>
      </c>
      <c r="P99" s="13" t="str">
        <f>IF((SUM(F99:M99)=0),"J",VLOOKUP(O99,Lookups!$A$1:$B$11,2))</f>
        <v>J</v>
      </c>
      <c r="Q99" s="8" t="e">
        <f>VLOOKUP(C99,Lookups!$A$136:$C$144,3)</f>
        <v>#N/A</v>
      </c>
      <c r="R99" s="8" t="e">
        <f>VLOOKUP(C99,Lookups!$A$136:$C$144,2)</f>
        <v>#N/A</v>
      </c>
      <c r="S99" s="4" t="str">
        <f t="shared" si="11"/>
        <v>No</v>
      </c>
      <c r="T99" s="125">
        <f t="shared" si="12"/>
        <v>0</v>
      </c>
      <c r="U99" s="125">
        <f t="shared" si="13"/>
        <v>0</v>
      </c>
      <c r="V99" s="4" t="e">
        <f>IF($Q99&lt;&gt;3,VLOOKUP(F99,'Points Table A'!B$3:$F$33,5),VLOOKUP(F99,'Points Table A'!H$3:$L$33,5))</f>
        <v>#N/A</v>
      </c>
      <c r="W99" s="4" t="e">
        <f>IF($Q99&lt;&gt;3,VLOOKUP(G99,'Points Table A'!C$3:$F$33,4),VLOOKUP(G99,'Points Table A'!I$3:$L$33,4))</f>
        <v>#N/A</v>
      </c>
      <c r="X99" s="4" t="e">
        <f>IF($Q99&lt;&gt;3,VLOOKUP(H99,'Points Table A'!D$3:$F$28,3),VLOOKUP(H99,'Points Table A'!J$3:$L$33,3))</f>
        <v>#N/A</v>
      </c>
      <c r="Y99" s="4" t="e">
        <f>IF($Q99&lt;&gt;3,VLOOKUP(I99,'Points Table A'!E$3:$F$33,2),VLOOKUP(I99,'Points Table A'!K$3:$L$33,2))</f>
        <v>#N/A</v>
      </c>
      <c r="Z99" s="4" t="e">
        <f t="shared" si="14"/>
        <v>#N/A</v>
      </c>
      <c r="AA99" s="4">
        <f>IF($S99=Lookups!$B$113,VLOOKUP(L99,'Points Table C'!A$3:$E$11,5),VLOOKUP(U99,'Points Table C'!B$3:$E$11,4))</f>
        <v>0</v>
      </c>
      <c r="AB99" s="4" t="e">
        <f>IF($Q99=1,0,VLOOKUP($J99,'Points Table C'!$C$3:$E$18,3))</f>
        <v>#N/A</v>
      </c>
      <c r="AC99" s="4">
        <f>VLOOKUP($K99,'Points Table C'!$D$3:$E$18,2)</f>
        <v>0</v>
      </c>
      <c r="AD99" s="4" t="e">
        <f>IF($Z99&lt;Lookups!$C$106,($AA99+AB99+AC99),IF($AA99&gt;=Lookups!$C$120,($AA99+AB99+AC99),$AA99+$AB99))</f>
        <v>#N/A</v>
      </c>
      <c r="AF99" s="7"/>
      <c r="AG99" s="7"/>
      <c r="AH99" s="7"/>
      <c r="AI99" s="7"/>
      <c r="AJ99" s="7"/>
      <c r="AK99" s="7"/>
      <c r="AL99" s="7"/>
      <c r="AM99" s="7"/>
      <c r="AN99" s="7"/>
      <c r="AO99" s="7"/>
      <c r="AP99" s="7"/>
      <c r="AQ99" s="7"/>
      <c r="AR99" s="7"/>
      <c r="AS99" s="7"/>
      <c r="AT99" s="7"/>
      <c r="AU99" s="7"/>
      <c r="AV99" s="7"/>
      <c r="AW99" s="7"/>
      <c r="AY99" s="7"/>
      <c r="AZ99" s="7"/>
      <c r="BA99" s="7"/>
      <c r="BB99" s="7"/>
    </row>
    <row r="100" spans="2:54" x14ac:dyDescent="0.2">
      <c r="B100" s="174"/>
      <c r="C100" s="176"/>
      <c r="F100" s="5">
        <v>0</v>
      </c>
      <c r="G100" s="192">
        <v>0</v>
      </c>
      <c r="H100" s="192">
        <v>0</v>
      </c>
      <c r="I100" s="5">
        <v>0</v>
      </c>
      <c r="J100" s="192">
        <v>0</v>
      </c>
      <c r="K100" s="192">
        <v>0</v>
      </c>
      <c r="L100" s="5">
        <v>0</v>
      </c>
      <c r="M100" s="5">
        <v>0</v>
      </c>
      <c r="N100" s="4" t="e">
        <f t="shared" si="15"/>
        <v>#N/A</v>
      </c>
      <c r="O100" s="4" t="e">
        <f>IF(ROUND(10.499-(((N100-VLOOKUP($C100,Lookups!$A$55:$D$64,3))/(VLOOKUP($C100,Lookups!$A$55:$D$64,4))*VLOOKUP($C100,Lookups!$C$2:$D$11,2))),0)&lt;1,1,IF(ROUND(10.499-(((N100-VLOOKUP($C100,Lookups!$A$55:$D$64,3))/(VLOOKUP($C100,Lookups!$A$55:$D$64,4))*VLOOKUP($C100,Lookups!$C$2:$D$11,2))),0)&lt;11,ROUND(10.499-(((N100-VLOOKUP($C100,Lookups!$A$55:$D$64,3))/(VLOOKUP($C100,Lookups!$A$55:$D$64,4))*VLOOKUP($C100,Lookups!$C$2:$D$11,2))),0),10))</f>
        <v>#N/A</v>
      </c>
      <c r="P100" s="13" t="str">
        <f>IF((SUM(F100:M100)=0),"J",VLOOKUP(O100,Lookups!$A$1:$B$11,2))</f>
        <v>J</v>
      </c>
      <c r="Q100" s="8" t="e">
        <f>VLOOKUP(C100,Lookups!$A$136:$C$144,3)</f>
        <v>#N/A</v>
      </c>
      <c r="R100" s="8" t="e">
        <f>VLOOKUP(C100,Lookups!$A$136:$C$144,2)</f>
        <v>#N/A</v>
      </c>
      <c r="S100" s="4" t="str">
        <f t="shared" si="11"/>
        <v>No</v>
      </c>
      <c r="T100" s="125">
        <f t="shared" si="12"/>
        <v>0</v>
      </c>
      <c r="U100" s="125">
        <f t="shared" si="13"/>
        <v>0</v>
      </c>
      <c r="V100" s="4" t="e">
        <f>IF($Q100&lt;&gt;3,VLOOKUP(F100,'Points Table A'!B$3:$F$33,5),VLOOKUP(F100,'Points Table A'!H$3:$L$33,5))</f>
        <v>#N/A</v>
      </c>
      <c r="W100" s="4" t="e">
        <f>IF($Q100&lt;&gt;3,VLOOKUP(G100,'Points Table A'!C$3:$F$33,4),VLOOKUP(G100,'Points Table A'!I$3:$L$33,4))</f>
        <v>#N/A</v>
      </c>
      <c r="X100" s="4" t="e">
        <f>IF($Q100&lt;&gt;3,VLOOKUP(H100,'Points Table A'!D$3:$F$28,3),VLOOKUP(H100,'Points Table A'!J$3:$L$33,3))</f>
        <v>#N/A</v>
      </c>
      <c r="Y100" s="4" t="e">
        <f>IF($Q100&lt;&gt;3,VLOOKUP(I100,'Points Table A'!E$3:$F$33,2),VLOOKUP(I100,'Points Table A'!K$3:$L$33,2))</f>
        <v>#N/A</v>
      </c>
      <c r="Z100" s="4" t="e">
        <f t="shared" si="14"/>
        <v>#N/A</v>
      </c>
      <c r="AA100" s="4">
        <f>IF($S100=Lookups!$B$113,VLOOKUP(L100,'Points Table C'!A$3:$E$11,5),VLOOKUP(U100,'Points Table C'!B$3:$E$11,4))</f>
        <v>0</v>
      </c>
      <c r="AB100" s="4" t="e">
        <f>IF($Q100=1,0,VLOOKUP($J100,'Points Table C'!$C$3:$E$18,3))</f>
        <v>#N/A</v>
      </c>
      <c r="AC100" s="4">
        <f>VLOOKUP($K100,'Points Table C'!$D$3:$E$18,2)</f>
        <v>0</v>
      </c>
      <c r="AD100" s="4" t="e">
        <f>IF($Z100&lt;Lookups!$C$106,($AA100+AB100+AC100),IF($AA100&gt;=Lookups!$C$120,($AA100+AB100+AC100),$AA100+$AB100))</f>
        <v>#N/A</v>
      </c>
      <c r="AF100" s="7"/>
      <c r="AG100" s="7"/>
      <c r="AH100" s="7"/>
      <c r="AI100" s="7"/>
      <c r="AJ100" s="7"/>
      <c r="AK100" s="7"/>
      <c r="AL100" s="7"/>
      <c r="AM100" s="7"/>
      <c r="AN100" s="7"/>
      <c r="AO100" s="7"/>
      <c r="AP100" s="7"/>
      <c r="AQ100" s="7"/>
      <c r="AR100" s="7"/>
      <c r="AS100" s="7"/>
      <c r="AT100" s="7"/>
      <c r="AU100" s="7"/>
      <c r="AV100" s="7"/>
      <c r="AW100" s="7"/>
      <c r="AY100" s="7"/>
      <c r="AZ100" s="7"/>
      <c r="BA100" s="7"/>
      <c r="BB100" s="7"/>
    </row>
    <row r="101" spans="2:54" x14ac:dyDescent="0.2">
      <c r="B101" s="174"/>
      <c r="C101" s="176"/>
      <c r="F101" s="5">
        <v>0</v>
      </c>
      <c r="G101" s="192">
        <v>0</v>
      </c>
      <c r="H101" s="192">
        <v>0</v>
      </c>
      <c r="I101" s="5">
        <v>0</v>
      </c>
      <c r="J101" s="192">
        <v>0</v>
      </c>
      <c r="K101" s="192">
        <v>0</v>
      </c>
      <c r="L101" s="5">
        <v>0</v>
      </c>
      <c r="M101" s="5">
        <v>0</v>
      </c>
      <c r="N101" s="4" t="e">
        <f t="shared" si="15"/>
        <v>#N/A</v>
      </c>
      <c r="O101" s="4" t="e">
        <f>IF(ROUND(10.499-(((N101-VLOOKUP($C101,Lookups!$A$55:$D$64,3))/(VLOOKUP($C101,Lookups!$A$55:$D$64,4))*VLOOKUP($C101,Lookups!$C$2:$D$11,2))),0)&lt;1,1,IF(ROUND(10.499-(((N101-VLOOKUP($C101,Lookups!$A$55:$D$64,3))/(VLOOKUP($C101,Lookups!$A$55:$D$64,4))*VLOOKUP($C101,Lookups!$C$2:$D$11,2))),0)&lt;11,ROUND(10.499-(((N101-VLOOKUP($C101,Lookups!$A$55:$D$64,3))/(VLOOKUP($C101,Lookups!$A$55:$D$64,4))*VLOOKUP($C101,Lookups!$C$2:$D$11,2))),0),10))</f>
        <v>#N/A</v>
      </c>
      <c r="P101" s="13" t="str">
        <f>IF((SUM(F101:M101)=0),"J",VLOOKUP(O101,Lookups!$A$1:$B$11,2))</f>
        <v>J</v>
      </c>
      <c r="Q101" s="8" t="e">
        <f>VLOOKUP(C101,Lookups!$A$136:$C$144,3)</f>
        <v>#N/A</v>
      </c>
      <c r="R101" s="8" t="e">
        <f>VLOOKUP(C101,Lookups!$A$136:$C$144,2)</f>
        <v>#N/A</v>
      </c>
      <c r="S101" s="4" t="str">
        <f t="shared" si="11"/>
        <v>No</v>
      </c>
      <c r="T101" s="125">
        <f t="shared" si="12"/>
        <v>0</v>
      </c>
      <c r="U101" s="125">
        <f t="shared" si="13"/>
        <v>0</v>
      </c>
      <c r="V101" s="4" t="e">
        <f>IF($Q101&lt;&gt;3,VLOOKUP(F101,'Points Table A'!B$3:$F$33,5),VLOOKUP(F101,'Points Table A'!H$3:$L$33,5))</f>
        <v>#N/A</v>
      </c>
      <c r="W101" s="4" t="e">
        <f>IF($Q101&lt;&gt;3,VLOOKUP(G101,'Points Table A'!C$3:$F$33,4),VLOOKUP(G101,'Points Table A'!I$3:$L$33,4))</f>
        <v>#N/A</v>
      </c>
      <c r="X101" s="4" t="e">
        <f>IF($Q101&lt;&gt;3,VLOOKUP(H101,'Points Table A'!D$3:$F$28,3),VLOOKUP(H101,'Points Table A'!J$3:$L$33,3))</f>
        <v>#N/A</v>
      </c>
      <c r="Y101" s="4" t="e">
        <f>IF($Q101&lt;&gt;3,VLOOKUP(I101,'Points Table A'!E$3:$F$33,2),VLOOKUP(I101,'Points Table A'!K$3:$L$33,2))</f>
        <v>#N/A</v>
      </c>
      <c r="Z101" s="4" t="e">
        <f t="shared" si="14"/>
        <v>#N/A</v>
      </c>
      <c r="AA101" s="4">
        <f>IF($S101=Lookups!$B$113,VLOOKUP(L101,'Points Table C'!A$3:$E$11,5),VLOOKUP(U101,'Points Table C'!B$3:$E$11,4))</f>
        <v>0</v>
      </c>
      <c r="AB101" s="4" t="e">
        <f>IF($Q101=1,0,VLOOKUP($J101,'Points Table C'!$C$3:$E$18,3))</f>
        <v>#N/A</v>
      </c>
      <c r="AC101" s="4">
        <f>VLOOKUP($K101,'Points Table C'!$D$3:$E$18,2)</f>
        <v>0</v>
      </c>
      <c r="AD101" s="4" t="e">
        <f>IF($Z101&lt;Lookups!$C$106,($AA101+AB101+AC101),IF($AA101&gt;=Lookups!$C$120,($AA101+AB101+AC101),$AA101+$AB101))</f>
        <v>#N/A</v>
      </c>
      <c r="AF101" s="7"/>
      <c r="AG101" s="7"/>
      <c r="AH101" s="7"/>
      <c r="AI101" s="7"/>
      <c r="AJ101" s="7"/>
      <c r="AK101" s="7"/>
      <c r="AL101" s="7"/>
      <c r="AM101" s="7"/>
      <c r="AN101" s="7"/>
      <c r="AO101" s="7"/>
      <c r="AP101" s="7"/>
      <c r="AQ101" s="7"/>
      <c r="AR101" s="7"/>
      <c r="AS101" s="7"/>
      <c r="AT101" s="7"/>
      <c r="AU101" s="7"/>
      <c r="AV101" s="7"/>
      <c r="AW101" s="7"/>
      <c r="AY101" s="7"/>
      <c r="AZ101" s="7"/>
      <c r="BA101" s="7"/>
      <c r="BB101" s="7"/>
    </row>
    <row r="102" spans="2:54" x14ac:dyDescent="0.2">
      <c r="B102" s="174"/>
      <c r="C102" s="176"/>
      <c r="F102" s="5">
        <v>0</v>
      </c>
      <c r="G102" s="192">
        <v>0</v>
      </c>
      <c r="H102" s="192">
        <v>0</v>
      </c>
      <c r="I102" s="5">
        <v>0</v>
      </c>
      <c r="J102" s="192">
        <v>0</v>
      </c>
      <c r="K102" s="192">
        <v>0</v>
      </c>
      <c r="L102" s="5">
        <v>0</v>
      </c>
      <c r="M102" s="5">
        <v>0</v>
      </c>
      <c r="N102" s="4" t="e">
        <f t="shared" si="15"/>
        <v>#N/A</v>
      </c>
      <c r="O102" s="4" t="e">
        <f>IF(ROUND(10.499-(((N102-VLOOKUP($C102,Lookups!$A$55:$D$64,3))/(VLOOKUP($C102,Lookups!$A$55:$D$64,4))*VLOOKUP($C102,Lookups!$C$2:$D$11,2))),0)&lt;1,1,IF(ROUND(10.499-(((N102-VLOOKUP($C102,Lookups!$A$55:$D$64,3))/(VLOOKUP($C102,Lookups!$A$55:$D$64,4))*VLOOKUP($C102,Lookups!$C$2:$D$11,2))),0)&lt;11,ROUND(10.499-(((N102-VLOOKUP($C102,Lookups!$A$55:$D$64,3))/(VLOOKUP($C102,Lookups!$A$55:$D$64,4))*VLOOKUP($C102,Lookups!$C$2:$D$11,2))),0),10))</f>
        <v>#N/A</v>
      </c>
      <c r="P102" s="13" t="str">
        <f>IF((SUM(F102:M102)=0),"J",VLOOKUP(O102,Lookups!$A$1:$B$11,2))</f>
        <v>J</v>
      </c>
      <c r="Q102" s="8" t="e">
        <f>VLOOKUP(C102,Lookups!$A$136:$C$144,3)</f>
        <v>#N/A</v>
      </c>
      <c r="R102" s="8" t="e">
        <f>VLOOKUP(C102,Lookups!$A$136:$C$144,2)</f>
        <v>#N/A</v>
      </c>
      <c r="S102" s="4" t="str">
        <f t="shared" si="11"/>
        <v>No</v>
      </c>
      <c r="T102" s="125">
        <f t="shared" si="12"/>
        <v>0</v>
      </c>
      <c r="U102" s="125">
        <f t="shared" si="13"/>
        <v>0</v>
      </c>
      <c r="V102" s="4" t="e">
        <f>IF($Q102&lt;&gt;3,VLOOKUP(F102,'Points Table A'!B$3:$F$33,5),VLOOKUP(F102,'Points Table A'!H$3:$L$33,5))</f>
        <v>#N/A</v>
      </c>
      <c r="W102" s="4" t="e">
        <f>IF($Q102&lt;&gt;3,VLOOKUP(G102,'Points Table A'!C$3:$F$33,4),VLOOKUP(G102,'Points Table A'!I$3:$L$33,4))</f>
        <v>#N/A</v>
      </c>
      <c r="X102" s="4" t="e">
        <f>IF($Q102&lt;&gt;3,VLOOKUP(H102,'Points Table A'!D$3:$F$28,3),VLOOKUP(H102,'Points Table A'!J$3:$L$33,3))</f>
        <v>#N/A</v>
      </c>
      <c r="Y102" s="4" t="e">
        <f>IF($Q102&lt;&gt;3,VLOOKUP(I102,'Points Table A'!E$3:$F$33,2),VLOOKUP(I102,'Points Table A'!K$3:$L$33,2))</f>
        <v>#N/A</v>
      </c>
      <c r="Z102" s="4" t="e">
        <f t="shared" si="14"/>
        <v>#N/A</v>
      </c>
      <c r="AA102" s="4">
        <f>IF($S102=Lookups!$B$113,VLOOKUP(L102,'Points Table C'!A$3:$E$11,5),VLOOKUP(U102,'Points Table C'!B$3:$E$11,4))</f>
        <v>0</v>
      </c>
      <c r="AB102" s="4" t="e">
        <f>IF($Q102=1,0,VLOOKUP($J102,'Points Table C'!$C$3:$E$18,3))</f>
        <v>#N/A</v>
      </c>
      <c r="AC102" s="4">
        <f>VLOOKUP($K102,'Points Table C'!$D$3:$E$18,2)</f>
        <v>0</v>
      </c>
      <c r="AD102" s="4" t="e">
        <f>IF($Z102&lt;Lookups!$C$106,($AA102+AB102+AC102),IF($AA102&gt;=Lookups!$C$120,($AA102+AB102+AC102),$AA102+$AB102))</f>
        <v>#N/A</v>
      </c>
      <c r="AF102" s="7"/>
      <c r="AG102" s="7"/>
      <c r="AH102" s="7"/>
      <c r="AI102" s="7"/>
      <c r="AJ102" s="7"/>
      <c r="AK102" s="7"/>
      <c r="AL102" s="7"/>
      <c r="AM102" s="7"/>
      <c r="AN102" s="7"/>
      <c r="AO102" s="7"/>
      <c r="AP102" s="7"/>
      <c r="AQ102" s="7"/>
      <c r="AR102" s="7"/>
      <c r="AS102" s="7"/>
      <c r="AT102" s="7"/>
      <c r="AU102" s="7"/>
      <c r="AV102" s="7"/>
      <c r="AW102" s="7"/>
      <c r="AY102" s="7"/>
      <c r="AZ102" s="7"/>
      <c r="BA102" s="7"/>
      <c r="BB102" s="7"/>
    </row>
    <row r="103" spans="2:54" x14ac:dyDescent="0.2">
      <c r="B103" s="174"/>
      <c r="C103" s="176"/>
      <c r="F103" s="5">
        <v>0</v>
      </c>
      <c r="G103" s="192">
        <v>0</v>
      </c>
      <c r="H103" s="192">
        <v>0</v>
      </c>
      <c r="I103" s="5">
        <v>0</v>
      </c>
      <c r="J103" s="192">
        <v>0</v>
      </c>
      <c r="K103" s="192">
        <v>0</v>
      </c>
      <c r="L103" s="5">
        <v>0</v>
      </c>
      <c r="M103" s="5">
        <v>0</v>
      </c>
      <c r="N103" s="4" t="e">
        <f t="shared" si="15"/>
        <v>#N/A</v>
      </c>
      <c r="O103" s="4" t="e">
        <f>IF(ROUND(10.499-(((N103-VLOOKUP($C103,Lookups!$A$55:$D$64,3))/(VLOOKUP($C103,Lookups!$A$55:$D$64,4))*VLOOKUP($C103,Lookups!$C$2:$D$11,2))),0)&lt;1,1,IF(ROUND(10.499-(((N103-VLOOKUP($C103,Lookups!$A$55:$D$64,3))/(VLOOKUP($C103,Lookups!$A$55:$D$64,4))*VLOOKUP($C103,Lookups!$C$2:$D$11,2))),0)&lt;11,ROUND(10.499-(((N103-VLOOKUP($C103,Lookups!$A$55:$D$64,3))/(VLOOKUP($C103,Lookups!$A$55:$D$64,4))*VLOOKUP($C103,Lookups!$C$2:$D$11,2))),0),10))</f>
        <v>#N/A</v>
      </c>
      <c r="P103" s="13" t="str">
        <f>IF((SUM(F103:M103)=0),"J",VLOOKUP(O103,Lookups!$A$1:$B$11,2))</f>
        <v>J</v>
      </c>
      <c r="Q103" s="8" t="e">
        <f>VLOOKUP(C103,Lookups!$A$136:$C$144,3)</f>
        <v>#N/A</v>
      </c>
      <c r="R103" s="8" t="e">
        <f>VLOOKUP(C103,Lookups!$A$136:$C$144,2)</f>
        <v>#N/A</v>
      </c>
      <c r="S103" s="4" t="str">
        <f t="shared" si="11"/>
        <v>No</v>
      </c>
      <c r="T103" s="125">
        <f t="shared" si="12"/>
        <v>0</v>
      </c>
      <c r="U103" s="125">
        <f t="shared" si="13"/>
        <v>0</v>
      </c>
      <c r="V103" s="4" t="e">
        <f>IF($Q103&lt;&gt;3,VLOOKUP(F103,'Points Table A'!B$3:$F$33,5),VLOOKUP(F103,'Points Table A'!H$3:$L$33,5))</f>
        <v>#N/A</v>
      </c>
      <c r="W103" s="4" t="e">
        <f>IF($Q103&lt;&gt;3,VLOOKUP(G103,'Points Table A'!C$3:$F$33,4),VLOOKUP(G103,'Points Table A'!I$3:$L$33,4))</f>
        <v>#N/A</v>
      </c>
      <c r="X103" s="4" t="e">
        <f>IF($Q103&lt;&gt;3,VLOOKUP(H103,'Points Table A'!D$3:$F$28,3),VLOOKUP(H103,'Points Table A'!J$3:$L$33,3))</f>
        <v>#N/A</v>
      </c>
      <c r="Y103" s="4" t="e">
        <f>IF($Q103&lt;&gt;3,VLOOKUP(I103,'Points Table A'!E$3:$F$33,2),VLOOKUP(I103,'Points Table A'!K$3:$L$33,2))</f>
        <v>#N/A</v>
      </c>
      <c r="Z103" s="4" t="e">
        <f t="shared" si="14"/>
        <v>#N/A</v>
      </c>
      <c r="AA103" s="4">
        <f>IF($S103=Lookups!$B$113,VLOOKUP(L103,'Points Table C'!A$3:$E$11,5),VLOOKUP(U103,'Points Table C'!B$3:$E$11,4))</f>
        <v>0</v>
      </c>
      <c r="AB103" s="4" t="e">
        <f>IF($Q103=1,0,VLOOKUP($J103,'Points Table C'!$C$3:$E$18,3))</f>
        <v>#N/A</v>
      </c>
      <c r="AC103" s="4">
        <f>VLOOKUP($K103,'Points Table C'!$D$3:$E$18,2)</f>
        <v>0</v>
      </c>
      <c r="AD103" s="4" t="e">
        <f>IF($Z103&lt;Lookups!$C$106,($AA103+AB103+AC103),IF($AA103&gt;=Lookups!$C$120,($AA103+AB103+AC103),$AA103+$AB103))</f>
        <v>#N/A</v>
      </c>
      <c r="AF103" s="7"/>
      <c r="AG103" s="7"/>
      <c r="AH103" s="7"/>
      <c r="AI103" s="7"/>
      <c r="AJ103" s="7"/>
      <c r="AK103" s="7"/>
      <c r="AL103" s="7"/>
      <c r="AM103" s="7"/>
      <c r="AN103" s="7"/>
      <c r="AO103" s="7"/>
      <c r="AP103" s="7"/>
      <c r="AQ103" s="7"/>
      <c r="AR103" s="7"/>
      <c r="AS103" s="7"/>
      <c r="AT103" s="7"/>
      <c r="AU103" s="7"/>
      <c r="AV103" s="7"/>
      <c r="AW103" s="7"/>
      <c r="AY103" s="7"/>
      <c r="AZ103" s="7"/>
      <c r="BA103" s="7"/>
      <c r="BB103" s="7"/>
    </row>
    <row r="104" spans="2:54" x14ac:dyDescent="0.2">
      <c r="B104" s="174"/>
      <c r="C104" s="176"/>
      <c r="F104" s="5">
        <v>0</v>
      </c>
      <c r="G104" s="192">
        <v>0</v>
      </c>
      <c r="H104" s="192">
        <v>0</v>
      </c>
      <c r="I104" s="5">
        <v>0</v>
      </c>
      <c r="J104" s="192">
        <v>0</v>
      </c>
      <c r="K104" s="192">
        <v>0</v>
      </c>
      <c r="L104" s="5">
        <v>0</v>
      </c>
      <c r="M104" s="5">
        <v>0</v>
      </c>
      <c r="N104" s="4" t="e">
        <f t="shared" si="15"/>
        <v>#N/A</v>
      </c>
      <c r="O104" s="4" t="e">
        <f>IF(ROUND(10.499-(((N104-VLOOKUP($C104,Lookups!$A$55:$D$64,3))/(VLOOKUP($C104,Lookups!$A$55:$D$64,4))*VLOOKUP($C104,Lookups!$C$2:$D$11,2))),0)&lt;1,1,IF(ROUND(10.499-(((N104-VLOOKUP($C104,Lookups!$A$55:$D$64,3))/(VLOOKUP($C104,Lookups!$A$55:$D$64,4))*VLOOKUP($C104,Lookups!$C$2:$D$11,2))),0)&lt;11,ROUND(10.499-(((N104-VLOOKUP($C104,Lookups!$A$55:$D$64,3))/(VLOOKUP($C104,Lookups!$A$55:$D$64,4))*VLOOKUP($C104,Lookups!$C$2:$D$11,2))),0),10))</f>
        <v>#N/A</v>
      </c>
      <c r="P104" s="13" t="str">
        <f>IF((SUM(F104:M104)=0),"J",VLOOKUP(O104,Lookups!$A$1:$B$11,2))</f>
        <v>J</v>
      </c>
      <c r="Q104" s="8" t="e">
        <f>VLOOKUP(C104,Lookups!$A$136:$C$144,3)</f>
        <v>#N/A</v>
      </c>
      <c r="R104" s="8" t="e">
        <f>VLOOKUP(C104,Lookups!$A$136:$C$144,2)</f>
        <v>#N/A</v>
      </c>
      <c r="S104" s="4" t="str">
        <f t="shared" si="11"/>
        <v>No</v>
      </c>
      <c r="T104" s="125">
        <f t="shared" si="12"/>
        <v>0</v>
      </c>
      <c r="U104" s="125">
        <f t="shared" si="13"/>
        <v>0</v>
      </c>
      <c r="V104" s="4" t="e">
        <f>IF($Q104&lt;&gt;3,VLOOKUP(F104,'Points Table A'!B$3:$F$33,5),VLOOKUP(F104,'Points Table A'!H$3:$L$33,5))</f>
        <v>#N/A</v>
      </c>
      <c r="W104" s="4" t="e">
        <f>IF($Q104&lt;&gt;3,VLOOKUP(G104,'Points Table A'!C$3:$F$33,4),VLOOKUP(G104,'Points Table A'!I$3:$L$33,4))</f>
        <v>#N/A</v>
      </c>
      <c r="X104" s="4" t="e">
        <f>IF($Q104&lt;&gt;3,VLOOKUP(H104,'Points Table A'!D$3:$F$28,3),VLOOKUP(H104,'Points Table A'!J$3:$L$33,3))</f>
        <v>#N/A</v>
      </c>
      <c r="Y104" s="4" t="e">
        <f>IF($Q104&lt;&gt;3,VLOOKUP(I104,'Points Table A'!E$3:$F$33,2),VLOOKUP(I104,'Points Table A'!K$3:$L$33,2))</f>
        <v>#N/A</v>
      </c>
      <c r="Z104" s="4" t="e">
        <f t="shared" si="14"/>
        <v>#N/A</v>
      </c>
      <c r="AA104" s="4">
        <f>IF($S104=Lookups!$B$113,VLOOKUP(L104,'Points Table C'!A$3:$E$11,5),VLOOKUP(U104,'Points Table C'!B$3:$E$11,4))</f>
        <v>0</v>
      </c>
      <c r="AB104" s="4" t="e">
        <f>IF($Q104=1,0,VLOOKUP($J104,'Points Table C'!$C$3:$E$18,3))</f>
        <v>#N/A</v>
      </c>
      <c r="AC104" s="4">
        <f>VLOOKUP($K104,'Points Table C'!$D$3:$E$18,2)</f>
        <v>0</v>
      </c>
      <c r="AD104" s="4" t="e">
        <f>IF($Z104&lt;Lookups!$C$106,($AA104+AB104+AC104),IF($AA104&gt;=Lookups!$C$120,($AA104+AB104+AC104),$AA104+$AB104))</f>
        <v>#N/A</v>
      </c>
      <c r="AF104" s="7"/>
      <c r="AG104" s="7"/>
      <c r="AH104" s="7"/>
      <c r="AI104" s="7"/>
      <c r="AJ104" s="7"/>
      <c r="AK104" s="7"/>
      <c r="AL104" s="7"/>
      <c r="AM104" s="7"/>
      <c r="AN104" s="7"/>
      <c r="AO104" s="7"/>
      <c r="AP104" s="7"/>
      <c r="AQ104" s="7"/>
      <c r="AR104" s="7"/>
      <c r="AS104" s="7"/>
      <c r="AT104" s="7"/>
      <c r="AU104" s="7"/>
      <c r="AV104" s="7"/>
      <c r="AW104" s="7"/>
      <c r="AY104" s="7"/>
      <c r="AZ104" s="7"/>
      <c r="BA104" s="7"/>
      <c r="BB104" s="7"/>
    </row>
    <row r="105" spans="2:54" x14ac:dyDescent="0.2">
      <c r="B105" s="174"/>
      <c r="C105" s="176"/>
      <c r="F105" s="5">
        <v>0</v>
      </c>
      <c r="G105" s="192">
        <v>0</v>
      </c>
      <c r="H105" s="192">
        <v>0</v>
      </c>
      <c r="I105" s="5">
        <v>0</v>
      </c>
      <c r="J105" s="192">
        <v>0</v>
      </c>
      <c r="K105" s="192">
        <v>0</v>
      </c>
      <c r="L105" s="5">
        <v>0</v>
      </c>
      <c r="M105" s="5">
        <v>0</v>
      </c>
      <c r="N105" s="4" t="e">
        <f t="shared" si="15"/>
        <v>#N/A</v>
      </c>
      <c r="O105" s="4" t="e">
        <f>IF(ROUND(10.499-(((N105-VLOOKUP($C105,Lookups!$A$55:$D$64,3))/(VLOOKUP($C105,Lookups!$A$55:$D$64,4))*VLOOKUP($C105,Lookups!$C$2:$D$11,2))),0)&lt;1,1,IF(ROUND(10.499-(((N105-VLOOKUP($C105,Lookups!$A$55:$D$64,3))/(VLOOKUP($C105,Lookups!$A$55:$D$64,4))*VLOOKUP($C105,Lookups!$C$2:$D$11,2))),0)&lt;11,ROUND(10.499-(((N105-VLOOKUP($C105,Lookups!$A$55:$D$64,3))/(VLOOKUP($C105,Lookups!$A$55:$D$64,4))*VLOOKUP($C105,Lookups!$C$2:$D$11,2))),0),10))</f>
        <v>#N/A</v>
      </c>
      <c r="P105" s="13" t="str">
        <f>IF((SUM(F105:M105)=0),"J",VLOOKUP(O105,Lookups!$A$1:$B$11,2))</f>
        <v>J</v>
      </c>
      <c r="Q105" s="8" t="e">
        <f>VLOOKUP(C105,Lookups!$A$136:$C$144,3)</f>
        <v>#N/A</v>
      </c>
      <c r="R105" s="8" t="e">
        <f>VLOOKUP(C105,Lookups!$A$136:$C$144,2)</f>
        <v>#N/A</v>
      </c>
      <c r="S105" s="4" t="str">
        <f t="shared" si="11"/>
        <v>No</v>
      </c>
      <c r="T105" s="125">
        <f t="shared" si="12"/>
        <v>0</v>
      </c>
      <c r="U105" s="125">
        <f t="shared" si="13"/>
        <v>0</v>
      </c>
      <c r="V105" s="4" t="e">
        <f>IF($Q105&lt;&gt;3,VLOOKUP(F105,'Points Table A'!B$3:$F$33,5),VLOOKUP(F105,'Points Table A'!H$3:$L$33,5))</f>
        <v>#N/A</v>
      </c>
      <c r="W105" s="4" t="e">
        <f>IF($Q105&lt;&gt;3,VLOOKUP(G105,'Points Table A'!C$3:$F$33,4),VLOOKUP(G105,'Points Table A'!I$3:$L$33,4))</f>
        <v>#N/A</v>
      </c>
      <c r="X105" s="4" t="e">
        <f>IF($Q105&lt;&gt;3,VLOOKUP(H105,'Points Table A'!D$3:$F$28,3),VLOOKUP(H105,'Points Table A'!J$3:$L$33,3))</f>
        <v>#N/A</v>
      </c>
      <c r="Y105" s="4" t="e">
        <f>IF($Q105&lt;&gt;3,VLOOKUP(I105,'Points Table A'!E$3:$F$33,2),VLOOKUP(I105,'Points Table A'!K$3:$L$33,2))</f>
        <v>#N/A</v>
      </c>
      <c r="Z105" s="4" t="e">
        <f t="shared" si="14"/>
        <v>#N/A</v>
      </c>
      <c r="AA105" s="4">
        <f>IF($S105=Lookups!$B$113,VLOOKUP(L105,'Points Table C'!A$3:$E$11,5),VLOOKUP(U105,'Points Table C'!B$3:$E$11,4))</f>
        <v>0</v>
      </c>
      <c r="AB105" s="4" t="e">
        <f>IF($Q105=1,0,VLOOKUP($J105,'Points Table C'!$C$3:$E$18,3))</f>
        <v>#N/A</v>
      </c>
      <c r="AC105" s="4">
        <f>VLOOKUP($K105,'Points Table C'!$D$3:$E$18,2)</f>
        <v>0</v>
      </c>
      <c r="AD105" s="4" t="e">
        <f>IF($Z105&lt;Lookups!$C$106,($AA105+AB105+AC105),IF($AA105&gt;=Lookups!$C$120,($AA105+AB105+AC105),$AA105+$AB105))</f>
        <v>#N/A</v>
      </c>
      <c r="AF105" s="7"/>
      <c r="AG105" s="7"/>
      <c r="AH105" s="7"/>
      <c r="AI105" s="7"/>
      <c r="AJ105" s="7"/>
      <c r="AK105" s="7"/>
      <c r="AL105" s="7"/>
      <c r="AM105" s="7"/>
      <c r="AN105" s="7"/>
      <c r="AO105" s="7"/>
      <c r="AP105" s="7"/>
      <c r="AQ105" s="7"/>
      <c r="AR105" s="7"/>
      <c r="AS105" s="7"/>
      <c r="AT105" s="7"/>
      <c r="AU105" s="7"/>
      <c r="AV105" s="7"/>
      <c r="AW105" s="7"/>
      <c r="AY105" s="7"/>
      <c r="AZ105" s="7"/>
      <c r="BA105" s="7"/>
      <c r="BB105" s="7"/>
    </row>
    <row r="106" spans="2:54" x14ac:dyDescent="0.2">
      <c r="B106" s="174"/>
      <c r="C106" s="176"/>
      <c r="F106" s="5">
        <v>0</v>
      </c>
      <c r="G106" s="192">
        <v>0</v>
      </c>
      <c r="H106" s="192">
        <v>0</v>
      </c>
      <c r="I106" s="5">
        <v>0</v>
      </c>
      <c r="J106" s="192">
        <v>0</v>
      </c>
      <c r="K106" s="192">
        <v>0</v>
      </c>
      <c r="L106" s="5">
        <v>0</v>
      </c>
      <c r="M106" s="5">
        <v>0</v>
      </c>
      <c r="N106" s="4" t="e">
        <f t="shared" si="15"/>
        <v>#N/A</v>
      </c>
      <c r="O106" s="4" t="e">
        <f>IF(ROUND(10.499-(((N106-VLOOKUP($C106,Lookups!$A$55:$D$64,3))/(VLOOKUP($C106,Lookups!$A$55:$D$64,4))*VLOOKUP($C106,Lookups!$C$2:$D$11,2))),0)&lt;1,1,IF(ROUND(10.499-(((N106-VLOOKUP($C106,Lookups!$A$55:$D$64,3))/(VLOOKUP($C106,Lookups!$A$55:$D$64,4))*VLOOKUP($C106,Lookups!$C$2:$D$11,2))),0)&lt;11,ROUND(10.499-(((N106-VLOOKUP($C106,Lookups!$A$55:$D$64,3))/(VLOOKUP($C106,Lookups!$A$55:$D$64,4))*VLOOKUP($C106,Lookups!$C$2:$D$11,2))),0),10))</f>
        <v>#N/A</v>
      </c>
      <c r="P106" s="13" t="str">
        <f>IF((SUM(F106:M106)=0),"J",VLOOKUP(O106,Lookups!$A$1:$B$11,2))</f>
        <v>J</v>
      </c>
      <c r="Q106" s="8" t="e">
        <f>VLOOKUP(C106,Lookups!$A$136:$C$144,3)</f>
        <v>#N/A</v>
      </c>
      <c r="R106" s="8" t="e">
        <f>VLOOKUP(C106,Lookups!$A$136:$C$144,2)</f>
        <v>#N/A</v>
      </c>
      <c r="S106" s="4" t="str">
        <f t="shared" si="11"/>
        <v>No</v>
      </c>
      <c r="T106" s="125">
        <f t="shared" si="12"/>
        <v>0</v>
      </c>
      <c r="U106" s="125">
        <f t="shared" si="13"/>
        <v>0</v>
      </c>
      <c r="V106" s="4" t="e">
        <f>IF($Q106&lt;&gt;3,VLOOKUP(F106,'Points Table A'!B$3:$F$33,5),VLOOKUP(F106,'Points Table A'!H$3:$L$33,5))</f>
        <v>#N/A</v>
      </c>
      <c r="W106" s="4" t="e">
        <f>IF($Q106&lt;&gt;3,VLOOKUP(G106,'Points Table A'!C$3:$F$33,4),VLOOKUP(G106,'Points Table A'!I$3:$L$33,4))</f>
        <v>#N/A</v>
      </c>
      <c r="X106" s="4" t="e">
        <f>IF($Q106&lt;&gt;3,VLOOKUP(H106,'Points Table A'!D$3:$F$28,3),VLOOKUP(H106,'Points Table A'!J$3:$L$33,3))</f>
        <v>#N/A</v>
      </c>
      <c r="Y106" s="4" t="e">
        <f>IF($Q106&lt;&gt;3,VLOOKUP(I106,'Points Table A'!E$3:$F$33,2),VLOOKUP(I106,'Points Table A'!K$3:$L$33,2))</f>
        <v>#N/A</v>
      </c>
      <c r="Z106" s="4" t="e">
        <f t="shared" si="14"/>
        <v>#N/A</v>
      </c>
      <c r="AA106" s="4">
        <f>IF($S106=Lookups!$B$113,VLOOKUP(L106,'Points Table C'!A$3:$E$11,5),VLOOKUP(U106,'Points Table C'!B$3:$E$11,4))</f>
        <v>0</v>
      </c>
      <c r="AB106" s="4" t="e">
        <f>IF($Q106=1,0,VLOOKUP($J106,'Points Table C'!$C$3:$E$18,3))</f>
        <v>#N/A</v>
      </c>
      <c r="AC106" s="4">
        <f>VLOOKUP($K106,'Points Table C'!$D$3:$E$18,2)</f>
        <v>0</v>
      </c>
      <c r="AD106" s="4" t="e">
        <f>IF($Z106&lt;Lookups!$C$106,($AA106+AB106+AC106),IF($AA106&gt;=Lookups!$C$120,($AA106+AB106+AC106),$AA106+$AB106))</f>
        <v>#N/A</v>
      </c>
      <c r="AF106" s="7"/>
      <c r="AG106" s="7"/>
      <c r="AH106" s="7"/>
      <c r="AI106" s="7"/>
      <c r="AJ106" s="7"/>
      <c r="AK106" s="7"/>
      <c r="AL106" s="7"/>
      <c r="AM106" s="7"/>
      <c r="AN106" s="7"/>
      <c r="AO106" s="7"/>
      <c r="AP106" s="7"/>
      <c r="AQ106" s="7"/>
      <c r="AR106" s="7"/>
      <c r="AS106" s="7"/>
      <c r="AT106" s="7"/>
      <c r="AU106" s="7"/>
      <c r="AV106" s="7"/>
      <c r="AW106" s="7"/>
      <c r="AY106" s="7"/>
      <c r="AZ106" s="7"/>
      <c r="BA106" s="7"/>
      <c r="BB106" s="7"/>
    </row>
    <row r="107" spans="2:54" x14ac:dyDescent="0.2">
      <c r="B107" s="174"/>
      <c r="C107" s="176"/>
      <c r="F107" s="5">
        <v>0</v>
      </c>
      <c r="G107" s="192">
        <v>0</v>
      </c>
      <c r="H107" s="192">
        <v>0</v>
      </c>
      <c r="I107" s="5">
        <v>0</v>
      </c>
      <c r="J107" s="192">
        <v>0</v>
      </c>
      <c r="K107" s="192">
        <v>0</v>
      </c>
      <c r="L107" s="5">
        <v>0</v>
      </c>
      <c r="M107" s="5">
        <v>0</v>
      </c>
      <c r="N107" s="4" t="e">
        <f t="shared" si="15"/>
        <v>#N/A</v>
      </c>
      <c r="O107" s="4" t="e">
        <f>IF(ROUND(10.499-(((N107-VLOOKUP($C107,Lookups!$A$55:$D$64,3))/(VLOOKUP($C107,Lookups!$A$55:$D$64,4))*VLOOKUP($C107,Lookups!$C$2:$D$11,2))),0)&lt;1,1,IF(ROUND(10.499-(((N107-VLOOKUP($C107,Lookups!$A$55:$D$64,3))/(VLOOKUP($C107,Lookups!$A$55:$D$64,4))*VLOOKUP($C107,Lookups!$C$2:$D$11,2))),0)&lt;11,ROUND(10.499-(((N107-VLOOKUP($C107,Lookups!$A$55:$D$64,3))/(VLOOKUP($C107,Lookups!$A$55:$D$64,4))*VLOOKUP($C107,Lookups!$C$2:$D$11,2))),0),10))</f>
        <v>#N/A</v>
      </c>
      <c r="P107" s="13" t="str">
        <f>IF((SUM(F107:M107)=0),"J",VLOOKUP(O107,Lookups!$A$1:$B$11,2))</f>
        <v>J</v>
      </c>
      <c r="Q107" s="8" t="e">
        <f>VLOOKUP(C107,Lookups!$A$136:$C$144,3)</f>
        <v>#N/A</v>
      </c>
      <c r="R107" s="8" t="e">
        <f>VLOOKUP(C107,Lookups!$A$136:$C$144,2)</f>
        <v>#N/A</v>
      </c>
      <c r="S107" s="4" t="str">
        <f t="shared" si="11"/>
        <v>No</v>
      </c>
      <c r="T107" s="125">
        <f t="shared" si="12"/>
        <v>0</v>
      </c>
      <c r="U107" s="125">
        <f t="shared" si="13"/>
        <v>0</v>
      </c>
      <c r="V107" s="4" t="e">
        <f>IF($Q107&lt;&gt;3,VLOOKUP(F107,'Points Table A'!B$3:$F$33,5),VLOOKUP(F107,'Points Table A'!H$3:$L$33,5))</f>
        <v>#N/A</v>
      </c>
      <c r="W107" s="4" t="e">
        <f>IF($Q107&lt;&gt;3,VLOOKUP(G107,'Points Table A'!C$3:$F$33,4),VLOOKUP(G107,'Points Table A'!I$3:$L$33,4))</f>
        <v>#N/A</v>
      </c>
      <c r="X107" s="4" t="e">
        <f>IF($Q107&lt;&gt;3,VLOOKUP(H107,'Points Table A'!D$3:$F$28,3),VLOOKUP(H107,'Points Table A'!J$3:$L$33,3))</f>
        <v>#N/A</v>
      </c>
      <c r="Y107" s="4" t="e">
        <f>IF($Q107&lt;&gt;3,VLOOKUP(I107,'Points Table A'!E$3:$F$33,2),VLOOKUP(I107,'Points Table A'!K$3:$L$33,2))</f>
        <v>#N/A</v>
      </c>
      <c r="Z107" s="4" t="e">
        <f t="shared" si="14"/>
        <v>#N/A</v>
      </c>
      <c r="AA107" s="4">
        <f>IF($S107=Lookups!$B$113,VLOOKUP(L107,'Points Table C'!A$3:$E$11,5),VLOOKUP(U107,'Points Table C'!B$3:$E$11,4))</f>
        <v>0</v>
      </c>
      <c r="AB107" s="4" t="e">
        <f>IF($Q107=1,0,VLOOKUP($J107,'Points Table C'!$C$3:$E$18,3))</f>
        <v>#N/A</v>
      </c>
      <c r="AC107" s="4">
        <f>VLOOKUP($K107,'Points Table C'!$D$3:$E$18,2)</f>
        <v>0</v>
      </c>
      <c r="AD107" s="4" t="e">
        <f>IF($Z107&lt;Lookups!$C$106,($AA107+AB107+AC107),IF($AA107&gt;=Lookups!$C$120,($AA107+AB107+AC107),$AA107+$AB107))</f>
        <v>#N/A</v>
      </c>
      <c r="AF107" s="7"/>
      <c r="AG107" s="7"/>
      <c r="AH107" s="7"/>
      <c r="AI107" s="7"/>
      <c r="AJ107" s="7"/>
      <c r="AK107" s="7"/>
      <c r="AL107" s="7"/>
      <c r="AM107" s="7"/>
      <c r="AN107" s="7"/>
      <c r="AO107" s="7"/>
      <c r="AP107" s="7"/>
      <c r="AQ107" s="7"/>
      <c r="AR107" s="7"/>
      <c r="AS107" s="7"/>
      <c r="AT107" s="7"/>
      <c r="AU107" s="7"/>
      <c r="AV107" s="7"/>
      <c r="AW107" s="7"/>
      <c r="AY107" s="7"/>
      <c r="AZ107" s="7"/>
      <c r="BA107" s="7"/>
      <c r="BB107" s="7"/>
    </row>
    <row r="108" spans="2:54" x14ac:dyDescent="0.2">
      <c r="B108" s="174"/>
      <c r="C108" s="176"/>
      <c r="F108" s="5">
        <v>0</v>
      </c>
      <c r="G108" s="192">
        <v>0</v>
      </c>
      <c r="H108" s="192">
        <v>0</v>
      </c>
      <c r="I108" s="5">
        <v>0</v>
      </c>
      <c r="J108" s="192">
        <v>0</v>
      </c>
      <c r="K108" s="192">
        <v>0</v>
      </c>
      <c r="L108" s="5">
        <v>0</v>
      </c>
      <c r="M108" s="5">
        <v>0</v>
      </c>
      <c r="N108" s="4" t="e">
        <f t="shared" si="15"/>
        <v>#N/A</v>
      </c>
      <c r="O108" s="4" t="e">
        <f>IF(ROUND(10.499-(((N108-VLOOKUP($C108,Lookups!$A$55:$D$64,3))/(VLOOKUP($C108,Lookups!$A$55:$D$64,4))*VLOOKUP($C108,Lookups!$C$2:$D$11,2))),0)&lt;1,1,IF(ROUND(10.499-(((N108-VLOOKUP($C108,Lookups!$A$55:$D$64,3))/(VLOOKUP($C108,Lookups!$A$55:$D$64,4))*VLOOKUP($C108,Lookups!$C$2:$D$11,2))),0)&lt;11,ROUND(10.499-(((N108-VLOOKUP($C108,Lookups!$A$55:$D$64,3))/(VLOOKUP($C108,Lookups!$A$55:$D$64,4))*VLOOKUP($C108,Lookups!$C$2:$D$11,2))),0),10))</f>
        <v>#N/A</v>
      </c>
      <c r="P108" s="13" t="str">
        <f>IF((SUM(F108:M108)=0),"J",VLOOKUP(O108,Lookups!$A$1:$B$11,2))</f>
        <v>J</v>
      </c>
      <c r="Q108" s="8" t="e">
        <f>VLOOKUP(C108,Lookups!$A$136:$C$144,3)</f>
        <v>#N/A</v>
      </c>
      <c r="R108" s="8" t="e">
        <f>VLOOKUP(C108,Lookups!$A$136:$C$144,2)</f>
        <v>#N/A</v>
      </c>
      <c r="S108" s="4" t="str">
        <f t="shared" si="11"/>
        <v>No</v>
      </c>
      <c r="T108" s="125">
        <f t="shared" si="12"/>
        <v>0</v>
      </c>
      <c r="U108" s="125">
        <f t="shared" si="13"/>
        <v>0</v>
      </c>
      <c r="V108" s="4" t="e">
        <f>IF($Q108&lt;&gt;3,VLOOKUP(F108,'Points Table A'!B$3:$F$33,5),VLOOKUP(F108,'Points Table A'!H$3:$L$33,5))</f>
        <v>#N/A</v>
      </c>
      <c r="W108" s="4" t="e">
        <f>IF($Q108&lt;&gt;3,VLOOKUP(G108,'Points Table A'!C$3:$F$33,4),VLOOKUP(G108,'Points Table A'!I$3:$L$33,4))</f>
        <v>#N/A</v>
      </c>
      <c r="X108" s="4" t="e">
        <f>IF($Q108&lt;&gt;3,VLOOKUP(H108,'Points Table A'!D$3:$F$28,3),VLOOKUP(H108,'Points Table A'!J$3:$L$33,3))</f>
        <v>#N/A</v>
      </c>
      <c r="Y108" s="4" t="e">
        <f>IF($Q108&lt;&gt;3,VLOOKUP(I108,'Points Table A'!E$3:$F$33,2),VLOOKUP(I108,'Points Table A'!K$3:$L$33,2))</f>
        <v>#N/A</v>
      </c>
      <c r="Z108" s="4" t="e">
        <f t="shared" si="14"/>
        <v>#N/A</v>
      </c>
      <c r="AA108" s="4">
        <f>IF($S108=Lookups!$B$113,VLOOKUP(L108,'Points Table C'!A$3:$E$11,5),VLOOKUP(U108,'Points Table C'!B$3:$E$11,4))</f>
        <v>0</v>
      </c>
      <c r="AB108" s="4" t="e">
        <f>IF($Q108=1,0,VLOOKUP($J108,'Points Table C'!$C$3:$E$18,3))</f>
        <v>#N/A</v>
      </c>
      <c r="AC108" s="4">
        <f>VLOOKUP($K108,'Points Table C'!$D$3:$E$18,2)</f>
        <v>0</v>
      </c>
      <c r="AD108" s="4" t="e">
        <f>IF($Z108&lt;Lookups!$C$106,($AA108+AB108+AC108),IF($AA108&gt;=Lookups!$C$120,($AA108+AB108+AC108),$AA108+$AB108))</f>
        <v>#N/A</v>
      </c>
      <c r="AF108" s="7"/>
      <c r="AG108" s="7"/>
      <c r="AH108" s="7"/>
      <c r="AI108" s="7"/>
      <c r="AJ108" s="7"/>
      <c r="AK108" s="7"/>
      <c r="AL108" s="7"/>
      <c r="AM108" s="7"/>
      <c r="AN108" s="7"/>
      <c r="AO108" s="7"/>
      <c r="AP108" s="7"/>
      <c r="AQ108" s="7"/>
      <c r="AR108" s="7"/>
      <c r="AS108" s="7"/>
      <c r="AT108" s="7"/>
      <c r="AU108" s="7"/>
      <c r="AV108" s="7"/>
      <c r="AW108" s="7"/>
      <c r="AY108" s="7"/>
      <c r="AZ108" s="7"/>
      <c r="BA108" s="7"/>
      <c r="BB108" s="7"/>
    </row>
    <row r="109" spans="2:54" x14ac:dyDescent="0.2">
      <c r="B109" s="174"/>
      <c r="C109" s="176"/>
      <c r="F109" s="5">
        <v>0</v>
      </c>
      <c r="G109" s="192">
        <v>0</v>
      </c>
      <c r="H109" s="192">
        <v>0</v>
      </c>
      <c r="I109" s="5">
        <v>0</v>
      </c>
      <c r="J109" s="192">
        <v>0</v>
      </c>
      <c r="K109" s="192">
        <v>0</v>
      </c>
      <c r="L109" s="5">
        <v>0</v>
      </c>
      <c r="M109" s="5">
        <v>0</v>
      </c>
      <c r="N109" s="4" t="e">
        <f t="shared" si="15"/>
        <v>#N/A</v>
      </c>
      <c r="O109" s="4" t="e">
        <f>IF(ROUND(10.499-(((N109-VLOOKUP($C109,Lookups!$A$55:$D$64,3))/(VLOOKUP($C109,Lookups!$A$55:$D$64,4))*VLOOKUP($C109,Lookups!$C$2:$D$11,2))),0)&lt;1,1,IF(ROUND(10.499-(((N109-VLOOKUP($C109,Lookups!$A$55:$D$64,3))/(VLOOKUP($C109,Lookups!$A$55:$D$64,4))*VLOOKUP($C109,Lookups!$C$2:$D$11,2))),0)&lt;11,ROUND(10.499-(((N109-VLOOKUP($C109,Lookups!$A$55:$D$64,3))/(VLOOKUP($C109,Lookups!$A$55:$D$64,4))*VLOOKUP($C109,Lookups!$C$2:$D$11,2))),0),10))</f>
        <v>#N/A</v>
      </c>
      <c r="P109" s="13" t="str">
        <f>IF((SUM(F109:M109)=0),"J",VLOOKUP(O109,Lookups!$A$1:$B$11,2))</f>
        <v>J</v>
      </c>
      <c r="Q109" s="8" t="e">
        <f>VLOOKUP(C109,Lookups!$A$136:$C$144,3)</f>
        <v>#N/A</v>
      </c>
      <c r="R109" s="8" t="e">
        <f>VLOOKUP(C109,Lookups!$A$136:$C$144,2)</f>
        <v>#N/A</v>
      </c>
      <c r="S109" s="4" t="str">
        <f t="shared" si="11"/>
        <v>No</v>
      </c>
      <c r="T109" s="125">
        <f t="shared" si="12"/>
        <v>0</v>
      </c>
      <c r="U109" s="125">
        <f t="shared" si="13"/>
        <v>0</v>
      </c>
      <c r="V109" s="4" t="e">
        <f>IF($Q109&lt;&gt;3,VLOOKUP(F109,'Points Table A'!B$3:$F$33,5),VLOOKUP(F109,'Points Table A'!H$3:$L$33,5))</f>
        <v>#N/A</v>
      </c>
      <c r="W109" s="4" t="e">
        <f>IF($Q109&lt;&gt;3,VLOOKUP(G109,'Points Table A'!C$3:$F$33,4),VLOOKUP(G109,'Points Table A'!I$3:$L$33,4))</f>
        <v>#N/A</v>
      </c>
      <c r="X109" s="4" t="e">
        <f>IF($Q109&lt;&gt;3,VLOOKUP(H109,'Points Table A'!D$3:$F$28,3),VLOOKUP(H109,'Points Table A'!J$3:$L$33,3))</f>
        <v>#N/A</v>
      </c>
      <c r="Y109" s="4" t="e">
        <f>IF($Q109&lt;&gt;3,VLOOKUP(I109,'Points Table A'!E$3:$F$33,2),VLOOKUP(I109,'Points Table A'!K$3:$L$33,2))</f>
        <v>#N/A</v>
      </c>
      <c r="Z109" s="4" t="e">
        <f t="shared" si="14"/>
        <v>#N/A</v>
      </c>
      <c r="AA109" s="4">
        <f>IF($S109=Lookups!$B$113,VLOOKUP(L109,'Points Table C'!A$3:$E$11,5),VLOOKUP(U109,'Points Table C'!B$3:$E$11,4))</f>
        <v>0</v>
      </c>
      <c r="AB109" s="4" t="e">
        <f>IF($Q109=1,0,VLOOKUP($J109,'Points Table C'!$C$3:$E$18,3))</f>
        <v>#N/A</v>
      </c>
      <c r="AC109" s="4">
        <f>VLOOKUP($K109,'Points Table C'!$D$3:$E$18,2)</f>
        <v>0</v>
      </c>
      <c r="AD109" s="4" t="e">
        <f>IF($Z109&lt;Lookups!$C$106,($AA109+AB109+AC109),IF($AA109&gt;=Lookups!$C$120,($AA109+AB109+AC109),$AA109+$AB109))</f>
        <v>#N/A</v>
      </c>
      <c r="AF109" s="7"/>
      <c r="AG109" s="7"/>
      <c r="AH109" s="7"/>
      <c r="AI109" s="7"/>
      <c r="AJ109" s="7"/>
      <c r="AK109" s="7"/>
      <c r="AL109" s="7"/>
      <c r="AM109" s="7"/>
      <c r="AN109" s="7"/>
      <c r="AO109" s="7"/>
      <c r="AP109" s="7"/>
      <c r="AQ109" s="7"/>
      <c r="AR109" s="7"/>
      <c r="AS109" s="7"/>
      <c r="AT109" s="7"/>
      <c r="AU109" s="7"/>
      <c r="AV109" s="7"/>
      <c r="AW109" s="7"/>
      <c r="AY109" s="7"/>
      <c r="AZ109" s="7"/>
      <c r="BA109" s="7"/>
      <c r="BB109" s="7"/>
    </row>
    <row r="110" spans="2:54" x14ac:dyDescent="0.2">
      <c r="B110" s="174"/>
      <c r="C110" s="176"/>
      <c r="F110" s="5">
        <v>0</v>
      </c>
      <c r="G110" s="192">
        <v>0</v>
      </c>
      <c r="H110" s="192">
        <v>0</v>
      </c>
      <c r="I110" s="5">
        <v>0</v>
      </c>
      <c r="J110" s="192">
        <v>0</v>
      </c>
      <c r="K110" s="192">
        <v>0</v>
      </c>
      <c r="L110" s="5">
        <v>0</v>
      </c>
      <c r="M110" s="5">
        <v>0</v>
      </c>
      <c r="N110" s="4" t="e">
        <f t="shared" si="15"/>
        <v>#N/A</v>
      </c>
      <c r="O110" s="4" t="e">
        <f>IF(ROUND(10.499-(((N110-VLOOKUP($C110,Lookups!$A$55:$D$64,3))/(VLOOKUP($C110,Lookups!$A$55:$D$64,4))*VLOOKUP($C110,Lookups!$C$2:$D$11,2))),0)&lt;1,1,IF(ROUND(10.499-(((N110-VLOOKUP($C110,Lookups!$A$55:$D$64,3))/(VLOOKUP($C110,Lookups!$A$55:$D$64,4))*VLOOKUP($C110,Lookups!$C$2:$D$11,2))),0)&lt;11,ROUND(10.499-(((N110-VLOOKUP($C110,Lookups!$A$55:$D$64,3))/(VLOOKUP($C110,Lookups!$A$55:$D$64,4))*VLOOKUP($C110,Lookups!$C$2:$D$11,2))),0),10))</f>
        <v>#N/A</v>
      </c>
      <c r="P110" s="13" t="str">
        <f>IF((SUM(F110:M110)=0),"J",VLOOKUP(O110,Lookups!$A$1:$B$11,2))</f>
        <v>J</v>
      </c>
      <c r="Q110" s="8" t="e">
        <f>VLOOKUP(C110,Lookups!$A$136:$C$144,3)</f>
        <v>#N/A</v>
      </c>
      <c r="R110" s="8" t="e">
        <f>VLOOKUP(C110,Lookups!$A$136:$C$144,2)</f>
        <v>#N/A</v>
      </c>
      <c r="S110" s="4" t="str">
        <f t="shared" si="11"/>
        <v>No</v>
      </c>
      <c r="T110" s="125">
        <f t="shared" si="12"/>
        <v>0</v>
      </c>
      <c r="U110" s="125">
        <f t="shared" si="13"/>
        <v>0</v>
      </c>
      <c r="V110" s="4" t="e">
        <f>IF($Q110&lt;&gt;3,VLOOKUP(F110,'Points Table A'!B$3:$F$33,5),VLOOKUP(F110,'Points Table A'!H$3:$L$33,5))</f>
        <v>#N/A</v>
      </c>
      <c r="W110" s="4" t="e">
        <f>IF($Q110&lt;&gt;3,VLOOKUP(G110,'Points Table A'!C$3:$F$33,4),VLOOKUP(G110,'Points Table A'!I$3:$L$33,4))</f>
        <v>#N/A</v>
      </c>
      <c r="X110" s="4" t="e">
        <f>IF($Q110&lt;&gt;3,VLOOKUP(H110,'Points Table A'!D$3:$F$28,3),VLOOKUP(H110,'Points Table A'!J$3:$L$33,3))</f>
        <v>#N/A</v>
      </c>
      <c r="Y110" s="4" t="e">
        <f>IF($Q110&lt;&gt;3,VLOOKUP(I110,'Points Table A'!E$3:$F$33,2),VLOOKUP(I110,'Points Table A'!K$3:$L$33,2))</f>
        <v>#N/A</v>
      </c>
      <c r="Z110" s="4" t="e">
        <f t="shared" si="14"/>
        <v>#N/A</v>
      </c>
      <c r="AA110" s="4">
        <f>IF($S110=Lookups!$B$113,VLOOKUP(L110,'Points Table C'!A$3:$E$11,5),VLOOKUP(U110,'Points Table C'!B$3:$E$11,4))</f>
        <v>0</v>
      </c>
      <c r="AB110" s="4" t="e">
        <f>IF($Q110=1,0,VLOOKUP($J110,'Points Table C'!$C$3:$E$18,3))</f>
        <v>#N/A</v>
      </c>
      <c r="AC110" s="4">
        <f>VLOOKUP($K110,'Points Table C'!$D$3:$E$18,2)</f>
        <v>0</v>
      </c>
      <c r="AD110" s="4" t="e">
        <f>IF($Z110&lt;Lookups!$C$106,($AA110+AB110+AC110),IF($AA110&gt;=Lookups!$C$120,($AA110+AB110+AC110),$AA110+$AB110))</f>
        <v>#N/A</v>
      </c>
      <c r="AF110" s="7"/>
      <c r="AG110" s="7"/>
      <c r="AH110" s="7"/>
      <c r="AI110" s="7"/>
      <c r="AJ110" s="7"/>
      <c r="AK110" s="7"/>
      <c r="AL110" s="7"/>
      <c r="AM110" s="7"/>
      <c r="AN110" s="7"/>
      <c r="AO110" s="7"/>
      <c r="AP110" s="7"/>
      <c r="AQ110" s="7"/>
      <c r="AR110" s="7"/>
      <c r="AS110" s="7"/>
      <c r="AT110" s="7"/>
      <c r="AU110" s="7"/>
      <c r="AV110" s="7"/>
      <c r="AW110" s="7"/>
      <c r="AY110" s="7"/>
      <c r="AZ110" s="7"/>
      <c r="BA110" s="7"/>
      <c r="BB110" s="7"/>
    </row>
    <row r="111" spans="2:54" x14ac:dyDescent="0.2">
      <c r="B111" s="174"/>
      <c r="C111" s="176"/>
      <c r="F111" s="5">
        <v>0</v>
      </c>
      <c r="G111" s="192">
        <v>0</v>
      </c>
      <c r="H111" s="192">
        <v>0</v>
      </c>
      <c r="I111" s="5">
        <v>0</v>
      </c>
      <c r="J111" s="192">
        <v>0</v>
      </c>
      <c r="K111" s="192">
        <v>0</v>
      </c>
      <c r="L111" s="5">
        <v>0</v>
      </c>
      <c r="M111" s="5">
        <v>0</v>
      </c>
      <c r="N111" s="4" t="e">
        <f t="shared" si="15"/>
        <v>#N/A</v>
      </c>
      <c r="O111" s="4" t="e">
        <f>IF(ROUND(10.499-(((N111-VLOOKUP($C111,Lookups!$A$55:$D$64,3))/(VLOOKUP($C111,Lookups!$A$55:$D$64,4))*VLOOKUP($C111,Lookups!$C$2:$D$11,2))),0)&lt;1,1,IF(ROUND(10.499-(((N111-VLOOKUP($C111,Lookups!$A$55:$D$64,3))/(VLOOKUP($C111,Lookups!$A$55:$D$64,4))*VLOOKUP($C111,Lookups!$C$2:$D$11,2))),0)&lt;11,ROUND(10.499-(((N111-VLOOKUP($C111,Lookups!$A$55:$D$64,3))/(VLOOKUP($C111,Lookups!$A$55:$D$64,4))*VLOOKUP($C111,Lookups!$C$2:$D$11,2))),0),10))</f>
        <v>#N/A</v>
      </c>
      <c r="P111" s="13" t="str">
        <f>IF((SUM(F111:M111)=0),"J",VLOOKUP(O111,Lookups!$A$1:$B$11,2))</f>
        <v>J</v>
      </c>
      <c r="Q111" s="8" t="e">
        <f>VLOOKUP(C111,Lookups!$A$136:$C$144,3)</f>
        <v>#N/A</v>
      </c>
      <c r="R111" s="8" t="e">
        <f>VLOOKUP(C111,Lookups!$A$136:$C$144,2)</f>
        <v>#N/A</v>
      </c>
      <c r="S111" s="4" t="str">
        <f t="shared" si="11"/>
        <v>No</v>
      </c>
      <c r="T111" s="125">
        <f t="shared" si="12"/>
        <v>0</v>
      </c>
      <c r="U111" s="125">
        <f t="shared" si="13"/>
        <v>0</v>
      </c>
      <c r="V111" s="4" t="e">
        <f>IF($Q111&lt;&gt;3,VLOOKUP(F111,'Points Table A'!B$3:$F$33,5),VLOOKUP(F111,'Points Table A'!H$3:$L$33,5))</f>
        <v>#N/A</v>
      </c>
      <c r="W111" s="4" t="e">
        <f>IF($Q111&lt;&gt;3,VLOOKUP(G111,'Points Table A'!C$3:$F$33,4),VLOOKUP(G111,'Points Table A'!I$3:$L$33,4))</f>
        <v>#N/A</v>
      </c>
      <c r="X111" s="4" t="e">
        <f>IF($Q111&lt;&gt;3,VLOOKUP(H111,'Points Table A'!D$3:$F$28,3),VLOOKUP(H111,'Points Table A'!J$3:$L$33,3))</f>
        <v>#N/A</v>
      </c>
      <c r="Y111" s="4" t="e">
        <f>IF($Q111&lt;&gt;3,VLOOKUP(I111,'Points Table A'!E$3:$F$33,2),VLOOKUP(I111,'Points Table A'!K$3:$L$33,2))</f>
        <v>#N/A</v>
      </c>
      <c r="Z111" s="4" t="e">
        <f t="shared" si="14"/>
        <v>#N/A</v>
      </c>
      <c r="AA111" s="4">
        <f>IF($S111=Lookups!$B$113,VLOOKUP(L111,'Points Table C'!A$3:$E$11,5),VLOOKUP(U111,'Points Table C'!B$3:$E$11,4))</f>
        <v>0</v>
      </c>
      <c r="AB111" s="4" t="e">
        <f>IF($Q111=1,0,VLOOKUP($J111,'Points Table C'!$C$3:$E$18,3))</f>
        <v>#N/A</v>
      </c>
      <c r="AC111" s="4">
        <f>VLOOKUP($K111,'Points Table C'!$D$3:$E$18,2)</f>
        <v>0</v>
      </c>
      <c r="AD111" s="4" t="e">
        <f>IF($Z111&lt;Lookups!$C$106,($AA111+AB111+AC111),IF($AA111&gt;=Lookups!$C$120,($AA111+AB111+AC111),$AA111+$AB111))</f>
        <v>#N/A</v>
      </c>
      <c r="AF111" s="7"/>
      <c r="AG111" s="7"/>
      <c r="AH111" s="7"/>
      <c r="AI111" s="7"/>
      <c r="AJ111" s="7"/>
      <c r="AK111" s="7"/>
      <c r="AL111" s="7"/>
      <c r="AM111" s="7"/>
      <c r="AN111" s="7"/>
      <c r="AO111" s="7"/>
      <c r="AP111" s="7"/>
      <c r="AQ111" s="7"/>
      <c r="AR111" s="7"/>
      <c r="AS111" s="7"/>
      <c r="AT111" s="7"/>
      <c r="AU111" s="7"/>
      <c r="AV111" s="7"/>
      <c r="AW111" s="7"/>
      <c r="AY111" s="7"/>
      <c r="AZ111" s="7"/>
      <c r="BA111" s="7"/>
      <c r="BB111" s="7"/>
    </row>
    <row r="112" spans="2:54" x14ac:dyDescent="0.2">
      <c r="B112" s="174"/>
      <c r="C112" s="176"/>
      <c r="F112" s="5">
        <v>0</v>
      </c>
      <c r="G112" s="192">
        <v>0</v>
      </c>
      <c r="H112" s="192">
        <v>0</v>
      </c>
      <c r="I112" s="5">
        <v>0</v>
      </c>
      <c r="J112" s="192">
        <v>0</v>
      </c>
      <c r="K112" s="192">
        <v>0</v>
      </c>
      <c r="L112" s="5">
        <v>0</v>
      </c>
      <c r="M112" s="5">
        <v>0</v>
      </c>
      <c r="N112" s="4" t="e">
        <f t="shared" si="15"/>
        <v>#N/A</v>
      </c>
      <c r="O112" s="4" t="e">
        <f>IF(ROUND(10.499-(((N112-VLOOKUP($C112,Lookups!$A$55:$D$64,3))/(VLOOKUP($C112,Lookups!$A$55:$D$64,4))*VLOOKUP($C112,Lookups!$C$2:$D$11,2))),0)&lt;1,1,IF(ROUND(10.499-(((N112-VLOOKUP($C112,Lookups!$A$55:$D$64,3))/(VLOOKUP($C112,Lookups!$A$55:$D$64,4))*VLOOKUP($C112,Lookups!$C$2:$D$11,2))),0)&lt;11,ROUND(10.499-(((N112-VLOOKUP($C112,Lookups!$A$55:$D$64,3))/(VLOOKUP($C112,Lookups!$A$55:$D$64,4))*VLOOKUP($C112,Lookups!$C$2:$D$11,2))),0),10))</f>
        <v>#N/A</v>
      </c>
      <c r="P112" s="13" t="str">
        <f>IF((SUM(F112:M112)=0),"J",VLOOKUP(O112,Lookups!$A$1:$B$11,2))</f>
        <v>J</v>
      </c>
      <c r="Q112" s="8" t="e">
        <f>VLOOKUP(C112,Lookups!$A$136:$C$144,3)</f>
        <v>#N/A</v>
      </c>
      <c r="R112" s="8" t="e">
        <f>VLOOKUP(C112,Lookups!$A$136:$C$144,2)</f>
        <v>#N/A</v>
      </c>
      <c r="S112" s="4" t="str">
        <f t="shared" si="11"/>
        <v>No</v>
      </c>
      <c r="T112" s="125">
        <f t="shared" si="12"/>
        <v>0</v>
      </c>
      <c r="U112" s="125">
        <f t="shared" si="13"/>
        <v>0</v>
      </c>
      <c r="V112" s="4" t="e">
        <f>IF($Q112&lt;&gt;3,VLOOKUP(F112,'Points Table A'!B$3:$F$33,5),VLOOKUP(F112,'Points Table A'!H$3:$L$33,5))</f>
        <v>#N/A</v>
      </c>
      <c r="W112" s="4" t="e">
        <f>IF($Q112&lt;&gt;3,VLOOKUP(G112,'Points Table A'!C$3:$F$33,4),VLOOKUP(G112,'Points Table A'!I$3:$L$33,4))</f>
        <v>#N/A</v>
      </c>
      <c r="X112" s="4" t="e">
        <f>IF($Q112&lt;&gt;3,VLOOKUP(H112,'Points Table A'!D$3:$F$28,3),VLOOKUP(H112,'Points Table A'!J$3:$L$33,3))</f>
        <v>#N/A</v>
      </c>
      <c r="Y112" s="4" t="e">
        <f>IF($Q112&lt;&gt;3,VLOOKUP(I112,'Points Table A'!E$3:$F$33,2),VLOOKUP(I112,'Points Table A'!K$3:$L$33,2))</f>
        <v>#N/A</v>
      </c>
      <c r="Z112" s="4" t="e">
        <f t="shared" si="14"/>
        <v>#N/A</v>
      </c>
      <c r="AA112" s="4">
        <f>IF($S112=Lookups!$B$113,VLOOKUP(L112,'Points Table C'!A$3:$E$11,5),VLOOKUP(U112,'Points Table C'!B$3:$E$11,4))</f>
        <v>0</v>
      </c>
      <c r="AB112" s="4" t="e">
        <f>IF($Q112=1,0,VLOOKUP($J112,'Points Table C'!$C$3:$E$18,3))</f>
        <v>#N/A</v>
      </c>
      <c r="AC112" s="4">
        <f>VLOOKUP($K112,'Points Table C'!$D$3:$E$18,2)</f>
        <v>0</v>
      </c>
      <c r="AD112" s="4" t="e">
        <f>IF($Z112&lt;Lookups!$C$106,($AA112+AB112+AC112),IF($AA112&gt;=Lookups!$C$120,($AA112+AB112+AC112),$AA112+$AB112))</f>
        <v>#N/A</v>
      </c>
      <c r="AF112" s="7"/>
      <c r="AG112" s="7"/>
      <c r="AH112" s="7"/>
      <c r="AI112" s="7"/>
      <c r="AJ112" s="7"/>
      <c r="AK112" s="7"/>
      <c r="AL112" s="7"/>
      <c r="AM112" s="7"/>
      <c r="AN112" s="7"/>
      <c r="AO112" s="7"/>
      <c r="AP112" s="7"/>
      <c r="AQ112" s="7"/>
      <c r="AR112" s="7"/>
      <c r="AS112" s="7"/>
      <c r="AT112" s="7"/>
      <c r="AU112" s="7"/>
      <c r="AV112" s="7"/>
      <c r="AW112" s="7"/>
      <c r="AY112" s="7"/>
      <c r="AZ112" s="7"/>
      <c r="BA112" s="7"/>
      <c r="BB112" s="7"/>
    </row>
    <row r="113" spans="2:54" x14ac:dyDescent="0.2">
      <c r="B113" s="174"/>
      <c r="C113" s="176"/>
      <c r="F113" s="5">
        <v>0</v>
      </c>
      <c r="G113" s="192">
        <v>0</v>
      </c>
      <c r="H113" s="192">
        <v>0</v>
      </c>
      <c r="I113" s="5">
        <v>0</v>
      </c>
      <c r="J113" s="192">
        <v>0</v>
      </c>
      <c r="K113" s="192">
        <v>0</v>
      </c>
      <c r="L113" s="5">
        <v>0</v>
      </c>
      <c r="M113" s="5">
        <v>0</v>
      </c>
      <c r="N113" s="4" t="e">
        <f t="shared" si="15"/>
        <v>#N/A</v>
      </c>
      <c r="O113" s="4" t="e">
        <f>IF(ROUND(10.499-(((N113-VLOOKUP($C113,Lookups!$A$55:$D$64,3))/(VLOOKUP($C113,Lookups!$A$55:$D$64,4))*VLOOKUP($C113,Lookups!$C$2:$D$11,2))),0)&lt;1,1,IF(ROUND(10.499-(((N113-VLOOKUP($C113,Lookups!$A$55:$D$64,3))/(VLOOKUP($C113,Lookups!$A$55:$D$64,4))*VLOOKUP($C113,Lookups!$C$2:$D$11,2))),0)&lt;11,ROUND(10.499-(((N113-VLOOKUP($C113,Lookups!$A$55:$D$64,3))/(VLOOKUP($C113,Lookups!$A$55:$D$64,4))*VLOOKUP($C113,Lookups!$C$2:$D$11,2))),0),10))</f>
        <v>#N/A</v>
      </c>
      <c r="P113" s="13" t="str">
        <f>IF((SUM(F113:M113)=0),"J",VLOOKUP(O113,Lookups!$A$1:$B$11,2))</f>
        <v>J</v>
      </c>
      <c r="Q113" s="8" t="e">
        <f>VLOOKUP(C113,Lookups!$A$136:$C$144,3)</f>
        <v>#N/A</v>
      </c>
      <c r="R113" s="8" t="e">
        <f>VLOOKUP(C113,Lookups!$A$136:$C$144,2)</f>
        <v>#N/A</v>
      </c>
      <c r="S113" s="4" t="str">
        <f t="shared" si="11"/>
        <v>No</v>
      </c>
      <c r="T113" s="125">
        <f t="shared" si="12"/>
        <v>0</v>
      </c>
      <c r="U113" s="125">
        <f t="shared" si="13"/>
        <v>0</v>
      </c>
      <c r="V113" s="4" t="e">
        <f>IF($Q113&lt;&gt;3,VLOOKUP(F113,'Points Table A'!B$3:$F$33,5),VLOOKUP(F113,'Points Table A'!H$3:$L$33,5))</f>
        <v>#N/A</v>
      </c>
      <c r="W113" s="4" t="e">
        <f>IF($Q113&lt;&gt;3,VLOOKUP(G113,'Points Table A'!C$3:$F$33,4),VLOOKUP(G113,'Points Table A'!I$3:$L$33,4))</f>
        <v>#N/A</v>
      </c>
      <c r="X113" s="4" t="e">
        <f>IF($Q113&lt;&gt;3,VLOOKUP(H113,'Points Table A'!D$3:$F$28,3),VLOOKUP(H113,'Points Table A'!J$3:$L$33,3))</f>
        <v>#N/A</v>
      </c>
      <c r="Y113" s="4" t="e">
        <f>IF($Q113&lt;&gt;3,VLOOKUP(I113,'Points Table A'!E$3:$F$33,2),VLOOKUP(I113,'Points Table A'!K$3:$L$33,2))</f>
        <v>#N/A</v>
      </c>
      <c r="Z113" s="4" t="e">
        <f t="shared" si="14"/>
        <v>#N/A</v>
      </c>
      <c r="AA113" s="4">
        <f>IF($S113=Lookups!$B$113,VLOOKUP(L113,'Points Table C'!A$3:$E$11,5),VLOOKUP(U113,'Points Table C'!B$3:$E$11,4))</f>
        <v>0</v>
      </c>
      <c r="AB113" s="4" t="e">
        <f>IF($Q113=1,0,VLOOKUP($J113,'Points Table C'!$C$3:$E$18,3))</f>
        <v>#N/A</v>
      </c>
      <c r="AC113" s="4">
        <f>VLOOKUP($K113,'Points Table C'!$D$3:$E$18,2)</f>
        <v>0</v>
      </c>
      <c r="AD113" s="4" t="e">
        <f>IF($Z113&lt;Lookups!$C$106,($AA113+AB113+AC113),IF($AA113&gt;=Lookups!$C$120,($AA113+AB113+AC113),$AA113+$AB113))</f>
        <v>#N/A</v>
      </c>
      <c r="AF113" s="7"/>
      <c r="AG113" s="7"/>
      <c r="AH113" s="7"/>
      <c r="AI113" s="7"/>
      <c r="AJ113" s="7"/>
      <c r="AK113" s="7"/>
      <c r="AL113" s="7"/>
      <c r="AM113" s="7"/>
      <c r="AN113" s="7"/>
      <c r="AO113" s="7"/>
      <c r="AP113" s="7"/>
      <c r="AQ113" s="7"/>
      <c r="AR113" s="7"/>
      <c r="AS113" s="7"/>
      <c r="AT113" s="7"/>
      <c r="AU113" s="7"/>
      <c r="AV113" s="7"/>
      <c r="AW113" s="7"/>
      <c r="AY113" s="7"/>
      <c r="AZ113" s="7"/>
      <c r="BA113" s="7"/>
      <c r="BB113" s="7"/>
    </row>
    <row r="114" spans="2:54" x14ac:dyDescent="0.2">
      <c r="B114" s="174"/>
      <c r="C114" s="176"/>
      <c r="F114" s="5">
        <v>0</v>
      </c>
      <c r="G114" s="192">
        <v>0</v>
      </c>
      <c r="H114" s="192">
        <v>0</v>
      </c>
      <c r="I114" s="5">
        <v>0</v>
      </c>
      <c r="J114" s="192">
        <v>0</v>
      </c>
      <c r="K114" s="192">
        <v>0</v>
      </c>
      <c r="L114" s="5">
        <v>0</v>
      </c>
      <c r="M114" s="5">
        <v>0</v>
      </c>
      <c r="N114" s="4" t="e">
        <f t="shared" si="15"/>
        <v>#N/A</v>
      </c>
      <c r="O114" s="4" t="e">
        <f>IF(ROUND(10.499-(((N114-VLOOKUP($C114,Lookups!$A$55:$D$64,3))/(VLOOKUP($C114,Lookups!$A$55:$D$64,4))*VLOOKUP($C114,Lookups!$C$2:$D$11,2))),0)&lt;1,1,IF(ROUND(10.499-(((N114-VLOOKUP($C114,Lookups!$A$55:$D$64,3))/(VLOOKUP($C114,Lookups!$A$55:$D$64,4))*VLOOKUP($C114,Lookups!$C$2:$D$11,2))),0)&lt;11,ROUND(10.499-(((N114-VLOOKUP($C114,Lookups!$A$55:$D$64,3))/(VLOOKUP($C114,Lookups!$A$55:$D$64,4))*VLOOKUP($C114,Lookups!$C$2:$D$11,2))),0),10))</f>
        <v>#N/A</v>
      </c>
      <c r="P114" s="13" t="str">
        <f>IF((SUM(F114:M114)=0),"J",VLOOKUP(O114,Lookups!$A$1:$B$11,2))</f>
        <v>J</v>
      </c>
      <c r="Q114" s="8" t="e">
        <f>VLOOKUP(C114,Lookups!$A$136:$C$144,3)</f>
        <v>#N/A</v>
      </c>
      <c r="R114" s="8" t="e">
        <f>VLOOKUP(C114,Lookups!$A$136:$C$144,2)</f>
        <v>#N/A</v>
      </c>
      <c r="S114" s="4" t="str">
        <f t="shared" si="11"/>
        <v>No</v>
      </c>
      <c r="T114" s="125">
        <f t="shared" si="12"/>
        <v>0</v>
      </c>
      <c r="U114" s="125">
        <f t="shared" si="13"/>
        <v>0</v>
      </c>
      <c r="V114" s="4" t="e">
        <f>IF($Q114&lt;&gt;3,VLOOKUP(F114,'Points Table A'!B$3:$F$33,5),VLOOKUP(F114,'Points Table A'!H$3:$L$33,5))</f>
        <v>#N/A</v>
      </c>
      <c r="W114" s="4" t="e">
        <f>IF($Q114&lt;&gt;3,VLOOKUP(G114,'Points Table A'!C$3:$F$33,4),VLOOKUP(G114,'Points Table A'!I$3:$L$33,4))</f>
        <v>#N/A</v>
      </c>
      <c r="X114" s="4" t="e">
        <f>IF($Q114&lt;&gt;3,VLOOKUP(H114,'Points Table A'!D$3:$F$28,3),VLOOKUP(H114,'Points Table A'!J$3:$L$33,3))</f>
        <v>#N/A</v>
      </c>
      <c r="Y114" s="4" t="e">
        <f>IF($Q114&lt;&gt;3,VLOOKUP(I114,'Points Table A'!E$3:$F$33,2),VLOOKUP(I114,'Points Table A'!K$3:$L$33,2))</f>
        <v>#N/A</v>
      </c>
      <c r="Z114" s="4" t="e">
        <f t="shared" si="14"/>
        <v>#N/A</v>
      </c>
      <c r="AA114" s="4">
        <f>IF($S114=Lookups!$B$113,VLOOKUP(L114,'Points Table C'!A$3:$E$11,5),VLOOKUP(U114,'Points Table C'!B$3:$E$11,4))</f>
        <v>0</v>
      </c>
      <c r="AB114" s="4" t="e">
        <f>IF($Q114=1,0,VLOOKUP($J114,'Points Table C'!$C$3:$E$18,3))</f>
        <v>#N/A</v>
      </c>
      <c r="AC114" s="4">
        <f>VLOOKUP($K114,'Points Table C'!$D$3:$E$18,2)</f>
        <v>0</v>
      </c>
      <c r="AD114" s="4" t="e">
        <f>IF($Z114&lt;Lookups!$C$106,($AA114+AB114+AC114),IF($AA114&gt;=Lookups!$C$120,($AA114+AB114+AC114),$AA114+$AB114))</f>
        <v>#N/A</v>
      </c>
      <c r="AF114" s="7"/>
      <c r="AG114" s="7"/>
      <c r="AH114" s="7"/>
      <c r="AI114" s="7"/>
      <c r="AJ114" s="7"/>
      <c r="AK114" s="7"/>
      <c r="AL114" s="7"/>
      <c r="AM114" s="7"/>
      <c r="AN114" s="7"/>
      <c r="AO114" s="7"/>
      <c r="AP114" s="7"/>
      <c r="AQ114" s="7"/>
      <c r="AR114" s="7"/>
      <c r="AS114" s="7"/>
      <c r="AT114" s="7"/>
      <c r="AU114" s="7"/>
      <c r="AV114" s="7"/>
      <c r="AW114" s="7"/>
      <c r="AY114" s="7"/>
      <c r="AZ114" s="7"/>
      <c r="BA114" s="7"/>
      <c r="BB114" s="7"/>
    </row>
    <row r="115" spans="2:54" x14ac:dyDescent="0.2">
      <c r="B115" s="174"/>
      <c r="C115" s="176"/>
      <c r="F115" s="5">
        <v>0</v>
      </c>
      <c r="G115" s="192">
        <v>0</v>
      </c>
      <c r="H115" s="192">
        <v>0</v>
      </c>
      <c r="I115" s="5">
        <v>0</v>
      </c>
      <c r="J115" s="192">
        <v>0</v>
      </c>
      <c r="K115" s="192">
        <v>0</v>
      </c>
      <c r="L115" s="5">
        <v>0</v>
      </c>
      <c r="M115" s="5">
        <v>0</v>
      </c>
      <c r="N115" s="4" t="e">
        <f t="shared" si="15"/>
        <v>#N/A</v>
      </c>
      <c r="O115" s="4" t="e">
        <f>IF(ROUND(10.499-(((N115-VLOOKUP($C115,Lookups!$A$55:$D$64,3))/(VLOOKUP($C115,Lookups!$A$55:$D$64,4))*VLOOKUP($C115,Lookups!$C$2:$D$11,2))),0)&lt;1,1,IF(ROUND(10.499-(((N115-VLOOKUP($C115,Lookups!$A$55:$D$64,3))/(VLOOKUP($C115,Lookups!$A$55:$D$64,4))*VLOOKUP($C115,Lookups!$C$2:$D$11,2))),0)&lt;11,ROUND(10.499-(((N115-VLOOKUP($C115,Lookups!$A$55:$D$64,3))/(VLOOKUP($C115,Lookups!$A$55:$D$64,4))*VLOOKUP($C115,Lookups!$C$2:$D$11,2))),0),10))</f>
        <v>#N/A</v>
      </c>
      <c r="P115" s="13" t="str">
        <f>IF((SUM(F115:M115)=0),"J",VLOOKUP(O115,Lookups!$A$1:$B$11,2))</f>
        <v>J</v>
      </c>
      <c r="Q115" s="8" t="e">
        <f>VLOOKUP(C115,Lookups!$A$136:$C$144,3)</f>
        <v>#N/A</v>
      </c>
      <c r="R115" s="8" t="e">
        <f>VLOOKUP(C115,Lookups!$A$136:$C$144,2)</f>
        <v>#N/A</v>
      </c>
      <c r="S115" s="4" t="str">
        <f t="shared" si="11"/>
        <v>No</v>
      </c>
      <c r="T115" s="125">
        <f t="shared" si="12"/>
        <v>0</v>
      </c>
      <c r="U115" s="125">
        <f t="shared" si="13"/>
        <v>0</v>
      </c>
      <c r="V115" s="4" t="e">
        <f>IF($Q115&lt;&gt;3,VLOOKUP(F115,'Points Table A'!B$3:$F$33,5),VLOOKUP(F115,'Points Table A'!H$3:$L$33,5))</f>
        <v>#N/A</v>
      </c>
      <c r="W115" s="4" t="e">
        <f>IF($Q115&lt;&gt;3,VLOOKUP(G115,'Points Table A'!C$3:$F$33,4),VLOOKUP(G115,'Points Table A'!I$3:$L$33,4))</f>
        <v>#N/A</v>
      </c>
      <c r="X115" s="4" t="e">
        <f>IF($Q115&lt;&gt;3,VLOOKUP(H115,'Points Table A'!D$3:$F$28,3),VLOOKUP(H115,'Points Table A'!J$3:$L$33,3))</f>
        <v>#N/A</v>
      </c>
      <c r="Y115" s="4" t="e">
        <f>IF($Q115&lt;&gt;3,VLOOKUP(I115,'Points Table A'!E$3:$F$33,2),VLOOKUP(I115,'Points Table A'!K$3:$L$33,2))</f>
        <v>#N/A</v>
      </c>
      <c r="Z115" s="4" t="e">
        <f t="shared" si="14"/>
        <v>#N/A</v>
      </c>
      <c r="AA115" s="4">
        <f>IF($S115=Lookups!$B$113,VLOOKUP(L115,'Points Table C'!A$3:$E$11,5),VLOOKUP(U115,'Points Table C'!B$3:$E$11,4))</f>
        <v>0</v>
      </c>
      <c r="AB115" s="4" t="e">
        <f>IF($Q115=1,0,VLOOKUP($J115,'Points Table C'!$C$3:$E$18,3))</f>
        <v>#N/A</v>
      </c>
      <c r="AC115" s="4">
        <f>VLOOKUP($K115,'Points Table C'!$D$3:$E$18,2)</f>
        <v>0</v>
      </c>
      <c r="AD115" s="4" t="e">
        <f>IF($Z115&lt;Lookups!$C$106,($AA115+AB115+AC115),IF($AA115&gt;=Lookups!$C$120,($AA115+AB115+AC115),$AA115+$AB115))</f>
        <v>#N/A</v>
      </c>
      <c r="AF115" s="7"/>
      <c r="AG115" s="7"/>
      <c r="AH115" s="7"/>
      <c r="AI115" s="7"/>
      <c r="AJ115" s="7"/>
      <c r="AK115" s="7"/>
      <c r="AL115" s="7"/>
      <c r="AM115" s="7"/>
      <c r="AN115" s="7"/>
      <c r="AO115" s="7"/>
      <c r="AP115" s="7"/>
      <c r="AQ115" s="7"/>
      <c r="AR115" s="7"/>
      <c r="AS115" s="7"/>
      <c r="AT115" s="7"/>
      <c r="AU115" s="7"/>
      <c r="AV115" s="7"/>
      <c r="AW115" s="7"/>
      <c r="AY115" s="7"/>
      <c r="AZ115" s="7"/>
      <c r="BA115" s="7"/>
      <c r="BB115" s="7"/>
    </row>
    <row r="116" spans="2:54" x14ac:dyDescent="0.2">
      <c r="B116" s="174"/>
      <c r="C116" s="176"/>
      <c r="F116" s="5">
        <v>0</v>
      </c>
      <c r="G116" s="192">
        <v>0</v>
      </c>
      <c r="H116" s="192">
        <v>0</v>
      </c>
      <c r="I116" s="5">
        <v>0</v>
      </c>
      <c r="J116" s="192">
        <v>0</v>
      </c>
      <c r="K116" s="192">
        <v>0</v>
      </c>
      <c r="L116" s="5">
        <v>0</v>
      </c>
      <c r="M116" s="5">
        <v>0</v>
      </c>
      <c r="N116" s="4" t="e">
        <f t="shared" si="15"/>
        <v>#N/A</v>
      </c>
      <c r="O116" s="4" t="e">
        <f>IF(ROUND(10.499-(((N116-VLOOKUP($C116,Lookups!$A$55:$D$64,3))/(VLOOKUP($C116,Lookups!$A$55:$D$64,4))*VLOOKUP($C116,Lookups!$C$2:$D$11,2))),0)&lt;1,1,IF(ROUND(10.499-(((N116-VLOOKUP($C116,Lookups!$A$55:$D$64,3))/(VLOOKUP($C116,Lookups!$A$55:$D$64,4))*VLOOKUP($C116,Lookups!$C$2:$D$11,2))),0)&lt;11,ROUND(10.499-(((N116-VLOOKUP($C116,Lookups!$A$55:$D$64,3))/(VLOOKUP($C116,Lookups!$A$55:$D$64,4))*VLOOKUP($C116,Lookups!$C$2:$D$11,2))),0),10))</f>
        <v>#N/A</v>
      </c>
      <c r="P116" s="13" t="str">
        <f>IF((SUM(F116:M116)=0),"J",VLOOKUP(O116,Lookups!$A$1:$B$11,2))</f>
        <v>J</v>
      </c>
      <c r="Q116" s="8" t="e">
        <f>VLOOKUP(C116,Lookups!$A$136:$C$144,3)</f>
        <v>#N/A</v>
      </c>
      <c r="R116" s="8" t="e">
        <f>VLOOKUP(C116,Lookups!$A$136:$C$144,2)</f>
        <v>#N/A</v>
      </c>
      <c r="S116" s="4" t="str">
        <f t="shared" si="11"/>
        <v>No</v>
      </c>
      <c r="T116" s="125">
        <f t="shared" si="12"/>
        <v>0</v>
      </c>
      <c r="U116" s="125">
        <f t="shared" si="13"/>
        <v>0</v>
      </c>
      <c r="V116" s="4" t="e">
        <f>IF($Q116&lt;&gt;3,VLOOKUP(F116,'Points Table A'!B$3:$F$33,5),VLOOKUP(F116,'Points Table A'!H$3:$L$33,5))</f>
        <v>#N/A</v>
      </c>
      <c r="W116" s="4" t="e">
        <f>IF($Q116&lt;&gt;3,VLOOKUP(G116,'Points Table A'!C$3:$F$33,4),VLOOKUP(G116,'Points Table A'!I$3:$L$33,4))</f>
        <v>#N/A</v>
      </c>
      <c r="X116" s="4" t="e">
        <f>IF($Q116&lt;&gt;3,VLOOKUP(H116,'Points Table A'!D$3:$F$28,3),VLOOKUP(H116,'Points Table A'!J$3:$L$33,3))</f>
        <v>#N/A</v>
      </c>
      <c r="Y116" s="4" t="e">
        <f>IF($Q116&lt;&gt;3,VLOOKUP(I116,'Points Table A'!E$3:$F$33,2),VLOOKUP(I116,'Points Table A'!K$3:$L$33,2))</f>
        <v>#N/A</v>
      </c>
      <c r="Z116" s="4" t="e">
        <f t="shared" si="14"/>
        <v>#N/A</v>
      </c>
      <c r="AA116" s="4">
        <f>IF($S116=Lookups!$B$113,VLOOKUP(L116,'Points Table C'!A$3:$E$11,5),VLOOKUP(U116,'Points Table C'!B$3:$E$11,4))</f>
        <v>0</v>
      </c>
      <c r="AB116" s="4" t="e">
        <f>IF($Q116=1,0,VLOOKUP($J116,'Points Table C'!$C$3:$E$18,3))</f>
        <v>#N/A</v>
      </c>
      <c r="AC116" s="4">
        <f>VLOOKUP($K116,'Points Table C'!$D$3:$E$18,2)</f>
        <v>0</v>
      </c>
      <c r="AD116" s="4" t="e">
        <f>IF($Z116&lt;Lookups!$C$106,($AA116+AB116+AC116),IF($AA116&gt;=Lookups!$C$120,($AA116+AB116+AC116),$AA116+$AB116))</f>
        <v>#N/A</v>
      </c>
      <c r="AF116" s="7"/>
      <c r="AG116" s="7"/>
      <c r="AH116" s="7"/>
      <c r="AI116" s="7"/>
      <c r="AJ116" s="7"/>
      <c r="AK116" s="7"/>
      <c r="AL116" s="7"/>
      <c r="AM116" s="7"/>
      <c r="AN116" s="7"/>
      <c r="AO116" s="7"/>
      <c r="AP116" s="7"/>
      <c r="AQ116" s="7"/>
      <c r="AR116" s="7"/>
      <c r="AS116" s="7"/>
      <c r="AT116" s="7"/>
      <c r="AU116" s="7"/>
      <c r="AV116" s="7"/>
      <c r="AW116" s="7"/>
      <c r="AY116" s="7"/>
      <c r="AZ116" s="7"/>
      <c r="BA116" s="7"/>
      <c r="BB116" s="7"/>
    </row>
    <row r="117" spans="2:54" x14ac:dyDescent="0.2">
      <c r="B117" s="174"/>
      <c r="C117" s="176"/>
      <c r="F117" s="5">
        <v>0</v>
      </c>
      <c r="G117" s="192">
        <v>0</v>
      </c>
      <c r="H117" s="192">
        <v>0</v>
      </c>
      <c r="I117" s="5">
        <v>0</v>
      </c>
      <c r="J117" s="192">
        <v>0</v>
      </c>
      <c r="K117" s="192">
        <v>0</v>
      </c>
      <c r="L117" s="5">
        <v>0</v>
      </c>
      <c r="M117" s="5">
        <v>0</v>
      </c>
      <c r="N117" s="4" t="e">
        <f t="shared" si="15"/>
        <v>#N/A</v>
      </c>
      <c r="O117" s="4" t="e">
        <f>IF(ROUND(10.499-(((N117-VLOOKUP($C117,Lookups!$A$55:$D$64,3))/(VLOOKUP($C117,Lookups!$A$55:$D$64,4))*VLOOKUP($C117,Lookups!$C$2:$D$11,2))),0)&lt;1,1,IF(ROUND(10.499-(((N117-VLOOKUP($C117,Lookups!$A$55:$D$64,3))/(VLOOKUP($C117,Lookups!$A$55:$D$64,4))*VLOOKUP($C117,Lookups!$C$2:$D$11,2))),0)&lt;11,ROUND(10.499-(((N117-VLOOKUP($C117,Lookups!$A$55:$D$64,3))/(VLOOKUP($C117,Lookups!$A$55:$D$64,4))*VLOOKUP($C117,Lookups!$C$2:$D$11,2))),0),10))</f>
        <v>#N/A</v>
      </c>
      <c r="P117" s="13" t="str">
        <f>IF((SUM(F117:M117)=0),"J",VLOOKUP(O117,Lookups!$A$1:$B$11,2))</f>
        <v>J</v>
      </c>
      <c r="Q117" s="8" t="e">
        <f>VLOOKUP(C117,Lookups!$A$136:$C$144,3)</f>
        <v>#N/A</v>
      </c>
      <c r="R117" s="8" t="e">
        <f>VLOOKUP(C117,Lookups!$A$136:$C$144,2)</f>
        <v>#N/A</v>
      </c>
      <c r="S117" s="4" t="str">
        <f t="shared" si="11"/>
        <v>No</v>
      </c>
      <c r="T117" s="125">
        <f t="shared" si="12"/>
        <v>0</v>
      </c>
      <c r="U117" s="125">
        <f t="shared" si="13"/>
        <v>0</v>
      </c>
      <c r="V117" s="4" t="e">
        <f>IF($Q117&lt;&gt;3,VLOOKUP(F117,'Points Table A'!B$3:$F$33,5),VLOOKUP(F117,'Points Table A'!H$3:$L$33,5))</f>
        <v>#N/A</v>
      </c>
      <c r="W117" s="4" t="e">
        <f>IF($Q117&lt;&gt;3,VLOOKUP(G117,'Points Table A'!C$3:$F$33,4),VLOOKUP(G117,'Points Table A'!I$3:$L$33,4))</f>
        <v>#N/A</v>
      </c>
      <c r="X117" s="4" t="e">
        <f>IF($Q117&lt;&gt;3,VLOOKUP(H117,'Points Table A'!D$3:$F$28,3),VLOOKUP(H117,'Points Table A'!J$3:$L$33,3))</f>
        <v>#N/A</v>
      </c>
      <c r="Y117" s="4" t="e">
        <f>IF($Q117&lt;&gt;3,VLOOKUP(I117,'Points Table A'!E$3:$F$33,2),VLOOKUP(I117,'Points Table A'!K$3:$L$33,2))</f>
        <v>#N/A</v>
      </c>
      <c r="Z117" s="4" t="e">
        <f t="shared" si="14"/>
        <v>#N/A</v>
      </c>
      <c r="AA117" s="4">
        <f>IF($S117=Lookups!$B$113,VLOOKUP(L117,'Points Table C'!A$3:$E$11,5),VLOOKUP(U117,'Points Table C'!B$3:$E$11,4))</f>
        <v>0</v>
      </c>
      <c r="AB117" s="4" t="e">
        <f>IF($Q117=1,0,VLOOKUP($J117,'Points Table C'!$C$3:$E$18,3))</f>
        <v>#N/A</v>
      </c>
      <c r="AC117" s="4">
        <f>VLOOKUP($K117,'Points Table C'!$D$3:$E$18,2)</f>
        <v>0</v>
      </c>
      <c r="AD117" s="4" t="e">
        <f>IF($Z117&lt;Lookups!$C$106,($AA117+AB117+AC117),IF($AA117&gt;=Lookups!$C$120,($AA117+AB117+AC117),$AA117+$AB117))</f>
        <v>#N/A</v>
      </c>
      <c r="AF117" s="7"/>
      <c r="AG117" s="7"/>
      <c r="AH117" s="7"/>
      <c r="AI117" s="7"/>
      <c r="AJ117" s="7"/>
      <c r="AK117" s="7"/>
      <c r="AL117" s="7"/>
      <c r="AM117" s="7"/>
      <c r="AN117" s="7"/>
      <c r="AO117" s="7"/>
      <c r="AP117" s="7"/>
      <c r="AQ117" s="7"/>
      <c r="AR117" s="7"/>
      <c r="AS117" s="7"/>
      <c r="AT117" s="7"/>
      <c r="AU117" s="7"/>
      <c r="AV117" s="7"/>
      <c r="AW117" s="7"/>
      <c r="AY117" s="7"/>
      <c r="AZ117" s="7"/>
      <c r="BA117" s="7"/>
      <c r="BB117" s="7"/>
    </row>
    <row r="118" spans="2:54" x14ac:dyDescent="0.2">
      <c r="B118" s="174"/>
      <c r="C118" s="176"/>
      <c r="F118" s="5">
        <v>0</v>
      </c>
      <c r="G118" s="192">
        <v>0</v>
      </c>
      <c r="H118" s="192">
        <v>0</v>
      </c>
      <c r="I118" s="5">
        <v>0</v>
      </c>
      <c r="J118" s="192">
        <v>0</v>
      </c>
      <c r="K118" s="192">
        <v>0</v>
      </c>
      <c r="L118" s="5">
        <v>0</v>
      </c>
      <c r="M118" s="5">
        <v>0</v>
      </c>
      <c r="N118" s="4" t="e">
        <f t="shared" si="15"/>
        <v>#N/A</v>
      </c>
      <c r="O118" s="4" t="e">
        <f>IF(ROUND(10.499-(((N118-VLOOKUP($C118,Lookups!$A$55:$D$64,3))/(VLOOKUP($C118,Lookups!$A$55:$D$64,4))*VLOOKUP($C118,Lookups!$C$2:$D$11,2))),0)&lt;1,1,IF(ROUND(10.499-(((N118-VLOOKUP($C118,Lookups!$A$55:$D$64,3))/(VLOOKUP($C118,Lookups!$A$55:$D$64,4))*VLOOKUP($C118,Lookups!$C$2:$D$11,2))),0)&lt;11,ROUND(10.499-(((N118-VLOOKUP($C118,Lookups!$A$55:$D$64,3))/(VLOOKUP($C118,Lookups!$A$55:$D$64,4))*VLOOKUP($C118,Lookups!$C$2:$D$11,2))),0),10))</f>
        <v>#N/A</v>
      </c>
      <c r="P118" s="13" t="str">
        <f>IF((SUM(F118:M118)=0),"J",VLOOKUP(O118,Lookups!$A$1:$B$11,2))</f>
        <v>J</v>
      </c>
      <c r="Q118" s="8" t="e">
        <f>VLOOKUP(C118,Lookups!$A$136:$C$144,3)</f>
        <v>#N/A</v>
      </c>
      <c r="R118" s="8" t="e">
        <f>VLOOKUP(C118,Lookups!$A$136:$C$144,2)</f>
        <v>#N/A</v>
      </c>
      <c r="S118" s="4" t="str">
        <f t="shared" si="11"/>
        <v>No</v>
      </c>
      <c r="T118" s="125">
        <f t="shared" si="12"/>
        <v>0</v>
      </c>
      <c r="U118" s="125">
        <f t="shared" si="13"/>
        <v>0</v>
      </c>
      <c r="V118" s="4" t="e">
        <f>IF($Q118&lt;&gt;3,VLOOKUP(F118,'Points Table A'!B$3:$F$33,5),VLOOKUP(F118,'Points Table A'!H$3:$L$33,5))</f>
        <v>#N/A</v>
      </c>
      <c r="W118" s="4" t="e">
        <f>IF($Q118&lt;&gt;3,VLOOKUP(G118,'Points Table A'!C$3:$F$33,4),VLOOKUP(G118,'Points Table A'!I$3:$L$33,4))</f>
        <v>#N/A</v>
      </c>
      <c r="X118" s="4" t="e">
        <f>IF($Q118&lt;&gt;3,VLOOKUP(H118,'Points Table A'!D$3:$F$28,3),VLOOKUP(H118,'Points Table A'!J$3:$L$33,3))</f>
        <v>#N/A</v>
      </c>
      <c r="Y118" s="4" t="e">
        <f>IF($Q118&lt;&gt;3,VLOOKUP(I118,'Points Table A'!E$3:$F$33,2),VLOOKUP(I118,'Points Table A'!K$3:$L$33,2))</f>
        <v>#N/A</v>
      </c>
      <c r="Z118" s="4" t="e">
        <f t="shared" si="14"/>
        <v>#N/A</v>
      </c>
      <c r="AA118" s="4">
        <f>IF($S118=Lookups!$B$113,VLOOKUP(L118,'Points Table C'!A$3:$E$11,5),VLOOKUP(U118,'Points Table C'!B$3:$E$11,4))</f>
        <v>0</v>
      </c>
      <c r="AB118" s="4" t="e">
        <f>IF($Q118=1,0,VLOOKUP($J118,'Points Table C'!$C$3:$E$18,3))</f>
        <v>#N/A</v>
      </c>
      <c r="AC118" s="4">
        <f>VLOOKUP($K118,'Points Table C'!$D$3:$E$18,2)</f>
        <v>0</v>
      </c>
      <c r="AD118" s="4" t="e">
        <f>IF($Z118&lt;Lookups!$C$106,($AA118+AB118+AC118),IF($AA118&gt;=Lookups!$C$120,($AA118+AB118+AC118),$AA118+$AB118))</f>
        <v>#N/A</v>
      </c>
      <c r="AF118" s="7"/>
      <c r="AG118" s="7"/>
      <c r="AH118" s="7"/>
      <c r="AI118" s="7"/>
      <c r="AJ118" s="7"/>
      <c r="AK118" s="7"/>
      <c r="AL118" s="7"/>
      <c r="AM118" s="7"/>
      <c r="AN118" s="7"/>
      <c r="AO118" s="7"/>
      <c r="AP118" s="7"/>
      <c r="AQ118" s="7"/>
      <c r="AR118" s="7"/>
      <c r="AS118" s="7"/>
      <c r="AT118" s="7"/>
      <c r="AU118" s="7"/>
      <c r="AV118" s="7"/>
      <c r="AW118" s="7"/>
      <c r="AY118" s="7"/>
      <c r="AZ118" s="7"/>
      <c r="BA118" s="7"/>
      <c r="BB118" s="7"/>
    </row>
    <row r="119" spans="2:54" x14ac:dyDescent="0.2">
      <c r="B119" s="174"/>
      <c r="C119" s="176"/>
      <c r="F119" s="5">
        <v>0</v>
      </c>
      <c r="G119" s="192">
        <v>0</v>
      </c>
      <c r="H119" s="192">
        <v>0</v>
      </c>
      <c r="I119" s="5">
        <v>0</v>
      </c>
      <c r="J119" s="192">
        <v>0</v>
      </c>
      <c r="K119" s="192">
        <v>0</v>
      </c>
      <c r="L119" s="5">
        <v>0</v>
      </c>
      <c r="M119" s="5">
        <v>0</v>
      </c>
      <c r="N119" s="4" t="e">
        <f t="shared" si="15"/>
        <v>#N/A</v>
      </c>
      <c r="O119" s="4" t="e">
        <f>IF(ROUND(10.499-(((N119-VLOOKUP($C119,Lookups!$A$55:$D$64,3))/(VLOOKUP($C119,Lookups!$A$55:$D$64,4))*VLOOKUP($C119,Lookups!$C$2:$D$11,2))),0)&lt;1,1,IF(ROUND(10.499-(((N119-VLOOKUP($C119,Lookups!$A$55:$D$64,3))/(VLOOKUP($C119,Lookups!$A$55:$D$64,4))*VLOOKUP($C119,Lookups!$C$2:$D$11,2))),0)&lt;11,ROUND(10.499-(((N119-VLOOKUP($C119,Lookups!$A$55:$D$64,3))/(VLOOKUP($C119,Lookups!$A$55:$D$64,4))*VLOOKUP($C119,Lookups!$C$2:$D$11,2))),0),10))</f>
        <v>#N/A</v>
      </c>
      <c r="P119" s="13" t="str">
        <f>IF((SUM(F119:M119)=0),"J",VLOOKUP(O119,Lookups!$A$1:$B$11,2))</f>
        <v>J</v>
      </c>
      <c r="Q119" s="8" t="e">
        <f>VLOOKUP(C119,Lookups!$A$136:$C$144,3)</f>
        <v>#N/A</v>
      </c>
      <c r="R119" s="8" t="e">
        <f>VLOOKUP(C119,Lookups!$A$136:$C$144,2)</f>
        <v>#N/A</v>
      </c>
      <c r="S119" s="4" t="str">
        <f t="shared" si="11"/>
        <v>No</v>
      </c>
      <c r="T119" s="125">
        <f t="shared" si="12"/>
        <v>0</v>
      </c>
      <c r="U119" s="125">
        <f t="shared" si="13"/>
        <v>0</v>
      </c>
      <c r="V119" s="4" t="e">
        <f>IF($Q119&lt;&gt;3,VLOOKUP(F119,'Points Table A'!B$3:$F$33,5),VLOOKUP(F119,'Points Table A'!H$3:$L$33,5))</f>
        <v>#N/A</v>
      </c>
      <c r="W119" s="4" t="e">
        <f>IF($Q119&lt;&gt;3,VLOOKUP(G119,'Points Table A'!C$3:$F$33,4),VLOOKUP(G119,'Points Table A'!I$3:$L$33,4))</f>
        <v>#N/A</v>
      </c>
      <c r="X119" s="4" t="e">
        <f>IF($Q119&lt;&gt;3,VLOOKUP(H119,'Points Table A'!D$3:$F$28,3),VLOOKUP(H119,'Points Table A'!J$3:$L$33,3))</f>
        <v>#N/A</v>
      </c>
      <c r="Y119" s="4" t="e">
        <f>IF($Q119&lt;&gt;3,VLOOKUP(I119,'Points Table A'!E$3:$F$33,2),VLOOKUP(I119,'Points Table A'!K$3:$L$33,2))</f>
        <v>#N/A</v>
      </c>
      <c r="Z119" s="4" t="e">
        <f t="shared" si="14"/>
        <v>#N/A</v>
      </c>
      <c r="AA119" s="4">
        <f>IF($S119=Lookups!$B$113,VLOOKUP(L119,'Points Table C'!A$3:$E$11,5),VLOOKUP(U119,'Points Table C'!B$3:$E$11,4))</f>
        <v>0</v>
      </c>
      <c r="AB119" s="4" t="e">
        <f>IF($Q119=1,0,VLOOKUP($J119,'Points Table C'!$C$3:$E$18,3))</f>
        <v>#N/A</v>
      </c>
      <c r="AC119" s="4">
        <f>VLOOKUP($K119,'Points Table C'!$D$3:$E$18,2)</f>
        <v>0</v>
      </c>
      <c r="AD119" s="4" t="e">
        <f>IF($Z119&lt;Lookups!$C$106,($AA119+AB119+AC119),IF($AA119&gt;=Lookups!$C$120,($AA119+AB119+AC119),$AA119+$AB119))</f>
        <v>#N/A</v>
      </c>
      <c r="AF119" s="7"/>
      <c r="AG119" s="7"/>
      <c r="AH119" s="7"/>
      <c r="AI119" s="7"/>
      <c r="AJ119" s="7"/>
      <c r="AK119" s="7"/>
      <c r="AL119" s="7"/>
      <c r="AM119" s="7"/>
      <c r="AN119" s="7"/>
      <c r="AO119" s="7"/>
      <c r="AP119" s="7"/>
      <c r="AQ119" s="7"/>
      <c r="AR119" s="7"/>
      <c r="AS119" s="7"/>
      <c r="AT119" s="7"/>
      <c r="AU119" s="7"/>
      <c r="AV119" s="7"/>
      <c r="AW119" s="7"/>
      <c r="AY119" s="7"/>
      <c r="AZ119" s="7"/>
      <c r="BA119" s="7"/>
      <c r="BB119" s="7"/>
    </row>
    <row r="120" spans="2:54" x14ac:dyDescent="0.2">
      <c r="B120" s="174"/>
      <c r="C120" s="176"/>
      <c r="F120" s="5">
        <v>0</v>
      </c>
      <c r="G120" s="192">
        <v>0</v>
      </c>
      <c r="H120" s="192">
        <v>0</v>
      </c>
      <c r="I120" s="5">
        <v>0</v>
      </c>
      <c r="J120" s="192">
        <v>0</v>
      </c>
      <c r="K120" s="192">
        <v>0</v>
      </c>
      <c r="L120" s="5">
        <v>0</v>
      </c>
      <c r="M120" s="5">
        <v>0</v>
      </c>
      <c r="N120" s="4" t="e">
        <f t="shared" si="15"/>
        <v>#N/A</v>
      </c>
      <c r="O120" s="4" t="e">
        <f>IF(ROUND(10.499-(((N120-VLOOKUP($C120,Lookups!$A$55:$D$64,3))/(VLOOKUP($C120,Lookups!$A$55:$D$64,4))*VLOOKUP($C120,Lookups!$C$2:$D$11,2))),0)&lt;1,1,IF(ROUND(10.499-(((N120-VLOOKUP($C120,Lookups!$A$55:$D$64,3))/(VLOOKUP($C120,Lookups!$A$55:$D$64,4))*VLOOKUP($C120,Lookups!$C$2:$D$11,2))),0)&lt;11,ROUND(10.499-(((N120-VLOOKUP($C120,Lookups!$A$55:$D$64,3))/(VLOOKUP($C120,Lookups!$A$55:$D$64,4))*VLOOKUP($C120,Lookups!$C$2:$D$11,2))),0),10))</f>
        <v>#N/A</v>
      </c>
      <c r="P120" s="13" t="str">
        <f>IF((SUM(F120:M120)=0),"J",VLOOKUP(O120,Lookups!$A$1:$B$11,2))</f>
        <v>J</v>
      </c>
      <c r="Q120" s="8" t="e">
        <f>VLOOKUP(C120,Lookups!$A$136:$C$144,3)</f>
        <v>#N/A</v>
      </c>
      <c r="R120" s="8" t="e">
        <f>VLOOKUP(C120,Lookups!$A$136:$C$144,2)</f>
        <v>#N/A</v>
      </c>
      <c r="S120" s="4" t="str">
        <f t="shared" si="11"/>
        <v>No</v>
      </c>
      <c r="T120" s="125">
        <f t="shared" si="12"/>
        <v>0</v>
      </c>
      <c r="U120" s="125">
        <f t="shared" si="13"/>
        <v>0</v>
      </c>
      <c r="V120" s="4" t="e">
        <f>IF($Q120&lt;&gt;3,VLOOKUP(F120,'Points Table A'!B$3:$F$33,5),VLOOKUP(F120,'Points Table A'!H$3:$L$33,5))</f>
        <v>#N/A</v>
      </c>
      <c r="W120" s="4" t="e">
        <f>IF($Q120&lt;&gt;3,VLOOKUP(G120,'Points Table A'!C$3:$F$33,4),VLOOKUP(G120,'Points Table A'!I$3:$L$33,4))</f>
        <v>#N/A</v>
      </c>
      <c r="X120" s="4" t="e">
        <f>IF($Q120&lt;&gt;3,VLOOKUP(H120,'Points Table A'!D$3:$F$28,3),VLOOKUP(H120,'Points Table A'!J$3:$L$33,3))</f>
        <v>#N/A</v>
      </c>
      <c r="Y120" s="4" t="e">
        <f>IF($Q120&lt;&gt;3,VLOOKUP(I120,'Points Table A'!E$3:$F$33,2),VLOOKUP(I120,'Points Table A'!K$3:$L$33,2))</f>
        <v>#N/A</v>
      </c>
      <c r="Z120" s="4" t="e">
        <f t="shared" si="14"/>
        <v>#N/A</v>
      </c>
      <c r="AA120" s="4">
        <f>IF($S120=Lookups!$B$113,VLOOKUP(L120,'Points Table C'!A$3:$E$11,5),VLOOKUP(U120,'Points Table C'!B$3:$E$11,4))</f>
        <v>0</v>
      </c>
      <c r="AB120" s="4" t="e">
        <f>IF($Q120=1,0,VLOOKUP($J120,'Points Table C'!$C$3:$E$18,3))</f>
        <v>#N/A</v>
      </c>
      <c r="AC120" s="4">
        <f>VLOOKUP($K120,'Points Table C'!$D$3:$E$18,2)</f>
        <v>0</v>
      </c>
      <c r="AD120" s="4" t="e">
        <f>IF($Z120&lt;Lookups!$C$106,($AA120+AB120+AC120),IF($AA120&gt;=Lookups!$C$120,($AA120+AB120+AC120),$AA120+$AB120))</f>
        <v>#N/A</v>
      </c>
      <c r="AF120" s="7"/>
      <c r="AG120" s="7"/>
      <c r="AH120" s="7"/>
      <c r="AI120" s="7"/>
      <c r="AJ120" s="7"/>
      <c r="AK120" s="7"/>
      <c r="AL120" s="7"/>
      <c r="AM120" s="7"/>
      <c r="AN120" s="7"/>
      <c r="AO120" s="7"/>
      <c r="AP120" s="7"/>
      <c r="AQ120" s="7"/>
      <c r="AR120" s="7"/>
      <c r="AS120" s="7"/>
      <c r="AT120" s="7"/>
      <c r="AU120" s="7"/>
      <c r="AV120" s="7"/>
      <c r="AW120" s="7"/>
      <c r="AY120" s="7"/>
      <c r="AZ120" s="7"/>
      <c r="BA120" s="7"/>
      <c r="BB120" s="7"/>
    </row>
    <row r="121" spans="2:54" x14ac:dyDescent="0.2">
      <c r="B121" s="174"/>
      <c r="C121" s="176"/>
      <c r="F121" s="5">
        <v>0</v>
      </c>
      <c r="G121" s="192">
        <v>0</v>
      </c>
      <c r="H121" s="192">
        <v>0</v>
      </c>
      <c r="I121" s="5">
        <v>0</v>
      </c>
      <c r="J121" s="192">
        <v>0</v>
      </c>
      <c r="K121" s="192">
        <v>0</v>
      </c>
      <c r="L121" s="5">
        <v>0</v>
      </c>
      <c r="M121" s="5">
        <v>0</v>
      </c>
      <c r="N121" s="4" t="e">
        <f t="shared" ref="N121:N184" si="16">$Z121-$AD121</f>
        <v>#N/A</v>
      </c>
      <c r="O121" s="4" t="e">
        <f>IF(ROUND(10.499-(((N121-VLOOKUP($C121,Lookups!$A$55:$D$64,3))/(VLOOKUP($C121,Lookups!$A$55:$D$64,4))*VLOOKUP($C121,Lookups!$C$2:$D$11,2))),0)&lt;1,1,IF(ROUND(10.499-(((N121-VLOOKUP($C121,Lookups!$A$55:$D$64,3))/(VLOOKUP($C121,Lookups!$A$55:$D$64,4))*VLOOKUP($C121,Lookups!$C$2:$D$11,2))),0)&lt;11,ROUND(10.499-(((N121-VLOOKUP($C121,Lookups!$A$55:$D$64,3))/(VLOOKUP($C121,Lookups!$A$55:$D$64,4))*VLOOKUP($C121,Lookups!$C$2:$D$11,2))),0),10))</f>
        <v>#N/A</v>
      </c>
      <c r="P121" s="13" t="str">
        <f>IF((SUM(F121:M121)=0),"J",VLOOKUP(O121,Lookups!$A$1:$B$11,2))</f>
        <v>J</v>
      </c>
      <c r="Q121" s="8" t="e">
        <f>VLOOKUP(C121,Lookups!$A$136:$C$144,3)</f>
        <v>#N/A</v>
      </c>
      <c r="R121" s="8" t="e">
        <f>VLOOKUP(C121,Lookups!$A$136:$C$144,2)</f>
        <v>#N/A</v>
      </c>
      <c r="S121" s="4" t="str">
        <f t="shared" si="11"/>
        <v>No</v>
      </c>
      <c r="T121" s="125">
        <f t="shared" si="12"/>
        <v>0</v>
      </c>
      <c r="U121" s="125">
        <f t="shared" si="13"/>
        <v>0</v>
      </c>
      <c r="V121" s="4" t="e">
        <f>IF($Q121&lt;&gt;3,VLOOKUP(F121,'Points Table A'!B$3:$F$33,5),VLOOKUP(F121,'Points Table A'!H$3:$L$33,5))</f>
        <v>#N/A</v>
      </c>
      <c r="W121" s="4" t="e">
        <f>IF($Q121&lt;&gt;3,VLOOKUP(G121,'Points Table A'!C$3:$F$33,4),VLOOKUP(G121,'Points Table A'!I$3:$L$33,4))</f>
        <v>#N/A</v>
      </c>
      <c r="X121" s="4" t="e">
        <f>IF($Q121&lt;&gt;3,VLOOKUP(H121,'Points Table A'!D$3:$F$28,3),VLOOKUP(H121,'Points Table A'!J$3:$L$33,3))</f>
        <v>#N/A</v>
      </c>
      <c r="Y121" s="4" t="e">
        <f>IF($Q121&lt;&gt;3,VLOOKUP(I121,'Points Table A'!E$3:$F$33,2),VLOOKUP(I121,'Points Table A'!K$3:$L$33,2))</f>
        <v>#N/A</v>
      </c>
      <c r="Z121" s="4" t="e">
        <f t="shared" si="14"/>
        <v>#N/A</v>
      </c>
      <c r="AA121" s="4">
        <f>IF($S121=Lookups!$B$113,VLOOKUP(L121,'Points Table C'!A$3:$E$11,5),VLOOKUP(U121,'Points Table C'!B$3:$E$11,4))</f>
        <v>0</v>
      </c>
      <c r="AB121" s="4" t="e">
        <f>IF($Q121=1,0,VLOOKUP($J121,'Points Table C'!$C$3:$E$18,3))</f>
        <v>#N/A</v>
      </c>
      <c r="AC121" s="4">
        <f>VLOOKUP($K121,'Points Table C'!$D$3:$E$18,2)</f>
        <v>0</v>
      </c>
      <c r="AD121" s="4" t="e">
        <f>IF($Z121&lt;Lookups!$C$106,($AA121+AB121+AC121),IF($AA121&gt;=Lookups!$C$120,($AA121+AB121+AC121),$AA121+$AB121))</f>
        <v>#N/A</v>
      </c>
      <c r="AF121" s="7"/>
      <c r="AG121" s="7"/>
      <c r="AH121" s="7"/>
      <c r="AI121" s="7"/>
      <c r="AJ121" s="7"/>
      <c r="AK121" s="7"/>
      <c r="AL121" s="7"/>
      <c r="AM121" s="7"/>
      <c r="AN121" s="7"/>
      <c r="AO121" s="7"/>
      <c r="AP121" s="7"/>
      <c r="AQ121" s="7"/>
      <c r="AR121" s="7"/>
      <c r="AS121" s="7"/>
      <c r="AT121" s="7"/>
      <c r="AU121" s="7"/>
      <c r="AV121" s="7"/>
      <c r="AW121" s="7"/>
      <c r="AY121" s="7"/>
      <c r="AZ121" s="7"/>
      <c r="BA121" s="7"/>
      <c r="BB121" s="7"/>
    </row>
    <row r="122" spans="2:54" x14ac:dyDescent="0.2">
      <c r="B122" s="174"/>
      <c r="C122" s="176"/>
      <c r="F122" s="5">
        <v>0</v>
      </c>
      <c r="G122" s="192">
        <v>0</v>
      </c>
      <c r="H122" s="192">
        <v>0</v>
      </c>
      <c r="I122" s="5">
        <v>0</v>
      </c>
      <c r="J122" s="192">
        <v>0</v>
      </c>
      <c r="K122" s="192">
        <v>0</v>
      </c>
      <c r="L122" s="5">
        <v>0</v>
      </c>
      <c r="M122" s="5">
        <v>0</v>
      </c>
      <c r="N122" s="4" t="e">
        <f t="shared" si="16"/>
        <v>#N/A</v>
      </c>
      <c r="O122" s="4" t="e">
        <f>IF(ROUND(10.499-(((N122-VLOOKUP($C122,Lookups!$A$55:$D$64,3))/(VLOOKUP($C122,Lookups!$A$55:$D$64,4))*VLOOKUP($C122,Lookups!$C$2:$D$11,2))),0)&lt;1,1,IF(ROUND(10.499-(((N122-VLOOKUP($C122,Lookups!$A$55:$D$64,3))/(VLOOKUP($C122,Lookups!$A$55:$D$64,4))*VLOOKUP($C122,Lookups!$C$2:$D$11,2))),0)&lt;11,ROUND(10.499-(((N122-VLOOKUP($C122,Lookups!$A$55:$D$64,3))/(VLOOKUP($C122,Lookups!$A$55:$D$64,4))*VLOOKUP($C122,Lookups!$C$2:$D$11,2))),0),10))</f>
        <v>#N/A</v>
      </c>
      <c r="P122" s="13" t="str">
        <f>IF((SUM(F122:M122)=0),"J",VLOOKUP(O122,Lookups!$A$1:$B$11,2))</f>
        <v>J</v>
      </c>
      <c r="Q122" s="8" t="e">
        <f>VLOOKUP(C122,Lookups!$A$136:$C$144,3)</f>
        <v>#N/A</v>
      </c>
      <c r="R122" s="8" t="e">
        <f>VLOOKUP(C122,Lookups!$A$136:$C$144,2)</f>
        <v>#N/A</v>
      </c>
      <c r="S122" s="4" t="str">
        <f t="shared" si="11"/>
        <v>No</v>
      </c>
      <c r="T122" s="125">
        <f t="shared" si="12"/>
        <v>0</v>
      </c>
      <c r="U122" s="125">
        <f t="shared" si="13"/>
        <v>0</v>
      </c>
      <c r="V122" s="4" t="e">
        <f>IF($Q122&lt;&gt;3,VLOOKUP(F122,'Points Table A'!B$3:$F$33,5),VLOOKUP(F122,'Points Table A'!H$3:$L$33,5))</f>
        <v>#N/A</v>
      </c>
      <c r="W122" s="4" t="e">
        <f>IF($Q122&lt;&gt;3,VLOOKUP(G122,'Points Table A'!C$3:$F$33,4),VLOOKUP(G122,'Points Table A'!I$3:$L$33,4))</f>
        <v>#N/A</v>
      </c>
      <c r="X122" s="4" t="e">
        <f>IF($Q122&lt;&gt;3,VLOOKUP(H122,'Points Table A'!D$3:$F$28,3),VLOOKUP(H122,'Points Table A'!J$3:$L$33,3))</f>
        <v>#N/A</v>
      </c>
      <c r="Y122" s="4" t="e">
        <f>IF($Q122&lt;&gt;3,VLOOKUP(I122,'Points Table A'!E$3:$F$33,2),VLOOKUP(I122,'Points Table A'!K$3:$L$33,2))</f>
        <v>#N/A</v>
      </c>
      <c r="Z122" s="4" t="e">
        <f t="shared" si="14"/>
        <v>#N/A</v>
      </c>
      <c r="AA122" s="4">
        <f>IF($S122=Lookups!$B$113,VLOOKUP(L122,'Points Table C'!A$3:$E$11,5),VLOOKUP(U122,'Points Table C'!B$3:$E$11,4))</f>
        <v>0</v>
      </c>
      <c r="AB122" s="4" t="e">
        <f>IF($Q122=1,0,VLOOKUP($J122,'Points Table C'!$C$3:$E$18,3))</f>
        <v>#N/A</v>
      </c>
      <c r="AC122" s="4">
        <f>VLOOKUP($K122,'Points Table C'!$D$3:$E$18,2)</f>
        <v>0</v>
      </c>
      <c r="AD122" s="4" t="e">
        <f>IF($Z122&lt;Lookups!$C$106,($AA122+AB122+AC122),IF($AA122&gt;=Lookups!$C$120,($AA122+AB122+AC122),$AA122+$AB122))</f>
        <v>#N/A</v>
      </c>
      <c r="AF122" s="7"/>
      <c r="AG122" s="7"/>
      <c r="AH122" s="7"/>
      <c r="AI122" s="7"/>
      <c r="AJ122" s="7"/>
      <c r="AK122" s="7"/>
      <c r="AL122" s="7"/>
      <c r="AM122" s="7"/>
      <c r="AN122" s="7"/>
      <c r="AO122" s="7"/>
      <c r="AP122" s="7"/>
      <c r="AQ122" s="7"/>
      <c r="AR122" s="7"/>
      <c r="AS122" s="7"/>
      <c r="AT122" s="7"/>
      <c r="AU122" s="7"/>
      <c r="AV122" s="7"/>
      <c r="AW122" s="7"/>
      <c r="AY122" s="7"/>
      <c r="AZ122" s="7"/>
      <c r="BA122" s="7"/>
      <c r="BB122" s="7"/>
    </row>
    <row r="123" spans="2:54" x14ac:dyDescent="0.2">
      <c r="B123" s="174"/>
      <c r="C123" s="176"/>
      <c r="F123" s="5">
        <v>0</v>
      </c>
      <c r="G123" s="192">
        <v>0</v>
      </c>
      <c r="H123" s="192">
        <v>0</v>
      </c>
      <c r="I123" s="5">
        <v>0</v>
      </c>
      <c r="J123" s="192">
        <v>0</v>
      </c>
      <c r="K123" s="192">
        <v>0</v>
      </c>
      <c r="L123" s="5">
        <v>0</v>
      </c>
      <c r="M123" s="5">
        <v>0</v>
      </c>
      <c r="N123" s="4" t="e">
        <f t="shared" si="16"/>
        <v>#N/A</v>
      </c>
      <c r="O123" s="4" t="e">
        <f>IF(ROUND(10.499-(((N123-VLOOKUP($C123,Lookups!$A$55:$D$64,3))/(VLOOKUP($C123,Lookups!$A$55:$D$64,4))*VLOOKUP($C123,Lookups!$C$2:$D$11,2))),0)&lt;1,1,IF(ROUND(10.499-(((N123-VLOOKUP($C123,Lookups!$A$55:$D$64,3))/(VLOOKUP($C123,Lookups!$A$55:$D$64,4))*VLOOKUP($C123,Lookups!$C$2:$D$11,2))),0)&lt;11,ROUND(10.499-(((N123-VLOOKUP($C123,Lookups!$A$55:$D$64,3))/(VLOOKUP($C123,Lookups!$A$55:$D$64,4))*VLOOKUP($C123,Lookups!$C$2:$D$11,2))),0),10))</f>
        <v>#N/A</v>
      </c>
      <c r="P123" s="13" t="str">
        <f>IF((SUM(F123:M123)=0),"J",VLOOKUP(O123,Lookups!$A$1:$B$11,2))</f>
        <v>J</v>
      </c>
      <c r="Q123" s="8" t="e">
        <f>VLOOKUP(C123,Lookups!$A$136:$C$144,3)</f>
        <v>#N/A</v>
      </c>
      <c r="R123" s="8" t="e">
        <f>VLOOKUP(C123,Lookups!$A$136:$C$144,2)</f>
        <v>#N/A</v>
      </c>
      <c r="S123" s="4" t="str">
        <f t="shared" si="11"/>
        <v>No</v>
      </c>
      <c r="T123" s="125">
        <f t="shared" si="12"/>
        <v>0</v>
      </c>
      <c r="U123" s="125">
        <f t="shared" si="13"/>
        <v>0</v>
      </c>
      <c r="V123" s="4" t="e">
        <f>IF($Q123&lt;&gt;3,VLOOKUP(F123,'Points Table A'!B$3:$F$33,5),VLOOKUP(F123,'Points Table A'!H$3:$L$33,5))</f>
        <v>#N/A</v>
      </c>
      <c r="W123" s="4" t="e">
        <f>IF($Q123&lt;&gt;3,VLOOKUP(G123,'Points Table A'!C$3:$F$33,4),VLOOKUP(G123,'Points Table A'!I$3:$L$33,4))</f>
        <v>#N/A</v>
      </c>
      <c r="X123" s="4" t="e">
        <f>IF($Q123&lt;&gt;3,VLOOKUP(H123,'Points Table A'!D$3:$F$28,3),VLOOKUP(H123,'Points Table A'!J$3:$L$33,3))</f>
        <v>#N/A</v>
      </c>
      <c r="Y123" s="4" t="e">
        <f>IF($Q123&lt;&gt;3,VLOOKUP(I123,'Points Table A'!E$3:$F$33,2),VLOOKUP(I123,'Points Table A'!K$3:$L$33,2))</f>
        <v>#N/A</v>
      </c>
      <c r="Z123" s="4" t="e">
        <f t="shared" si="14"/>
        <v>#N/A</v>
      </c>
      <c r="AA123" s="4">
        <f>IF($S123=Lookups!$B$113,VLOOKUP(L123,'Points Table C'!A$3:$E$11,5),VLOOKUP(U123,'Points Table C'!B$3:$E$11,4))</f>
        <v>0</v>
      </c>
      <c r="AB123" s="4" t="e">
        <f>IF($Q123=1,0,VLOOKUP($J123,'Points Table C'!$C$3:$E$18,3))</f>
        <v>#N/A</v>
      </c>
      <c r="AC123" s="4">
        <f>VLOOKUP($K123,'Points Table C'!$D$3:$E$18,2)</f>
        <v>0</v>
      </c>
      <c r="AD123" s="4" t="e">
        <f>IF($Z123&lt;Lookups!$C$106,($AA123+AB123+AC123),IF($AA123&gt;=Lookups!$C$120,($AA123+AB123+AC123),$AA123+$AB123))</f>
        <v>#N/A</v>
      </c>
      <c r="AF123" s="7"/>
      <c r="AG123" s="7"/>
      <c r="AH123" s="7"/>
      <c r="AI123" s="7"/>
      <c r="AJ123" s="7"/>
      <c r="AK123" s="7"/>
      <c r="AL123" s="7"/>
      <c r="AM123" s="7"/>
      <c r="AN123" s="7"/>
      <c r="AO123" s="7"/>
      <c r="AP123" s="7"/>
      <c r="AQ123" s="7"/>
      <c r="AR123" s="7"/>
      <c r="AS123" s="7"/>
      <c r="AT123" s="7"/>
      <c r="AU123" s="7"/>
      <c r="AV123" s="7"/>
      <c r="AW123" s="7"/>
      <c r="AY123" s="7"/>
      <c r="AZ123" s="7"/>
      <c r="BA123" s="7"/>
      <c r="BB123" s="7"/>
    </row>
    <row r="124" spans="2:54" x14ac:dyDescent="0.2">
      <c r="B124" s="174"/>
      <c r="C124" s="176"/>
      <c r="F124" s="5">
        <v>0</v>
      </c>
      <c r="G124" s="192">
        <v>0</v>
      </c>
      <c r="H124" s="192">
        <v>0</v>
      </c>
      <c r="I124" s="5">
        <v>0</v>
      </c>
      <c r="J124" s="192">
        <v>0</v>
      </c>
      <c r="K124" s="192">
        <v>0</v>
      </c>
      <c r="L124" s="5">
        <v>0</v>
      </c>
      <c r="M124" s="5">
        <v>0</v>
      </c>
      <c r="N124" s="4" t="e">
        <f t="shared" si="16"/>
        <v>#N/A</v>
      </c>
      <c r="O124" s="4" t="e">
        <f>IF(ROUND(10.499-(((N124-VLOOKUP($C124,Lookups!$A$55:$D$64,3))/(VLOOKUP($C124,Lookups!$A$55:$D$64,4))*VLOOKUP($C124,Lookups!$C$2:$D$11,2))),0)&lt;1,1,IF(ROUND(10.499-(((N124-VLOOKUP($C124,Lookups!$A$55:$D$64,3))/(VLOOKUP($C124,Lookups!$A$55:$D$64,4))*VLOOKUP($C124,Lookups!$C$2:$D$11,2))),0)&lt;11,ROUND(10.499-(((N124-VLOOKUP($C124,Lookups!$A$55:$D$64,3))/(VLOOKUP($C124,Lookups!$A$55:$D$64,4))*VLOOKUP($C124,Lookups!$C$2:$D$11,2))),0),10))</f>
        <v>#N/A</v>
      </c>
      <c r="P124" s="13" t="str">
        <f>IF((SUM(F124:M124)=0),"J",VLOOKUP(O124,Lookups!$A$1:$B$11,2))</f>
        <v>J</v>
      </c>
      <c r="Q124" s="8" t="e">
        <f>VLOOKUP(C124,Lookups!$A$136:$C$144,3)</f>
        <v>#N/A</v>
      </c>
      <c r="R124" s="8" t="e">
        <f>VLOOKUP(C124,Lookups!$A$136:$C$144,2)</f>
        <v>#N/A</v>
      </c>
      <c r="S124" s="4" t="str">
        <f t="shared" si="11"/>
        <v>No</v>
      </c>
      <c r="T124" s="125">
        <f t="shared" si="12"/>
        <v>0</v>
      </c>
      <c r="U124" s="125">
        <f t="shared" si="13"/>
        <v>0</v>
      </c>
      <c r="V124" s="4" t="e">
        <f>IF($Q124&lt;&gt;3,VLOOKUP(F124,'Points Table A'!B$3:$F$33,5),VLOOKUP(F124,'Points Table A'!H$3:$L$33,5))</f>
        <v>#N/A</v>
      </c>
      <c r="W124" s="4" t="e">
        <f>IF($Q124&lt;&gt;3,VLOOKUP(G124,'Points Table A'!C$3:$F$33,4),VLOOKUP(G124,'Points Table A'!I$3:$L$33,4))</f>
        <v>#N/A</v>
      </c>
      <c r="X124" s="4" t="e">
        <f>IF($Q124&lt;&gt;3,VLOOKUP(H124,'Points Table A'!D$3:$F$28,3),VLOOKUP(H124,'Points Table A'!J$3:$L$33,3))</f>
        <v>#N/A</v>
      </c>
      <c r="Y124" s="4" t="e">
        <f>IF($Q124&lt;&gt;3,VLOOKUP(I124,'Points Table A'!E$3:$F$33,2),VLOOKUP(I124,'Points Table A'!K$3:$L$33,2))</f>
        <v>#N/A</v>
      </c>
      <c r="Z124" s="4" t="e">
        <f t="shared" si="14"/>
        <v>#N/A</v>
      </c>
      <c r="AA124" s="4">
        <f>IF($S124=Lookups!$B$113,VLOOKUP(L124,'Points Table C'!A$3:$E$11,5),VLOOKUP(U124,'Points Table C'!B$3:$E$11,4))</f>
        <v>0</v>
      </c>
      <c r="AB124" s="4" t="e">
        <f>IF($Q124=1,0,VLOOKUP($J124,'Points Table C'!$C$3:$E$18,3))</f>
        <v>#N/A</v>
      </c>
      <c r="AC124" s="4">
        <f>VLOOKUP($K124,'Points Table C'!$D$3:$E$18,2)</f>
        <v>0</v>
      </c>
      <c r="AD124" s="4" t="e">
        <f>IF($Z124&lt;Lookups!$C$106,($AA124+AB124+AC124),IF($AA124&gt;=Lookups!$C$120,($AA124+AB124+AC124),$AA124+$AB124))</f>
        <v>#N/A</v>
      </c>
      <c r="AF124" s="7"/>
      <c r="AG124" s="7"/>
      <c r="AH124" s="7"/>
      <c r="AI124" s="7"/>
      <c r="AJ124" s="7"/>
      <c r="AK124" s="7"/>
      <c r="AL124" s="7"/>
      <c r="AM124" s="7"/>
      <c r="AN124" s="7"/>
      <c r="AO124" s="7"/>
      <c r="AP124" s="7"/>
      <c r="AQ124" s="7"/>
      <c r="AR124" s="7"/>
      <c r="AS124" s="7"/>
      <c r="AT124" s="7"/>
      <c r="AU124" s="7"/>
      <c r="AV124" s="7"/>
      <c r="AW124" s="7"/>
      <c r="AY124" s="7"/>
      <c r="AZ124" s="7"/>
      <c r="BA124" s="7"/>
      <c r="BB124" s="7"/>
    </row>
    <row r="125" spans="2:54" x14ac:dyDescent="0.2">
      <c r="B125" s="174"/>
      <c r="C125" s="176"/>
      <c r="F125" s="5">
        <v>0</v>
      </c>
      <c r="G125" s="192">
        <v>0</v>
      </c>
      <c r="H125" s="192">
        <v>0</v>
      </c>
      <c r="I125" s="5">
        <v>0</v>
      </c>
      <c r="J125" s="192">
        <v>0</v>
      </c>
      <c r="K125" s="192">
        <v>0</v>
      </c>
      <c r="L125" s="5">
        <v>0</v>
      </c>
      <c r="M125" s="5">
        <v>0</v>
      </c>
      <c r="N125" s="4" t="e">
        <f t="shared" si="16"/>
        <v>#N/A</v>
      </c>
      <c r="O125" s="4" t="e">
        <f>IF(ROUND(10.499-(((N125-VLOOKUP($C125,Lookups!$A$55:$D$64,3))/(VLOOKUP($C125,Lookups!$A$55:$D$64,4))*VLOOKUP($C125,Lookups!$C$2:$D$11,2))),0)&lt;1,1,IF(ROUND(10.499-(((N125-VLOOKUP($C125,Lookups!$A$55:$D$64,3))/(VLOOKUP($C125,Lookups!$A$55:$D$64,4))*VLOOKUP($C125,Lookups!$C$2:$D$11,2))),0)&lt;11,ROUND(10.499-(((N125-VLOOKUP($C125,Lookups!$A$55:$D$64,3))/(VLOOKUP($C125,Lookups!$A$55:$D$64,4))*VLOOKUP($C125,Lookups!$C$2:$D$11,2))),0),10))</f>
        <v>#N/A</v>
      </c>
      <c r="P125" s="13" t="str">
        <f>IF((SUM(F125:M125)=0),"J",VLOOKUP(O125,Lookups!$A$1:$B$11,2))</f>
        <v>J</v>
      </c>
      <c r="Q125" s="8" t="e">
        <f>VLOOKUP(C125,Lookups!$A$136:$C$144,3)</f>
        <v>#N/A</v>
      </c>
      <c r="R125" s="8" t="e">
        <f>VLOOKUP(C125,Lookups!$A$136:$C$144,2)</f>
        <v>#N/A</v>
      </c>
      <c r="S125" s="4" t="str">
        <f t="shared" si="11"/>
        <v>No</v>
      </c>
      <c r="T125" s="125">
        <f t="shared" si="12"/>
        <v>0</v>
      </c>
      <c r="U125" s="125">
        <f t="shared" si="13"/>
        <v>0</v>
      </c>
      <c r="V125" s="4" t="e">
        <f>IF($Q125&lt;&gt;3,VLOOKUP(F125,'Points Table A'!B$3:$F$33,5),VLOOKUP(F125,'Points Table A'!H$3:$L$33,5))</f>
        <v>#N/A</v>
      </c>
      <c r="W125" s="4" t="e">
        <f>IF($Q125&lt;&gt;3,VLOOKUP(G125,'Points Table A'!C$3:$F$33,4),VLOOKUP(G125,'Points Table A'!I$3:$L$33,4))</f>
        <v>#N/A</v>
      </c>
      <c r="X125" s="4" t="e">
        <f>IF($Q125&lt;&gt;3,VLOOKUP(H125,'Points Table A'!D$3:$F$28,3),VLOOKUP(H125,'Points Table A'!J$3:$L$33,3))</f>
        <v>#N/A</v>
      </c>
      <c r="Y125" s="4" t="e">
        <f>IF($Q125&lt;&gt;3,VLOOKUP(I125,'Points Table A'!E$3:$F$33,2),VLOOKUP(I125,'Points Table A'!K$3:$L$33,2))</f>
        <v>#N/A</v>
      </c>
      <c r="Z125" s="4" t="e">
        <f t="shared" si="14"/>
        <v>#N/A</v>
      </c>
      <c r="AA125" s="4">
        <f>IF($S125=Lookups!$B$113,VLOOKUP(L125,'Points Table C'!A$3:$E$11,5),VLOOKUP(U125,'Points Table C'!B$3:$E$11,4))</f>
        <v>0</v>
      </c>
      <c r="AB125" s="4" t="e">
        <f>IF($Q125=1,0,VLOOKUP($J125,'Points Table C'!$C$3:$E$18,3))</f>
        <v>#N/A</v>
      </c>
      <c r="AC125" s="4">
        <f>VLOOKUP($K125,'Points Table C'!$D$3:$E$18,2)</f>
        <v>0</v>
      </c>
      <c r="AD125" s="4" t="e">
        <f>IF($Z125&lt;Lookups!$C$106,($AA125+AB125+AC125),IF($AA125&gt;=Lookups!$C$120,($AA125+AB125+AC125),$AA125+$AB125))</f>
        <v>#N/A</v>
      </c>
      <c r="AF125" s="7"/>
      <c r="AG125" s="7"/>
      <c r="AH125" s="7"/>
      <c r="AI125" s="7"/>
      <c r="AJ125" s="7"/>
      <c r="AK125" s="7"/>
      <c r="AL125" s="7"/>
      <c r="AM125" s="7"/>
      <c r="AN125" s="7"/>
      <c r="AO125" s="7"/>
      <c r="AP125" s="7"/>
      <c r="AQ125" s="7"/>
      <c r="AR125" s="7"/>
      <c r="AS125" s="7"/>
      <c r="AT125" s="7"/>
      <c r="AU125" s="7"/>
      <c r="AV125" s="7"/>
      <c r="AW125" s="7"/>
      <c r="AY125" s="7"/>
      <c r="AZ125" s="7"/>
      <c r="BA125" s="7"/>
      <c r="BB125" s="7"/>
    </row>
    <row r="126" spans="2:54" x14ac:dyDescent="0.2">
      <c r="B126" s="174"/>
      <c r="C126" s="176"/>
      <c r="F126" s="5">
        <v>0</v>
      </c>
      <c r="G126" s="192">
        <v>0</v>
      </c>
      <c r="H126" s="192">
        <v>0</v>
      </c>
      <c r="I126" s="5">
        <v>0</v>
      </c>
      <c r="J126" s="192">
        <v>0</v>
      </c>
      <c r="K126" s="192">
        <v>0</v>
      </c>
      <c r="L126" s="5">
        <v>0</v>
      </c>
      <c r="M126" s="5">
        <v>0</v>
      </c>
      <c r="N126" s="4" t="e">
        <f t="shared" si="16"/>
        <v>#N/A</v>
      </c>
      <c r="O126" s="4" t="e">
        <f>IF(ROUND(10.499-(((N126-VLOOKUP($C126,Lookups!$A$55:$D$64,3))/(VLOOKUP($C126,Lookups!$A$55:$D$64,4))*VLOOKUP($C126,Lookups!$C$2:$D$11,2))),0)&lt;1,1,IF(ROUND(10.499-(((N126-VLOOKUP($C126,Lookups!$A$55:$D$64,3))/(VLOOKUP($C126,Lookups!$A$55:$D$64,4))*VLOOKUP($C126,Lookups!$C$2:$D$11,2))),0)&lt;11,ROUND(10.499-(((N126-VLOOKUP($C126,Lookups!$A$55:$D$64,3))/(VLOOKUP($C126,Lookups!$A$55:$D$64,4))*VLOOKUP($C126,Lookups!$C$2:$D$11,2))),0),10))</f>
        <v>#N/A</v>
      </c>
      <c r="P126" s="13" t="str">
        <f>IF((SUM(F126:M126)=0),"J",VLOOKUP(O126,Lookups!$A$1:$B$11,2))</f>
        <v>J</v>
      </c>
      <c r="Q126" s="8" t="e">
        <f>VLOOKUP(C126,Lookups!$A$136:$C$144,3)</f>
        <v>#N/A</v>
      </c>
      <c r="R126" s="8" t="e">
        <f>VLOOKUP(C126,Lookups!$A$136:$C$144,2)</f>
        <v>#N/A</v>
      </c>
      <c r="S126" s="4" t="str">
        <f t="shared" si="11"/>
        <v>No</v>
      </c>
      <c r="T126" s="125">
        <f t="shared" si="12"/>
        <v>0</v>
      </c>
      <c r="U126" s="125">
        <f t="shared" si="13"/>
        <v>0</v>
      </c>
      <c r="V126" s="4" t="e">
        <f>IF($Q126&lt;&gt;3,VLOOKUP(F126,'Points Table A'!B$3:$F$33,5),VLOOKUP(F126,'Points Table A'!H$3:$L$33,5))</f>
        <v>#N/A</v>
      </c>
      <c r="W126" s="4" t="e">
        <f>IF($Q126&lt;&gt;3,VLOOKUP(G126,'Points Table A'!C$3:$F$33,4),VLOOKUP(G126,'Points Table A'!I$3:$L$33,4))</f>
        <v>#N/A</v>
      </c>
      <c r="X126" s="4" t="e">
        <f>IF($Q126&lt;&gt;3,VLOOKUP(H126,'Points Table A'!D$3:$F$28,3),VLOOKUP(H126,'Points Table A'!J$3:$L$33,3))</f>
        <v>#N/A</v>
      </c>
      <c r="Y126" s="4" t="e">
        <f>IF($Q126&lt;&gt;3,VLOOKUP(I126,'Points Table A'!E$3:$F$33,2),VLOOKUP(I126,'Points Table A'!K$3:$L$33,2))</f>
        <v>#N/A</v>
      </c>
      <c r="Z126" s="4" t="e">
        <f t="shared" si="14"/>
        <v>#N/A</v>
      </c>
      <c r="AA126" s="4">
        <f>IF($S126=Lookups!$B$113,VLOOKUP(L126,'Points Table C'!A$3:$E$11,5),VLOOKUP(U126,'Points Table C'!B$3:$E$11,4))</f>
        <v>0</v>
      </c>
      <c r="AB126" s="4" t="e">
        <f>IF($Q126=1,0,VLOOKUP($J126,'Points Table C'!$C$3:$E$18,3))</f>
        <v>#N/A</v>
      </c>
      <c r="AC126" s="4">
        <f>VLOOKUP($K126,'Points Table C'!$D$3:$E$18,2)</f>
        <v>0</v>
      </c>
      <c r="AD126" s="4" t="e">
        <f>IF($Z126&lt;Lookups!$C$106,($AA126+AB126+AC126),IF($AA126&gt;=Lookups!$C$120,($AA126+AB126+AC126),$AA126+$AB126))</f>
        <v>#N/A</v>
      </c>
      <c r="AF126" s="7"/>
      <c r="AG126" s="7"/>
      <c r="AH126" s="7"/>
      <c r="AI126" s="7"/>
      <c r="AJ126" s="7"/>
      <c r="AK126" s="7"/>
      <c r="AL126" s="7"/>
      <c r="AM126" s="7"/>
      <c r="AN126" s="7"/>
      <c r="AO126" s="7"/>
      <c r="AP126" s="7"/>
      <c r="AQ126" s="7"/>
      <c r="AR126" s="7"/>
      <c r="AS126" s="7"/>
      <c r="AT126" s="7"/>
      <c r="AU126" s="7"/>
      <c r="AV126" s="7"/>
      <c r="AW126" s="7"/>
      <c r="AY126" s="7"/>
      <c r="AZ126" s="7"/>
      <c r="BA126" s="7"/>
      <c r="BB126" s="7"/>
    </row>
    <row r="127" spans="2:54" x14ac:dyDescent="0.2">
      <c r="B127" s="174"/>
      <c r="C127" s="176"/>
      <c r="F127" s="5">
        <v>0</v>
      </c>
      <c r="G127" s="192">
        <v>0</v>
      </c>
      <c r="H127" s="192">
        <v>0</v>
      </c>
      <c r="I127" s="5">
        <v>0</v>
      </c>
      <c r="J127" s="192">
        <v>0</v>
      </c>
      <c r="K127" s="192">
        <v>0</v>
      </c>
      <c r="L127" s="5">
        <v>0</v>
      </c>
      <c r="M127" s="5">
        <v>0</v>
      </c>
      <c r="N127" s="4" t="e">
        <f t="shared" si="16"/>
        <v>#N/A</v>
      </c>
      <c r="O127" s="4" t="e">
        <f>IF(ROUND(10.499-(((N127-VLOOKUP($C127,Lookups!$A$55:$D$64,3))/(VLOOKUP($C127,Lookups!$A$55:$D$64,4))*VLOOKUP($C127,Lookups!$C$2:$D$11,2))),0)&lt;1,1,IF(ROUND(10.499-(((N127-VLOOKUP($C127,Lookups!$A$55:$D$64,3))/(VLOOKUP($C127,Lookups!$A$55:$D$64,4))*VLOOKUP($C127,Lookups!$C$2:$D$11,2))),0)&lt;11,ROUND(10.499-(((N127-VLOOKUP($C127,Lookups!$A$55:$D$64,3))/(VLOOKUP($C127,Lookups!$A$55:$D$64,4))*VLOOKUP($C127,Lookups!$C$2:$D$11,2))),0),10))</f>
        <v>#N/A</v>
      </c>
      <c r="P127" s="13" t="str">
        <f>IF((SUM(F127:M127)=0),"J",VLOOKUP(O127,Lookups!$A$1:$B$11,2))</f>
        <v>J</v>
      </c>
      <c r="Q127" s="8" t="e">
        <f>VLOOKUP(C127,Lookups!$A$136:$C$144,3)</f>
        <v>#N/A</v>
      </c>
      <c r="R127" s="8" t="e">
        <f>VLOOKUP(C127,Lookups!$A$136:$C$144,2)</f>
        <v>#N/A</v>
      </c>
      <c r="S127" s="4" t="str">
        <f t="shared" si="11"/>
        <v>No</v>
      </c>
      <c r="T127" s="125">
        <f t="shared" si="12"/>
        <v>0</v>
      </c>
      <c r="U127" s="125">
        <f t="shared" si="13"/>
        <v>0</v>
      </c>
      <c r="V127" s="4" t="e">
        <f>IF($Q127&lt;&gt;3,VLOOKUP(F127,'Points Table A'!B$3:$F$33,5),VLOOKUP(F127,'Points Table A'!H$3:$L$33,5))</f>
        <v>#N/A</v>
      </c>
      <c r="W127" s="4" t="e">
        <f>IF($Q127&lt;&gt;3,VLOOKUP(G127,'Points Table A'!C$3:$F$33,4),VLOOKUP(G127,'Points Table A'!I$3:$L$33,4))</f>
        <v>#N/A</v>
      </c>
      <c r="X127" s="4" t="e">
        <f>IF($Q127&lt;&gt;3,VLOOKUP(H127,'Points Table A'!D$3:$F$28,3),VLOOKUP(H127,'Points Table A'!J$3:$L$33,3))</f>
        <v>#N/A</v>
      </c>
      <c r="Y127" s="4" t="e">
        <f>IF($Q127&lt;&gt;3,VLOOKUP(I127,'Points Table A'!E$3:$F$33,2),VLOOKUP(I127,'Points Table A'!K$3:$L$33,2))</f>
        <v>#N/A</v>
      </c>
      <c r="Z127" s="4" t="e">
        <f t="shared" si="14"/>
        <v>#N/A</v>
      </c>
      <c r="AA127" s="4">
        <f>IF($S127=Lookups!$B$113,VLOOKUP(L127,'Points Table C'!A$3:$E$11,5),VLOOKUP(U127,'Points Table C'!B$3:$E$11,4))</f>
        <v>0</v>
      </c>
      <c r="AB127" s="4" t="e">
        <f>IF($Q127=1,0,VLOOKUP($J127,'Points Table C'!$C$3:$E$18,3))</f>
        <v>#N/A</v>
      </c>
      <c r="AC127" s="4">
        <f>VLOOKUP($K127,'Points Table C'!$D$3:$E$18,2)</f>
        <v>0</v>
      </c>
      <c r="AD127" s="4" t="e">
        <f>IF($Z127&lt;Lookups!$C$106,($AA127+AB127+AC127),IF($AA127&gt;=Lookups!$C$120,($AA127+AB127+AC127),$AA127+$AB127))</f>
        <v>#N/A</v>
      </c>
      <c r="AF127" s="7"/>
      <c r="AG127" s="7"/>
      <c r="AH127" s="7"/>
      <c r="AI127" s="7"/>
      <c r="AJ127" s="7"/>
      <c r="AK127" s="7"/>
      <c r="AL127" s="7"/>
      <c r="AM127" s="7"/>
      <c r="AN127" s="7"/>
      <c r="AO127" s="7"/>
      <c r="AP127" s="7"/>
      <c r="AQ127" s="7"/>
      <c r="AR127" s="7"/>
      <c r="AS127" s="7"/>
      <c r="AT127" s="7"/>
      <c r="AU127" s="7"/>
      <c r="AV127" s="7"/>
      <c r="AW127" s="7"/>
      <c r="AY127" s="7"/>
      <c r="AZ127" s="7"/>
      <c r="BA127" s="7"/>
      <c r="BB127" s="7"/>
    </row>
    <row r="128" spans="2:54" x14ac:dyDescent="0.2">
      <c r="B128" s="174"/>
      <c r="C128" s="176"/>
      <c r="F128" s="5">
        <v>0</v>
      </c>
      <c r="G128" s="192">
        <v>0</v>
      </c>
      <c r="H128" s="192">
        <v>0</v>
      </c>
      <c r="I128" s="5">
        <v>0</v>
      </c>
      <c r="J128" s="192">
        <v>0</v>
      </c>
      <c r="K128" s="192">
        <v>0</v>
      </c>
      <c r="L128" s="5">
        <v>0</v>
      </c>
      <c r="M128" s="5">
        <v>0</v>
      </c>
      <c r="N128" s="4" t="e">
        <f t="shared" si="16"/>
        <v>#N/A</v>
      </c>
      <c r="O128" s="4" t="e">
        <f>IF(ROUND(10.499-(((N128-VLOOKUP($C128,Lookups!$A$55:$D$64,3))/(VLOOKUP($C128,Lookups!$A$55:$D$64,4))*VLOOKUP($C128,Lookups!$C$2:$D$11,2))),0)&lt;1,1,IF(ROUND(10.499-(((N128-VLOOKUP($C128,Lookups!$A$55:$D$64,3))/(VLOOKUP($C128,Lookups!$A$55:$D$64,4))*VLOOKUP($C128,Lookups!$C$2:$D$11,2))),0)&lt;11,ROUND(10.499-(((N128-VLOOKUP($C128,Lookups!$A$55:$D$64,3))/(VLOOKUP($C128,Lookups!$A$55:$D$64,4))*VLOOKUP($C128,Lookups!$C$2:$D$11,2))),0),10))</f>
        <v>#N/A</v>
      </c>
      <c r="P128" s="13" t="str">
        <f>IF((SUM(F128:M128)=0),"J",VLOOKUP(O128,Lookups!$A$1:$B$11,2))</f>
        <v>J</v>
      </c>
      <c r="Q128" s="8" t="e">
        <f>VLOOKUP(C128,Lookups!$A$136:$C$144,3)</f>
        <v>#N/A</v>
      </c>
      <c r="R128" s="8" t="e">
        <f>VLOOKUP(C128,Lookups!$A$136:$C$144,2)</f>
        <v>#N/A</v>
      </c>
      <c r="S128" s="4" t="str">
        <f t="shared" si="11"/>
        <v>No</v>
      </c>
      <c r="T128" s="125">
        <f t="shared" si="12"/>
        <v>0</v>
      </c>
      <c r="U128" s="125">
        <f t="shared" si="13"/>
        <v>0</v>
      </c>
      <c r="V128" s="4" t="e">
        <f>IF($Q128&lt;&gt;3,VLOOKUP(F128,'Points Table A'!B$3:$F$33,5),VLOOKUP(F128,'Points Table A'!H$3:$L$33,5))</f>
        <v>#N/A</v>
      </c>
      <c r="W128" s="4" t="e">
        <f>IF($Q128&lt;&gt;3,VLOOKUP(G128,'Points Table A'!C$3:$F$33,4),VLOOKUP(G128,'Points Table A'!I$3:$L$33,4))</f>
        <v>#N/A</v>
      </c>
      <c r="X128" s="4" t="e">
        <f>IF($Q128&lt;&gt;3,VLOOKUP(H128,'Points Table A'!D$3:$F$28,3),VLOOKUP(H128,'Points Table A'!J$3:$L$33,3))</f>
        <v>#N/A</v>
      </c>
      <c r="Y128" s="4" t="e">
        <f>IF($Q128&lt;&gt;3,VLOOKUP(I128,'Points Table A'!E$3:$F$33,2),VLOOKUP(I128,'Points Table A'!K$3:$L$33,2))</f>
        <v>#N/A</v>
      </c>
      <c r="Z128" s="4" t="e">
        <f t="shared" si="14"/>
        <v>#N/A</v>
      </c>
      <c r="AA128" s="4">
        <f>IF($S128=Lookups!$B$113,VLOOKUP(L128,'Points Table C'!A$3:$E$11,5),VLOOKUP(U128,'Points Table C'!B$3:$E$11,4))</f>
        <v>0</v>
      </c>
      <c r="AB128" s="4" t="e">
        <f>IF($Q128=1,0,VLOOKUP($J128,'Points Table C'!$C$3:$E$18,3))</f>
        <v>#N/A</v>
      </c>
      <c r="AC128" s="4">
        <f>VLOOKUP($K128,'Points Table C'!$D$3:$E$18,2)</f>
        <v>0</v>
      </c>
      <c r="AD128" s="4" t="e">
        <f>IF($Z128&lt;Lookups!$C$106,($AA128+AB128+AC128),IF($AA128&gt;=Lookups!$C$120,($AA128+AB128+AC128),$AA128+$AB128))</f>
        <v>#N/A</v>
      </c>
      <c r="AF128" s="7"/>
      <c r="AG128" s="7"/>
      <c r="AH128" s="7"/>
      <c r="AI128" s="7"/>
      <c r="AJ128" s="7"/>
      <c r="AK128" s="7"/>
      <c r="AL128" s="7"/>
      <c r="AM128" s="7"/>
      <c r="AN128" s="7"/>
      <c r="AO128" s="7"/>
      <c r="AP128" s="7"/>
      <c r="AQ128" s="7"/>
      <c r="AR128" s="7"/>
      <c r="AS128" s="7"/>
      <c r="AT128" s="7"/>
      <c r="AU128" s="7"/>
      <c r="AV128" s="7"/>
      <c r="AW128" s="7"/>
      <c r="AY128" s="7"/>
      <c r="AZ128" s="7"/>
      <c r="BA128" s="7"/>
      <c r="BB128" s="7"/>
    </row>
    <row r="129" spans="2:54" x14ac:dyDescent="0.2">
      <c r="B129" s="174"/>
      <c r="C129" s="176"/>
      <c r="F129" s="5">
        <v>0</v>
      </c>
      <c r="G129" s="192">
        <v>0</v>
      </c>
      <c r="H129" s="192">
        <v>0</v>
      </c>
      <c r="I129" s="5">
        <v>0</v>
      </c>
      <c r="J129" s="192">
        <v>0</v>
      </c>
      <c r="K129" s="192">
        <v>0</v>
      </c>
      <c r="L129" s="5">
        <v>0</v>
      </c>
      <c r="M129" s="5">
        <v>0</v>
      </c>
      <c r="N129" s="4" t="e">
        <f t="shared" si="16"/>
        <v>#N/A</v>
      </c>
      <c r="O129" s="4" t="e">
        <f>IF(ROUND(10.499-(((N129-VLOOKUP($C129,Lookups!$A$55:$D$64,3))/(VLOOKUP($C129,Lookups!$A$55:$D$64,4))*VLOOKUP($C129,Lookups!$C$2:$D$11,2))),0)&lt;1,1,IF(ROUND(10.499-(((N129-VLOOKUP($C129,Lookups!$A$55:$D$64,3))/(VLOOKUP($C129,Lookups!$A$55:$D$64,4))*VLOOKUP($C129,Lookups!$C$2:$D$11,2))),0)&lt;11,ROUND(10.499-(((N129-VLOOKUP($C129,Lookups!$A$55:$D$64,3))/(VLOOKUP($C129,Lookups!$A$55:$D$64,4))*VLOOKUP($C129,Lookups!$C$2:$D$11,2))),0),10))</f>
        <v>#N/A</v>
      </c>
      <c r="P129" s="13" t="str">
        <f>IF((SUM(F129:M129)=0),"J",VLOOKUP(O129,Lookups!$A$1:$B$11,2))</f>
        <v>J</v>
      </c>
      <c r="Q129" s="8" t="e">
        <f>VLOOKUP(C129,Lookups!$A$136:$C$144,3)</f>
        <v>#N/A</v>
      </c>
      <c r="R129" s="8" t="e">
        <f>VLOOKUP(C129,Lookups!$A$136:$C$144,2)</f>
        <v>#N/A</v>
      </c>
      <c r="S129" s="4" t="str">
        <f t="shared" si="11"/>
        <v>No</v>
      </c>
      <c r="T129" s="125">
        <f t="shared" si="12"/>
        <v>0</v>
      </c>
      <c r="U129" s="125">
        <f t="shared" si="13"/>
        <v>0</v>
      </c>
      <c r="V129" s="4" t="e">
        <f>IF($Q129&lt;&gt;3,VLOOKUP(F129,'Points Table A'!B$3:$F$33,5),VLOOKUP(F129,'Points Table A'!H$3:$L$33,5))</f>
        <v>#N/A</v>
      </c>
      <c r="W129" s="4" t="e">
        <f>IF($Q129&lt;&gt;3,VLOOKUP(G129,'Points Table A'!C$3:$F$33,4),VLOOKUP(G129,'Points Table A'!I$3:$L$33,4))</f>
        <v>#N/A</v>
      </c>
      <c r="X129" s="4" t="e">
        <f>IF($Q129&lt;&gt;3,VLOOKUP(H129,'Points Table A'!D$3:$F$28,3),VLOOKUP(H129,'Points Table A'!J$3:$L$33,3))</f>
        <v>#N/A</v>
      </c>
      <c r="Y129" s="4" t="e">
        <f>IF($Q129&lt;&gt;3,VLOOKUP(I129,'Points Table A'!E$3:$F$33,2),VLOOKUP(I129,'Points Table A'!K$3:$L$33,2))</f>
        <v>#N/A</v>
      </c>
      <c r="Z129" s="4" t="e">
        <f t="shared" si="14"/>
        <v>#N/A</v>
      </c>
      <c r="AA129" s="4">
        <f>IF($S129=Lookups!$B$113,VLOOKUP(L129,'Points Table C'!A$3:$E$11,5),VLOOKUP(U129,'Points Table C'!B$3:$E$11,4))</f>
        <v>0</v>
      </c>
      <c r="AB129" s="4" t="e">
        <f>IF($Q129=1,0,VLOOKUP($J129,'Points Table C'!$C$3:$E$18,3))</f>
        <v>#N/A</v>
      </c>
      <c r="AC129" s="4">
        <f>VLOOKUP($K129,'Points Table C'!$D$3:$E$18,2)</f>
        <v>0</v>
      </c>
      <c r="AD129" s="4" t="e">
        <f>IF($Z129&lt;Lookups!$C$106,($AA129+AB129+AC129),IF($AA129&gt;=Lookups!$C$120,($AA129+AB129+AC129),$AA129+$AB129))</f>
        <v>#N/A</v>
      </c>
      <c r="AF129" s="7"/>
      <c r="AG129" s="7"/>
      <c r="AH129" s="7"/>
      <c r="AI129" s="7"/>
      <c r="AJ129" s="7"/>
      <c r="AK129" s="7"/>
      <c r="AL129" s="7"/>
      <c r="AM129" s="7"/>
      <c r="AN129" s="7"/>
      <c r="AO129" s="7"/>
      <c r="AP129" s="7"/>
      <c r="AQ129" s="7"/>
      <c r="AR129" s="7"/>
      <c r="AS129" s="7"/>
      <c r="AT129" s="7"/>
      <c r="AU129" s="7"/>
      <c r="AV129" s="7"/>
      <c r="AW129" s="7"/>
      <c r="AY129" s="7"/>
      <c r="AZ129" s="7"/>
      <c r="BA129" s="7"/>
      <c r="BB129" s="7"/>
    </row>
    <row r="130" spans="2:54" x14ac:dyDescent="0.2">
      <c r="B130" s="174"/>
      <c r="C130" s="176"/>
      <c r="F130" s="5">
        <v>0</v>
      </c>
      <c r="G130" s="192">
        <v>0</v>
      </c>
      <c r="H130" s="192">
        <v>0</v>
      </c>
      <c r="I130" s="5">
        <v>0</v>
      </c>
      <c r="J130" s="192">
        <v>0</v>
      </c>
      <c r="K130" s="192">
        <v>0</v>
      </c>
      <c r="L130" s="5">
        <v>0</v>
      </c>
      <c r="M130" s="5">
        <v>0</v>
      </c>
      <c r="N130" s="4" t="e">
        <f t="shared" si="16"/>
        <v>#N/A</v>
      </c>
      <c r="O130" s="4" t="e">
        <f>IF(ROUND(10.499-(((N130-VLOOKUP($C130,Lookups!$A$55:$D$64,3))/(VLOOKUP($C130,Lookups!$A$55:$D$64,4))*VLOOKUP($C130,Lookups!$C$2:$D$11,2))),0)&lt;1,1,IF(ROUND(10.499-(((N130-VLOOKUP($C130,Lookups!$A$55:$D$64,3))/(VLOOKUP($C130,Lookups!$A$55:$D$64,4))*VLOOKUP($C130,Lookups!$C$2:$D$11,2))),0)&lt;11,ROUND(10.499-(((N130-VLOOKUP($C130,Lookups!$A$55:$D$64,3))/(VLOOKUP($C130,Lookups!$A$55:$D$64,4))*VLOOKUP($C130,Lookups!$C$2:$D$11,2))),0),10))</f>
        <v>#N/A</v>
      </c>
      <c r="P130" s="13" t="str">
        <f>IF((SUM(F130:M130)=0),"J",VLOOKUP(O130,Lookups!$A$1:$B$11,2))</f>
        <v>J</v>
      </c>
      <c r="Q130" s="8" t="e">
        <f>VLOOKUP(C130,Lookups!$A$136:$C$144,3)</f>
        <v>#N/A</v>
      </c>
      <c r="R130" s="8" t="e">
        <f>VLOOKUP(C130,Lookups!$A$136:$C$144,2)</f>
        <v>#N/A</v>
      </c>
      <c r="S130" s="4" t="str">
        <f t="shared" si="11"/>
        <v>No</v>
      </c>
      <c r="T130" s="125">
        <f t="shared" si="12"/>
        <v>0</v>
      </c>
      <c r="U130" s="125">
        <f t="shared" si="13"/>
        <v>0</v>
      </c>
      <c r="V130" s="4" t="e">
        <f>IF($Q130&lt;&gt;3,VLOOKUP(F130,'Points Table A'!B$3:$F$33,5),VLOOKUP(F130,'Points Table A'!H$3:$L$33,5))</f>
        <v>#N/A</v>
      </c>
      <c r="W130" s="4" t="e">
        <f>IF($Q130&lt;&gt;3,VLOOKUP(G130,'Points Table A'!C$3:$F$33,4),VLOOKUP(G130,'Points Table A'!I$3:$L$33,4))</f>
        <v>#N/A</v>
      </c>
      <c r="X130" s="4" t="e">
        <f>IF($Q130&lt;&gt;3,VLOOKUP(H130,'Points Table A'!D$3:$F$28,3),VLOOKUP(H130,'Points Table A'!J$3:$L$33,3))</f>
        <v>#N/A</v>
      </c>
      <c r="Y130" s="4" t="e">
        <f>IF($Q130&lt;&gt;3,VLOOKUP(I130,'Points Table A'!E$3:$F$33,2),VLOOKUP(I130,'Points Table A'!K$3:$L$33,2))</f>
        <v>#N/A</v>
      </c>
      <c r="Z130" s="4" t="e">
        <f t="shared" si="14"/>
        <v>#N/A</v>
      </c>
      <c r="AA130" s="4">
        <f>IF($S130=Lookups!$B$113,VLOOKUP(L130,'Points Table C'!A$3:$E$11,5),VLOOKUP(U130,'Points Table C'!B$3:$E$11,4))</f>
        <v>0</v>
      </c>
      <c r="AB130" s="4" t="e">
        <f>IF($Q130=1,0,VLOOKUP($J130,'Points Table C'!$C$3:$E$18,3))</f>
        <v>#N/A</v>
      </c>
      <c r="AC130" s="4">
        <f>VLOOKUP($K130,'Points Table C'!$D$3:$E$18,2)</f>
        <v>0</v>
      </c>
      <c r="AD130" s="4" t="e">
        <f>IF($Z130&lt;Lookups!$C$106,($AA130+AB130+AC130),IF($AA130&gt;=Lookups!$C$120,($AA130+AB130+AC130),$AA130+$AB130))</f>
        <v>#N/A</v>
      </c>
      <c r="AF130" s="7"/>
      <c r="AG130" s="7"/>
      <c r="AH130" s="7"/>
      <c r="AI130" s="7"/>
      <c r="AJ130" s="7"/>
      <c r="AK130" s="7"/>
      <c r="AL130" s="7"/>
      <c r="AM130" s="7"/>
      <c r="AN130" s="7"/>
      <c r="AO130" s="7"/>
      <c r="AP130" s="7"/>
      <c r="AQ130" s="7"/>
      <c r="AR130" s="7"/>
      <c r="AS130" s="7"/>
      <c r="AT130" s="7"/>
      <c r="AU130" s="7"/>
      <c r="AV130" s="7"/>
      <c r="AW130" s="7"/>
      <c r="AY130" s="7"/>
      <c r="AZ130" s="7"/>
      <c r="BA130" s="7"/>
      <c r="BB130" s="7"/>
    </row>
    <row r="131" spans="2:54" x14ac:dyDescent="0.2">
      <c r="B131" s="174"/>
      <c r="C131" s="176"/>
      <c r="F131" s="5">
        <v>0</v>
      </c>
      <c r="G131" s="192">
        <v>0</v>
      </c>
      <c r="H131" s="192">
        <v>0</v>
      </c>
      <c r="I131" s="5">
        <v>0</v>
      </c>
      <c r="J131" s="192">
        <v>0</v>
      </c>
      <c r="K131" s="192">
        <v>0</v>
      </c>
      <c r="L131" s="5">
        <v>0</v>
      </c>
      <c r="M131" s="5">
        <v>0</v>
      </c>
      <c r="N131" s="4" t="e">
        <f t="shared" si="16"/>
        <v>#N/A</v>
      </c>
      <c r="O131" s="4" t="e">
        <f>IF(ROUND(10.499-(((N131-VLOOKUP($C131,Lookups!$A$55:$D$64,3))/(VLOOKUP($C131,Lookups!$A$55:$D$64,4))*VLOOKUP($C131,Lookups!$C$2:$D$11,2))),0)&lt;1,1,IF(ROUND(10.499-(((N131-VLOOKUP($C131,Lookups!$A$55:$D$64,3))/(VLOOKUP($C131,Lookups!$A$55:$D$64,4))*VLOOKUP($C131,Lookups!$C$2:$D$11,2))),0)&lt;11,ROUND(10.499-(((N131-VLOOKUP($C131,Lookups!$A$55:$D$64,3))/(VLOOKUP($C131,Lookups!$A$55:$D$64,4))*VLOOKUP($C131,Lookups!$C$2:$D$11,2))),0),10))</f>
        <v>#N/A</v>
      </c>
      <c r="P131" s="13" t="str">
        <f>IF((SUM(F131:M131)=0),"J",VLOOKUP(O131,Lookups!$A$1:$B$11,2))</f>
        <v>J</v>
      </c>
      <c r="Q131" s="8" t="e">
        <f>VLOOKUP(C131,Lookups!$A$136:$C$144,3)</f>
        <v>#N/A</v>
      </c>
      <c r="R131" s="8" t="e">
        <f>VLOOKUP(C131,Lookups!$A$136:$C$144,2)</f>
        <v>#N/A</v>
      </c>
      <c r="S131" s="4" t="str">
        <f t="shared" si="11"/>
        <v>No</v>
      </c>
      <c r="T131" s="125">
        <f t="shared" si="12"/>
        <v>0</v>
      </c>
      <c r="U131" s="125">
        <f t="shared" si="13"/>
        <v>0</v>
      </c>
      <c r="V131" s="4" t="e">
        <f>IF($Q131&lt;&gt;3,VLOOKUP(F131,'Points Table A'!B$3:$F$33,5),VLOOKUP(F131,'Points Table A'!H$3:$L$33,5))</f>
        <v>#N/A</v>
      </c>
      <c r="W131" s="4" t="e">
        <f>IF($Q131&lt;&gt;3,VLOOKUP(G131,'Points Table A'!C$3:$F$33,4),VLOOKUP(G131,'Points Table A'!I$3:$L$33,4))</f>
        <v>#N/A</v>
      </c>
      <c r="X131" s="4" t="e">
        <f>IF($Q131&lt;&gt;3,VLOOKUP(H131,'Points Table A'!D$3:$F$28,3),VLOOKUP(H131,'Points Table A'!J$3:$L$33,3))</f>
        <v>#N/A</v>
      </c>
      <c r="Y131" s="4" t="e">
        <f>IF($Q131&lt;&gt;3,VLOOKUP(I131,'Points Table A'!E$3:$F$33,2),VLOOKUP(I131,'Points Table A'!K$3:$L$33,2))</f>
        <v>#N/A</v>
      </c>
      <c r="Z131" s="4" t="e">
        <f t="shared" si="14"/>
        <v>#N/A</v>
      </c>
      <c r="AA131" s="4">
        <f>IF($S131=Lookups!$B$113,VLOOKUP(L131,'Points Table C'!A$3:$E$11,5),VLOOKUP(U131,'Points Table C'!B$3:$E$11,4))</f>
        <v>0</v>
      </c>
      <c r="AB131" s="4" t="e">
        <f>IF($Q131=1,0,VLOOKUP($J131,'Points Table C'!$C$3:$E$18,3))</f>
        <v>#N/A</v>
      </c>
      <c r="AC131" s="4">
        <f>VLOOKUP($K131,'Points Table C'!$D$3:$E$18,2)</f>
        <v>0</v>
      </c>
      <c r="AD131" s="4" t="e">
        <f>IF($Z131&lt;Lookups!$C$106,($AA131+AB131+AC131),IF($AA131&gt;=Lookups!$C$120,($AA131+AB131+AC131),$AA131+$AB131))</f>
        <v>#N/A</v>
      </c>
      <c r="AF131" s="7"/>
      <c r="AG131" s="7"/>
      <c r="AH131" s="7"/>
      <c r="AI131" s="7"/>
      <c r="AJ131" s="7"/>
      <c r="AK131" s="7"/>
      <c r="AL131" s="7"/>
      <c r="AM131" s="7"/>
      <c r="AN131" s="7"/>
      <c r="AO131" s="7"/>
      <c r="AP131" s="7"/>
      <c r="AQ131" s="7"/>
      <c r="AR131" s="7"/>
      <c r="AS131" s="7"/>
      <c r="AT131" s="7"/>
      <c r="AU131" s="7"/>
      <c r="AV131" s="7"/>
      <c r="AW131" s="7"/>
      <c r="AY131" s="7"/>
      <c r="AZ131" s="7"/>
      <c r="BA131" s="7"/>
      <c r="BB131" s="7"/>
    </row>
    <row r="132" spans="2:54" x14ac:dyDescent="0.2">
      <c r="B132" s="174"/>
      <c r="C132" s="176"/>
      <c r="F132" s="5">
        <v>0</v>
      </c>
      <c r="G132" s="192">
        <v>0</v>
      </c>
      <c r="H132" s="192">
        <v>0</v>
      </c>
      <c r="I132" s="5">
        <v>0</v>
      </c>
      <c r="J132" s="192">
        <v>0</v>
      </c>
      <c r="K132" s="192">
        <v>0</v>
      </c>
      <c r="L132" s="5">
        <v>0</v>
      </c>
      <c r="M132" s="5">
        <v>0</v>
      </c>
      <c r="N132" s="4" t="e">
        <f t="shared" si="16"/>
        <v>#N/A</v>
      </c>
      <c r="O132" s="4" t="e">
        <f>IF(ROUND(10.499-(((N132-VLOOKUP($C132,Lookups!$A$55:$D$64,3))/(VLOOKUP($C132,Lookups!$A$55:$D$64,4))*VLOOKUP($C132,Lookups!$C$2:$D$11,2))),0)&lt;1,1,IF(ROUND(10.499-(((N132-VLOOKUP($C132,Lookups!$A$55:$D$64,3))/(VLOOKUP($C132,Lookups!$A$55:$D$64,4))*VLOOKUP($C132,Lookups!$C$2:$D$11,2))),0)&lt;11,ROUND(10.499-(((N132-VLOOKUP($C132,Lookups!$A$55:$D$64,3))/(VLOOKUP($C132,Lookups!$A$55:$D$64,4))*VLOOKUP($C132,Lookups!$C$2:$D$11,2))),0),10))</f>
        <v>#N/A</v>
      </c>
      <c r="P132" s="13" t="str">
        <f>IF((SUM(F132:M132)=0),"J",VLOOKUP(O132,Lookups!$A$1:$B$11,2))</f>
        <v>J</v>
      </c>
      <c r="Q132" s="8" t="e">
        <f>VLOOKUP(C132,Lookups!$A$136:$C$144,3)</f>
        <v>#N/A</v>
      </c>
      <c r="R132" s="8" t="e">
        <f>VLOOKUP(C132,Lookups!$A$136:$C$144,2)</f>
        <v>#N/A</v>
      </c>
      <c r="S132" s="4" t="str">
        <f t="shared" si="11"/>
        <v>No</v>
      </c>
      <c r="T132" s="125">
        <f t="shared" si="12"/>
        <v>0</v>
      </c>
      <c r="U132" s="125">
        <f t="shared" si="13"/>
        <v>0</v>
      </c>
      <c r="V132" s="4" t="e">
        <f>IF($Q132&lt;&gt;3,VLOOKUP(F132,'Points Table A'!B$3:$F$33,5),VLOOKUP(F132,'Points Table A'!H$3:$L$33,5))</f>
        <v>#N/A</v>
      </c>
      <c r="W132" s="4" t="e">
        <f>IF($Q132&lt;&gt;3,VLOOKUP(G132,'Points Table A'!C$3:$F$33,4),VLOOKUP(G132,'Points Table A'!I$3:$L$33,4))</f>
        <v>#N/A</v>
      </c>
      <c r="X132" s="4" t="e">
        <f>IF($Q132&lt;&gt;3,VLOOKUP(H132,'Points Table A'!D$3:$F$28,3),VLOOKUP(H132,'Points Table A'!J$3:$L$33,3))</f>
        <v>#N/A</v>
      </c>
      <c r="Y132" s="4" t="e">
        <f>IF($Q132&lt;&gt;3,VLOOKUP(I132,'Points Table A'!E$3:$F$33,2),VLOOKUP(I132,'Points Table A'!K$3:$L$33,2))</f>
        <v>#N/A</v>
      </c>
      <c r="Z132" s="4" t="e">
        <f t="shared" si="14"/>
        <v>#N/A</v>
      </c>
      <c r="AA132" s="4">
        <f>IF($S132=Lookups!$B$113,VLOOKUP(L132,'Points Table C'!A$3:$E$11,5),VLOOKUP(U132,'Points Table C'!B$3:$E$11,4))</f>
        <v>0</v>
      </c>
      <c r="AB132" s="4" t="e">
        <f>IF($Q132=1,0,VLOOKUP($J132,'Points Table C'!$C$3:$E$18,3))</f>
        <v>#N/A</v>
      </c>
      <c r="AC132" s="4">
        <f>VLOOKUP($K132,'Points Table C'!$D$3:$E$18,2)</f>
        <v>0</v>
      </c>
      <c r="AD132" s="4" t="e">
        <f>IF($Z132&lt;Lookups!$C$106,($AA132+AB132+AC132),IF($AA132&gt;=Lookups!$C$120,($AA132+AB132+AC132),$AA132+$AB132))</f>
        <v>#N/A</v>
      </c>
      <c r="AF132" s="7"/>
      <c r="AG132" s="7"/>
      <c r="AH132" s="7"/>
      <c r="AI132" s="7"/>
      <c r="AJ132" s="7"/>
      <c r="AK132" s="7"/>
      <c r="AL132" s="7"/>
      <c r="AM132" s="7"/>
      <c r="AN132" s="7"/>
      <c r="AO132" s="7"/>
      <c r="AP132" s="7"/>
      <c r="AQ132" s="7"/>
      <c r="AR132" s="7"/>
      <c r="AS132" s="7"/>
      <c r="AT132" s="7"/>
      <c r="AU132" s="7"/>
      <c r="AV132" s="7"/>
      <c r="AW132" s="7"/>
      <c r="AY132" s="7"/>
      <c r="AZ132" s="7"/>
      <c r="BA132" s="7"/>
      <c r="BB132" s="7"/>
    </row>
    <row r="133" spans="2:54" x14ac:dyDescent="0.2">
      <c r="B133" s="174"/>
      <c r="C133" s="176"/>
      <c r="F133" s="5">
        <v>0</v>
      </c>
      <c r="G133" s="192">
        <v>0</v>
      </c>
      <c r="H133" s="192">
        <v>0</v>
      </c>
      <c r="I133" s="5">
        <v>0</v>
      </c>
      <c r="J133" s="192">
        <v>0</v>
      </c>
      <c r="K133" s="192">
        <v>0</v>
      </c>
      <c r="L133" s="5">
        <v>0</v>
      </c>
      <c r="M133" s="5">
        <v>0</v>
      </c>
      <c r="N133" s="4" t="e">
        <f t="shared" si="16"/>
        <v>#N/A</v>
      </c>
      <c r="O133" s="4" t="e">
        <f>IF(ROUND(10.499-(((N133-VLOOKUP($C133,Lookups!$A$55:$D$64,3))/(VLOOKUP($C133,Lookups!$A$55:$D$64,4))*VLOOKUP($C133,Lookups!$C$2:$D$11,2))),0)&lt;1,1,IF(ROUND(10.499-(((N133-VLOOKUP($C133,Lookups!$A$55:$D$64,3))/(VLOOKUP($C133,Lookups!$A$55:$D$64,4))*VLOOKUP($C133,Lookups!$C$2:$D$11,2))),0)&lt;11,ROUND(10.499-(((N133-VLOOKUP($C133,Lookups!$A$55:$D$64,3))/(VLOOKUP($C133,Lookups!$A$55:$D$64,4))*VLOOKUP($C133,Lookups!$C$2:$D$11,2))),0),10))</f>
        <v>#N/A</v>
      </c>
      <c r="P133" s="13" t="str">
        <f>IF((SUM(F133:M133)=0),"J",VLOOKUP(O133,Lookups!$A$1:$B$11,2))</f>
        <v>J</v>
      </c>
      <c r="Q133" s="8" t="e">
        <f>VLOOKUP(C133,Lookups!$A$136:$C$144,3)</f>
        <v>#N/A</v>
      </c>
      <c r="R133" s="8" t="e">
        <f>VLOOKUP(C133,Lookups!$A$136:$C$144,2)</f>
        <v>#N/A</v>
      </c>
      <c r="S133" s="4" t="str">
        <f t="shared" si="11"/>
        <v>No</v>
      </c>
      <c r="T133" s="125">
        <f t="shared" si="12"/>
        <v>0</v>
      </c>
      <c r="U133" s="125">
        <f t="shared" si="13"/>
        <v>0</v>
      </c>
      <c r="V133" s="4" t="e">
        <f>IF($Q133&lt;&gt;3,VLOOKUP(F133,'Points Table A'!B$3:$F$33,5),VLOOKUP(F133,'Points Table A'!H$3:$L$33,5))</f>
        <v>#N/A</v>
      </c>
      <c r="W133" s="4" t="e">
        <f>IF($Q133&lt;&gt;3,VLOOKUP(G133,'Points Table A'!C$3:$F$33,4),VLOOKUP(G133,'Points Table A'!I$3:$L$33,4))</f>
        <v>#N/A</v>
      </c>
      <c r="X133" s="4" t="e">
        <f>IF($Q133&lt;&gt;3,VLOOKUP(H133,'Points Table A'!D$3:$F$28,3),VLOOKUP(H133,'Points Table A'!J$3:$L$33,3))</f>
        <v>#N/A</v>
      </c>
      <c r="Y133" s="4" t="e">
        <f>IF($Q133&lt;&gt;3,VLOOKUP(I133,'Points Table A'!E$3:$F$33,2),VLOOKUP(I133,'Points Table A'!K$3:$L$33,2))</f>
        <v>#N/A</v>
      </c>
      <c r="Z133" s="4" t="e">
        <f t="shared" si="14"/>
        <v>#N/A</v>
      </c>
      <c r="AA133" s="4">
        <f>IF($S133=Lookups!$B$113,VLOOKUP(L133,'Points Table C'!A$3:$E$11,5),VLOOKUP(U133,'Points Table C'!B$3:$E$11,4))</f>
        <v>0</v>
      </c>
      <c r="AB133" s="4" t="e">
        <f>IF($Q133=1,0,VLOOKUP($J133,'Points Table C'!$C$3:$E$18,3))</f>
        <v>#N/A</v>
      </c>
      <c r="AC133" s="4">
        <f>VLOOKUP($K133,'Points Table C'!$D$3:$E$18,2)</f>
        <v>0</v>
      </c>
      <c r="AD133" s="4" t="e">
        <f>IF($Z133&lt;Lookups!$C$106,($AA133+AB133+AC133),IF($AA133&gt;=Lookups!$C$120,($AA133+AB133+AC133),$AA133+$AB133))</f>
        <v>#N/A</v>
      </c>
      <c r="AF133" s="7"/>
      <c r="AG133" s="7"/>
      <c r="AH133" s="7"/>
      <c r="AI133" s="7"/>
      <c r="AJ133" s="7"/>
      <c r="AK133" s="7"/>
      <c r="AL133" s="7"/>
      <c r="AM133" s="7"/>
      <c r="AN133" s="7"/>
      <c r="AO133" s="7"/>
      <c r="AP133" s="7"/>
      <c r="AQ133" s="7"/>
      <c r="AR133" s="7"/>
      <c r="AS133" s="7"/>
      <c r="AT133" s="7"/>
      <c r="AU133" s="7"/>
      <c r="AV133" s="7"/>
      <c r="AW133" s="7"/>
      <c r="AY133" s="7"/>
      <c r="AZ133" s="7"/>
      <c r="BA133" s="7"/>
      <c r="BB133" s="7"/>
    </row>
    <row r="134" spans="2:54" x14ac:dyDescent="0.2">
      <c r="B134" s="174"/>
      <c r="C134" s="176"/>
      <c r="F134" s="5">
        <v>0</v>
      </c>
      <c r="G134" s="192">
        <v>0</v>
      </c>
      <c r="H134" s="192">
        <v>0</v>
      </c>
      <c r="I134" s="5">
        <v>0</v>
      </c>
      <c r="J134" s="192">
        <v>0</v>
      </c>
      <c r="K134" s="192">
        <v>0</v>
      </c>
      <c r="L134" s="5">
        <v>0</v>
      </c>
      <c r="M134" s="5">
        <v>0</v>
      </c>
      <c r="N134" s="4" t="e">
        <f t="shared" si="16"/>
        <v>#N/A</v>
      </c>
      <c r="O134" s="4" t="e">
        <f>IF(ROUND(10.499-(((N134-VLOOKUP($C134,Lookups!$A$55:$D$64,3))/(VLOOKUP($C134,Lookups!$A$55:$D$64,4))*VLOOKUP($C134,Lookups!$C$2:$D$11,2))),0)&lt;1,1,IF(ROUND(10.499-(((N134-VLOOKUP($C134,Lookups!$A$55:$D$64,3))/(VLOOKUP($C134,Lookups!$A$55:$D$64,4))*VLOOKUP($C134,Lookups!$C$2:$D$11,2))),0)&lt;11,ROUND(10.499-(((N134-VLOOKUP($C134,Lookups!$A$55:$D$64,3))/(VLOOKUP($C134,Lookups!$A$55:$D$64,4))*VLOOKUP($C134,Lookups!$C$2:$D$11,2))),0),10))</f>
        <v>#N/A</v>
      </c>
      <c r="P134" s="13" t="str">
        <f>IF((SUM(F134:M134)=0),"J",VLOOKUP(O134,Lookups!$A$1:$B$11,2))</f>
        <v>J</v>
      </c>
      <c r="Q134" s="8" t="e">
        <f>VLOOKUP(C134,Lookups!$A$136:$C$144,3)</f>
        <v>#N/A</v>
      </c>
      <c r="R134" s="8" t="e">
        <f>VLOOKUP(C134,Lookups!$A$136:$C$144,2)</f>
        <v>#N/A</v>
      </c>
      <c r="S134" s="4" t="str">
        <f t="shared" si="11"/>
        <v>No</v>
      </c>
      <c r="T134" s="125">
        <f t="shared" si="12"/>
        <v>0</v>
      </c>
      <c r="U134" s="125">
        <f t="shared" si="13"/>
        <v>0</v>
      </c>
      <c r="V134" s="4" t="e">
        <f>IF($Q134&lt;&gt;3,VLOOKUP(F134,'Points Table A'!B$3:$F$33,5),VLOOKUP(F134,'Points Table A'!H$3:$L$33,5))</f>
        <v>#N/A</v>
      </c>
      <c r="W134" s="4" t="e">
        <f>IF($Q134&lt;&gt;3,VLOOKUP(G134,'Points Table A'!C$3:$F$33,4),VLOOKUP(G134,'Points Table A'!I$3:$L$33,4))</f>
        <v>#N/A</v>
      </c>
      <c r="X134" s="4" t="e">
        <f>IF($Q134&lt;&gt;3,VLOOKUP(H134,'Points Table A'!D$3:$F$28,3),VLOOKUP(H134,'Points Table A'!J$3:$L$33,3))</f>
        <v>#N/A</v>
      </c>
      <c r="Y134" s="4" t="e">
        <f>IF($Q134&lt;&gt;3,VLOOKUP(I134,'Points Table A'!E$3:$F$33,2),VLOOKUP(I134,'Points Table A'!K$3:$L$33,2))</f>
        <v>#N/A</v>
      </c>
      <c r="Z134" s="4" t="e">
        <f t="shared" si="14"/>
        <v>#N/A</v>
      </c>
      <c r="AA134" s="4">
        <f>IF($S134=Lookups!$B$113,VLOOKUP(L134,'Points Table C'!A$3:$E$11,5),VLOOKUP(U134,'Points Table C'!B$3:$E$11,4))</f>
        <v>0</v>
      </c>
      <c r="AB134" s="4" t="e">
        <f>IF($Q134=1,0,VLOOKUP($J134,'Points Table C'!$C$3:$E$18,3))</f>
        <v>#N/A</v>
      </c>
      <c r="AC134" s="4">
        <f>VLOOKUP($K134,'Points Table C'!$D$3:$E$18,2)</f>
        <v>0</v>
      </c>
      <c r="AD134" s="4" t="e">
        <f>IF($Z134&lt;Lookups!$C$106,($AA134+AB134+AC134),IF($AA134&gt;=Lookups!$C$120,($AA134+AB134+AC134),$AA134+$AB134))</f>
        <v>#N/A</v>
      </c>
      <c r="AF134" s="7"/>
      <c r="AG134" s="7"/>
      <c r="AH134" s="7"/>
      <c r="AI134" s="7"/>
      <c r="AJ134" s="7"/>
      <c r="AK134" s="7"/>
      <c r="AL134" s="7"/>
      <c r="AM134" s="7"/>
      <c r="AN134" s="7"/>
      <c r="AO134" s="7"/>
      <c r="AP134" s="7"/>
      <c r="AQ134" s="7"/>
      <c r="AR134" s="7"/>
      <c r="AS134" s="7"/>
      <c r="AT134" s="7"/>
      <c r="AU134" s="7"/>
      <c r="AV134" s="7"/>
      <c r="AW134" s="7"/>
      <c r="AY134" s="7"/>
      <c r="AZ134" s="7"/>
      <c r="BA134" s="7"/>
      <c r="BB134" s="7"/>
    </row>
    <row r="135" spans="2:54" x14ac:dyDescent="0.2">
      <c r="B135" s="174"/>
      <c r="C135" s="176"/>
      <c r="F135" s="5">
        <v>0</v>
      </c>
      <c r="G135" s="192">
        <v>0</v>
      </c>
      <c r="H135" s="192">
        <v>0</v>
      </c>
      <c r="I135" s="5">
        <v>0</v>
      </c>
      <c r="J135" s="192">
        <v>0</v>
      </c>
      <c r="K135" s="192">
        <v>0</v>
      </c>
      <c r="L135" s="5">
        <v>0</v>
      </c>
      <c r="M135" s="5">
        <v>0</v>
      </c>
      <c r="N135" s="4" t="e">
        <f t="shared" si="16"/>
        <v>#N/A</v>
      </c>
      <c r="O135" s="4" t="e">
        <f>IF(ROUND(10.499-(((N135-VLOOKUP($C135,Lookups!$A$55:$D$64,3))/(VLOOKUP($C135,Lookups!$A$55:$D$64,4))*VLOOKUP($C135,Lookups!$C$2:$D$11,2))),0)&lt;1,1,IF(ROUND(10.499-(((N135-VLOOKUP($C135,Lookups!$A$55:$D$64,3))/(VLOOKUP($C135,Lookups!$A$55:$D$64,4))*VLOOKUP($C135,Lookups!$C$2:$D$11,2))),0)&lt;11,ROUND(10.499-(((N135-VLOOKUP($C135,Lookups!$A$55:$D$64,3))/(VLOOKUP($C135,Lookups!$A$55:$D$64,4))*VLOOKUP($C135,Lookups!$C$2:$D$11,2))),0),10))</f>
        <v>#N/A</v>
      </c>
      <c r="P135" s="13" t="str">
        <f>IF((SUM(F135:M135)=0),"J",VLOOKUP(O135,Lookups!$A$1:$B$11,2))</f>
        <v>J</v>
      </c>
      <c r="Q135" s="8" t="e">
        <f>VLOOKUP(C135,Lookups!$A$136:$C$144,3)</f>
        <v>#N/A</v>
      </c>
      <c r="R135" s="8" t="e">
        <f>VLOOKUP(C135,Lookups!$A$136:$C$144,2)</f>
        <v>#N/A</v>
      </c>
      <c r="S135" s="4" t="str">
        <f t="shared" si="11"/>
        <v>No</v>
      </c>
      <c r="T135" s="125">
        <f t="shared" si="12"/>
        <v>0</v>
      </c>
      <c r="U135" s="125">
        <f t="shared" si="13"/>
        <v>0</v>
      </c>
      <c r="V135" s="4" t="e">
        <f>IF($Q135&lt;&gt;3,VLOOKUP(F135,'Points Table A'!B$3:$F$33,5),VLOOKUP(F135,'Points Table A'!H$3:$L$33,5))</f>
        <v>#N/A</v>
      </c>
      <c r="W135" s="4" t="e">
        <f>IF($Q135&lt;&gt;3,VLOOKUP(G135,'Points Table A'!C$3:$F$33,4),VLOOKUP(G135,'Points Table A'!I$3:$L$33,4))</f>
        <v>#N/A</v>
      </c>
      <c r="X135" s="4" t="e">
        <f>IF($Q135&lt;&gt;3,VLOOKUP(H135,'Points Table A'!D$3:$F$28,3),VLOOKUP(H135,'Points Table A'!J$3:$L$33,3))</f>
        <v>#N/A</v>
      </c>
      <c r="Y135" s="4" t="e">
        <f>IF($Q135&lt;&gt;3,VLOOKUP(I135,'Points Table A'!E$3:$F$33,2),VLOOKUP(I135,'Points Table A'!K$3:$L$33,2))</f>
        <v>#N/A</v>
      </c>
      <c r="Z135" s="4" t="e">
        <f t="shared" si="14"/>
        <v>#N/A</v>
      </c>
      <c r="AA135" s="4">
        <f>IF($S135=Lookups!$B$113,VLOOKUP(L135,'Points Table C'!A$3:$E$11,5),VLOOKUP(U135,'Points Table C'!B$3:$E$11,4))</f>
        <v>0</v>
      </c>
      <c r="AB135" s="4" t="e">
        <f>IF($Q135=1,0,VLOOKUP($J135,'Points Table C'!$C$3:$E$18,3))</f>
        <v>#N/A</v>
      </c>
      <c r="AC135" s="4">
        <f>VLOOKUP($K135,'Points Table C'!$D$3:$E$18,2)</f>
        <v>0</v>
      </c>
      <c r="AD135" s="4" t="e">
        <f>IF($Z135&lt;Lookups!$C$106,($AA135+AB135+AC135),IF($AA135&gt;=Lookups!$C$120,($AA135+AB135+AC135),$AA135+$AB135))</f>
        <v>#N/A</v>
      </c>
      <c r="AF135" s="7"/>
      <c r="AG135" s="7"/>
      <c r="AH135" s="7"/>
      <c r="AI135" s="7"/>
      <c r="AJ135" s="7"/>
      <c r="AK135" s="7"/>
      <c r="AL135" s="7"/>
      <c r="AM135" s="7"/>
      <c r="AN135" s="7"/>
      <c r="AO135" s="7"/>
      <c r="AP135" s="7"/>
      <c r="AQ135" s="7"/>
      <c r="AR135" s="7"/>
      <c r="AS135" s="7"/>
      <c r="AT135" s="7"/>
      <c r="AU135" s="7"/>
      <c r="AV135" s="7"/>
      <c r="AW135" s="7"/>
      <c r="AY135" s="7"/>
      <c r="AZ135" s="7"/>
      <c r="BA135" s="7"/>
      <c r="BB135" s="7"/>
    </row>
    <row r="136" spans="2:54" x14ac:dyDescent="0.2">
      <c r="B136" s="174"/>
      <c r="C136" s="176"/>
      <c r="F136" s="5">
        <v>0</v>
      </c>
      <c r="G136" s="192">
        <v>0</v>
      </c>
      <c r="H136" s="192">
        <v>0</v>
      </c>
      <c r="I136" s="5">
        <v>0</v>
      </c>
      <c r="J136" s="192">
        <v>0</v>
      </c>
      <c r="K136" s="192">
        <v>0</v>
      </c>
      <c r="L136" s="5">
        <v>0</v>
      </c>
      <c r="M136" s="5">
        <v>0</v>
      </c>
      <c r="N136" s="4" t="e">
        <f t="shared" si="16"/>
        <v>#N/A</v>
      </c>
      <c r="O136" s="4" t="e">
        <f>IF(ROUND(10.499-(((N136-VLOOKUP($C136,Lookups!$A$55:$D$64,3))/(VLOOKUP($C136,Lookups!$A$55:$D$64,4))*VLOOKUP($C136,Lookups!$C$2:$D$11,2))),0)&lt;1,1,IF(ROUND(10.499-(((N136-VLOOKUP($C136,Lookups!$A$55:$D$64,3))/(VLOOKUP($C136,Lookups!$A$55:$D$64,4))*VLOOKUP($C136,Lookups!$C$2:$D$11,2))),0)&lt;11,ROUND(10.499-(((N136-VLOOKUP($C136,Lookups!$A$55:$D$64,3))/(VLOOKUP($C136,Lookups!$A$55:$D$64,4))*VLOOKUP($C136,Lookups!$C$2:$D$11,2))),0),10))</f>
        <v>#N/A</v>
      </c>
      <c r="P136" s="13" t="str">
        <f>IF((SUM(F136:M136)=0),"J",VLOOKUP(O136,Lookups!$A$1:$B$11,2))</f>
        <v>J</v>
      </c>
      <c r="Q136" s="8" t="e">
        <f>VLOOKUP(C136,Lookups!$A$136:$C$144,3)</f>
        <v>#N/A</v>
      </c>
      <c r="R136" s="8" t="e">
        <f>VLOOKUP(C136,Lookups!$A$136:$C$144,2)</f>
        <v>#N/A</v>
      </c>
      <c r="S136" s="4" t="str">
        <f t="shared" si="11"/>
        <v>No</v>
      </c>
      <c r="T136" s="125">
        <f t="shared" si="12"/>
        <v>0</v>
      </c>
      <c r="U136" s="125">
        <f t="shared" si="13"/>
        <v>0</v>
      </c>
      <c r="V136" s="4" t="e">
        <f>IF($Q136&lt;&gt;3,VLOOKUP(F136,'Points Table A'!B$3:$F$33,5),VLOOKUP(F136,'Points Table A'!H$3:$L$33,5))</f>
        <v>#N/A</v>
      </c>
      <c r="W136" s="4" t="e">
        <f>IF($Q136&lt;&gt;3,VLOOKUP(G136,'Points Table A'!C$3:$F$33,4),VLOOKUP(G136,'Points Table A'!I$3:$L$33,4))</f>
        <v>#N/A</v>
      </c>
      <c r="X136" s="4" t="e">
        <f>IF($Q136&lt;&gt;3,VLOOKUP(H136,'Points Table A'!D$3:$F$28,3),VLOOKUP(H136,'Points Table A'!J$3:$L$33,3))</f>
        <v>#N/A</v>
      </c>
      <c r="Y136" s="4" t="e">
        <f>IF($Q136&lt;&gt;3,VLOOKUP(I136,'Points Table A'!E$3:$F$33,2),VLOOKUP(I136,'Points Table A'!K$3:$L$33,2))</f>
        <v>#N/A</v>
      </c>
      <c r="Z136" s="4" t="e">
        <f t="shared" si="14"/>
        <v>#N/A</v>
      </c>
      <c r="AA136" s="4">
        <f>IF($S136=Lookups!$B$113,VLOOKUP(L136,'Points Table C'!A$3:$E$11,5),VLOOKUP(U136,'Points Table C'!B$3:$E$11,4))</f>
        <v>0</v>
      </c>
      <c r="AB136" s="4" t="e">
        <f>IF($Q136=1,0,VLOOKUP($J136,'Points Table C'!$C$3:$E$18,3))</f>
        <v>#N/A</v>
      </c>
      <c r="AC136" s="4">
        <f>VLOOKUP($K136,'Points Table C'!$D$3:$E$18,2)</f>
        <v>0</v>
      </c>
      <c r="AD136" s="4" t="e">
        <f>IF($Z136&lt;Lookups!$C$106,($AA136+AB136+AC136),IF($AA136&gt;=Lookups!$C$120,($AA136+AB136+AC136),$AA136+$AB136))</f>
        <v>#N/A</v>
      </c>
      <c r="AF136" s="7"/>
      <c r="AG136" s="7"/>
      <c r="AH136" s="7"/>
      <c r="AI136" s="7"/>
      <c r="AJ136" s="7"/>
      <c r="AK136" s="7"/>
      <c r="AL136" s="7"/>
      <c r="AM136" s="7"/>
      <c r="AN136" s="7"/>
      <c r="AO136" s="7"/>
      <c r="AP136" s="7"/>
      <c r="AQ136" s="7"/>
      <c r="AR136" s="7"/>
      <c r="AS136" s="7"/>
      <c r="AT136" s="7"/>
      <c r="AU136" s="7"/>
      <c r="AV136" s="7"/>
      <c r="AW136" s="7"/>
      <c r="AY136" s="7"/>
      <c r="AZ136" s="7"/>
      <c r="BA136" s="7"/>
      <c r="BB136" s="7"/>
    </row>
    <row r="137" spans="2:54" x14ac:dyDescent="0.2">
      <c r="B137" s="174"/>
      <c r="C137" s="176"/>
      <c r="F137" s="5">
        <v>0</v>
      </c>
      <c r="G137" s="192">
        <v>0</v>
      </c>
      <c r="H137" s="192">
        <v>0</v>
      </c>
      <c r="I137" s="5">
        <v>0</v>
      </c>
      <c r="J137" s="192">
        <v>0</v>
      </c>
      <c r="K137" s="192">
        <v>0</v>
      </c>
      <c r="L137" s="5">
        <v>0</v>
      </c>
      <c r="M137" s="5">
        <v>0</v>
      </c>
      <c r="N137" s="4" t="e">
        <f t="shared" si="16"/>
        <v>#N/A</v>
      </c>
      <c r="O137" s="4" t="e">
        <f>IF(ROUND(10.499-(((N137-VLOOKUP($C137,Lookups!$A$55:$D$64,3))/(VLOOKUP($C137,Lookups!$A$55:$D$64,4))*VLOOKUP($C137,Lookups!$C$2:$D$11,2))),0)&lt;1,1,IF(ROUND(10.499-(((N137-VLOOKUP($C137,Lookups!$A$55:$D$64,3))/(VLOOKUP($C137,Lookups!$A$55:$D$64,4))*VLOOKUP($C137,Lookups!$C$2:$D$11,2))),0)&lt;11,ROUND(10.499-(((N137-VLOOKUP($C137,Lookups!$A$55:$D$64,3))/(VLOOKUP($C137,Lookups!$A$55:$D$64,4))*VLOOKUP($C137,Lookups!$C$2:$D$11,2))),0),10))</f>
        <v>#N/A</v>
      </c>
      <c r="P137" s="13" t="str">
        <f>IF((SUM(F137:M137)=0),"J",VLOOKUP(O137,Lookups!$A$1:$B$11,2))</f>
        <v>J</v>
      </c>
      <c r="Q137" s="8" t="e">
        <f>VLOOKUP(C137,Lookups!$A$136:$C$144,3)</f>
        <v>#N/A</v>
      </c>
      <c r="R137" s="8" t="e">
        <f>VLOOKUP(C137,Lookups!$A$136:$C$144,2)</f>
        <v>#N/A</v>
      </c>
      <c r="S137" s="4" t="str">
        <f t="shared" si="11"/>
        <v>No</v>
      </c>
      <c r="T137" s="125">
        <f t="shared" si="12"/>
        <v>0</v>
      </c>
      <c r="U137" s="125">
        <f t="shared" si="13"/>
        <v>0</v>
      </c>
      <c r="V137" s="4" t="e">
        <f>IF($Q137&lt;&gt;3,VLOOKUP(F137,'Points Table A'!B$3:$F$33,5),VLOOKUP(F137,'Points Table A'!H$3:$L$33,5))</f>
        <v>#N/A</v>
      </c>
      <c r="W137" s="4" t="e">
        <f>IF($Q137&lt;&gt;3,VLOOKUP(G137,'Points Table A'!C$3:$F$33,4),VLOOKUP(G137,'Points Table A'!I$3:$L$33,4))</f>
        <v>#N/A</v>
      </c>
      <c r="X137" s="4" t="e">
        <f>IF($Q137&lt;&gt;3,VLOOKUP(H137,'Points Table A'!D$3:$F$28,3),VLOOKUP(H137,'Points Table A'!J$3:$L$33,3))</f>
        <v>#N/A</v>
      </c>
      <c r="Y137" s="4" t="e">
        <f>IF($Q137&lt;&gt;3,VLOOKUP(I137,'Points Table A'!E$3:$F$33,2),VLOOKUP(I137,'Points Table A'!K$3:$L$33,2))</f>
        <v>#N/A</v>
      </c>
      <c r="Z137" s="4" t="e">
        <f t="shared" si="14"/>
        <v>#N/A</v>
      </c>
      <c r="AA137" s="4">
        <f>IF($S137=Lookups!$B$113,VLOOKUP(L137,'Points Table C'!A$3:$E$11,5),VLOOKUP(U137,'Points Table C'!B$3:$E$11,4))</f>
        <v>0</v>
      </c>
      <c r="AB137" s="4" t="e">
        <f>IF($Q137=1,0,VLOOKUP($J137,'Points Table C'!$C$3:$E$18,3))</f>
        <v>#N/A</v>
      </c>
      <c r="AC137" s="4">
        <f>VLOOKUP($K137,'Points Table C'!$D$3:$E$18,2)</f>
        <v>0</v>
      </c>
      <c r="AD137" s="4" t="e">
        <f>IF($Z137&lt;Lookups!$C$106,($AA137+AB137+AC137),IF($AA137&gt;=Lookups!$C$120,($AA137+AB137+AC137),$AA137+$AB137))</f>
        <v>#N/A</v>
      </c>
      <c r="AF137" s="7"/>
      <c r="AG137" s="7"/>
      <c r="AH137" s="7"/>
      <c r="AI137" s="7"/>
      <c r="AJ137" s="7"/>
      <c r="AK137" s="7"/>
      <c r="AL137" s="7"/>
      <c r="AM137" s="7"/>
      <c r="AN137" s="7"/>
      <c r="AO137" s="7"/>
      <c r="AP137" s="7"/>
      <c r="AQ137" s="7"/>
      <c r="AR137" s="7"/>
      <c r="AS137" s="7"/>
      <c r="AT137" s="7"/>
      <c r="AU137" s="7"/>
      <c r="AV137" s="7"/>
      <c r="AW137" s="7"/>
      <c r="AY137" s="7"/>
      <c r="AZ137" s="7"/>
      <c r="BA137" s="7"/>
      <c r="BB137" s="7"/>
    </row>
    <row r="138" spans="2:54" x14ac:dyDescent="0.2">
      <c r="B138" s="174"/>
      <c r="C138" s="176"/>
      <c r="F138" s="5">
        <v>0</v>
      </c>
      <c r="G138" s="192">
        <v>0</v>
      </c>
      <c r="H138" s="192">
        <v>0</v>
      </c>
      <c r="I138" s="5">
        <v>0</v>
      </c>
      <c r="J138" s="192">
        <v>0</v>
      </c>
      <c r="K138" s="192">
        <v>0</v>
      </c>
      <c r="L138" s="5">
        <v>0</v>
      </c>
      <c r="M138" s="5">
        <v>0</v>
      </c>
      <c r="N138" s="4" t="e">
        <f t="shared" si="16"/>
        <v>#N/A</v>
      </c>
      <c r="O138" s="4" t="e">
        <f>IF(ROUND(10.499-(((N138-VLOOKUP($C138,Lookups!$A$55:$D$64,3))/(VLOOKUP($C138,Lookups!$A$55:$D$64,4))*VLOOKUP($C138,Lookups!$C$2:$D$11,2))),0)&lt;1,1,IF(ROUND(10.499-(((N138-VLOOKUP($C138,Lookups!$A$55:$D$64,3))/(VLOOKUP($C138,Lookups!$A$55:$D$64,4))*VLOOKUP($C138,Lookups!$C$2:$D$11,2))),0)&lt;11,ROUND(10.499-(((N138-VLOOKUP($C138,Lookups!$A$55:$D$64,3))/(VLOOKUP($C138,Lookups!$A$55:$D$64,4))*VLOOKUP($C138,Lookups!$C$2:$D$11,2))),0),10))</f>
        <v>#N/A</v>
      </c>
      <c r="P138" s="13" t="str">
        <f>IF((SUM(F138:M138)=0),"J",VLOOKUP(O138,Lookups!$A$1:$B$11,2))</f>
        <v>J</v>
      </c>
      <c r="Q138" s="8" t="e">
        <f>VLOOKUP(C138,Lookups!$A$136:$C$144,3)</f>
        <v>#N/A</v>
      </c>
      <c r="R138" s="8" t="e">
        <f>VLOOKUP(C138,Lookups!$A$136:$C$144,2)</f>
        <v>#N/A</v>
      </c>
      <c r="S138" s="4" t="str">
        <f t="shared" si="11"/>
        <v>No</v>
      </c>
      <c r="T138" s="125">
        <f t="shared" si="12"/>
        <v>0</v>
      </c>
      <c r="U138" s="125">
        <f t="shared" si="13"/>
        <v>0</v>
      </c>
      <c r="V138" s="4" t="e">
        <f>IF($Q138&lt;&gt;3,VLOOKUP(F138,'Points Table A'!B$3:$F$33,5),VLOOKUP(F138,'Points Table A'!H$3:$L$33,5))</f>
        <v>#N/A</v>
      </c>
      <c r="W138" s="4" t="e">
        <f>IF($Q138&lt;&gt;3,VLOOKUP(G138,'Points Table A'!C$3:$F$33,4),VLOOKUP(G138,'Points Table A'!I$3:$L$33,4))</f>
        <v>#N/A</v>
      </c>
      <c r="X138" s="4" t="e">
        <f>IF($Q138&lt;&gt;3,VLOOKUP(H138,'Points Table A'!D$3:$F$28,3),VLOOKUP(H138,'Points Table A'!J$3:$L$33,3))</f>
        <v>#N/A</v>
      </c>
      <c r="Y138" s="4" t="e">
        <f>IF($Q138&lt;&gt;3,VLOOKUP(I138,'Points Table A'!E$3:$F$33,2),VLOOKUP(I138,'Points Table A'!K$3:$L$33,2))</f>
        <v>#N/A</v>
      </c>
      <c r="Z138" s="4" t="e">
        <f t="shared" si="14"/>
        <v>#N/A</v>
      </c>
      <c r="AA138" s="4">
        <f>IF($S138=Lookups!$B$113,VLOOKUP(L138,'Points Table C'!A$3:$E$11,5),VLOOKUP(U138,'Points Table C'!B$3:$E$11,4))</f>
        <v>0</v>
      </c>
      <c r="AB138" s="4" t="e">
        <f>IF($Q138=1,0,VLOOKUP($J138,'Points Table C'!$C$3:$E$18,3))</f>
        <v>#N/A</v>
      </c>
      <c r="AC138" s="4">
        <f>VLOOKUP($K138,'Points Table C'!$D$3:$E$18,2)</f>
        <v>0</v>
      </c>
      <c r="AD138" s="4" t="e">
        <f>IF($Z138&lt;Lookups!$C$106,($AA138+AB138+AC138),IF($AA138&gt;=Lookups!$C$120,($AA138+AB138+AC138),$AA138+$AB138))</f>
        <v>#N/A</v>
      </c>
      <c r="AF138" s="7"/>
      <c r="AG138" s="7"/>
      <c r="AH138" s="7"/>
      <c r="AI138" s="7"/>
      <c r="AJ138" s="7"/>
      <c r="AK138" s="7"/>
      <c r="AL138" s="7"/>
      <c r="AM138" s="7"/>
      <c r="AN138" s="7"/>
      <c r="AO138" s="7"/>
      <c r="AP138" s="7"/>
      <c r="AQ138" s="7"/>
      <c r="AR138" s="7"/>
      <c r="AS138" s="7"/>
      <c r="AT138" s="7"/>
      <c r="AU138" s="7"/>
      <c r="AV138" s="7"/>
      <c r="AW138" s="7"/>
      <c r="AY138" s="7"/>
      <c r="AZ138" s="7"/>
      <c r="BA138" s="7"/>
      <c r="BB138" s="7"/>
    </row>
    <row r="139" spans="2:54" x14ac:dyDescent="0.2">
      <c r="B139" s="174"/>
      <c r="C139" s="176"/>
      <c r="F139" s="5">
        <v>0</v>
      </c>
      <c r="G139" s="192">
        <v>0</v>
      </c>
      <c r="H139" s="192">
        <v>0</v>
      </c>
      <c r="I139" s="5">
        <v>0</v>
      </c>
      <c r="J139" s="192">
        <v>0</v>
      </c>
      <c r="K139" s="192">
        <v>0</v>
      </c>
      <c r="L139" s="5">
        <v>0</v>
      </c>
      <c r="M139" s="5">
        <v>0</v>
      </c>
      <c r="N139" s="4" t="e">
        <f t="shared" si="16"/>
        <v>#N/A</v>
      </c>
      <c r="O139" s="4" t="e">
        <f>IF(ROUND(10.499-(((N139-VLOOKUP($C139,Lookups!$A$55:$D$64,3))/(VLOOKUP($C139,Lookups!$A$55:$D$64,4))*VLOOKUP($C139,Lookups!$C$2:$D$11,2))),0)&lt;1,1,IF(ROUND(10.499-(((N139-VLOOKUP($C139,Lookups!$A$55:$D$64,3))/(VLOOKUP($C139,Lookups!$A$55:$D$64,4))*VLOOKUP($C139,Lookups!$C$2:$D$11,2))),0)&lt;11,ROUND(10.499-(((N139-VLOOKUP($C139,Lookups!$A$55:$D$64,3))/(VLOOKUP($C139,Lookups!$A$55:$D$64,4))*VLOOKUP($C139,Lookups!$C$2:$D$11,2))),0),10))</f>
        <v>#N/A</v>
      </c>
      <c r="P139" s="13" t="str">
        <f>IF((SUM(F139:M139)=0),"J",VLOOKUP(O139,Lookups!$A$1:$B$11,2))</f>
        <v>J</v>
      </c>
      <c r="Q139" s="8" t="e">
        <f>VLOOKUP(C139,Lookups!$A$136:$C$144,3)</f>
        <v>#N/A</v>
      </c>
      <c r="R139" s="8" t="e">
        <f>VLOOKUP(C139,Lookups!$A$136:$C$144,2)</f>
        <v>#N/A</v>
      </c>
      <c r="S139" s="4" t="str">
        <f t="shared" si="11"/>
        <v>No</v>
      </c>
      <c r="T139" s="125">
        <f t="shared" si="12"/>
        <v>0</v>
      </c>
      <c r="U139" s="125">
        <f t="shared" si="13"/>
        <v>0</v>
      </c>
      <c r="V139" s="4" t="e">
        <f>IF($Q139&lt;&gt;3,VLOOKUP(F139,'Points Table A'!B$3:$F$33,5),VLOOKUP(F139,'Points Table A'!H$3:$L$33,5))</f>
        <v>#N/A</v>
      </c>
      <c r="W139" s="4" t="e">
        <f>IF($Q139&lt;&gt;3,VLOOKUP(G139,'Points Table A'!C$3:$F$33,4),VLOOKUP(G139,'Points Table A'!I$3:$L$33,4))</f>
        <v>#N/A</v>
      </c>
      <c r="X139" s="4" t="e">
        <f>IF($Q139&lt;&gt;3,VLOOKUP(H139,'Points Table A'!D$3:$F$28,3),VLOOKUP(H139,'Points Table A'!J$3:$L$33,3))</f>
        <v>#N/A</v>
      </c>
      <c r="Y139" s="4" t="e">
        <f>IF($Q139&lt;&gt;3,VLOOKUP(I139,'Points Table A'!E$3:$F$33,2),VLOOKUP(I139,'Points Table A'!K$3:$L$33,2))</f>
        <v>#N/A</v>
      </c>
      <c r="Z139" s="4" t="e">
        <f t="shared" si="14"/>
        <v>#N/A</v>
      </c>
      <c r="AA139" s="4">
        <f>IF($S139=Lookups!$B$113,VLOOKUP(L139,'Points Table C'!A$3:$E$11,5),VLOOKUP(U139,'Points Table C'!B$3:$E$11,4))</f>
        <v>0</v>
      </c>
      <c r="AB139" s="4" t="e">
        <f>IF($Q139=1,0,VLOOKUP($J139,'Points Table C'!$C$3:$E$18,3))</f>
        <v>#N/A</v>
      </c>
      <c r="AC139" s="4">
        <f>VLOOKUP($K139,'Points Table C'!$D$3:$E$18,2)</f>
        <v>0</v>
      </c>
      <c r="AD139" s="4" t="e">
        <f>IF($Z139&lt;Lookups!$C$106,($AA139+AB139+AC139),IF($AA139&gt;=Lookups!$C$120,($AA139+AB139+AC139),$AA139+$AB139))</f>
        <v>#N/A</v>
      </c>
      <c r="AF139" s="7"/>
      <c r="AG139" s="7"/>
      <c r="AH139" s="7"/>
      <c r="AI139" s="7"/>
      <c r="AJ139" s="7"/>
      <c r="AK139" s="7"/>
      <c r="AL139" s="7"/>
      <c r="AM139" s="7"/>
      <c r="AN139" s="7"/>
      <c r="AO139" s="7"/>
      <c r="AP139" s="7"/>
      <c r="AQ139" s="7"/>
      <c r="AR139" s="7"/>
      <c r="AS139" s="7"/>
      <c r="AT139" s="7"/>
      <c r="AU139" s="7"/>
      <c r="AV139" s="7"/>
      <c r="AW139" s="7"/>
      <c r="AY139" s="7"/>
      <c r="AZ139" s="7"/>
      <c r="BA139" s="7"/>
      <c r="BB139" s="7"/>
    </row>
    <row r="140" spans="2:54" x14ac:dyDescent="0.2">
      <c r="B140" s="174"/>
      <c r="C140" s="176"/>
      <c r="F140" s="5">
        <v>0</v>
      </c>
      <c r="G140" s="192">
        <v>0</v>
      </c>
      <c r="H140" s="192">
        <v>0</v>
      </c>
      <c r="I140" s="5">
        <v>0</v>
      </c>
      <c r="J140" s="192">
        <v>0</v>
      </c>
      <c r="K140" s="192">
        <v>0</v>
      </c>
      <c r="L140" s="5">
        <v>0</v>
      </c>
      <c r="M140" s="5">
        <v>0</v>
      </c>
      <c r="N140" s="4" t="e">
        <f t="shared" si="16"/>
        <v>#N/A</v>
      </c>
      <c r="O140" s="4" t="e">
        <f>IF(ROUND(10.499-(((N140-VLOOKUP($C140,Lookups!$A$55:$D$64,3))/(VLOOKUP($C140,Lookups!$A$55:$D$64,4))*VLOOKUP($C140,Lookups!$C$2:$D$11,2))),0)&lt;1,1,IF(ROUND(10.499-(((N140-VLOOKUP($C140,Lookups!$A$55:$D$64,3))/(VLOOKUP($C140,Lookups!$A$55:$D$64,4))*VLOOKUP($C140,Lookups!$C$2:$D$11,2))),0)&lt;11,ROUND(10.499-(((N140-VLOOKUP($C140,Lookups!$A$55:$D$64,3))/(VLOOKUP($C140,Lookups!$A$55:$D$64,4))*VLOOKUP($C140,Lookups!$C$2:$D$11,2))),0),10))</f>
        <v>#N/A</v>
      </c>
      <c r="P140" s="13" t="str">
        <f>IF((SUM(F140:M140)=0),"J",VLOOKUP(O140,Lookups!$A$1:$B$11,2))</f>
        <v>J</v>
      </c>
      <c r="Q140" s="8" t="e">
        <f>VLOOKUP(C140,Lookups!$A$136:$C$144,3)</f>
        <v>#N/A</v>
      </c>
      <c r="R140" s="8" t="e">
        <f>VLOOKUP(C140,Lookups!$A$136:$C$144,2)</f>
        <v>#N/A</v>
      </c>
      <c r="S140" s="4" t="str">
        <f t="shared" si="11"/>
        <v>No</v>
      </c>
      <c r="T140" s="125">
        <f t="shared" si="12"/>
        <v>0</v>
      </c>
      <c r="U140" s="125">
        <f t="shared" si="13"/>
        <v>0</v>
      </c>
      <c r="V140" s="4" t="e">
        <f>IF($Q140&lt;&gt;3,VLOOKUP(F140,'Points Table A'!B$3:$F$33,5),VLOOKUP(F140,'Points Table A'!H$3:$L$33,5))</f>
        <v>#N/A</v>
      </c>
      <c r="W140" s="4" t="e">
        <f>IF($Q140&lt;&gt;3,VLOOKUP(G140,'Points Table A'!C$3:$F$33,4),VLOOKUP(G140,'Points Table A'!I$3:$L$33,4))</f>
        <v>#N/A</v>
      </c>
      <c r="X140" s="4" t="e">
        <f>IF($Q140&lt;&gt;3,VLOOKUP(H140,'Points Table A'!D$3:$F$28,3),VLOOKUP(H140,'Points Table A'!J$3:$L$33,3))</f>
        <v>#N/A</v>
      </c>
      <c r="Y140" s="4" t="e">
        <f>IF($Q140&lt;&gt;3,VLOOKUP(I140,'Points Table A'!E$3:$F$33,2),VLOOKUP(I140,'Points Table A'!K$3:$L$33,2))</f>
        <v>#N/A</v>
      </c>
      <c r="Z140" s="4" t="e">
        <f t="shared" si="14"/>
        <v>#N/A</v>
      </c>
      <c r="AA140" s="4">
        <f>IF($S140=Lookups!$B$113,VLOOKUP(L140,'Points Table C'!A$3:$E$11,5),VLOOKUP(U140,'Points Table C'!B$3:$E$11,4))</f>
        <v>0</v>
      </c>
      <c r="AB140" s="4" t="e">
        <f>IF($Q140=1,0,VLOOKUP($J140,'Points Table C'!$C$3:$E$18,3))</f>
        <v>#N/A</v>
      </c>
      <c r="AC140" s="4">
        <f>VLOOKUP($K140,'Points Table C'!$D$3:$E$18,2)</f>
        <v>0</v>
      </c>
      <c r="AD140" s="4" t="e">
        <f>IF($Z140&lt;Lookups!$C$106,($AA140+AB140+AC140),IF($AA140&gt;=Lookups!$C$120,($AA140+AB140+AC140),$AA140+$AB140))</f>
        <v>#N/A</v>
      </c>
      <c r="AF140" s="7"/>
      <c r="AG140" s="7"/>
      <c r="AH140" s="7"/>
      <c r="AI140" s="7"/>
      <c r="AJ140" s="7"/>
      <c r="AK140" s="7"/>
      <c r="AL140" s="7"/>
      <c r="AM140" s="7"/>
      <c r="AN140" s="7"/>
      <c r="AO140" s="7"/>
      <c r="AP140" s="7"/>
      <c r="AQ140" s="7"/>
      <c r="AR140" s="7"/>
      <c r="AS140" s="7"/>
      <c r="AT140" s="7"/>
      <c r="AU140" s="7"/>
      <c r="AV140" s="7"/>
      <c r="AW140" s="7"/>
      <c r="AY140" s="7"/>
      <c r="AZ140" s="7"/>
      <c r="BA140" s="7"/>
      <c r="BB140" s="7"/>
    </row>
    <row r="141" spans="2:54" x14ac:dyDescent="0.2">
      <c r="B141" s="174"/>
      <c r="C141" s="176"/>
      <c r="F141" s="5">
        <v>0</v>
      </c>
      <c r="G141" s="192">
        <v>0</v>
      </c>
      <c r="H141" s="192">
        <v>0</v>
      </c>
      <c r="I141" s="5">
        <v>0</v>
      </c>
      <c r="J141" s="192">
        <v>0</v>
      </c>
      <c r="K141" s="192">
        <v>0</v>
      </c>
      <c r="L141" s="5">
        <v>0</v>
      </c>
      <c r="M141" s="5">
        <v>0</v>
      </c>
      <c r="N141" s="4" t="e">
        <f t="shared" si="16"/>
        <v>#N/A</v>
      </c>
      <c r="O141" s="4" t="e">
        <f>IF(ROUND(10.499-(((N141-VLOOKUP($C141,Lookups!$A$55:$D$64,3))/(VLOOKUP($C141,Lookups!$A$55:$D$64,4))*VLOOKUP($C141,Lookups!$C$2:$D$11,2))),0)&lt;1,1,IF(ROUND(10.499-(((N141-VLOOKUP($C141,Lookups!$A$55:$D$64,3))/(VLOOKUP($C141,Lookups!$A$55:$D$64,4))*VLOOKUP($C141,Lookups!$C$2:$D$11,2))),0)&lt;11,ROUND(10.499-(((N141-VLOOKUP($C141,Lookups!$A$55:$D$64,3))/(VLOOKUP($C141,Lookups!$A$55:$D$64,4))*VLOOKUP($C141,Lookups!$C$2:$D$11,2))),0),10))</f>
        <v>#N/A</v>
      </c>
      <c r="P141" s="13" t="str">
        <f>IF((SUM(F141:M141)=0),"J",VLOOKUP(O141,Lookups!$A$1:$B$11,2))</f>
        <v>J</v>
      </c>
      <c r="Q141" s="8" t="e">
        <f>VLOOKUP(C141,Lookups!$A$136:$C$144,3)</f>
        <v>#N/A</v>
      </c>
      <c r="R141" s="8" t="e">
        <f>VLOOKUP(C141,Lookups!$A$136:$C$144,2)</f>
        <v>#N/A</v>
      </c>
      <c r="S141" s="4" t="str">
        <f t="shared" si="11"/>
        <v>No</v>
      </c>
      <c r="T141" s="125">
        <f t="shared" si="12"/>
        <v>0</v>
      </c>
      <c r="U141" s="125">
        <f t="shared" si="13"/>
        <v>0</v>
      </c>
      <c r="V141" s="4" t="e">
        <f>IF($Q141&lt;&gt;3,VLOOKUP(F141,'Points Table A'!B$3:$F$33,5),VLOOKUP(F141,'Points Table A'!H$3:$L$33,5))</f>
        <v>#N/A</v>
      </c>
      <c r="W141" s="4" t="e">
        <f>IF($Q141&lt;&gt;3,VLOOKUP(G141,'Points Table A'!C$3:$F$33,4),VLOOKUP(G141,'Points Table A'!I$3:$L$33,4))</f>
        <v>#N/A</v>
      </c>
      <c r="X141" s="4" t="e">
        <f>IF($Q141&lt;&gt;3,VLOOKUP(H141,'Points Table A'!D$3:$F$28,3),VLOOKUP(H141,'Points Table A'!J$3:$L$33,3))</f>
        <v>#N/A</v>
      </c>
      <c r="Y141" s="4" t="e">
        <f>IF($Q141&lt;&gt;3,VLOOKUP(I141,'Points Table A'!E$3:$F$33,2),VLOOKUP(I141,'Points Table A'!K$3:$L$33,2))</f>
        <v>#N/A</v>
      </c>
      <c r="Z141" s="4" t="e">
        <f t="shared" si="14"/>
        <v>#N/A</v>
      </c>
      <c r="AA141" s="4">
        <f>IF($S141=Lookups!$B$113,VLOOKUP(L141,'Points Table C'!A$3:$E$11,5),VLOOKUP(U141,'Points Table C'!B$3:$E$11,4))</f>
        <v>0</v>
      </c>
      <c r="AB141" s="4" t="e">
        <f>IF($Q141=1,0,VLOOKUP($J141,'Points Table C'!$C$3:$E$18,3))</f>
        <v>#N/A</v>
      </c>
      <c r="AC141" s="4">
        <f>VLOOKUP($K141,'Points Table C'!$D$3:$E$18,2)</f>
        <v>0</v>
      </c>
      <c r="AD141" s="4" t="e">
        <f>IF($Z141&lt;Lookups!$C$106,($AA141+AB141+AC141),IF($AA141&gt;=Lookups!$C$120,($AA141+AB141+AC141),$AA141+$AB141))</f>
        <v>#N/A</v>
      </c>
      <c r="AF141" s="7"/>
      <c r="AG141" s="7"/>
      <c r="AH141" s="7"/>
      <c r="AI141" s="7"/>
      <c r="AJ141" s="7"/>
      <c r="AK141" s="7"/>
      <c r="AL141" s="7"/>
      <c r="AM141" s="7"/>
      <c r="AN141" s="7"/>
      <c r="AO141" s="7"/>
      <c r="AP141" s="7"/>
      <c r="AQ141" s="7"/>
      <c r="AR141" s="7"/>
      <c r="AS141" s="7"/>
      <c r="AT141" s="7"/>
      <c r="AU141" s="7"/>
      <c r="AV141" s="7"/>
      <c r="AW141" s="7"/>
      <c r="AY141" s="7"/>
      <c r="AZ141" s="7"/>
      <c r="BA141" s="7"/>
      <c r="BB141" s="7"/>
    </row>
    <row r="142" spans="2:54" x14ac:dyDescent="0.2">
      <c r="B142" s="174"/>
      <c r="C142" s="176"/>
      <c r="F142" s="5">
        <v>0</v>
      </c>
      <c r="G142" s="192">
        <v>0</v>
      </c>
      <c r="H142" s="192">
        <v>0</v>
      </c>
      <c r="I142" s="5">
        <v>0</v>
      </c>
      <c r="J142" s="192">
        <v>0</v>
      </c>
      <c r="K142" s="192">
        <v>0</v>
      </c>
      <c r="L142" s="5">
        <v>0</v>
      </c>
      <c r="M142" s="5">
        <v>0</v>
      </c>
      <c r="N142" s="4" t="e">
        <f t="shared" si="16"/>
        <v>#N/A</v>
      </c>
      <c r="O142" s="4" t="e">
        <f>IF(ROUND(10.499-(((N142-VLOOKUP($C142,Lookups!$A$55:$D$64,3))/(VLOOKUP($C142,Lookups!$A$55:$D$64,4))*VLOOKUP($C142,Lookups!$C$2:$D$11,2))),0)&lt;1,1,IF(ROUND(10.499-(((N142-VLOOKUP($C142,Lookups!$A$55:$D$64,3))/(VLOOKUP($C142,Lookups!$A$55:$D$64,4))*VLOOKUP($C142,Lookups!$C$2:$D$11,2))),0)&lt;11,ROUND(10.499-(((N142-VLOOKUP($C142,Lookups!$A$55:$D$64,3))/(VLOOKUP($C142,Lookups!$A$55:$D$64,4))*VLOOKUP($C142,Lookups!$C$2:$D$11,2))),0),10))</f>
        <v>#N/A</v>
      </c>
      <c r="P142" s="13" t="str">
        <f>IF((SUM(F142:M142)=0),"J",VLOOKUP(O142,Lookups!$A$1:$B$11,2))</f>
        <v>J</v>
      </c>
      <c r="Q142" s="8" t="e">
        <f>VLOOKUP(C142,Lookups!$A$136:$C$144,3)</f>
        <v>#N/A</v>
      </c>
      <c r="R142" s="8" t="e">
        <f>VLOOKUP(C142,Lookups!$A$136:$C$144,2)</f>
        <v>#N/A</v>
      </c>
      <c r="S142" s="4" t="str">
        <f t="shared" si="11"/>
        <v>No</v>
      </c>
      <c r="T142" s="125">
        <f t="shared" si="12"/>
        <v>0</v>
      </c>
      <c r="U142" s="125">
        <f t="shared" si="13"/>
        <v>0</v>
      </c>
      <c r="V142" s="4" t="e">
        <f>IF($Q142&lt;&gt;3,VLOOKUP(F142,'Points Table A'!B$3:$F$33,5),VLOOKUP(F142,'Points Table A'!H$3:$L$33,5))</f>
        <v>#N/A</v>
      </c>
      <c r="W142" s="4" t="e">
        <f>IF($Q142&lt;&gt;3,VLOOKUP(G142,'Points Table A'!C$3:$F$33,4),VLOOKUP(G142,'Points Table A'!I$3:$L$33,4))</f>
        <v>#N/A</v>
      </c>
      <c r="X142" s="4" t="e">
        <f>IF($Q142&lt;&gt;3,VLOOKUP(H142,'Points Table A'!D$3:$F$28,3),VLOOKUP(H142,'Points Table A'!J$3:$L$33,3))</f>
        <v>#N/A</v>
      </c>
      <c r="Y142" s="4" t="e">
        <f>IF($Q142&lt;&gt;3,VLOOKUP(I142,'Points Table A'!E$3:$F$33,2),VLOOKUP(I142,'Points Table A'!K$3:$L$33,2))</f>
        <v>#N/A</v>
      </c>
      <c r="Z142" s="4" t="e">
        <f t="shared" si="14"/>
        <v>#N/A</v>
      </c>
      <c r="AA142" s="4">
        <f>IF($S142=Lookups!$B$113,VLOOKUP(L142,'Points Table C'!A$3:$E$11,5),VLOOKUP(U142,'Points Table C'!B$3:$E$11,4))</f>
        <v>0</v>
      </c>
      <c r="AB142" s="4" t="e">
        <f>IF($Q142=1,0,VLOOKUP($J142,'Points Table C'!$C$3:$E$18,3))</f>
        <v>#N/A</v>
      </c>
      <c r="AC142" s="4">
        <f>VLOOKUP($K142,'Points Table C'!$D$3:$E$18,2)</f>
        <v>0</v>
      </c>
      <c r="AD142" s="4" t="e">
        <f>IF($Z142&lt;Lookups!$C$106,($AA142+AB142+AC142),IF($AA142&gt;=Lookups!$C$120,($AA142+AB142+AC142),$AA142+$AB142))</f>
        <v>#N/A</v>
      </c>
      <c r="AF142" s="7"/>
      <c r="AG142" s="7"/>
      <c r="AH142" s="7"/>
      <c r="AI142" s="7"/>
      <c r="AJ142" s="7"/>
      <c r="AK142" s="7"/>
      <c r="AL142" s="7"/>
      <c r="AM142" s="7"/>
      <c r="AN142" s="7"/>
      <c r="AO142" s="7"/>
      <c r="AP142" s="7"/>
      <c r="AQ142" s="7"/>
      <c r="AR142" s="7"/>
      <c r="AS142" s="7"/>
      <c r="AT142" s="7"/>
      <c r="AU142" s="7"/>
      <c r="AV142" s="7"/>
      <c r="AW142" s="7"/>
      <c r="AY142" s="7"/>
      <c r="AZ142" s="7"/>
      <c r="BA142" s="7"/>
      <c r="BB142" s="7"/>
    </row>
    <row r="143" spans="2:54" x14ac:dyDescent="0.2">
      <c r="B143" s="174"/>
      <c r="C143" s="176"/>
      <c r="F143" s="5">
        <v>0</v>
      </c>
      <c r="G143" s="192">
        <v>0</v>
      </c>
      <c r="H143" s="192">
        <v>0</v>
      </c>
      <c r="I143" s="5">
        <v>0</v>
      </c>
      <c r="J143" s="192">
        <v>0</v>
      </c>
      <c r="K143" s="192">
        <v>0</v>
      </c>
      <c r="L143" s="5">
        <v>0</v>
      </c>
      <c r="M143" s="5">
        <v>0</v>
      </c>
      <c r="N143" s="4" t="e">
        <f t="shared" si="16"/>
        <v>#N/A</v>
      </c>
      <c r="O143" s="4" t="e">
        <f>IF(ROUND(10.499-(((N143-VLOOKUP($C143,Lookups!$A$55:$D$64,3))/(VLOOKUP($C143,Lookups!$A$55:$D$64,4))*VLOOKUP($C143,Lookups!$C$2:$D$11,2))),0)&lt;1,1,IF(ROUND(10.499-(((N143-VLOOKUP($C143,Lookups!$A$55:$D$64,3))/(VLOOKUP($C143,Lookups!$A$55:$D$64,4))*VLOOKUP($C143,Lookups!$C$2:$D$11,2))),0)&lt;11,ROUND(10.499-(((N143-VLOOKUP($C143,Lookups!$A$55:$D$64,3))/(VLOOKUP($C143,Lookups!$A$55:$D$64,4))*VLOOKUP($C143,Lookups!$C$2:$D$11,2))),0),10))</f>
        <v>#N/A</v>
      </c>
      <c r="P143" s="13" t="str">
        <f>IF((SUM(F143:M143)=0),"J",VLOOKUP(O143,Lookups!$A$1:$B$11,2))</f>
        <v>J</v>
      </c>
      <c r="Q143" s="8" t="e">
        <f>VLOOKUP(C143,Lookups!$A$136:$C$144,3)</f>
        <v>#N/A</v>
      </c>
      <c r="R143" s="8" t="e">
        <f>VLOOKUP(C143,Lookups!$A$136:$C$144,2)</f>
        <v>#N/A</v>
      </c>
      <c r="S143" s="4" t="str">
        <f t="shared" ref="S143:S206" si="17">IF(AND(L143&gt;0,M143=0),"Yes","No")</f>
        <v>No</v>
      </c>
      <c r="T143" s="125">
        <f t="shared" ref="T143:T206" si="18">L143+M143</f>
        <v>0</v>
      </c>
      <c r="U143" s="125">
        <f t="shared" ref="U143:U206" si="19">ROUND(100*(M143+2*L143)/(M143+2*L143+(100-L143-M143)),2)</f>
        <v>0</v>
      </c>
      <c r="V143" s="4" t="e">
        <f>IF($Q143&lt;&gt;3,VLOOKUP(F143,'Points Table A'!B$3:$F$33,5),VLOOKUP(F143,'Points Table A'!H$3:$L$33,5))</f>
        <v>#N/A</v>
      </c>
      <c r="W143" s="4" t="e">
        <f>IF($Q143&lt;&gt;3,VLOOKUP(G143,'Points Table A'!C$3:$F$33,4),VLOOKUP(G143,'Points Table A'!I$3:$L$33,4))</f>
        <v>#N/A</v>
      </c>
      <c r="X143" s="4" t="e">
        <f>IF($Q143&lt;&gt;3,VLOOKUP(H143,'Points Table A'!D$3:$F$28,3),VLOOKUP(H143,'Points Table A'!J$3:$L$33,3))</f>
        <v>#N/A</v>
      </c>
      <c r="Y143" s="4" t="e">
        <f>IF($Q143&lt;&gt;3,VLOOKUP(I143,'Points Table A'!E$3:$F$33,2),VLOOKUP(I143,'Points Table A'!K$3:$L$33,2))</f>
        <v>#N/A</v>
      </c>
      <c r="Z143" s="4" t="e">
        <f t="shared" ref="Z143:Z206" si="20">SUM(V143:Y143)</f>
        <v>#N/A</v>
      </c>
      <c r="AA143" s="4">
        <f>IF($S143=Lookups!$B$113,VLOOKUP(L143,'Points Table C'!A$3:$E$11,5),VLOOKUP(U143,'Points Table C'!B$3:$E$11,4))</f>
        <v>0</v>
      </c>
      <c r="AB143" s="4" t="e">
        <f>IF($Q143=1,0,VLOOKUP($J143,'Points Table C'!$C$3:$E$18,3))</f>
        <v>#N/A</v>
      </c>
      <c r="AC143" s="4">
        <f>VLOOKUP($K143,'Points Table C'!$D$3:$E$18,2)</f>
        <v>0</v>
      </c>
      <c r="AD143" s="4" t="e">
        <f>IF($Z143&lt;Lookups!$C$106,($AA143+AB143+AC143),IF($AA143&gt;=Lookups!$C$120,($AA143+AB143+AC143),$AA143+$AB143))</f>
        <v>#N/A</v>
      </c>
      <c r="AF143" s="7"/>
      <c r="AG143" s="7"/>
      <c r="AH143" s="7"/>
      <c r="AI143" s="7"/>
      <c r="AJ143" s="7"/>
      <c r="AK143" s="7"/>
      <c r="AL143" s="7"/>
      <c r="AM143" s="7"/>
      <c r="AN143" s="7"/>
      <c r="AO143" s="7"/>
      <c r="AP143" s="7"/>
      <c r="AQ143" s="7"/>
      <c r="AR143" s="7"/>
      <c r="AS143" s="7"/>
      <c r="AT143" s="7"/>
      <c r="AU143" s="7"/>
      <c r="AV143" s="7"/>
      <c r="AW143" s="7"/>
      <c r="AY143" s="7"/>
      <c r="AZ143" s="7"/>
      <c r="BA143" s="7"/>
      <c r="BB143" s="7"/>
    </row>
    <row r="144" spans="2:54" x14ac:dyDescent="0.2">
      <c r="B144" s="174"/>
      <c r="C144" s="176"/>
      <c r="F144" s="5">
        <v>0</v>
      </c>
      <c r="G144" s="192">
        <v>0</v>
      </c>
      <c r="H144" s="192">
        <v>0</v>
      </c>
      <c r="I144" s="5">
        <v>0</v>
      </c>
      <c r="J144" s="192">
        <v>0</v>
      </c>
      <c r="K144" s="192">
        <v>0</v>
      </c>
      <c r="L144" s="5">
        <v>0</v>
      </c>
      <c r="M144" s="5">
        <v>0</v>
      </c>
      <c r="N144" s="4" t="e">
        <f t="shared" si="16"/>
        <v>#N/A</v>
      </c>
      <c r="O144" s="4" t="e">
        <f>IF(ROUND(10.499-(((N144-VLOOKUP($C144,Lookups!$A$55:$D$64,3))/(VLOOKUP($C144,Lookups!$A$55:$D$64,4))*VLOOKUP($C144,Lookups!$C$2:$D$11,2))),0)&lt;1,1,IF(ROUND(10.499-(((N144-VLOOKUP($C144,Lookups!$A$55:$D$64,3))/(VLOOKUP($C144,Lookups!$A$55:$D$64,4))*VLOOKUP($C144,Lookups!$C$2:$D$11,2))),0)&lt;11,ROUND(10.499-(((N144-VLOOKUP($C144,Lookups!$A$55:$D$64,3))/(VLOOKUP($C144,Lookups!$A$55:$D$64,4))*VLOOKUP($C144,Lookups!$C$2:$D$11,2))),0),10))</f>
        <v>#N/A</v>
      </c>
      <c r="P144" s="13" t="str">
        <f>IF((SUM(F144:M144)=0),"J",VLOOKUP(O144,Lookups!$A$1:$B$11,2))</f>
        <v>J</v>
      </c>
      <c r="Q144" s="8" t="e">
        <f>VLOOKUP(C144,Lookups!$A$136:$C$144,3)</f>
        <v>#N/A</v>
      </c>
      <c r="R144" s="8" t="e">
        <f>VLOOKUP(C144,Lookups!$A$136:$C$144,2)</f>
        <v>#N/A</v>
      </c>
      <c r="S144" s="4" t="str">
        <f t="shared" si="17"/>
        <v>No</v>
      </c>
      <c r="T144" s="125">
        <f t="shared" si="18"/>
        <v>0</v>
      </c>
      <c r="U144" s="125">
        <f t="shared" si="19"/>
        <v>0</v>
      </c>
      <c r="V144" s="4" t="e">
        <f>IF($Q144&lt;&gt;3,VLOOKUP(F144,'Points Table A'!B$3:$F$33,5),VLOOKUP(F144,'Points Table A'!H$3:$L$33,5))</f>
        <v>#N/A</v>
      </c>
      <c r="W144" s="4" t="e">
        <f>IF($Q144&lt;&gt;3,VLOOKUP(G144,'Points Table A'!C$3:$F$33,4),VLOOKUP(G144,'Points Table A'!I$3:$L$33,4))</f>
        <v>#N/A</v>
      </c>
      <c r="X144" s="4" t="e">
        <f>IF($Q144&lt;&gt;3,VLOOKUP(H144,'Points Table A'!D$3:$F$28,3),VLOOKUP(H144,'Points Table A'!J$3:$L$33,3))</f>
        <v>#N/A</v>
      </c>
      <c r="Y144" s="4" t="e">
        <f>IF($Q144&lt;&gt;3,VLOOKUP(I144,'Points Table A'!E$3:$F$33,2),VLOOKUP(I144,'Points Table A'!K$3:$L$33,2))</f>
        <v>#N/A</v>
      </c>
      <c r="Z144" s="4" t="e">
        <f t="shared" si="20"/>
        <v>#N/A</v>
      </c>
      <c r="AA144" s="4">
        <f>IF($S144=Lookups!$B$113,VLOOKUP(L144,'Points Table C'!A$3:$E$11,5),VLOOKUP(U144,'Points Table C'!B$3:$E$11,4))</f>
        <v>0</v>
      </c>
      <c r="AB144" s="4" t="e">
        <f>IF($Q144=1,0,VLOOKUP($J144,'Points Table C'!$C$3:$E$18,3))</f>
        <v>#N/A</v>
      </c>
      <c r="AC144" s="4">
        <f>VLOOKUP($K144,'Points Table C'!$D$3:$E$18,2)</f>
        <v>0</v>
      </c>
      <c r="AD144" s="4" t="e">
        <f>IF($Z144&lt;Lookups!$C$106,($AA144+AB144+AC144),IF($AA144&gt;=Lookups!$C$120,($AA144+AB144+AC144),$AA144+$AB144))</f>
        <v>#N/A</v>
      </c>
      <c r="AF144" s="7"/>
      <c r="AG144" s="7"/>
      <c r="AH144" s="7"/>
      <c r="AI144" s="7"/>
      <c r="AJ144" s="7"/>
      <c r="AK144" s="7"/>
      <c r="AL144" s="7"/>
      <c r="AM144" s="7"/>
      <c r="AN144" s="7"/>
      <c r="AO144" s="7"/>
      <c r="AP144" s="7"/>
      <c r="AQ144" s="7"/>
      <c r="AR144" s="7"/>
      <c r="AS144" s="7"/>
      <c r="AT144" s="7"/>
      <c r="AU144" s="7"/>
      <c r="AV144" s="7"/>
      <c r="AW144" s="7"/>
      <c r="AY144" s="7"/>
      <c r="AZ144" s="7"/>
      <c r="BA144" s="7"/>
      <c r="BB144" s="7"/>
    </row>
    <row r="145" spans="2:54" x14ac:dyDescent="0.2">
      <c r="B145" s="174"/>
      <c r="C145" s="176"/>
      <c r="F145" s="5">
        <v>0</v>
      </c>
      <c r="G145" s="192">
        <v>0</v>
      </c>
      <c r="H145" s="192">
        <v>0</v>
      </c>
      <c r="I145" s="5">
        <v>0</v>
      </c>
      <c r="J145" s="192">
        <v>0</v>
      </c>
      <c r="K145" s="192">
        <v>0</v>
      </c>
      <c r="L145" s="5">
        <v>0</v>
      </c>
      <c r="M145" s="5">
        <v>0</v>
      </c>
      <c r="N145" s="4" t="e">
        <f t="shared" si="16"/>
        <v>#N/A</v>
      </c>
      <c r="O145" s="4" t="e">
        <f>IF(ROUND(10.499-(((N145-VLOOKUP($C145,Lookups!$A$55:$D$64,3))/(VLOOKUP($C145,Lookups!$A$55:$D$64,4))*VLOOKUP($C145,Lookups!$C$2:$D$11,2))),0)&lt;1,1,IF(ROUND(10.499-(((N145-VLOOKUP($C145,Lookups!$A$55:$D$64,3))/(VLOOKUP($C145,Lookups!$A$55:$D$64,4))*VLOOKUP($C145,Lookups!$C$2:$D$11,2))),0)&lt;11,ROUND(10.499-(((N145-VLOOKUP($C145,Lookups!$A$55:$D$64,3))/(VLOOKUP($C145,Lookups!$A$55:$D$64,4))*VLOOKUP($C145,Lookups!$C$2:$D$11,2))),0),10))</f>
        <v>#N/A</v>
      </c>
      <c r="P145" s="13" t="str">
        <f>IF((SUM(F145:M145)=0),"J",VLOOKUP(O145,Lookups!$A$1:$B$11,2))</f>
        <v>J</v>
      </c>
      <c r="Q145" s="8" t="e">
        <f>VLOOKUP(C145,Lookups!$A$136:$C$144,3)</f>
        <v>#N/A</v>
      </c>
      <c r="R145" s="8" t="e">
        <f>VLOOKUP(C145,Lookups!$A$136:$C$144,2)</f>
        <v>#N/A</v>
      </c>
      <c r="S145" s="4" t="str">
        <f t="shared" si="17"/>
        <v>No</v>
      </c>
      <c r="T145" s="125">
        <f t="shared" si="18"/>
        <v>0</v>
      </c>
      <c r="U145" s="125">
        <f t="shared" si="19"/>
        <v>0</v>
      </c>
      <c r="V145" s="4" t="e">
        <f>IF($Q145&lt;&gt;3,VLOOKUP(F145,'Points Table A'!B$3:$F$33,5),VLOOKUP(F145,'Points Table A'!H$3:$L$33,5))</f>
        <v>#N/A</v>
      </c>
      <c r="W145" s="4" t="e">
        <f>IF($Q145&lt;&gt;3,VLOOKUP(G145,'Points Table A'!C$3:$F$33,4),VLOOKUP(G145,'Points Table A'!I$3:$L$33,4))</f>
        <v>#N/A</v>
      </c>
      <c r="X145" s="4" t="e">
        <f>IF($Q145&lt;&gt;3,VLOOKUP(H145,'Points Table A'!D$3:$F$28,3),VLOOKUP(H145,'Points Table A'!J$3:$L$33,3))</f>
        <v>#N/A</v>
      </c>
      <c r="Y145" s="4" t="e">
        <f>IF($Q145&lt;&gt;3,VLOOKUP(I145,'Points Table A'!E$3:$F$33,2),VLOOKUP(I145,'Points Table A'!K$3:$L$33,2))</f>
        <v>#N/A</v>
      </c>
      <c r="Z145" s="4" t="e">
        <f t="shared" si="20"/>
        <v>#N/A</v>
      </c>
      <c r="AA145" s="4">
        <f>IF($S145=Lookups!$B$113,VLOOKUP(L145,'Points Table C'!A$3:$E$11,5),VLOOKUP(U145,'Points Table C'!B$3:$E$11,4))</f>
        <v>0</v>
      </c>
      <c r="AB145" s="4" t="e">
        <f>IF($Q145=1,0,VLOOKUP($J145,'Points Table C'!$C$3:$E$18,3))</f>
        <v>#N/A</v>
      </c>
      <c r="AC145" s="4">
        <f>VLOOKUP($K145,'Points Table C'!$D$3:$E$18,2)</f>
        <v>0</v>
      </c>
      <c r="AD145" s="4" t="e">
        <f>IF($Z145&lt;Lookups!$C$106,($AA145+AB145+AC145),IF($AA145&gt;=Lookups!$C$120,($AA145+AB145+AC145),$AA145+$AB145))</f>
        <v>#N/A</v>
      </c>
      <c r="AF145" s="7"/>
      <c r="AG145" s="7"/>
      <c r="AH145" s="7"/>
      <c r="AI145" s="7"/>
      <c r="AJ145" s="7"/>
      <c r="AK145" s="7"/>
      <c r="AL145" s="7"/>
      <c r="AM145" s="7"/>
      <c r="AN145" s="7"/>
      <c r="AO145" s="7"/>
      <c r="AP145" s="7"/>
      <c r="AQ145" s="7"/>
      <c r="AR145" s="7"/>
      <c r="AS145" s="7"/>
      <c r="AT145" s="7"/>
      <c r="AU145" s="7"/>
      <c r="AV145" s="7"/>
      <c r="AW145" s="7"/>
      <c r="AY145" s="7"/>
      <c r="AZ145" s="7"/>
      <c r="BA145" s="7"/>
      <c r="BB145" s="7"/>
    </row>
    <row r="146" spans="2:54" x14ac:dyDescent="0.2">
      <c r="B146" s="174"/>
      <c r="C146" s="176"/>
      <c r="F146" s="5">
        <v>0</v>
      </c>
      <c r="G146" s="192">
        <v>0</v>
      </c>
      <c r="H146" s="192">
        <v>0</v>
      </c>
      <c r="I146" s="5">
        <v>0</v>
      </c>
      <c r="J146" s="192">
        <v>0</v>
      </c>
      <c r="K146" s="192">
        <v>0</v>
      </c>
      <c r="L146" s="5">
        <v>0</v>
      </c>
      <c r="M146" s="5">
        <v>0</v>
      </c>
      <c r="N146" s="4" t="e">
        <f t="shared" si="16"/>
        <v>#N/A</v>
      </c>
      <c r="O146" s="4" t="e">
        <f>IF(ROUND(10.499-(((N146-VLOOKUP($C146,Lookups!$A$55:$D$64,3))/(VLOOKUP($C146,Lookups!$A$55:$D$64,4))*VLOOKUP($C146,Lookups!$C$2:$D$11,2))),0)&lt;1,1,IF(ROUND(10.499-(((N146-VLOOKUP($C146,Lookups!$A$55:$D$64,3))/(VLOOKUP($C146,Lookups!$A$55:$D$64,4))*VLOOKUP($C146,Lookups!$C$2:$D$11,2))),0)&lt;11,ROUND(10.499-(((N146-VLOOKUP($C146,Lookups!$A$55:$D$64,3))/(VLOOKUP($C146,Lookups!$A$55:$D$64,4))*VLOOKUP($C146,Lookups!$C$2:$D$11,2))),0),10))</f>
        <v>#N/A</v>
      </c>
      <c r="P146" s="13" t="str">
        <f>IF((SUM(F146:M146)=0),"J",VLOOKUP(O146,Lookups!$A$1:$B$11,2))</f>
        <v>J</v>
      </c>
      <c r="Q146" s="8" t="e">
        <f>VLOOKUP(C146,Lookups!$A$136:$C$144,3)</f>
        <v>#N/A</v>
      </c>
      <c r="R146" s="8" t="e">
        <f>VLOOKUP(C146,Lookups!$A$136:$C$144,2)</f>
        <v>#N/A</v>
      </c>
      <c r="S146" s="4" t="str">
        <f t="shared" si="17"/>
        <v>No</v>
      </c>
      <c r="T146" s="125">
        <f t="shared" si="18"/>
        <v>0</v>
      </c>
      <c r="U146" s="125">
        <f t="shared" si="19"/>
        <v>0</v>
      </c>
      <c r="V146" s="4" t="e">
        <f>IF($Q146&lt;&gt;3,VLOOKUP(F146,'Points Table A'!B$3:$F$33,5),VLOOKUP(F146,'Points Table A'!H$3:$L$33,5))</f>
        <v>#N/A</v>
      </c>
      <c r="W146" s="4" t="e">
        <f>IF($Q146&lt;&gt;3,VLOOKUP(G146,'Points Table A'!C$3:$F$33,4),VLOOKUP(G146,'Points Table A'!I$3:$L$33,4))</f>
        <v>#N/A</v>
      </c>
      <c r="X146" s="4" t="e">
        <f>IF($Q146&lt;&gt;3,VLOOKUP(H146,'Points Table A'!D$3:$F$28,3),VLOOKUP(H146,'Points Table A'!J$3:$L$33,3))</f>
        <v>#N/A</v>
      </c>
      <c r="Y146" s="4" t="e">
        <f>IF($Q146&lt;&gt;3,VLOOKUP(I146,'Points Table A'!E$3:$F$33,2),VLOOKUP(I146,'Points Table A'!K$3:$L$33,2))</f>
        <v>#N/A</v>
      </c>
      <c r="Z146" s="4" t="e">
        <f t="shared" si="20"/>
        <v>#N/A</v>
      </c>
      <c r="AA146" s="4">
        <f>IF($S146=Lookups!$B$113,VLOOKUP(L146,'Points Table C'!A$3:$E$11,5),VLOOKUP(U146,'Points Table C'!B$3:$E$11,4))</f>
        <v>0</v>
      </c>
      <c r="AB146" s="4" t="e">
        <f>IF($Q146=1,0,VLOOKUP($J146,'Points Table C'!$C$3:$E$18,3))</f>
        <v>#N/A</v>
      </c>
      <c r="AC146" s="4">
        <f>VLOOKUP($K146,'Points Table C'!$D$3:$E$18,2)</f>
        <v>0</v>
      </c>
      <c r="AD146" s="4" t="e">
        <f>IF($Z146&lt;Lookups!$C$106,($AA146+AB146+AC146),IF($AA146&gt;=Lookups!$C$120,($AA146+AB146+AC146),$AA146+$AB146))</f>
        <v>#N/A</v>
      </c>
      <c r="AF146" s="7"/>
      <c r="AG146" s="7"/>
      <c r="AH146" s="7"/>
      <c r="AI146" s="7"/>
      <c r="AJ146" s="7"/>
      <c r="AK146" s="7"/>
      <c r="AL146" s="7"/>
      <c r="AM146" s="7"/>
      <c r="AN146" s="7"/>
      <c r="AO146" s="7"/>
      <c r="AP146" s="7"/>
      <c r="AQ146" s="7"/>
      <c r="AR146" s="7"/>
      <c r="AS146" s="7"/>
      <c r="AT146" s="7"/>
      <c r="AU146" s="7"/>
      <c r="AV146" s="7"/>
      <c r="AW146" s="7"/>
      <c r="AY146" s="7"/>
      <c r="AZ146" s="7"/>
      <c r="BA146" s="7"/>
      <c r="BB146" s="7"/>
    </row>
    <row r="147" spans="2:54" x14ac:dyDescent="0.2">
      <c r="B147" s="174"/>
      <c r="C147" s="176"/>
      <c r="F147" s="5">
        <v>0</v>
      </c>
      <c r="G147" s="192">
        <v>0</v>
      </c>
      <c r="H147" s="192">
        <v>0</v>
      </c>
      <c r="I147" s="5">
        <v>0</v>
      </c>
      <c r="J147" s="192">
        <v>0</v>
      </c>
      <c r="K147" s="192">
        <v>0</v>
      </c>
      <c r="L147" s="5">
        <v>0</v>
      </c>
      <c r="M147" s="5">
        <v>0</v>
      </c>
      <c r="N147" s="4" t="e">
        <f t="shared" si="16"/>
        <v>#N/A</v>
      </c>
      <c r="O147" s="4" t="e">
        <f>IF(ROUND(10.499-(((N147-VLOOKUP($C147,Lookups!$A$55:$D$64,3))/(VLOOKUP($C147,Lookups!$A$55:$D$64,4))*VLOOKUP($C147,Lookups!$C$2:$D$11,2))),0)&lt;1,1,IF(ROUND(10.499-(((N147-VLOOKUP($C147,Lookups!$A$55:$D$64,3))/(VLOOKUP($C147,Lookups!$A$55:$D$64,4))*VLOOKUP($C147,Lookups!$C$2:$D$11,2))),0)&lt;11,ROUND(10.499-(((N147-VLOOKUP($C147,Lookups!$A$55:$D$64,3))/(VLOOKUP($C147,Lookups!$A$55:$D$64,4))*VLOOKUP($C147,Lookups!$C$2:$D$11,2))),0),10))</f>
        <v>#N/A</v>
      </c>
      <c r="P147" s="13" t="str">
        <f>IF((SUM(F147:M147)=0),"J",VLOOKUP(O147,Lookups!$A$1:$B$11,2))</f>
        <v>J</v>
      </c>
      <c r="Q147" s="8" t="e">
        <f>VLOOKUP(C147,Lookups!$A$136:$C$144,3)</f>
        <v>#N/A</v>
      </c>
      <c r="R147" s="8" t="e">
        <f>VLOOKUP(C147,Lookups!$A$136:$C$144,2)</f>
        <v>#N/A</v>
      </c>
      <c r="S147" s="4" t="str">
        <f t="shared" si="17"/>
        <v>No</v>
      </c>
      <c r="T147" s="125">
        <f t="shared" si="18"/>
        <v>0</v>
      </c>
      <c r="U147" s="125">
        <f t="shared" si="19"/>
        <v>0</v>
      </c>
      <c r="V147" s="4" t="e">
        <f>IF($Q147&lt;&gt;3,VLOOKUP(F147,'Points Table A'!B$3:$F$33,5),VLOOKUP(F147,'Points Table A'!H$3:$L$33,5))</f>
        <v>#N/A</v>
      </c>
      <c r="W147" s="4" t="e">
        <f>IF($Q147&lt;&gt;3,VLOOKUP(G147,'Points Table A'!C$3:$F$33,4),VLOOKUP(G147,'Points Table A'!I$3:$L$33,4))</f>
        <v>#N/A</v>
      </c>
      <c r="X147" s="4" t="e">
        <f>IF($Q147&lt;&gt;3,VLOOKUP(H147,'Points Table A'!D$3:$F$28,3),VLOOKUP(H147,'Points Table A'!J$3:$L$33,3))</f>
        <v>#N/A</v>
      </c>
      <c r="Y147" s="4" t="e">
        <f>IF($Q147&lt;&gt;3,VLOOKUP(I147,'Points Table A'!E$3:$F$33,2),VLOOKUP(I147,'Points Table A'!K$3:$L$33,2))</f>
        <v>#N/A</v>
      </c>
      <c r="Z147" s="4" t="e">
        <f t="shared" si="20"/>
        <v>#N/A</v>
      </c>
      <c r="AA147" s="4">
        <f>IF($S147=Lookups!$B$113,VLOOKUP(L147,'Points Table C'!A$3:$E$11,5),VLOOKUP(U147,'Points Table C'!B$3:$E$11,4))</f>
        <v>0</v>
      </c>
      <c r="AB147" s="4" t="e">
        <f>IF($Q147=1,0,VLOOKUP($J147,'Points Table C'!$C$3:$E$18,3))</f>
        <v>#N/A</v>
      </c>
      <c r="AC147" s="4">
        <f>VLOOKUP($K147,'Points Table C'!$D$3:$E$18,2)</f>
        <v>0</v>
      </c>
      <c r="AD147" s="4" t="e">
        <f>IF($Z147&lt;Lookups!$C$106,($AA147+AB147+AC147),IF($AA147&gt;=Lookups!$C$120,($AA147+AB147+AC147),$AA147+$AB147))</f>
        <v>#N/A</v>
      </c>
      <c r="AF147" s="7"/>
      <c r="AG147" s="7"/>
      <c r="AH147" s="7"/>
      <c r="AI147" s="7"/>
      <c r="AJ147" s="7"/>
      <c r="AK147" s="7"/>
      <c r="AL147" s="7"/>
      <c r="AM147" s="7"/>
      <c r="AN147" s="7"/>
      <c r="AO147" s="7"/>
      <c r="AP147" s="7"/>
      <c r="AQ147" s="7"/>
      <c r="AR147" s="7"/>
      <c r="AS147" s="7"/>
      <c r="AT147" s="7"/>
      <c r="AU147" s="7"/>
      <c r="AV147" s="7"/>
      <c r="AW147" s="7"/>
      <c r="AY147" s="7"/>
      <c r="AZ147" s="7"/>
      <c r="BA147" s="7"/>
      <c r="BB147" s="7"/>
    </row>
    <row r="148" spans="2:54" x14ac:dyDescent="0.2">
      <c r="B148" s="174"/>
      <c r="C148" s="176"/>
      <c r="F148" s="5">
        <v>0</v>
      </c>
      <c r="G148" s="192">
        <v>0</v>
      </c>
      <c r="H148" s="192">
        <v>0</v>
      </c>
      <c r="I148" s="5">
        <v>0</v>
      </c>
      <c r="J148" s="192">
        <v>0</v>
      </c>
      <c r="K148" s="192">
        <v>0</v>
      </c>
      <c r="L148" s="5">
        <v>0</v>
      </c>
      <c r="M148" s="5">
        <v>0</v>
      </c>
      <c r="N148" s="4" t="e">
        <f t="shared" si="16"/>
        <v>#N/A</v>
      </c>
      <c r="O148" s="4" t="e">
        <f>IF(ROUND(10.499-(((N148-VLOOKUP($C148,Lookups!$A$55:$D$64,3))/(VLOOKUP($C148,Lookups!$A$55:$D$64,4))*VLOOKUP($C148,Lookups!$C$2:$D$11,2))),0)&lt;1,1,IF(ROUND(10.499-(((N148-VLOOKUP($C148,Lookups!$A$55:$D$64,3))/(VLOOKUP($C148,Lookups!$A$55:$D$64,4))*VLOOKUP($C148,Lookups!$C$2:$D$11,2))),0)&lt;11,ROUND(10.499-(((N148-VLOOKUP($C148,Lookups!$A$55:$D$64,3))/(VLOOKUP($C148,Lookups!$A$55:$D$64,4))*VLOOKUP($C148,Lookups!$C$2:$D$11,2))),0),10))</f>
        <v>#N/A</v>
      </c>
      <c r="P148" s="13" t="str">
        <f>IF((SUM(F148:M148)=0),"J",VLOOKUP(O148,Lookups!$A$1:$B$11,2))</f>
        <v>J</v>
      </c>
      <c r="Q148" s="8" t="e">
        <f>VLOOKUP(C148,Lookups!$A$136:$C$144,3)</f>
        <v>#N/A</v>
      </c>
      <c r="R148" s="8" t="e">
        <f>VLOOKUP(C148,Lookups!$A$136:$C$144,2)</f>
        <v>#N/A</v>
      </c>
      <c r="S148" s="4" t="str">
        <f t="shared" si="17"/>
        <v>No</v>
      </c>
      <c r="T148" s="125">
        <f t="shared" si="18"/>
        <v>0</v>
      </c>
      <c r="U148" s="125">
        <f t="shared" si="19"/>
        <v>0</v>
      </c>
      <c r="V148" s="4" t="e">
        <f>IF($Q148&lt;&gt;3,VLOOKUP(F148,'Points Table A'!B$3:$F$33,5),VLOOKUP(F148,'Points Table A'!H$3:$L$33,5))</f>
        <v>#N/A</v>
      </c>
      <c r="W148" s="4" t="e">
        <f>IF($Q148&lt;&gt;3,VLOOKUP(G148,'Points Table A'!C$3:$F$33,4),VLOOKUP(G148,'Points Table A'!I$3:$L$33,4))</f>
        <v>#N/A</v>
      </c>
      <c r="X148" s="4" t="e">
        <f>IF($Q148&lt;&gt;3,VLOOKUP(H148,'Points Table A'!D$3:$F$28,3),VLOOKUP(H148,'Points Table A'!J$3:$L$33,3))</f>
        <v>#N/A</v>
      </c>
      <c r="Y148" s="4" t="e">
        <f>IF($Q148&lt;&gt;3,VLOOKUP(I148,'Points Table A'!E$3:$F$33,2),VLOOKUP(I148,'Points Table A'!K$3:$L$33,2))</f>
        <v>#N/A</v>
      </c>
      <c r="Z148" s="4" t="e">
        <f t="shared" si="20"/>
        <v>#N/A</v>
      </c>
      <c r="AA148" s="4">
        <f>IF($S148=Lookups!$B$113,VLOOKUP(L148,'Points Table C'!A$3:$E$11,5),VLOOKUP(U148,'Points Table C'!B$3:$E$11,4))</f>
        <v>0</v>
      </c>
      <c r="AB148" s="4" t="e">
        <f>IF($Q148=1,0,VLOOKUP($J148,'Points Table C'!$C$3:$E$18,3))</f>
        <v>#N/A</v>
      </c>
      <c r="AC148" s="4">
        <f>VLOOKUP($K148,'Points Table C'!$D$3:$E$18,2)</f>
        <v>0</v>
      </c>
      <c r="AD148" s="4" t="e">
        <f>IF($Z148&lt;Lookups!$C$106,($AA148+AB148+AC148),IF($AA148&gt;=Lookups!$C$120,($AA148+AB148+AC148),$AA148+$AB148))</f>
        <v>#N/A</v>
      </c>
      <c r="AF148" s="7"/>
      <c r="AG148" s="7"/>
      <c r="AH148" s="7"/>
      <c r="AI148" s="7"/>
      <c r="AJ148" s="7"/>
      <c r="AK148" s="7"/>
      <c r="AL148" s="7"/>
      <c r="AM148" s="7"/>
      <c r="AN148" s="7"/>
      <c r="AO148" s="7"/>
      <c r="AP148" s="7"/>
      <c r="AQ148" s="7"/>
      <c r="AR148" s="7"/>
      <c r="AS148" s="7"/>
      <c r="AT148" s="7"/>
      <c r="AU148" s="7"/>
      <c r="AV148" s="7"/>
      <c r="AW148" s="7"/>
      <c r="AY148" s="7"/>
      <c r="AZ148" s="7"/>
      <c r="BA148" s="7"/>
      <c r="BB148" s="7"/>
    </row>
    <row r="149" spans="2:54" x14ac:dyDescent="0.2">
      <c r="B149" s="174"/>
      <c r="C149" s="176"/>
      <c r="F149" s="5">
        <v>0</v>
      </c>
      <c r="G149" s="192">
        <v>0</v>
      </c>
      <c r="H149" s="192">
        <v>0</v>
      </c>
      <c r="I149" s="5">
        <v>0</v>
      </c>
      <c r="J149" s="192">
        <v>0</v>
      </c>
      <c r="K149" s="192">
        <v>0</v>
      </c>
      <c r="L149" s="5">
        <v>0</v>
      </c>
      <c r="M149" s="5">
        <v>0</v>
      </c>
      <c r="N149" s="4" t="e">
        <f t="shared" si="16"/>
        <v>#N/A</v>
      </c>
      <c r="O149" s="4" t="e">
        <f>IF(ROUND(10.499-(((N149-VLOOKUP($C149,Lookups!$A$55:$D$64,3))/(VLOOKUP($C149,Lookups!$A$55:$D$64,4))*VLOOKUP($C149,Lookups!$C$2:$D$11,2))),0)&lt;1,1,IF(ROUND(10.499-(((N149-VLOOKUP($C149,Lookups!$A$55:$D$64,3))/(VLOOKUP($C149,Lookups!$A$55:$D$64,4))*VLOOKUP($C149,Lookups!$C$2:$D$11,2))),0)&lt;11,ROUND(10.499-(((N149-VLOOKUP($C149,Lookups!$A$55:$D$64,3))/(VLOOKUP($C149,Lookups!$A$55:$D$64,4))*VLOOKUP($C149,Lookups!$C$2:$D$11,2))),0),10))</f>
        <v>#N/A</v>
      </c>
      <c r="P149" s="13" t="str">
        <f>IF((SUM(F149:M149)=0),"J",VLOOKUP(O149,Lookups!$A$1:$B$11,2))</f>
        <v>J</v>
      </c>
      <c r="Q149" s="8" t="e">
        <f>VLOOKUP(C149,Lookups!$A$136:$C$144,3)</f>
        <v>#N/A</v>
      </c>
      <c r="R149" s="8" t="e">
        <f>VLOOKUP(C149,Lookups!$A$136:$C$144,2)</f>
        <v>#N/A</v>
      </c>
      <c r="S149" s="4" t="str">
        <f t="shared" si="17"/>
        <v>No</v>
      </c>
      <c r="T149" s="125">
        <f t="shared" si="18"/>
        <v>0</v>
      </c>
      <c r="U149" s="125">
        <f t="shared" si="19"/>
        <v>0</v>
      </c>
      <c r="V149" s="4" t="e">
        <f>IF($Q149&lt;&gt;3,VLOOKUP(F149,'Points Table A'!B$3:$F$33,5),VLOOKUP(F149,'Points Table A'!H$3:$L$33,5))</f>
        <v>#N/A</v>
      </c>
      <c r="W149" s="4" t="e">
        <f>IF($Q149&lt;&gt;3,VLOOKUP(G149,'Points Table A'!C$3:$F$33,4),VLOOKUP(G149,'Points Table A'!I$3:$L$33,4))</f>
        <v>#N/A</v>
      </c>
      <c r="X149" s="4" t="e">
        <f>IF($Q149&lt;&gt;3,VLOOKUP(H149,'Points Table A'!D$3:$F$28,3),VLOOKUP(H149,'Points Table A'!J$3:$L$33,3))</f>
        <v>#N/A</v>
      </c>
      <c r="Y149" s="4" t="e">
        <f>IF($Q149&lt;&gt;3,VLOOKUP(I149,'Points Table A'!E$3:$F$33,2),VLOOKUP(I149,'Points Table A'!K$3:$L$33,2))</f>
        <v>#N/A</v>
      </c>
      <c r="Z149" s="4" t="e">
        <f t="shared" si="20"/>
        <v>#N/A</v>
      </c>
      <c r="AA149" s="4">
        <f>IF($S149=Lookups!$B$113,VLOOKUP(L149,'Points Table C'!A$3:$E$11,5),VLOOKUP(U149,'Points Table C'!B$3:$E$11,4))</f>
        <v>0</v>
      </c>
      <c r="AB149" s="4" t="e">
        <f>IF($Q149=1,0,VLOOKUP($J149,'Points Table C'!$C$3:$E$18,3))</f>
        <v>#N/A</v>
      </c>
      <c r="AC149" s="4">
        <f>VLOOKUP($K149,'Points Table C'!$D$3:$E$18,2)</f>
        <v>0</v>
      </c>
      <c r="AD149" s="4" t="e">
        <f>IF($Z149&lt;Lookups!$C$106,($AA149+AB149+AC149),IF($AA149&gt;=Lookups!$C$120,($AA149+AB149+AC149),$AA149+$AB149))</f>
        <v>#N/A</v>
      </c>
      <c r="AF149" s="7"/>
      <c r="AG149" s="7"/>
      <c r="AH149" s="7"/>
      <c r="AI149" s="7"/>
      <c r="AJ149" s="7"/>
      <c r="AK149" s="7"/>
      <c r="AL149" s="7"/>
      <c r="AM149" s="7"/>
      <c r="AN149" s="7"/>
      <c r="AO149" s="7"/>
      <c r="AP149" s="7"/>
      <c r="AQ149" s="7"/>
      <c r="AR149" s="7"/>
      <c r="AS149" s="7"/>
      <c r="AT149" s="7"/>
      <c r="AU149" s="7"/>
      <c r="AV149" s="7"/>
      <c r="AW149" s="7"/>
      <c r="AY149" s="7"/>
      <c r="AZ149" s="7"/>
      <c r="BA149" s="7"/>
      <c r="BB149" s="7"/>
    </row>
    <row r="150" spans="2:54" x14ac:dyDescent="0.2">
      <c r="B150" s="174"/>
      <c r="C150" s="176"/>
      <c r="F150" s="5">
        <v>0</v>
      </c>
      <c r="G150" s="192">
        <v>0</v>
      </c>
      <c r="H150" s="192">
        <v>0</v>
      </c>
      <c r="I150" s="5">
        <v>0</v>
      </c>
      <c r="J150" s="192">
        <v>0</v>
      </c>
      <c r="K150" s="192">
        <v>0</v>
      </c>
      <c r="L150" s="5">
        <v>0</v>
      </c>
      <c r="M150" s="5">
        <v>0</v>
      </c>
      <c r="N150" s="4" t="e">
        <f t="shared" si="16"/>
        <v>#N/A</v>
      </c>
      <c r="O150" s="4" t="e">
        <f>IF(ROUND(10.499-(((N150-VLOOKUP($C150,Lookups!$A$55:$D$64,3))/(VLOOKUP($C150,Lookups!$A$55:$D$64,4))*VLOOKUP($C150,Lookups!$C$2:$D$11,2))),0)&lt;1,1,IF(ROUND(10.499-(((N150-VLOOKUP($C150,Lookups!$A$55:$D$64,3))/(VLOOKUP($C150,Lookups!$A$55:$D$64,4))*VLOOKUP($C150,Lookups!$C$2:$D$11,2))),0)&lt;11,ROUND(10.499-(((N150-VLOOKUP($C150,Lookups!$A$55:$D$64,3))/(VLOOKUP($C150,Lookups!$A$55:$D$64,4))*VLOOKUP($C150,Lookups!$C$2:$D$11,2))),0),10))</f>
        <v>#N/A</v>
      </c>
      <c r="P150" s="13" t="str">
        <f>IF((SUM(F150:M150)=0),"J",VLOOKUP(O150,Lookups!$A$1:$B$11,2))</f>
        <v>J</v>
      </c>
      <c r="Q150" s="8" t="e">
        <f>VLOOKUP(C150,Lookups!$A$136:$C$144,3)</f>
        <v>#N/A</v>
      </c>
      <c r="R150" s="8" t="e">
        <f>VLOOKUP(C150,Lookups!$A$136:$C$144,2)</f>
        <v>#N/A</v>
      </c>
      <c r="S150" s="4" t="str">
        <f t="shared" si="17"/>
        <v>No</v>
      </c>
      <c r="T150" s="125">
        <f t="shared" si="18"/>
        <v>0</v>
      </c>
      <c r="U150" s="125">
        <f t="shared" si="19"/>
        <v>0</v>
      </c>
      <c r="V150" s="4" t="e">
        <f>IF($Q150&lt;&gt;3,VLOOKUP(F150,'Points Table A'!B$3:$F$33,5),VLOOKUP(F150,'Points Table A'!H$3:$L$33,5))</f>
        <v>#N/A</v>
      </c>
      <c r="W150" s="4" t="e">
        <f>IF($Q150&lt;&gt;3,VLOOKUP(G150,'Points Table A'!C$3:$F$33,4),VLOOKUP(G150,'Points Table A'!I$3:$L$33,4))</f>
        <v>#N/A</v>
      </c>
      <c r="X150" s="4" t="e">
        <f>IF($Q150&lt;&gt;3,VLOOKUP(H150,'Points Table A'!D$3:$F$28,3),VLOOKUP(H150,'Points Table A'!J$3:$L$33,3))</f>
        <v>#N/A</v>
      </c>
      <c r="Y150" s="4" t="e">
        <f>IF($Q150&lt;&gt;3,VLOOKUP(I150,'Points Table A'!E$3:$F$33,2),VLOOKUP(I150,'Points Table A'!K$3:$L$33,2))</f>
        <v>#N/A</v>
      </c>
      <c r="Z150" s="4" t="e">
        <f t="shared" si="20"/>
        <v>#N/A</v>
      </c>
      <c r="AA150" s="4">
        <f>IF($S150=Lookups!$B$113,VLOOKUP(L150,'Points Table C'!A$3:$E$11,5),VLOOKUP(U150,'Points Table C'!B$3:$E$11,4))</f>
        <v>0</v>
      </c>
      <c r="AB150" s="4" t="e">
        <f>IF($Q150=1,0,VLOOKUP($J150,'Points Table C'!$C$3:$E$18,3))</f>
        <v>#N/A</v>
      </c>
      <c r="AC150" s="4">
        <f>VLOOKUP($K150,'Points Table C'!$D$3:$E$18,2)</f>
        <v>0</v>
      </c>
      <c r="AD150" s="4" t="e">
        <f>IF($Z150&lt;Lookups!$C$106,($AA150+AB150+AC150),IF($AA150&gt;=Lookups!$C$120,($AA150+AB150+AC150),$AA150+$AB150))</f>
        <v>#N/A</v>
      </c>
      <c r="AF150" s="7"/>
      <c r="AG150" s="7"/>
      <c r="AH150" s="7"/>
      <c r="AI150" s="7"/>
      <c r="AJ150" s="7"/>
      <c r="AK150" s="7"/>
      <c r="AL150" s="7"/>
      <c r="AM150" s="7"/>
      <c r="AN150" s="7"/>
      <c r="AO150" s="7"/>
      <c r="AP150" s="7"/>
      <c r="AQ150" s="7"/>
      <c r="AR150" s="7"/>
      <c r="AS150" s="7"/>
      <c r="AT150" s="7"/>
      <c r="AU150" s="7"/>
      <c r="AV150" s="7"/>
      <c r="AW150" s="7"/>
      <c r="AY150" s="7"/>
      <c r="AZ150" s="7"/>
      <c r="BA150" s="7"/>
      <c r="BB150" s="7"/>
    </row>
    <row r="151" spans="2:54" x14ac:dyDescent="0.2">
      <c r="B151" s="174"/>
      <c r="C151" s="176"/>
      <c r="F151" s="5">
        <v>0</v>
      </c>
      <c r="G151" s="192">
        <v>0</v>
      </c>
      <c r="H151" s="192">
        <v>0</v>
      </c>
      <c r="I151" s="5">
        <v>0</v>
      </c>
      <c r="J151" s="192">
        <v>0</v>
      </c>
      <c r="K151" s="192">
        <v>0</v>
      </c>
      <c r="L151" s="5">
        <v>0</v>
      </c>
      <c r="M151" s="5">
        <v>0</v>
      </c>
      <c r="N151" s="4" t="e">
        <f t="shared" si="16"/>
        <v>#N/A</v>
      </c>
      <c r="O151" s="4" t="e">
        <f>IF(ROUND(10.499-(((N151-VLOOKUP($C151,Lookups!$A$55:$D$64,3))/(VLOOKUP($C151,Lookups!$A$55:$D$64,4))*VLOOKUP($C151,Lookups!$C$2:$D$11,2))),0)&lt;1,1,IF(ROUND(10.499-(((N151-VLOOKUP($C151,Lookups!$A$55:$D$64,3))/(VLOOKUP($C151,Lookups!$A$55:$D$64,4))*VLOOKUP($C151,Lookups!$C$2:$D$11,2))),0)&lt;11,ROUND(10.499-(((N151-VLOOKUP($C151,Lookups!$A$55:$D$64,3))/(VLOOKUP($C151,Lookups!$A$55:$D$64,4))*VLOOKUP($C151,Lookups!$C$2:$D$11,2))),0),10))</f>
        <v>#N/A</v>
      </c>
      <c r="P151" s="13" t="str">
        <f>IF((SUM(F151:M151)=0),"J",VLOOKUP(O151,Lookups!$A$1:$B$11,2))</f>
        <v>J</v>
      </c>
      <c r="Q151" s="8" t="e">
        <f>VLOOKUP(C151,Lookups!$A$136:$C$144,3)</f>
        <v>#N/A</v>
      </c>
      <c r="R151" s="8" t="e">
        <f>VLOOKUP(C151,Lookups!$A$136:$C$144,2)</f>
        <v>#N/A</v>
      </c>
      <c r="S151" s="4" t="str">
        <f t="shared" si="17"/>
        <v>No</v>
      </c>
      <c r="T151" s="125">
        <f t="shared" si="18"/>
        <v>0</v>
      </c>
      <c r="U151" s="125">
        <f t="shared" si="19"/>
        <v>0</v>
      </c>
      <c r="V151" s="4" t="e">
        <f>IF($Q151&lt;&gt;3,VLOOKUP(F151,'Points Table A'!B$3:$F$33,5),VLOOKUP(F151,'Points Table A'!H$3:$L$33,5))</f>
        <v>#N/A</v>
      </c>
      <c r="W151" s="4" t="e">
        <f>IF($Q151&lt;&gt;3,VLOOKUP(G151,'Points Table A'!C$3:$F$33,4),VLOOKUP(G151,'Points Table A'!I$3:$L$33,4))</f>
        <v>#N/A</v>
      </c>
      <c r="X151" s="4" t="e">
        <f>IF($Q151&lt;&gt;3,VLOOKUP(H151,'Points Table A'!D$3:$F$28,3),VLOOKUP(H151,'Points Table A'!J$3:$L$33,3))</f>
        <v>#N/A</v>
      </c>
      <c r="Y151" s="4" t="e">
        <f>IF($Q151&lt;&gt;3,VLOOKUP(I151,'Points Table A'!E$3:$F$33,2),VLOOKUP(I151,'Points Table A'!K$3:$L$33,2))</f>
        <v>#N/A</v>
      </c>
      <c r="Z151" s="4" t="e">
        <f t="shared" si="20"/>
        <v>#N/A</v>
      </c>
      <c r="AA151" s="4">
        <f>IF($S151=Lookups!$B$113,VLOOKUP(L151,'Points Table C'!A$3:$E$11,5),VLOOKUP(U151,'Points Table C'!B$3:$E$11,4))</f>
        <v>0</v>
      </c>
      <c r="AB151" s="4" t="e">
        <f>IF($Q151=1,0,VLOOKUP($J151,'Points Table C'!$C$3:$E$18,3))</f>
        <v>#N/A</v>
      </c>
      <c r="AC151" s="4">
        <f>VLOOKUP($K151,'Points Table C'!$D$3:$E$18,2)</f>
        <v>0</v>
      </c>
      <c r="AD151" s="4" t="e">
        <f>IF($Z151&lt;Lookups!$C$106,($AA151+AB151+AC151),IF($AA151&gt;=Lookups!$C$120,($AA151+AB151+AC151),$AA151+$AB151))</f>
        <v>#N/A</v>
      </c>
      <c r="AF151" s="7"/>
      <c r="AG151" s="7"/>
      <c r="AH151" s="7"/>
      <c r="AI151" s="7"/>
      <c r="AJ151" s="7"/>
      <c r="AK151" s="7"/>
      <c r="AL151" s="7"/>
      <c r="AM151" s="7"/>
      <c r="AN151" s="7"/>
      <c r="AO151" s="7"/>
      <c r="AP151" s="7"/>
      <c r="AQ151" s="7"/>
      <c r="AR151" s="7"/>
      <c r="AS151" s="7"/>
      <c r="AT151" s="7"/>
      <c r="AU151" s="7"/>
      <c r="AV151" s="7"/>
      <c r="AW151" s="7"/>
      <c r="AY151" s="7"/>
      <c r="AZ151" s="7"/>
      <c r="BA151" s="7"/>
      <c r="BB151" s="7"/>
    </row>
    <row r="152" spans="2:54" x14ac:dyDescent="0.2">
      <c r="B152" s="174"/>
      <c r="C152" s="176"/>
      <c r="F152" s="5">
        <v>0</v>
      </c>
      <c r="G152" s="192">
        <v>0</v>
      </c>
      <c r="H152" s="192">
        <v>0</v>
      </c>
      <c r="I152" s="5">
        <v>0</v>
      </c>
      <c r="J152" s="192">
        <v>0</v>
      </c>
      <c r="K152" s="192">
        <v>0</v>
      </c>
      <c r="L152" s="5">
        <v>0</v>
      </c>
      <c r="M152" s="5">
        <v>0</v>
      </c>
      <c r="N152" s="4" t="e">
        <f t="shared" si="16"/>
        <v>#N/A</v>
      </c>
      <c r="O152" s="4" t="e">
        <f>IF(ROUND(10.499-(((N152-VLOOKUP($C152,Lookups!$A$55:$D$64,3))/(VLOOKUP($C152,Lookups!$A$55:$D$64,4))*VLOOKUP($C152,Lookups!$C$2:$D$11,2))),0)&lt;1,1,IF(ROUND(10.499-(((N152-VLOOKUP($C152,Lookups!$A$55:$D$64,3))/(VLOOKUP($C152,Lookups!$A$55:$D$64,4))*VLOOKUP($C152,Lookups!$C$2:$D$11,2))),0)&lt;11,ROUND(10.499-(((N152-VLOOKUP($C152,Lookups!$A$55:$D$64,3))/(VLOOKUP($C152,Lookups!$A$55:$D$64,4))*VLOOKUP($C152,Lookups!$C$2:$D$11,2))),0),10))</f>
        <v>#N/A</v>
      </c>
      <c r="P152" s="13" t="str">
        <f>IF((SUM(F152:M152)=0),"J",VLOOKUP(O152,Lookups!$A$1:$B$11,2))</f>
        <v>J</v>
      </c>
      <c r="Q152" s="8" t="e">
        <f>VLOOKUP(C152,Lookups!$A$136:$C$144,3)</f>
        <v>#N/A</v>
      </c>
      <c r="R152" s="8" t="e">
        <f>VLOOKUP(C152,Lookups!$A$136:$C$144,2)</f>
        <v>#N/A</v>
      </c>
      <c r="S152" s="4" t="str">
        <f t="shared" si="17"/>
        <v>No</v>
      </c>
      <c r="T152" s="125">
        <f t="shared" si="18"/>
        <v>0</v>
      </c>
      <c r="U152" s="125">
        <f t="shared" si="19"/>
        <v>0</v>
      </c>
      <c r="V152" s="4" t="e">
        <f>IF($Q152&lt;&gt;3,VLOOKUP(F152,'Points Table A'!B$3:$F$33,5),VLOOKUP(F152,'Points Table A'!H$3:$L$33,5))</f>
        <v>#N/A</v>
      </c>
      <c r="W152" s="4" t="e">
        <f>IF($Q152&lt;&gt;3,VLOOKUP(G152,'Points Table A'!C$3:$F$33,4),VLOOKUP(G152,'Points Table A'!I$3:$L$33,4))</f>
        <v>#N/A</v>
      </c>
      <c r="X152" s="4" t="e">
        <f>IF($Q152&lt;&gt;3,VLOOKUP(H152,'Points Table A'!D$3:$F$28,3),VLOOKUP(H152,'Points Table A'!J$3:$L$33,3))</f>
        <v>#N/A</v>
      </c>
      <c r="Y152" s="4" t="e">
        <f>IF($Q152&lt;&gt;3,VLOOKUP(I152,'Points Table A'!E$3:$F$33,2),VLOOKUP(I152,'Points Table A'!K$3:$L$33,2))</f>
        <v>#N/A</v>
      </c>
      <c r="Z152" s="4" t="e">
        <f t="shared" si="20"/>
        <v>#N/A</v>
      </c>
      <c r="AA152" s="4">
        <f>IF($S152=Lookups!$B$113,VLOOKUP(L152,'Points Table C'!A$3:$E$11,5),VLOOKUP(U152,'Points Table C'!B$3:$E$11,4))</f>
        <v>0</v>
      </c>
      <c r="AB152" s="4" t="e">
        <f>IF($Q152=1,0,VLOOKUP($J152,'Points Table C'!$C$3:$E$18,3))</f>
        <v>#N/A</v>
      </c>
      <c r="AC152" s="4">
        <f>VLOOKUP($K152,'Points Table C'!$D$3:$E$18,2)</f>
        <v>0</v>
      </c>
      <c r="AD152" s="4" t="e">
        <f>IF($Z152&lt;Lookups!$C$106,($AA152+AB152+AC152),IF($AA152&gt;=Lookups!$C$120,($AA152+AB152+AC152),$AA152+$AB152))</f>
        <v>#N/A</v>
      </c>
      <c r="AF152" s="7"/>
      <c r="AG152" s="7"/>
      <c r="AH152" s="7"/>
      <c r="AI152" s="7"/>
      <c r="AJ152" s="7"/>
      <c r="AK152" s="7"/>
      <c r="AL152" s="7"/>
      <c r="AM152" s="7"/>
      <c r="AN152" s="7"/>
      <c r="AO152" s="7"/>
      <c r="AP152" s="7"/>
      <c r="AQ152" s="7"/>
      <c r="AR152" s="7"/>
      <c r="AS152" s="7"/>
      <c r="AT152" s="7"/>
      <c r="AU152" s="7"/>
      <c r="AV152" s="7"/>
      <c r="AW152" s="7"/>
      <c r="AY152" s="7"/>
      <c r="AZ152" s="7"/>
      <c r="BA152" s="7"/>
      <c r="BB152" s="7"/>
    </row>
    <row r="153" spans="2:54" x14ac:dyDescent="0.2">
      <c r="B153" s="174"/>
      <c r="C153" s="176"/>
      <c r="F153" s="5">
        <v>0</v>
      </c>
      <c r="G153" s="192">
        <v>0</v>
      </c>
      <c r="H153" s="192">
        <v>0</v>
      </c>
      <c r="I153" s="5">
        <v>0</v>
      </c>
      <c r="J153" s="192">
        <v>0</v>
      </c>
      <c r="K153" s="192">
        <v>0</v>
      </c>
      <c r="L153" s="5">
        <v>0</v>
      </c>
      <c r="M153" s="5">
        <v>0</v>
      </c>
      <c r="N153" s="4" t="e">
        <f t="shared" si="16"/>
        <v>#N/A</v>
      </c>
      <c r="O153" s="4" t="e">
        <f>IF(ROUND(10.499-(((N153-VLOOKUP($C153,Lookups!$A$55:$D$64,3))/(VLOOKUP($C153,Lookups!$A$55:$D$64,4))*VLOOKUP($C153,Lookups!$C$2:$D$11,2))),0)&lt;1,1,IF(ROUND(10.499-(((N153-VLOOKUP($C153,Lookups!$A$55:$D$64,3))/(VLOOKUP($C153,Lookups!$A$55:$D$64,4))*VLOOKUP($C153,Lookups!$C$2:$D$11,2))),0)&lt;11,ROUND(10.499-(((N153-VLOOKUP($C153,Lookups!$A$55:$D$64,3))/(VLOOKUP($C153,Lookups!$A$55:$D$64,4))*VLOOKUP($C153,Lookups!$C$2:$D$11,2))),0),10))</f>
        <v>#N/A</v>
      </c>
      <c r="P153" s="13" t="str">
        <f>IF((SUM(F153:M153)=0),"J",VLOOKUP(O153,Lookups!$A$1:$B$11,2))</f>
        <v>J</v>
      </c>
      <c r="Q153" s="8" t="e">
        <f>VLOOKUP(C153,Lookups!$A$136:$C$144,3)</f>
        <v>#N/A</v>
      </c>
      <c r="R153" s="8" t="e">
        <f>VLOOKUP(C153,Lookups!$A$136:$C$144,2)</f>
        <v>#N/A</v>
      </c>
      <c r="S153" s="4" t="str">
        <f t="shared" si="17"/>
        <v>No</v>
      </c>
      <c r="T153" s="125">
        <f t="shared" si="18"/>
        <v>0</v>
      </c>
      <c r="U153" s="125">
        <f t="shared" si="19"/>
        <v>0</v>
      </c>
      <c r="V153" s="4" t="e">
        <f>IF($Q153&lt;&gt;3,VLOOKUP(F153,'Points Table A'!B$3:$F$33,5),VLOOKUP(F153,'Points Table A'!H$3:$L$33,5))</f>
        <v>#N/A</v>
      </c>
      <c r="W153" s="4" t="e">
        <f>IF($Q153&lt;&gt;3,VLOOKUP(G153,'Points Table A'!C$3:$F$33,4),VLOOKUP(G153,'Points Table A'!I$3:$L$33,4))</f>
        <v>#N/A</v>
      </c>
      <c r="X153" s="4" t="e">
        <f>IF($Q153&lt;&gt;3,VLOOKUP(H153,'Points Table A'!D$3:$F$28,3),VLOOKUP(H153,'Points Table A'!J$3:$L$33,3))</f>
        <v>#N/A</v>
      </c>
      <c r="Y153" s="4" t="e">
        <f>IF($Q153&lt;&gt;3,VLOOKUP(I153,'Points Table A'!E$3:$F$33,2),VLOOKUP(I153,'Points Table A'!K$3:$L$33,2))</f>
        <v>#N/A</v>
      </c>
      <c r="Z153" s="4" t="e">
        <f t="shared" si="20"/>
        <v>#N/A</v>
      </c>
      <c r="AA153" s="4">
        <f>IF($S153=Lookups!$B$113,VLOOKUP(L153,'Points Table C'!A$3:$E$11,5),VLOOKUP(U153,'Points Table C'!B$3:$E$11,4))</f>
        <v>0</v>
      </c>
      <c r="AB153" s="4" t="e">
        <f>IF($Q153=1,0,VLOOKUP($J153,'Points Table C'!$C$3:$E$18,3))</f>
        <v>#N/A</v>
      </c>
      <c r="AC153" s="4">
        <f>VLOOKUP($K153,'Points Table C'!$D$3:$E$18,2)</f>
        <v>0</v>
      </c>
      <c r="AD153" s="4" t="e">
        <f>IF($Z153&lt;Lookups!$C$106,($AA153+AB153+AC153),IF($AA153&gt;=Lookups!$C$120,($AA153+AB153+AC153),$AA153+$AB153))</f>
        <v>#N/A</v>
      </c>
      <c r="AF153" s="7"/>
      <c r="AG153" s="7"/>
      <c r="AH153" s="7"/>
      <c r="AI153" s="7"/>
      <c r="AJ153" s="7"/>
      <c r="AK153" s="7"/>
      <c r="AL153" s="7"/>
      <c r="AM153" s="7"/>
      <c r="AN153" s="7"/>
      <c r="AO153" s="7"/>
      <c r="AP153" s="7"/>
      <c r="AQ153" s="7"/>
      <c r="AR153" s="7"/>
      <c r="AS153" s="7"/>
      <c r="AT153" s="7"/>
      <c r="AU153" s="7"/>
      <c r="AV153" s="7"/>
      <c r="AW153" s="7"/>
      <c r="AY153" s="7"/>
      <c r="AZ153" s="7"/>
      <c r="BA153" s="7"/>
      <c r="BB153" s="7"/>
    </row>
    <row r="154" spans="2:54" x14ac:dyDescent="0.2">
      <c r="B154" s="174"/>
      <c r="C154" s="176"/>
      <c r="F154" s="5">
        <v>0</v>
      </c>
      <c r="G154" s="192">
        <v>0</v>
      </c>
      <c r="H154" s="192">
        <v>0</v>
      </c>
      <c r="I154" s="5">
        <v>0</v>
      </c>
      <c r="J154" s="192">
        <v>0</v>
      </c>
      <c r="K154" s="192">
        <v>0</v>
      </c>
      <c r="L154" s="5">
        <v>0</v>
      </c>
      <c r="M154" s="5">
        <v>0</v>
      </c>
      <c r="N154" s="4" t="e">
        <f t="shared" si="16"/>
        <v>#N/A</v>
      </c>
      <c r="O154" s="4" t="e">
        <f>IF(ROUND(10.499-(((N154-VLOOKUP($C154,Lookups!$A$55:$D$64,3))/(VLOOKUP($C154,Lookups!$A$55:$D$64,4))*VLOOKUP($C154,Lookups!$C$2:$D$11,2))),0)&lt;1,1,IF(ROUND(10.499-(((N154-VLOOKUP($C154,Lookups!$A$55:$D$64,3))/(VLOOKUP($C154,Lookups!$A$55:$D$64,4))*VLOOKUP($C154,Lookups!$C$2:$D$11,2))),0)&lt;11,ROUND(10.499-(((N154-VLOOKUP($C154,Lookups!$A$55:$D$64,3))/(VLOOKUP($C154,Lookups!$A$55:$D$64,4))*VLOOKUP($C154,Lookups!$C$2:$D$11,2))),0),10))</f>
        <v>#N/A</v>
      </c>
      <c r="P154" s="13" t="str">
        <f>IF((SUM(F154:M154)=0),"J",VLOOKUP(O154,Lookups!$A$1:$B$11,2))</f>
        <v>J</v>
      </c>
      <c r="Q154" s="8" t="e">
        <f>VLOOKUP(C154,Lookups!$A$136:$C$144,3)</f>
        <v>#N/A</v>
      </c>
      <c r="R154" s="8" t="e">
        <f>VLOOKUP(C154,Lookups!$A$136:$C$144,2)</f>
        <v>#N/A</v>
      </c>
      <c r="S154" s="4" t="str">
        <f t="shared" si="17"/>
        <v>No</v>
      </c>
      <c r="T154" s="125">
        <f t="shared" si="18"/>
        <v>0</v>
      </c>
      <c r="U154" s="125">
        <f t="shared" si="19"/>
        <v>0</v>
      </c>
      <c r="V154" s="4" t="e">
        <f>IF($Q154&lt;&gt;3,VLOOKUP(F154,'Points Table A'!B$3:$F$33,5),VLOOKUP(F154,'Points Table A'!H$3:$L$33,5))</f>
        <v>#N/A</v>
      </c>
      <c r="W154" s="4" t="e">
        <f>IF($Q154&lt;&gt;3,VLOOKUP(G154,'Points Table A'!C$3:$F$33,4),VLOOKUP(G154,'Points Table A'!I$3:$L$33,4))</f>
        <v>#N/A</v>
      </c>
      <c r="X154" s="4" t="e">
        <f>IF($Q154&lt;&gt;3,VLOOKUP(H154,'Points Table A'!D$3:$F$28,3),VLOOKUP(H154,'Points Table A'!J$3:$L$33,3))</f>
        <v>#N/A</v>
      </c>
      <c r="Y154" s="4" t="e">
        <f>IF($Q154&lt;&gt;3,VLOOKUP(I154,'Points Table A'!E$3:$F$33,2),VLOOKUP(I154,'Points Table A'!K$3:$L$33,2))</f>
        <v>#N/A</v>
      </c>
      <c r="Z154" s="4" t="e">
        <f t="shared" si="20"/>
        <v>#N/A</v>
      </c>
      <c r="AA154" s="4">
        <f>IF($S154=Lookups!$B$113,VLOOKUP(L154,'Points Table C'!A$3:$E$11,5),VLOOKUP(U154,'Points Table C'!B$3:$E$11,4))</f>
        <v>0</v>
      </c>
      <c r="AB154" s="4" t="e">
        <f>IF($Q154=1,0,VLOOKUP($J154,'Points Table C'!$C$3:$E$18,3))</f>
        <v>#N/A</v>
      </c>
      <c r="AC154" s="4">
        <f>VLOOKUP($K154,'Points Table C'!$D$3:$E$18,2)</f>
        <v>0</v>
      </c>
      <c r="AD154" s="4" t="e">
        <f>IF($Z154&lt;Lookups!$C$106,($AA154+AB154+AC154),IF($AA154&gt;=Lookups!$C$120,($AA154+AB154+AC154),$AA154+$AB154))</f>
        <v>#N/A</v>
      </c>
      <c r="AF154" s="7"/>
      <c r="AG154" s="7"/>
      <c r="AH154" s="7"/>
      <c r="AI154" s="7"/>
      <c r="AJ154" s="7"/>
      <c r="AK154" s="7"/>
      <c r="AL154" s="7"/>
      <c r="AM154" s="7"/>
      <c r="AN154" s="7"/>
      <c r="AO154" s="7"/>
      <c r="AP154" s="7"/>
      <c r="AQ154" s="7"/>
      <c r="AR154" s="7"/>
      <c r="AS154" s="7"/>
      <c r="AT154" s="7"/>
      <c r="AU154" s="7"/>
      <c r="AV154" s="7"/>
      <c r="AW154" s="7"/>
      <c r="AY154" s="7"/>
      <c r="AZ154" s="7"/>
      <c r="BA154" s="7"/>
      <c r="BB154" s="7"/>
    </row>
    <row r="155" spans="2:54" x14ac:dyDescent="0.2">
      <c r="B155" s="174"/>
      <c r="C155" s="176"/>
      <c r="F155" s="5">
        <v>0</v>
      </c>
      <c r="G155" s="192">
        <v>0</v>
      </c>
      <c r="H155" s="192">
        <v>0</v>
      </c>
      <c r="I155" s="5">
        <v>0</v>
      </c>
      <c r="J155" s="192">
        <v>0</v>
      </c>
      <c r="K155" s="192">
        <v>0</v>
      </c>
      <c r="L155" s="5">
        <v>0</v>
      </c>
      <c r="M155" s="5">
        <v>0</v>
      </c>
      <c r="N155" s="4" t="e">
        <f t="shared" si="16"/>
        <v>#N/A</v>
      </c>
      <c r="O155" s="4" t="e">
        <f>IF(ROUND(10.499-(((N155-VLOOKUP($C155,Lookups!$A$55:$D$64,3))/(VLOOKUP($C155,Lookups!$A$55:$D$64,4))*VLOOKUP($C155,Lookups!$C$2:$D$11,2))),0)&lt;1,1,IF(ROUND(10.499-(((N155-VLOOKUP($C155,Lookups!$A$55:$D$64,3))/(VLOOKUP($C155,Lookups!$A$55:$D$64,4))*VLOOKUP($C155,Lookups!$C$2:$D$11,2))),0)&lt;11,ROUND(10.499-(((N155-VLOOKUP($C155,Lookups!$A$55:$D$64,3))/(VLOOKUP($C155,Lookups!$A$55:$D$64,4))*VLOOKUP($C155,Lookups!$C$2:$D$11,2))),0),10))</f>
        <v>#N/A</v>
      </c>
      <c r="P155" s="13" t="str">
        <f>IF((SUM(F155:M155)=0),"J",VLOOKUP(O155,Lookups!$A$1:$B$11,2))</f>
        <v>J</v>
      </c>
      <c r="Q155" s="8" t="e">
        <f>VLOOKUP(C155,Lookups!$A$136:$C$144,3)</f>
        <v>#N/A</v>
      </c>
      <c r="R155" s="8" t="e">
        <f>VLOOKUP(C155,Lookups!$A$136:$C$144,2)</f>
        <v>#N/A</v>
      </c>
      <c r="S155" s="4" t="str">
        <f t="shared" si="17"/>
        <v>No</v>
      </c>
      <c r="T155" s="125">
        <f t="shared" si="18"/>
        <v>0</v>
      </c>
      <c r="U155" s="125">
        <f t="shared" si="19"/>
        <v>0</v>
      </c>
      <c r="V155" s="4" t="e">
        <f>IF($Q155&lt;&gt;3,VLOOKUP(F155,'Points Table A'!B$3:$F$33,5),VLOOKUP(F155,'Points Table A'!H$3:$L$33,5))</f>
        <v>#N/A</v>
      </c>
      <c r="W155" s="4" t="e">
        <f>IF($Q155&lt;&gt;3,VLOOKUP(G155,'Points Table A'!C$3:$F$33,4),VLOOKUP(G155,'Points Table A'!I$3:$L$33,4))</f>
        <v>#N/A</v>
      </c>
      <c r="X155" s="4" t="e">
        <f>IF($Q155&lt;&gt;3,VLOOKUP(H155,'Points Table A'!D$3:$F$28,3),VLOOKUP(H155,'Points Table A'!J$3:$L$33,3))</f>
        <v>#N/A</v>
      </c>
      <c r="Y155" s="4" t="e">
        <f>IF($Q155&lt;&gt;3,VLOOKUP(I155,'Points Table A'!E$3:$F$33,2),VLOOKUP(I155,'Points Table A'!K$3:$L$33,2))</f>
        <v>#N/A</v>
      </c>
      <c r="Z155" s="4" t="e">
        <f t="shared" si="20"/>
        <v>#N/A</v>
      </c>
      <c r="AA155" s="4">
        <f>IF($S155=Lookups!$B$113,VLOOKUP(L155,'Points Table C'!A$3:$E$11,5),VLOOKUP(U155,'Points Table C'!B$3:$E$11,4))</f>
        <v>0</v>
      </c>
      <c r="AB155" s="4" t="e">
        <f>IF($Q155=1,0,VLOOKUP($J155,'Points Table C'!$C$3:$E$18,3))</f>
        <v>#N/A</v>
      </c>
      <c r="AC155" s="4">
        <f>VLOOKUP($K155,'Points Table C'!$D$3:$E$18,2)</f>
        <v>0</v>
      </c>
      <c r="AD155" s="4" t="e">
        <f>IF($Z155&lt;Lookups!$C$106,($AA155+AB155+AC155),IF($AA155&gt;=Lookups!$C$120,($AA155+AB155+AC155),$AA155+$AB155))</f>
        <v>#N/A</v>
      </c>
      <c r="AF155" s="7"/>
      <c r="AG155" s="7"/>
      <c r="AH155" s="7"/>
      <c r="AI155" s="7"/>
      <c r="AJ155" s="7"/>
      <c r="AK155" s="7"/>
      <c r="AL155" s="7"/>
      <c r="AM155" s="7"/>
      <c r="AN155" s="7"/>
      <c r="AO155" s="7"/>
      <c r="AP155" s="7"/>
      <c r="AQ155" s="7"/>
      <c r="AR155" s="7"/>
      <c r="AS155" s="7"/>
      <c r="AT155" s="7"/>
      <c r="AU155" s="7"/>
      <c r="AV155" s="7"/>
      <c r="AW155" s="7"/>
      <c r="AY155" s="7"/>
      <c r="AZ155" s="7"/>
      <c r="BA155" s="7"/>
      <c r="BB155" s="7"/>
    </row>
    <row r="156" spans="2:54" x14ac:dyDescent="0.2">
      <c r="B156" s="174"/>
      <c r="C156" s="176"/>
      <c r="F156" s="5">
        <v>0</v>
      </c>
      <c r="G156" s="192">
        <v>0</v>
      </c>
      <c r="H156" s="192">
        <v>0</v>
      </c>
      <c r="I156" s="5">
        <v>0</v>
      </c>
      <c r="J156" s="192">
        <v>0</v>
      </c>
      <c r="K156" s="192">
        <v>0</v>
      </c>
      <c r="L156" s="5">
        <v>0</v>
      </c>
      <c r="M156" s="5">
        <v>0</v>
      </c>
      <c r="N156" s="4" t="e">
        <f t="shared" si="16"/>
        <v>#N/A</v>
      </c>
      <c r="O156" s="4" t="e">
        <f>IF(ROUND(10.499-(((N156-VLOOKUP($C156,Lookups!$A$55:$D$64,3))/(VLOOKUP($C156,Lookups!$A$55:$D$64,4))*VLOOKUP($C156,Lookups!$C$2:$D$11,2))),0)&lt;1,1,IF(ROUND(10.499-(((N156-VLOOKUP($C156,Lookups!$A$55:$D$64,3))/(VLOOKUP($C156,Lookups!$A$55:$D$64,4))*VLOOKUP($C156,Lookups!$C$2:$D$11,2))),0)&lt;11,ROUND(10.499-(((N156-VLOOKUP($C156,Lookups!$A$55:$D$64,3))/(VLOOKUP($C156,Lookups!$A$55:$D$64,4))*VLOOKUP($C156,Lookups!$C$2:$D$11,2))),0),10))</f>
        <v>#N/A</v>
      </c>
      <c r="P156" s="13" t="str">
        <f>IF((SUM(F156:M156)=0),"J",VLOOKUP(O156,Lookups!$A$1:$B$11,2))</f>
        <v>J</v>
      </c>
      <c r="Q156" s="8" t="e">
        <f>VLOOKUP(C156,Lookups!$A$136:$C$144,3)</f>
        <v>#N/A</v>
      </c>
      <c r="R156" s="8" t="e">
        <f>VLOOKUP(C156,Lookups!$A$136:$C$144,2)</f>
        <v>#N/A</v>
      </c>
      <c r="S156" s="4" t="str">
        <f t="shared" si="17"/>
        <v>No</v>
      </c>
      <c r="T156" s="125">
        <f t="shared" si="18"/>
        <v>0</v>
      </c>
      <c r="U156" s="125">
        <f t="shared" si="19"/>
        <v>0</v>
      </c>
      <c r="V156" s="4" t="e">
        <f>IF($Q156&lt;&gt;3,VLOOKUP(F156,'Points Table A'!B$3:$F$33,5),VLOOKUP(F156,'Points Table A'!H$3:$L$33,5))</f>
        <v>#N/A</v>
      </c>
      <c r="W156" s="4" t="e">
        <f>IF($Q156&lt;&gt;3,VLOOKUP(G156,'Points Table A'!C$3:$F$33,4),VLOOKUP(G156,'Points Table A'!I$3:$L$33,4))</f>
        <v>#N/A</v>
      </c>
      <c r="X156" s="4" t="e">
        <f>IF($Q156&lt;&gt;3,VLOOKUP(H156,'Points Table A'!D$3:$F$28,3),VLOOKUP(H156,'Points Table A'!J$3:$L$33,3))</f>
        <v>#N/A</v>
      </c>
      <c r="Y156" s="4" t="e">
        <f>IF($Q156&lt;&gt;3,VLOOKUP(I156,'Points Table A'!E$3:$F$33,2),VLOOKUP(I156,'Points Table A'!K$3:$L$33,2))</f>
        <v>#N/A</v>
      </c>
      <c r="Z156" s="4" t="e">
        <f t="shared" si="20"/>
        <v>#N/A</v>
      </c>
      <c r="AA156" s="4">
        <f>IF($S156=Lookups!$B$113,VLOOKUP(L156,'Points Table C'!A$3:$E$11,5),VLOOKUP(U156,'Points Table C'!B$3:$E$11,4))</f>
        <v>0</v>
      </c>
      <c r="AB156" s="4" t="e">
        <f>IF($Q156=1,0,VLOOKUP($J156,'Points Table C'!$C$3:$E$18,3))</f>
        <v>#N/A</v>
      </c>
      <c r="AC156" s="4">
        <f>VLOOKUP($K156,'Points Table C'!$D$3:$E$18,2)</f>
        <v>0</v>
      </c>
      <c r="AD156" s="4" t="e">
        <f>IF($Z156&lt;Lookups!$C$106,($AA156+AB156+AC156),IF($AA156&gt;=Lookups!$C$120,($AA156+AB156+AC156),$AA156+$AB156))</f>
        <v>#N/A</v>
      </c>
      <c r="AF156" s="7"/>
      <c r="AG156" s="7"/>
      <c r="AH156" s="7"/>
      <c r="AI156" s="7"/>
      <c r="AJ156" s="7"/>
      <c r="AK156" s="7"/>
      <c r="AL156" s="7"/>
      <c r="AM156" s="7"/>
      <c r="AN156" s="7"/>
      <c r="AO156" s="7"/>
      <c r="AP156" s="7"/>
      <c r="AQ156" s="7"/>
      <c r="AR156" s="7"/>
      <c r="AS156" s="7"/>
      <c r="AT156" s="7"/>
      <c r="AU156" s="7"/>
      <c r="AV156" s="7"/>
      <c r="AW156" s="7"/>
      <c r="AY156" s="7"/>
      <c r="AZ156" s="7"/>
      <c r="BA156" s="7"/>
      <c r="BB156" s="7"/>
    </row>
    <row r="157" spans="2:54" x14ac:dyDescent="0.2">
      <c r="B157" s="174"/>
      <c r="C157" s="176"/>
      <c r="F157" s="5">
        <v>0</v>
      </c>
      <c r="G157" s="192">
        <v>0</v>
      </c>
      <c r="H157" s="192">
        <v>0</v>
      </c>
      <c r="I157" s="5">
        <v>0</v>
      </c>
      <c r="J157" s="192">
        <v>0</v>
      </c>
      <c r="K157" s="192">
        <v>0</v>
      </c>
      <c r="L157" s="5">
        <v>0</v>
      </c>
      <c r="M157" s="5">
        <v>0</v>
      </c>
      <c r="N157" s="4" t="e">
        <f t="shared" si="16"/>
        <v>#N/A</v>
      </c>
      <c r="O157" s="4" t="e">
        <f>IF(ROUND(10.499-(((N157-VLOOKUP($C157,Lookups!$A$55:$D$64,3))/(VLOOKUP($C157,Lookups!$A$55:$D$64,4))*VLOOKUP($C157,Lookups!$C$2:$D$11,2))),0)&lt;1,1,IF(ROUND(10.499-(((N157-VLOOKUP($C157,Lookups!$A$55:$D$64,3))/(VLOOKUP($C157,Lookups!$A$55:$D$64,4))*VLOOKUP($C157,Lookups!$C$2:$D$11,2))),0)&lt;11,ROUND(10.499-(((N157-VLOOKUP($C157,Lookups!$A$55:$D$64,3))/(VLOOKUP($C157,Lookups!$A$55:$D$64,4))*VLOOKUP($C157,Lookups!$C$2:$D$11,2))),0),10))</f>
        <v>#N/A</v>
      </c>
      <c r="P157" s="13" t="str">
        <f>IF((SUM(F157:M157)=0),"J",VLOOKUP(O157,Lookups!$A$1:$B$11,2))</f>
        <v>J</v>
      </c>
      <c r="Q157" s="8" t="e">
        <f>VLOOKUP(C157,Lookups!$A$136:$C$144,3)</f>
        <v>#N/A</v>
      </c>
      <c r="R157" s="8" t="e">
        <f>VLOOKUP(C157,Lookups!$A$136:$C$144,2)</f>
        <v>#N/A</v>
      </c>
      <c r="S157" s="4" t="str">
        <f t="shared" si="17"/>
        <v>No</v>
      </c>
      <c r="T157" s="125">
        <f t="shared" si="18"/>
        <v>0</v>
      </c>
      <c r="U157" s="125">
        <f t="shared" si="19"/>
        <v>0</v>
      </c>
      <c r="V157" s="4" t="e">
        <f>IF($Q157&lt;&gt;3,VLOOKUP(F157,'Points Table A'!B$3:$F$33,5),VLOOKUP(F157,'Points Table A'!H$3:$L$33,5))</f>
        <v>#N/A</v>
      </c>
      <c r="W157" s="4" t="e">
        <f>IF($Q157&lt;&gt;3,VLOOKUP(G157,'Points Table A'!C$3:$F$33,4),VLOOKUP(G157,'Points Table A'!I$3:$L$33,4))</f>
        <v>#N/A</v>
      </c>
      <c r="X157" s="4" t="e">
        <f>IF($Q157&lt;&gt;3,VLOOKUP(H157,'Points Table A'!D$3:$F$28,3),VLOOKUP(H157,'Points Table A'!J$3:$L$33,3))</f>
        <v>#N/A</v>
      </c>
      <c r="Y157" s="4" t="e">
        <f>IF($Q157&lt;&gt;3,VLOOKUP(I157,'Points Table A'!E$3:$F$33,2),VLOOKUP(I157,'Points Table A'!K$3:$L$33,2))</f>
        <v>#N/A</v>
      </c>
      <c r="Z157" s="4" t="e">
        <f t="shared" si="20"/>
        <v>#N/A</v>
      </c>
      <c r="AA157" s="4">
        <f>IF($S157=Lookups!$B$113,VLOOKUP(L157,'Points Table C'!A$3:$E$11,5),VLOOKUP(U157,'Points Table C'!B$3:$E$11,4))</f>
        <v>0</v>
      </c>
      <c r="AB157" s="4" t="e">
        <f>IF($Q157=1,0,VLOOKUP($J157,'Points Table C'!$C$3:$E$18,3))</f>
        <v>#N/A</v>
      </c>
      <c r="AC157" s="4">
        <f>VLOOKUP($K157,'Points Table C'!$D$3:$E$18,2)</f>
        <v>0</v>
      </c>
      <c r="AD157" s="4" t="e">
        <f>IF($Z157&lt;Lookups!$C$106,($AA157+AB157+AC157),IF($AA157&gt;=Lookups!$C$120,($AA157+AB157+AC157),$AA157+$AB157))</f>
        <v>#N/A</v>
      </c>
      <c r="AF157" s="7"/>
      <c r="AG157" s="7"/>
      <c r="AH157" s="7"/>
      <c r="AI157" s="7"/>
      <c r="AJ157" s="7"/>
      <c r="AK157" s="7"/>
      <c r="AL157" s="7"/>
      <c r="AM157" s="7"/>
      <c r="AN157" s="7"/>
      <c r="AO157" s="7"/>
      <c r="AP157" s="7"/>
      <c r="AQ157" s="7"/>
      <c r="AR157" s="7"/>
      <c r="AS157" s="7"/>
      <c r="AT157" s="7"/>
      <c r="AU157" s="7"/>
      <c r="AV157" s="7"/>
      <c r="AW157" s="7"/>
      <c r="AY157" s="7"/>
      <c r="AZ157" s="7"/>
      <c r="BA157" s="7"/>
      <c r="BB157" s="7"/>
    </row>
    <row r="158" spans="2:54" x14ac:dyDescent="0.2">
      <c r="B158" s="174"/>
      <c r="C158" s="176"/>
      <c r="F158" s="5">
        <v>0</v>
      </c>
      <c r="G158" s="192">
        <v>0</v>
      </c>
      <c r="H158" s="192">
        <v>0</v>
      </c>
      <c r="I158" s="5">
        <v>0</v>
      </c>
      <c r="J158" s="192">
        <v>0</v>
      </c>
      <c r="K158" s="192">
        <v>0</v>
      </c>
      <c r="L158" s="5">
        <v>0</v>
      </c>
      <c r="M158" s="5">
        <v>0</v>
      </c>
      <c r="N158" s="4" t="e">
        <f t="shared" si="16"/>
        <v>#N/A</v>
      </c>
      <c r="O158" s="4" t="e">
        <f>IF(ROUND(10.499-(((N158-VLOOKUP($C158,Lookups!$A$55:$D$64,3))/(VLOOKUP($C158,Lookups!$A$55:$D$64,4))*VLOOKUP($C158,Lookups!$C$2:$D$11,2))),0)&lt;1,1,IF(ROUND(10.499-(((N158-VLOOKUP($C158,Lookups!$A$55:$D$64,3))/(VLOOKUP($C158,Lookups!$A$55:$D$64,4))*VLOOKUP($C158,Lookups!$C$2:$D$11,2))),0)&lt;11,ROUND(10.499-(((N158-VLOOKUP($C158,Lookups!$A$55:$D$64,3))/(VLOOKUP($C158,Lookups!$A$55:$D$64,4))*VLOOKUP($C158,Lookups!$C$2:$D$11,2))),0),10))</f>
        <v>#N/A</v>
      </c>
      <c r="P158" s="13" t="str">
        <f>IF((SUM(F158:M158)=0),"J",VLOOKUP(O158,Lookups!$A$1:$B$11,2))</f>
        <v>J</v>
      </c>
      <c r="Q158" s="8" t="e">
        <f>VLOOKUP(C158,Lookups!$A$136:$C$144,3)</f>
        <v>#N/A</v>
      </c>
      <c r="R158" s="8" t="e">
        <f>VLOOKUP(C158,Lookups!$A$136:$C$144,2)</f>
        <v>#N/A</v>
      </c>
      <c r="S158" s="4" t="str">
        <f t="shared" si="17"/>
        <v>No</v>
      </c>
      <c r="T158" s="125">
        <f t="shared" si="18"/>
        <v>0</v>
      </c>
      <c r="U158" s="125">
        <f t="shared" si="19"/>
        <v>0</v>
      </c>
      <c r="V158" s="4" t="e">
        <f>IF($Q158&lt;&gt;3,VLOOKUP(F158,'Points Table A'!B$3:$F$33,5),VLOOKUP(F158,'Points Table A'!H$3:$L$33,5))</f>
        <v>#N/A</v>
      </c>
      <c r="W158" s="4" t="e">
        <f>IF($Q158&lt;&gt;3,VLOOKUP(G158,'Points Table A'!C$3:$F$33,4),VLOOKUP(G158,'Points Table A'!I$3:$L$33,4))</f>
        <v>#N/A</v>
      </c>
      <c r="X158" s="4" t="e">
        <f>IF($Q158&lt;&gt;3,VLOOKUP(H158,'Points Table A'!D$3:$F$28,3),VLOOKUP(H158,'Points Table A'!J$3:$L$33,3))</f>
        <v>#N/A</v>
      </c>
      <c r="Y158" s="4" t="e">
        <f>IF($Q158&lt;&gt;3,VLOOKUP(I158,'Points Table A'!E$3:$F$33,2),VLOOKUP(I158,'Points Table A'!K$3:$L$33,2))</f>
        <v>#N/A</v>
      </c>
      <c r="Z158" s="4" t="e">
        <f t="shared" si="20"/>
        <v>#N/A</v>
      </c>
      <c r="AA158" s="4">
        <f>IF($S158=Lookups!$B$113,VLOOKUP(L158,'Points Table C'!A$3:$E$11,5),VLOOKUP(U158,'Points Table C'!B$3:$E$11,4))</f>
        <v>0</v>
      </c>
      <c r="AB158" s="4" t="e">
        <f>IF($Q158=1,0,VLOOKUP($J158,'Points Table C'!$C$3:$E$18,3))</f>
        <v>#N/A</v>
      </c>
      <c r="AC158" s="4">
        <f>VLOOKUP($K158,'Points Table C'!$D$3:$E$18,2)</f>
        <v>0</v>
      </c>
      <c r="AD158" s="4" t="e">
        <f>IF($Z158&lt;Lookups!$C$106,($AA158+AB158+AC158),IF($AA158&gt;=Lookups!$C$120,($AA158+AB158+AC158),$AA158+$AB158))</f>
        <v>#N/A</v>
      </c>
      <c r="AF158" s="7"/>
      <c r="AG158" s="7"/>
      <c r="AH158" s="7"/>
      <c r="AI158" s="7"/>
      <c r="AJ158" s="7"/>
      <c r="AK158" s="7"/>
      <c r="AL158" s="7"/>
      <c r="AM158" s="7"/>
      <c r="AN158" s="7"/>
      <c r="AO158" s="7"/>
      <c r="AP158" s="7"/>
      <c r="AQ158" s="7"/>
      <c r="AR158" s="7"/>
      <c r="AS158" s="7"/>
      <c r="AT158" s="7"/>
      <c r="AU158" s="7"/>
      <c r="AV158" s="7"/>
      <c r="AW158" s="7"/>
      <c r="AY158" s="7"/>
      <c r="AZ158" s="7"/>
      <c r="BA158" s="7"/>
      <c r="BB158" s="7"/>
    </row>
    <row r="159" spans="2:54" x14ac:dyDescent="0.2">
      <c r="B159" s="174"/>
      <c r="C159" s="176"/>
      <c r="F159" s="5">
        <v>0</v>
      </c>
      <c r="G159" s="192">
        <v>0</v>
      </c>
      <c r="H159" s="192">
        <v>0</v>
      </c>
      <c r="I159" s="5">
        <v>0</v>
      </c>
      <c r="J159" s="192">
        <v>0</v>
      </c>
      <c r="K159" s="192">
        <v>0</v>
      </c>
      <c r="L159" s="5">
        <v>0</v>
      </c>
      <c r="M159" s="5">
        <v>0</v>
      </c>
      <c r="N159" s="4" t="e">
        <f t="shared" si="16"/>
        <v>#N/A</v>
      </c>
      <c r="O159" s="4" t="e">
        <f>IF(ROUND(10.499-(((N159-VLOOKUP($C159,Lookups!$A$55:$D$64,3))/(VLOOKUP($C159,Lookups!$A$55:$D$64,4))*VLOOKUP($C159,Lookups!$C$2:$D$11,2))),0)&lt;1,1,IF(ROUND(10.499-(((N159-VLOOKUP($C159,Lookups!$A$55:$D$64,3))/(VLOOKUP($C159,Lookups!$A$55:$D$64,4))*VLOOKUP($C159,Lookups!$C$2:$D$11,2))),0)&lt;11,ROUND(10.499-(((N159-VLOOKUP($C159,Lookups!$A$55:$D$64,3))/(VLOOKUP($C159,Lookups!$A$55:$D$64,4))*VLOOKUP($C159,Lookups!$C$2:$D$11,2))),0),10))</f>
        <v>#N/A</v>
      </c>
      <c r="P159" s="13" t="str">
        <f>IF((SUM(F159:M159)=0),"J",VLOOKUP(O159,Lookups!$A$1:$B$11,2))</f>
        <v>J</v>
      </c>
      <c r="Q159" s="8" t="e">
        <f>VLOOKUP(C159,Lookups!$A$136:$C$144,3)</f>
        <v>#N/A</v>
      </c>
      <c r="R159" s="8" t="e">
        <f>VLOOKUP(C159,Lookups!$A$136:$C$144,2)</f>
        <v>#N/A</v>
      </c>
      <c r="S159" s="4" t="str">
        <f t="shared" si="17"/>
        <v>No</v>
      </c>
      <c r="T159" s="125">
        <f t="shared" si="18"/>
        <v>0</v>
      </c>
      <c r="U159" s="125">
        <f t="shared" si="19"/>
        <v>0</v>
      </c>
      <c r="V159" s="4" t="e">
        <f>IF($Q159&lt;&gt;3,VLOOKUP(F159,'Points Table A'!B$3:$F$33,5),VLOOKUP(F159,'Points Table A'!H$3:$L$33,5))</f>
        <v>#N/A</v>
      </c>
      <c r="W159" s="4" t="e">
        <f>IF($Q159&lt;&gt;3,VLOOKUP(G159,'Points Table A'!C$3:$F$33,4),VLOOKUP(G159,'Points Table A'!I$3:$L$33,4))</f>
        <v>#N/A</v>
      </c>
      <c r="X159" s="4" t="e">
        <f>IF($Q159&lt;&gt;3,VLOOKUP(H159,'Points Table A'!D$3:$F$28,3),VLOOKUP(H159,'Points Table A'!J$3:$L$33,3))</f>
        <v>#N/A</v>
      </c>
      <c r="Y159" s="4" t="e">
        <f>IF($Q159&lt;&gt;3,VLOOKUP(I159,'Points Table A'!E$3:$F$33,2),VLOOKUP(I159,'Points Table A'!K$3:$L$33,2))</f>
        <v>#N/A</v>
      </c>
      <c r="Z159" s="4" t="e">
        <f t="shared" si="20"/>
        <v>#N/A</v>
      </c>
      <c r="AA159" s="4">
        <f>IF($S159=Lookups!$B$113,VLOOKUP(L159,'Points Table C'!A$3:$E$11,5),VLOOKUP(U159,'Points Table C'!B$3:$E$11,4))</f>
        <v>0</v>
      </c>
      <c r="AB159" s="4" t="e">
        <f>IF($Q159=1,0,VLOOKUP($J159,'Points Table C'!$C$3:$E$18,3))</f>
        <v>#N/A</v>
      </c>
      <c r="AC159" s="4">
        <f>VLOOKUP($K159,'Points Table C'!$D$3:$E$18,2)</f>
        <v>0</v>
      </c>
      <c r="AD159" s="4" t="e">
        <f>IF($Z159&lt;Lookups!$C$106,($AA159+AB159+AC159),IF($AA159&gt;=Lookups!$C$120,($AA159+AB159+AC159),$AA159+$AB159))</f>
        <v>#N/A</v>
      </c>
      <c r="AF159" s="7"/>
      <c r="AG159" s="7"/>
      <c r="AH159" s="7"/>
      <c r="AI159" s="7"/>
      <c r="AJ159" s="7"/>
      <c r="AK159" s="7"/>
      <c r="AL159" s="7"/>
      <c r="AM159" s="7"/>
      <c r="AN159" s="7"/>
      <c r="AO159" s="7"/>
      <c r="AP159" s="7"/>
      <c r="AQ159" s="7"/>
      <c r="AR159" s="7"/>
      <c r="AS159" s="7"/>
      <c r="AT159" s="7"/>
      <c r="AU159" s="7"/>
      <c r="AV159" s="7"/>
      <c r="AW159" s="7"/>
      <c r="AY159" s="7"/>
      <c r="AZ159" s="7"/>
      <c r="BA159" s="7"/>
      <c r="BB159" s="7"/>
    </row>
    <row r="160" spans="2:54" x14ac:dyDescent="0.2">
      <c r="B160" s="174"/>
      <c r="C160" s="176"/>
      <c r="F160" s="5">
        <v>0</v>
      </c>
      <c r="G160" s="192">
        <v>0</v>
      </c>
      <c r="H160" s="192">
        <v>0</v>
      </c>
      <c r="I160" s="5">
        <v>0</v>
      </c>
      <c r="J160" s="192">
        <v>0</v>
      </c>
      <c r="K160" s="192">
        <v>0</v>
      </c>
      <c r="L160" s="5">
        <v>0</v>
      </c>
      <c r="M160" s="5">
        <v>0</v>
      </c>
      <c r="N160" s="4" t="e">
        <f t="shared" si="16"/>
        <v>#N/A</v>
      </c>
      <c r="O160" s="4" t="e">
        <f>IF(ROUND(10.499-(((N160-VLOOKUP($C160,Lookups!$A$55:$D$64,3))/(VLOOKUP($C160,Lookups!$A$55:$D$64,4))*VLOOKUP($C160,Lookups!$C$2:$D$11,2))),0)&lt;1,1,IF(ROUND(10.499-(((N160-VLOOKUP($C160,Lookups!$A$55:$D$64,3))/(VLOOKUP($C160,Lookups!$A$55:$D$64,4))*VLOOKUP($C160,Lookups!$C$2:$D$11,2))),0)&lt;11,ROUND(10.499-(((N160-VLOOKUP($C160,Lookups!$A$55:$D$64,3))/(VLOOKUP($C160,Lookups!$A$55:$D$64,4))*VLOOKUP($C160,Lookups!$C$2:$D$11,2))),0),10))</f>
        <v>#N/A</v>
      </c>
      <c r="P160" s="13" t="str">
        <f>IF((SUM(F160:M160)=0),"J",VLOOKUP(O160,Lookups!$A$1:$B$11,2))</f>
        <v>J</v>
      </c>
      <c r="Q160" s="8" t="e">
        <f>VLOOKUP(C160,Lookups!$A$136:$C$144,3)</f>
        <v>#N/A</v>
      </c>
      <c r="R160" s="8" t="e">
        <f>VLOOKUP(C160,Lookups!$A$136:$C$144,2)</f>
        <v>#N/A</v>
      </c>
      <c r="S160" s="4" t="str">
        <f t="shared" si="17"/>
        <v>No</v>
      </c>
      <c r="T160" s="125">
        <f t="shared" si="18"/>
        <v>0</v>
      </c>
      <c r="U160" s="125">
        <f t="shared" si="19"/>
        <v>0</v>
      </c>
      <c r="V160" s="4" t="e">
        <f>IF($Q160&lt;&gt;3,VLOOKUP(F160,'Points Table A'!B$3:$F$33,5),VLOOKUP(F160,'Points Table A'!H$3:$L$33,5))</f>
        <v>#N/A</v>
      </c>
      <c r="W160" s="4" t="e">
        <f>IF($Q160&lt;&gt;3,VLOOKUP(G160,'Points Table A'!C$3:$F$33,4),VLOOKUP(G160,'Points Table A'!I$3:$L$33,4))</f>
        <v>#N/A</v>
      </c>
      <c r="X160" s="4" t="e">
        <f>IF($Q160&lt;&gt;3,VLOOKUP(H160,'Points Table A'!D$3:$F$28,3),VLOOKUP(H160,'Points Table A'!J$3:$L$33,3))</f>
        <v>#N/A</v>
      </c>
      <c r="Y160" s="4" t="e">
        <f>IF($Q160&lt;&gt;3,VLOOKUP(I160,'Points Table A'!E$3:$F$33,2),VLOOKUP(I160,'Points Table A'!K$3:$L$33,2))</f>
        <v>#N/A</v>
      </c>
      <c r="Z160" s="4" t="e">
        <f t="shared" si="20"/>
        <v>#N/A</v>
      </c>
      <c r="AA160" s="4">
        <f>IF($S160=Lookups!$B$113,VLOOKUP(L160,'Points Table C'!A$3:$E$11,5),VLOOKUP(U160,'Points Table C'!B$3:$E$11,4))</f>
        <v>0</v>
      </c>
      <c r="AB160" s="4" t="e">
        <f>IF($Q160=1,0,VLOOKUP($J160,'Points Table C'!$C$3:$E$18,3))</f>
        <v>#N/A</v>
      </c>
      <c r="AC160" s="4">
        <f>VLOOKUP($K160,'Points Table C'!$D$3:$E$18,2)</f>
        <v>0</v>
      </c>
      <c r="AD160" s="4" t="e">
        <f>IF($Z160&lt;Lookups!$C$106,($AA160+AB160+AC160),IF($AA160&gt;=Lookups!$C$120,($AA160+AB160+AC160),$AA160+$AB160))</f>
        <v>#N/A</v>
      </c>
      <c r="AF160" s="7"/>
      <c r="AG160" s="7"/>
      <c r="AH160" s="7"/>
      <c r="AI160" s="7"/>
      <c r="AJ160" s="7"/>
      <c r="AK160" s="7"/>
      <c r="AL160" s="7"/>
      <c r="AM160" s="7"/>
      <c r="AN160" s="7"/>
      <c r="AO160" s="7"/>
      <c r="AP160" s="7"/>
      <c r="AQ160" s="7"/>
      <c r="AR160" s="7"/>
      <c r="AS160" s="7"/>
      <c r="AT160" s="7"/>
      <c r="AU160" s="7"/>
      <c r="AV160" s="7"/>
      <c r="AW160" s="7"/>
      <c r="AY160" s="7"/>
      <c r="AZ160" s="7"/>
      <c r="BA160" s="7"/>
      <c r="BB160" s="7"/>
    </row>
    <row r="161" spans="2:54" x14ac:dyDescent="0.2">
      <c r="B161" s="174"/>
      <c r="C161" s="176"/>
      <c r="F161" s="5">
        <v>0</v>
      </c>
      <c r="G161" s="192">
        <v>0</v>
      </c>
      <c r="H161" s="192">
        <v>0</v>
      </c>
      <c r="I161" s="5">
        <v>0</v>
      </c>
      <c r="J161" s="192">
        <v>0</v>
      </c>
      <c r="K161" s="192">
        <v>0</v>
      </c>
      <c r="L161" s="5">
        <v>0</v>
      </c>
      <c r="M161" s="5">
        <v>0</v>
      </c>
      <c r="N161" s="4" t="e">
        <f t="shared" si="16"/>
        <v>#N/A</v>
      </c>
      <c r="O161" s="4" t="e">
        <f>IF(ROUND(10.499-(((N161-VLOOKUP($C161,Lookups!$A$55:$D$64,3))/(VLOOKUP($C161,Lookups!$A$55:$D$64,4))*VLOOKUP($C161,Lookups!$C$2:$D$11,2))),0)&lt;1,1,IF(ROUND(10.499-(((N161-VLOOKUP($C161,Lookups!$A$55:$D$64,3))/(VLOOKUP($C161,Lookups!$A$55:$D$64,4))*VLOOKUP($C161,Lookups!$C$2:$D$11,2))),0)&lt;11,ROUND(10.499-(((N161-VLOOKUP($C161,Lookups!$A$55:$D$64,3))/(VLOOKUP($C161,Lookups!$A$55:$D$64,4))*VLOOKUP($C161,Lookups!$C$2:$D$11,2))),0),10))</f>
        <v>#N/A</v>
      </c>
      <c r="P161" s="13" t="str">
        <f>IF((SUM(F161:M161)=0),"J",VLOOKUP(O161,Lookups!$A$1:$B$11,2))</f>
        <v>J</v>
      </c>
      <c r="Q161" s="8" t="e">
        <f>VLOOKUP(C161,Lookups!$A$136:$C$144,3)</f>
        <v>#N/A</v>
      </c>
      <c r="R161" s="8" t="e">
        <f>VLOOKUP(C161,Lookups!$A$136:$C$144,2)</f>
        <v>#N/A</v>
      </c>
      <c r="S161" s="4" t="str">
        <f t="shared" si="17"/>
        <v>No</v>
      </c>
      <c r="T161" s="125">
        <f t="shared" si="18"/>
        <v>0</v>
      </c>
      <c r="U161" s="125">
        <f t="shared" si="19"/>
        <v>0</v>
      </c>
      <c r="V161" s="4" t="e">
        <f>IF($Q161&lt;&gt;3,VLOOKUP(F161,'Points Table A'!B$3:$F$33,5),VLOOKUP(F161,'Points Table A'!H$3:$L$33,5))</f>
        <v>#N/A</v>
      </c>
      <c r="W161" s="4" t="e">
        <f>IF($Q161&lt;&gt;3,VLOOKUP(G161,'Points Table A'!C$3:$F$33,4),VLOOKUP(G161,'Points Table A'!I$3:$L$33,4))</f>
        <v>#N/A</v>
      </c>
      <c r="X161" s="4" t="e">
        <f>IF($Q161&lt;&gt;3,VLOOKUP(H161,'Points Table A'!D$3:$F$28,3),VLOOKUP(H161,'Points Table A'!J$3:$L$33,3))</f>
        <v>#N/A</v>
      </c>
      <c r="Y161" s="4" t="e">
        <f>IF($Q161&lt;&gt;3,VLOOKUP(I161,'Points Table A'!E$3:$F$33,2),VLOOKUP(I161,'Points Table A'!K$3:$L$33,2))</f>
        <v>#N/A</v>
      </c>
      <c r="Z161" s="4" t="e">
        <f t="shared" si="20"/>
        <v>#N/A</v>
      </c>
      <c r="AA161" s="4">
        <f>IF($S161=Lookups!$B$113,VLOOKUP(L161,'Points Table C'!A$3:$E$11,5),VLOOKUP(U161,'Points Table C'!B$3:$E$11,4))</f>
        <v>0</v>
      </c>
      <c r="AB161" s="4" t="e">
        <f>IF($Q161=1,0,VLOOKUP($J161,'Points Table C'!$C$3:$E$18,3))</f>
        <v>#N/A</v>
      </c>
      <c r="AC161" s="4">
        <f>VLOOKUP($K161,'Points Table C'!$D$3:$E$18,2)</f>
        <v>0</v>
      </c>
      <c r="AD161" s="4" t="e">
        <f>IF($Z161&lt;Lookups!$C$106,($AA161+AB161+AC161),IF($AA161&gt;=Lookups!$C$120,($AA161+AB161+AC161),$AA161+$AB161))</f>
        <v>#N/A</v>
      </c>
      <c r="AF161" s="7"/>
      <c r="AG161" s="7"/>
      <c r="AH161" s="7"/>
      <c r="AI161" s="7"/>
      <c r="AJ161" s="7"/>
      <c r="AK161" s="7"/>
      <c r="AL161" s="7"/>
      <c r="AM161" s="7"/>
      <c r="AN161" s="7"/>
      <c r="AO161" s="7"/>
      <c r="AP161" s="7"/>
      <c r="AQ161" s="7"/>
      <c r="AR161" s="7"/>
      <c r="AS161" s="7"/>
      <c r="AT161" s="7"/>
      <c r="AU161" s="7"/>
      <c r="AV161" s="7"/>
      <c r="AW161" s="7"/>
      <c r="AY161" s="7"/>
      <c r="AZ161" s="7"/>
      <c r="BA161" s="7"/>
      <c r="BB161" s="7"/>
    </row>
    <row r="162" spans="2:54" x14ac:dyDescent="0.2">
      <c r="B162" s="174"/>
      <c r="C162" s="176"/>
      <c r="F162" s="5">
        <v>0</v>
      </c>
      <c r="G162" s="192">
        <v>0</v>
      </c>
      <c r="H162" s="192">
        <v>0</v>
      </c>
      <c r="I162" s="5">
        <v>0</v>
      </c>
      <c r="J162" s="192">
        <v>0</v>
      </c>
      <c r="K162" s="192">
        <v>0</v>
      </c>
      <c r="L162" s="5">
        <v>0</v>
      </c>
      <c r="M162" s="5">
        <v>0</v>
      </c>
      <c r="N162" s="4" t="e">
        <f t="shared" si="16"/>
        <v>#N/A</v>
      </c>
      <c r="O162" s="4" t="e">
        <f>IF(ROUND(10.499-(((N162-VLOOKUP($C162,Lookups!$A$55:$D$64,3))/(VLOOKUP($C162,Lookups!$A$55:$D$64,4))*VLOOKUP($C162,Lookups!$C$2:$D$11,2))),0)&lt;1,1,IF(ROUND(10.499-(((N162-VLOOKUP($C162,Lookups!$A$55:$D$64,3))/(VLOOKUP($C162,Lookups!$A$55:$D$64,4))*VLOOKUP($C162,Lookups!$C$2:$D$11,2))),0)&lt;11,ROUND(10.499-(((N162-VLOOKUP($C162,Lookups!$A$55:$D$64,3))/(VLOOKUP($C162,Lookups!$A$55:$D$64,4))*VLOOKUP($C162,Lookups!$C$2:$D$11,2))),0),10))</f>
        <v>#N/A</v>
      </c>
      <c r="P162" s="13" t="str">
        <f>IF((SUM(F162:M162)=0),"J",VLOOKUP(O162,Lookups!$A$1:$B$11,2))</f>
        <v>J</v>
      </c>
      <c r="Q162" s="8" t="e">
        <f>VLOOKUP(C162,Lookups!$A$136:$C$144,3)</f>
        <v>#N/A</v>
      </c>
      <c r="R162" s="8" t="e">
        <f>VLOOKUP(C162,Lookups!$A$136:$C$144,2)</f>
        <v>#N/A</v>
      </c>
      <c r="S162" s="4" t="str">
        <f t="shared" si="17"/>
        <v>No</v>
      </c>
      <c r="T162" s="125">
        <f t="shared" si="18"/>
        <v>0</v>
      </c>
      <c r="U162" s="125">
        <f t="shared" si="19"/>
        <v>0</v>
      </c>
      <c r="V162" s="4" t="e">
        <f>IF($Q162&lt;&gt;3,VLOOKUP(F162,'Points Table A'!B$3:$F$33,5),VLOOKUP(F162,'Points Table A'!H$3:$L$33,5))</f>
        <v>#N/A</v>
      </c>
      <c r="W162" s="4" t="e">
        <f>IF($Q162&lt;&gt;3,VLOOKUP(G162,'Points Table A'!C$3:$F$33,4),VLOOKUP(G162,'Points Table A'!I$3:$L$33,4))</f>
        <v>#N/A</v>
      </c>
      <c r="X162" s="4" t="e">
        <f>IF($Q162&lt;&gt;3,VLOOKUP(H162,'Points Table A'!D$3:$F$28,3),VLOOKUP(H162,'Points Table A'!J$3:$L$33,3))</f>
        <v>#N/A</v>
      </c>
      <c r="Y162" s="4" t="e">
        <f>IF($Q162&lt;&gt;3,VLOOKUP(I162,'Points Table A'!E$3:$F$33,2),VLOOKUP(I162,'Points Table A'!K$3:$L$33,2))</f>
        <v>#N/A</v>
      </c>
      <c r="Z162" s="4" t="e">
        <f t="shared" si="20"/>
        <v>#N/A</v>
      </c>
      <c r="AA162" s="4">
        <f>IF($S162=Lookups!$B$113,VLOOKUP(L162,'Points Table C'!A$3:$E$11,5),VLOOKUP(U162,'Points Table C'!B$3:$E$11,4))</f>
        <v>0</v>
      </c>
      <c r="AB162" s="4" t="e">
        <f>IF($Q162=1,0,VLOOKUP($J162,'Points Table C'!$C$3:$E$18,3))</f>
        <v>#N/A</v>
      </c>
      <c r="AC162" s="4">
        <f>VLOOKUP($K162,'Points Table C'!$D$3:$E$18,2)</f>
        <v>0</v>
      </c>
      <c r="AD162" s="4" t="e">
        <f>IF($Z162&lt;Lookups!$C$106,($AA162+AB162+AC162),IF($AA162&gt;=Lookups!$C$120,($AA162+AB162+AC162),$AA162+$AB162))</f>
        <v>#N/A</v>
      </c>
      <c r="AF162" s="7"/>
      <c r="AG162" s="7"/>
      <c r="AH162" s="7"/>
      <c r="AI162" s="7"/>
      <c r="AJ162" s="7"/>
      <c r="AK162" s="7"/>
      <c r="AL162" s="7"/>
      <c r="AM162" s="7"/>
      <c r="AN162" s="7"/>
      <c r="AO162" s="7"/>
      <c r="AP162" s="7"/>
      <c r="AQ162" s="7"/>
      <c r="AR162" s="7"/>
      <c r="AS162" s="7"/>
      <c r="AT162" s="7"/>
      <c r="AU162" s="7"/>
      <c r="AV162" s="7"/>
      <c r="AW162" s="7"/>
      <c r="AY162" s="7"/>
      <c r="AZ162" s="7"/>
      <c r="BA162" s="7"/>
      <c r="BB162" s="7"/>
    </row>
    <row r="163" spans="2:54" x14ac:dyDescent="0.2">
      <c r="B163" s="174"/>
      <c r="C163" s="176"/>
      <c r="F163" s="5">
        <v>0</v>
      </c>
      <c r="G163" s="192">
        <v>0</v>
      </c>
      <c r="H163" s="192">
        <v>0</v>
      </c>
      <c r="I163" s="5">
        <v>0</v>
      </c>
      <c r="J163" s="192">
        <v>0</v>
      </c>
      <c r="K163" s="192">
        <v>0</v>
      </c>
      <c r="L163" s="5">
        <v>0</v>
      </c>
      <c r="M163" s="5">
        <v>0</v>
      </c>
      <c r="N163" s="4" t="e">
        <f t="shared" si="16"/>
        <v>#N/A</v>
      </c>
      <c r="O163" s="4" t="e">
        <f>IF(ROUND(10.499-(((N163-VLOOKUP($C163,Lookups!$A$55:$D$64,3))/(VLOOKUP($C163,Lookups!$A$55:$D$64,4))*VLOOKUP($C163,Lookups!$C$2:$D$11,2))),0)&lt;1,1,IF(ROUND(10.499-(((N163-VLOOKUP($C163,Lookups!$A$55:$D$64,3))/(VLOOKUP($C163,Lookups!$A$55:$D$64,4))*VLOOKUP($C163,Lookups!$C$2:$D$11,2))),0)&lt;11,ROUND(10.499-(((N163-VLOOKUP($C163,Lookups!$A$55:$D$64,3))/(VLOOKUP($C163,Lookups!$A$55:$D$64,4))*VLOOKUP($C163,Lookups!$C$2:$D$11,2))),0),10))</f>
        <v>#N/A</v>
      </c>
      <c r="P163" s="13" t="str">
        <f>IF((SUM(F163:M163)=0),"J",VLOOKUP(O163,Lookups!$A$1:$B$11,2))</f>
        <v>J</v>
      </c>
      <c r="Q163" s="8" t="e">
        <f>VLOOKUP(C163,Lookups!$A$136:$C$144,3)</f>
        <v>#N/A</v>
      </c>
      <c r="R163" s="8" t="e">
        <f>VLOOKUP(C163,Lookups!$A$136:$C$144,2)</f>
        <v>#N/A</v>
      </c>
      <c r="S163" s="4" t="str">
        <f t="shared" si="17"/>
        <v>No</v>
      </c>
      <c r="T163" s="125">
        <f t="shared" si="18"/>
        <v>0</v>
      </c>
      <c r="U163" s="125">
        <f t="shared" si="19"/>
        <v>0</v>
      </c>
      <c r="V163" s="4" t="e">
        <f>IF($Q163&lt;&gt;3,VLOOKUP(F163,'Points Table A'!B$3:$F$33,5),VLOOKUP(F163,'Points Table A'!H$3:$L$33,5))</f>
        <v>#N/A</v>
      </c>
      <c r="W163" s="4" t="e">
        <f>IF($Q163&lt;&gt;3,VLOOKUP(G163,'Points Table A'!C$3:$F$33,4),VLOOKUP(G163,'Points Table A'!I$3:$L$33,4))</f>
        <v>#N/A</v>
      </c>
      <c r="X163" s="4" t="e">
        <f>IF($Q163&lt;&gt;3,VLOOKUP(H163,'Points Table A'!D$3:$F$28,3),VLOOKUP(H163,'Points Table A'!J$3:$L$33,3))</f>
        <v>#N/A</v>
      </c>
      <c r="Y163" s="4" t="e">
        <f>IF($Q163&lt;&gt;3,VLOOKUP(I163,'Points Table A'!E$3:$F$33,2),VLOOKUP(I163,'Points Table A'!K$3:$L$33,2))</f>
        <v>#N/A</v>
      </c>
      <c r="Z163" s="4" t="e">
        <f t="shared" si="20"/>
        <v>#N/A</v>
      </c>
      <c r="AA163" s="4">
        <f>IF($S163=Lookups!$B$113,VLOOKUP(L163,'Points Table C'!A$3:$E$11,5),VLOOKUP(U163,'Points Table C'!B$3:$E$11,4))</f>
        <v>0</v>
      </c>
      <c r="AB163" s="4" t="e">
        <f>IF($Q163=1,0,VLOOKUP($J163,'Points Table C'!$C$3:$E$18,3))</f>
        <v>#N/A</v>
      </c>
      <c r="AC163" s="4">
        <f>VLOOKUP($K163,'Points Table C'!$D$3:$E$18,2)</f>
        <v>0</v>
      </c>
      <c r="AD163" s="4" t="e">
        <f>IF($Z163&lt;Lookups!$C$106,($AA163+AB163+AC163),IF($AA163&gt;=Lookups!$C$120,($AA163+AB163+AC163),$AA163+$AB163))</f>
        <v>#N/A</v>
      </c>
      <c r="AF163" s="7"/>
      <c r="AG163" s="7"/>
      <c r="AH163" s="7"/>
      <c r="AI163" s="7"/>
      <c r="AJ163" s="7"/>
      <c r="AK163" s="7"/>
      <c r="AL163" s="7"/>
      <c r="AM163" s="7"/>
      <c r="AN163" s="7"/>
      <c r="AO163" s="7"/>
      <c r="AP163" s="7"/>
      <c r="AQ163" s="7"/>
      <c r="AR163" s="7"/>
      <c r="AS163" s="7"/>
      <c r="AT163" s="7"/>
      <c r="AU163" s="7"/>
      <c r="AV163" s="7"/>
      <c r="AW163" s="7"/>
      <c r="AY163" s="7"/>
      <c r="AZ163" s="7"/>
      <c r="BA163" s="7"/>
      <c r="BB163" s="7"/>
    </row>
    <row r="164" spans="2:54" x14ac:dyDescent="0.2">
      <c r="B164" s="174"/>
      <c r="C164" s="176"/>
      <c r="F164" s="5">
        <v>0</v>
      </c>
      <c r="G164" s="192">
        <v>0</v>
      </c>
      <c r="H164" s="192">
        <v>0</v>
      </c>
      <c r="I164" s="5">
        <v>0</v>
      </c>
      <c r="J164" s="192">
        <v>0</v>
      </c>
      <c r="K164" s="192">
        <v>0</v>
      </c>
      <c r="L164" s="5">
        <v>0</v>
      </c>
      <c r="M164" s="5">
        <v>0</v>
      </c>
      <c r="N164" s="4" t="e">
        <f t="shared" si="16"/>
        <v>#N/A</v>
      </c>
      <c r="O164" s="4" t="e">
        <f>IF(ROUND(10.499-(((N164-VLOOKUP($C164,Lookups!$A$55:$D$64,3))/(VLOOKUP($C164,Lookups!$A$55:$D$64,4))*VLOOKUP($C164,Lookups!$C$2:$D$11,2))),0)&lt;1,1,IF(ROUND(10.499-(((N164-VLOOKUP($C164,Lookups!$A$55:$D$64,3))/(VLOOKUP($C164,Lookups!$A$55:$D$64,4))*VLOOKUP($C164,Lookups!$C$2:$D$11,2))),0)&lt;11,ROUND(10.499-(((N164-VLOOKUP($C164,Lookups!$A$55:$D$64,3))/(VLOOKUP($C164,Lookups!$A$55:$D$64,4))*VLOOKUP($C164,Lookups!$C$2:$D$11,2))),0),10))</f>
        <v>#N/A</v>
      </c>
      <c r="P164" s="13" t="str">
        <f>IF((SUM(F164:M164)=0),"J",VLOOKUP(O164,Lookups!$A$1:$B$11,2))</f>
        <v>J</v>
      </c>
      <c r="Q164" s="8" t="e">
        <f>VLOOKUP(C164,Lookups!$A$136:$C$144,3)</f>
        <v>#N/A</v>
      </c>
      <c r="R164" s="8" t="e">
        <f>VLOOKUP(C164,Lookups!$A$136:$C$144,2)</f>
        <v>#N/A</v>
      </c>
      <c r="S164" s="4" t="str">
        <f t="shared" si="17"/>
        <v>No</v>
      </c>
      <c r="T164" s="125">
        <f t="shared" si="18"/>
        <v>0</v>
      </c>
      <c r="U164" s="125">
        <f t="shared" si="19"/>
        <v>0</v>
      </c>
      <c r="V164" s="4" t="e">
        <f>IF($Q164&lt;&gt;3,VLOOKUP(F164,'Points Table A'!B$3:$F$33,5),VLOOKUP(F164,'Points Table A'!H$3:$L$33,5))</f>
        <v>#N/A</v>
      </c>
      <c r="W164" s="4" t="e">
        <f>IF($Q164&lt;&gt;3,VLOOKUP(G164,'Points Table A'!C$3:$F$33,4),VLOOKUP(G164,'Points Table A'!I$3:$L$33,4))</f>
        <v>#N/A</v>
      </c>
      <c r="X164" s="4" t="e">
        <f>IF($Q164&lt;&gt;3,VLOOKUP(H164,'Points Table A'!D$3:$F$28,3),VLOOKUP(H164,'Points Table A'!J$3:$L$33,3))</f>
        <v>#N/A</v>
      </c>
      <c r="Y164" s="4" t="e">
        <f>IF($Q164&lt;&gt;3,VLOOKUP(I164,'Points Table A'!E$3:$F$33,2),VLOOKUP(I164,'Points Table A'!K$3:$L$33,2))</f>
        <v>#N/A</v>
      </c>
      <c r="Z164" s="4" t="e">
        <f t="shared" si="20"/>
        <v>#N/A</v>
      </c>
      <c r="AA164" s="4">
        <f>IF($S164=Lookups!$B$113,VLOOKUP(L164,'Points Table C'!A$3:$E$11,5),VLOOKUP(U164,'Points Table C'!B$3:$E$11,4))</f>
        <v>0</v>
      </c>
      <c r="AB164" s="4" t="e">
        <f>IF($Q164=1,0,VLOOKUP($J164,'Points Table C'!$C$3:$E$18,3))</f>
        <v>#N/A</v>
      </c>
      <c r="AC164" s="4">
        <f>VLOOKUP($K164,'Points Table C'!$D$3:$E$18,2)</f>
        <v>0</v>
      </c>
      <c r="AD164" s="4" t="e">
        <f>IF($Z164&lt;Lookups!$C$106,($AA164+AB164+AC164),IF($AA164&gt;=Lookups!$C$120,($AA164+AB164+AC164),$AA164+$AB164))</f>
        <v>#N/A</v>
      </c>
      <c r="AF164" s="7"/>
      <c r="AG164" s="7"/>
      <c r="AH164" s="7"/>
      <c r="AI164" s="7"/>
      <c r="AJ164" s="7"/>
      <c r="AK164" s="7"/>
      <c r="AL164" s="7"/>
      <c r="AM164" s="7"/>
      <c r="AN164" s="7"/>
      <c r="AO164" s="7"/>
      <c r="AP164" s="7"/>
      <c r="AQ164" s="7"/>
      <c r="AR164" s="7"/>
      <c r="AS164" s="7"/>
      <c r="AT164" s="7"/>
      <c r="AU164" s="7"/>
      <c r="AV164" s="7"/>
      <c r="AW164" s="7"/>
      <c r="AY164" s="7"/>
      <c r="AZ164" s="7"/>
      <c r="BA164" s="7"/>
      <c r="BB164" s="7"/>
    </row>
    <row r="165" spans="2:54" x14ac:dyDescent="0.2">
      <c r="B165" s="174"/>
      <c r="C165" s="176"/>
      <c r="F165" s="5">
        <v>0</v>
      </c>
      <c r="G165" s="192">
        <v>0</v>
      </c>
      <c r="H165" s="192">
        <v>0</v>
      </c>
      <c r="I165" s="5">
        <v>0</v>
      </c>
      <c r="J165" s="192">
        <v>0</v>
      </c>
      <c r="K165" s="192">
        <v>0</v>
      </c>
      <c r="L165" s="5">
        <v>0</v>
      </c>
      <c r="M165" s="5">
        <v>0</v>
      </c>
      <c r="N165" s="4" t="e">
        <f t="shared" si="16"/>
        <v>#N/A</v>
      </c>
      <c r="O165" s="4" t="e">
        <f>IF(ROUND(10.499-(((N165-VLOOKUP($C165,Lookups!$A$55:$D$64,3))/(VLOOKUP($C165,Lookups!$A$55:$D$64,4))*VLOOKUP($C165,Lookups!$C$2:$D$11,2))),0)&lt;1,1,IF(ROUND(10.499-(((N165-VLOOKUP($C165,Lookups!$A$55:$D$64,3))/(VLOOKUP($C165,Lookups!$A$55:$D$64,4))*VLOOKUP($C165,Lookups!$C$2:$D$11,2))),0)&lt;11,ROUND(10.499-(((N165-VLOOKUP($C165,Lookups!$A$55:$D$64,3))/(VLOOKUP($C165,Lookups!$A$55:$D$64,4))*VLOOKUP($C165,Lookups!$C$2:$D$11,2))),0),10))</f>
        <v>#N/A</v>
      </c>
      <c r="P165" s="13" t="str">
        <f>IF((SUM(F165:M165)=0),"J",VLOOKUP(O165,Lookups!$A$1:$B$11,2))</f>
        <v>J</v>
      </c>
      <c r="Q165" s="8" t="e">
        <f>VLOOKUP(C165,Lookups!$A$136:$C$144,3)</f>
        <v>#N/A</v>
      </c>
      <c r="R165" s="8" t="e">
        <f>VLOOKUP(C165,Lookups!$A$136:$C$144,2)</f>
        <v>#N/A</v>
      </c>
      <c r="S165" s="4" t="str">
        <f t="shared" si="17"/>
        <v>No</v>
      </c>
      <c r="T165" s="125">
        <f t="shared" si="18"/>
        <v>0</v>
      </c>
      <c r="U165" s="125">
        <f t="shared" si="19"/>
        <v>0</v>
      </c>
      <c r="V165" s="4" t="e">
        <f>IF($Q165&lt;&gt;3,VLOOKUP(F165,'Points Table A'!B$3:$F$33,5),VLOOKUP(F165,'Points Table A'!H$3:$L$33,5))</f>
        <v>#N/A</v>
      </c>
      <c r="W165" s="4" t="e">
        <f>IF($Q165&lt;&gt;3,VLOOKUP(G165,'Points Table A'!C$3:$F$33,4),VLOOKUP(G165,'Points Table A'!I$3:$L$33,4))</f>
        <v>#N/A</v>
      </c>
      <c r="X165" s="4" t="e">
        <f>IF($Q165&lt;&gt;3,VLOOKUP(H165,'Points Table A'!D$3:$F$28,3),VLOOKUP(H165,'Points Table A'!J$3:$L$33,3))</f>
        <v>#N/A</v>
      </c>
      <c r="Y165" s="4" t="e">
        <f>IF($Q165&lt;&gt;3,VLOOKUP(I165,'Points Table A'!E$3:$F$33,2),VLOOKUP(I165,'Points Table A'!K$3:$L$33,2))</f>
        <v>#N/A</v>
      </c>
      <c r="Z165" s="4" t="e">
        <f t="shared" si="20"/>
        <v>#N/A</v>
      </c>
      <c r="AA165" s="4">
        <f>IF($S165=Lookups!$B$113,VLOOKUP(L165,'Points Table C'!A$3:$E$11,5),VLOOKUP(U165,'Points Table C'!B$3:$E$11,4))</f>
        <v>0</v>
      </c>
      <c r="AB165" s="4" t="e">
        <f>IF($Q165=1,0,VLOOKUP($J165,'Points Table C'!$C$3:$E$18,3))</f>
        <v>#N/A</v>
      </c>
      <c r="AC165" s="4">
        <f>VLOOKUP($K165,'Points Table C'!$D$3:$E$18,2)</f>
        <v>0</v>
      </c>
      <c r="AD165" s="4" t="e">
        <f>IF($Z165&lt;Lookups!$C$106,($AA165+AB165+AC165),IF($AA165&gt;=Lookups!$C$120,($AA165+AB165+AC165),$AA165+$AB165))</f>
        <v>#N/A</v>
      </c>
      <c r="AF165" s="7"/>
      <c r="AG165" s="7"/>
      <c r="AH165" s="7"/>
      <c r="AI165" s="7"/>
      <c r="AJ165" s="7"/>
      <c r="AK165" s="7"/>
      <c r="AL165" s="7"/>
      <c r="AM165" s="7"/>
      <c r="AN165" s="7"/>
      <c r="AO165" s="7"/>
      <c r="AP165" s="7"/>
      <c r="AQ165" s="7"/>
      <c r="AR165" s="7"/>
      <c r="AS165" s="7"/>
      <c r="AT165" s="7"/>
      <c r="AU165" s="7"/>
      <c r="AV165" s="7"/>
      <c r="AW165" s="7"/>
      <c r="AY165" s="7"/>
      <c r="AZ165" s="7"/>
      <c r="BA165" s="7"/>
      <c r="BB165" s="7"/>
    </row>
    <row r="166" spans="2:54" x14ac:dyDescent="0.2">
      <c r="B166" s="174"/>
      <c r="C166" s="176"/>
      <c r="F166" s="5">
        <v>0</v>
      </c>
      <c r="G166" s="192">
        <v>0</v>
      </c>
      <c r="H166" s="192">
        <v>0</v>
      </c>
      <c r="I166" s="5">
        <v>0</v>
      </c>
      <c r="J166" s="192">
        <v>0</v>
      </c>
      <c r="K166" s="192">
        <v>0</v>
      </c>
      <c r="L166" s="5">
        <v>0</v>
      </c>
      <c r="M166" s="5">
        <v>0</v>
      </c>
      <c r="N166" s="4" t="e">
        <f t="shared" si="16"/>
        <v>#N/A</v>
      </c>
      <c r="O166" s="4" t="e">
        <f>IF(ROUND(10.499-(((N166-VLOOKUP($C166,Lookups!$A$55:$D$64,3))/(VLOOKUP($C166,Lookups!$A$55:$D$64,4))*VLOOKUP($C166,Lookups!$C$2:$D$11,2))),0)&lt;1,1,IF(ROUND(10.499-(((N166-VLOOKUP($C166,Lookups!$A$55:$D$64,3))/(VLOOKUP($C166,Lookups!$A$55:$D$64,4))*VLOOKUP($C166,Lookups!$C$2:$D$11,2))),0)&lt;11,ROUND(10.499-(((N166-VLOOKUP($C166,Lookups!$A$55:$D$64,3))/(VLOOKUP($C166,Lookups!$A$55:$D$64,4))*VLOOKUP($C166,Lookups!$C$2:$D$11,2))),0),10))</f>
        <v>#N/A</v>
      </c>
      <c r="P166" s="13" t="str">
        <f>IF((SUM(F166:M166)=0),"J",VLOOKUP(O166,Lookups!$A$1:$B$11,2))</f>
        <v>J</v>
      </c>
      <c r="Q166" s="8" t="e">
        <f>VLOOKUP(C166,Lookups!$A$136:$C$144,3)</f>
        <v>#N/A</v>
      </c>
      <c r="R166" s="8" t="e">
        <f>VLOOKUP(C166,Lookups!$A$136:$C$144,2)</f>
        <v>#N/A</v>
      </c>
      <c r="S166" s="4" t="str">
        <f t="shared" si="17"/>
        <v>No</v>
      </c>
      <c r="T166" s="125">
        <f t="shared" si="18"/>
        <v>0</v>
      </c>
      <c r="U166" s="125">
        <f t="shared" si="19"/>
        <v>0</v>
      </c>
      <c r="V166" s="4" t="e">
        <f>IF($Q166&lt;&gt;3,VLOOKUP(F166,'Points Table A'!B$3:$F$33,5),VLOOKUP(F166,'Points Table A'!H$3:$L$33,5))</f>
        <v>#N/A</v>
      </c>
      <c r="W166" s="4" t="e">
        <f>IF($Q166&lt;&gt;3,VLOOKUP(G166,'Points Table A'!C$3:$F$33,4),VLOOKUP(G166,'Points Table A'!I$3:$L$33,4))</f>
        <v>#N/A</v>
      </c>
      <c r="X166" s="4" t="e">
        <f>IF($Q166&lt;&gt;3,VLOOKUP(H166,'Points Table A'!D$3:$F$28,3),VLOOKUP(H166,'Points Table A'!J$3:$L$33,3))</f>
        <v>#N/A</v>
      </c>
      <c r="Y166" s="4" t="e">
        <f>IF($Q166&lt;&gt;3,VLOOKUP(I166,'Points Table A'!E$3:$F$33,2),VLOOKUP(I166,'Points Table A'!K$3:$L$33,2))</f>
        <v>#N/A</v>
      </c>
      <c r="Z166" s="4" t="e">
        <f t="shared" si="20"/>
        <v>#N/A</v>
      </c>
      <c r="AA166" s="4">
        <f>IF($S166=Lookups!$B$113,VLOOKUP(L166,'Points Table C'!A$3:$E$11,5),VLOOKUP(U166,'Points Table C'!B$3:$E$11,4))</f>
        <v>0</v>
      </c>
      <c r="AB166" s="4" t="e">
        <f>IF($Q166=1,0,VLOOKUP($J166,'Points Table C'!$C$3:$E$18,3))</f>
        <v>#N/A</v>
      </c>
      <c r="AC166" s="4">
        <f>VLOOKUP($K166,'Points Table C'!$D$3:$E$18,2)</f>
        <v>0</v>
      </c>
      <c r="AD166" s="4" t="e">
        <f>IF($Z166&lt;Lookups!$C$106,($AA166+AB166+AC166),IF($AA166&gt;=Lookups!$C$120,($AA166+AB166+AC166),$AA166+$AB166))</f>
        <v>#N/A</v>
      </c>
      <c r="AF166" s="7"/>
      <c r="AG166" s="7"/>
      <c r="AH166" s="7"/>
      <c r="AI166" s="7"/>
      <c r="AJ166" s="7"/>
      <c r="AK166" s="7"/>
      <c r="AL166" s="7"/>
      <c r="AM166" s="7"/>
      <c r="AN166" s="7"/>
      <c r="AO166" s="7"/>
      <c r="AP166" s="7"/>
      <c r="AQ166" s="7"/>
      <c r="AR166" s="7"/>
      <c r="AS166" s="7"/>
      <c r="AT166" s="7"/>
      <c r="AU166" s="7"/>
      <c r="AV166" s="7"/>
      <c r="AW166" s="7"/>
      <c r="AY166" s="7"/>
      <c r="AZ166" s="7"/>
      <c r="BA166" s="7"/>
      <c r="BB166" s="7"/>
    </row>
    <row r="167" spans="2:54" x14ac:dyDescent="0.2">
      <c r="B167" s="174"/>
      <c r="C167" s="176"/>
      <c r="F167" s="5">
        <v>0</v>
      </c>
      <c r="G167" s="192">
        <v>0</v>
      </c>
      <c r="H167" s="192">
        <v>0</v>
      </c>
      <c r="I167" s="5">
        <v>0</v>
      </c>
      <c r="J167" s="192">
        <v>0</v>
      </c>
      <c r="K167" s="192">
        <v>0</v>
      </c>
      <c r="L167" s="5">
        <v>0</v>
      </c>
      <c r="M167" s="5">
        <v>0</v>
      </c>
      <c r="N167" s="4" t="e">
        <f t="shared" si="16"/>
        <v>#N/A</v>
      </c>
      <c r="O167" s="4" t="e">
        <f>IF(ROUND(10.499-(((N167-VLOOKUP($C167,Lookups!$A$55:$D$64,3))/(VLOOKUP($C167,Lookups!$A$55:$D$64,4))*VLOOKUP($C167,Lookups!$C$2:$D$11,2))),0)&lt;1,1,IF(ROUND(10.499-(((N167-VLOOKUP($C167,Lookups!$A$55:$D$64,3))/(VLOOKUP($C167,Lookups!$A$55:$D$64,4))*VLOOKUP($C167,Lookups!$C$2:$D$11,2))),0)&lt;11,ROUND(10.499-(((N167-VLOOKUP($C167,Lookups!$A$55:$D$64,3))/(VLOOKUP($C167,Lookups!$A$55:$D$64,4))*VLOOKUP($C167,Lookups!$C$2:$D$11,2))),0),10))</f>
        <v>#N/A</v>
      </c>
      <c r="P167" s="13" t="str">
        <f>IF((SUM(F167:M167)=0),"J",VLOOKUP(O167,Lookups!$A$1:$B$11,2))</f>
        <v>J</v>
      </c>
      <c r="Q167" s="8" t="e">
        <f>VLOOKUP(C167,Lookups!$A$136:$C$144,3)</f>
        <v>#N/A</v>
      </c>
      <c r="R167" s="8" t="e">
        <f>VLOOKUP(C167,Lookups!$A$136:$C$144,2)</f>
        <v>#N/A</v>
      </c>
      <c r="S167" s="4" t="str">
        <f t="shared" si="17"/>
        <v>No</v>
      </c>
      <c r="T167" s="125">
        <f t="shared" si="18"/>
        <v>0</v>
      </c>
      <c r="U167" s="125">
        <f t="shared" si="19"/>
        <v>0</v>
      </c>
      <c r="V167" s="4" t="e">
        <f>IF($Q167&lt;&gt;3,VLOOKUP(F167,'Points Table A'!B$3:$F$33,5),VLOOKUP(F167,'Points Table A'!H$3:$L$33,5))</f>
        <v>#N/A</v>
      </c>
      <c r="W167" s="4" t="e">
        <f>IF($Q167&lt;&gt;3,VLOOKUP(G167,'Points Table A'!C$3:$F$33,4),VLOOKUP(G167,'Points Table A'!I$3:$L$33,4))</f>
        <v>#N/A</v>
      </c>
      <c r="X167" s="4" t="e">
        <f>IF($Q167&lt;&gt;3,VLOOKUP(H167,'Points Table A'!D$3:$F$28,3),VLOOKUP(H167,'Points Table A'!J$3:$L$33,3))</f>
        <v>#N/A</v>
      </c>
      <c r="Y167" s="4" t="e">
        <f>IF($Q167&lt;&gt;3,VLOOKUP(I167,'Points Table A'!E$3:$F$33,2),VLOOKUP(I167,'Points Table A'!K$3:$L$33,2))</f>
        <v>#N/A</v>
      </c>
      <c r="Z167" s="4" t="e">
        <f t="shared" si="20"/>
        <v>#N/A</v>
      </c>
      <c r="AA167" s="4">
        <f>IF($S167=Lookups!$B$113,VLOOKUP(L167,'Points Table C'!A$3:$E$11,5),VLOOKUP(U167,'Points Table C'!B$3:$E$11,4))</f>
        <v>0</v>
      </c>
      <c r="AB167" s="4" t="e">
        <f>IF($Q167=1,0,VLOOKUP($J167,'Points Table C'!$C$3:$E$18,3))</f>
        <v>#N/A</v>
      </c>
      <c r="AC167" s="4">
        <f>VLOOKUP($K167,'Points Table C'!$D$3:$E$18,2)</f>
        <v>0</v>
      </c>
      <c r="AD167" s="4" t="e">
        <f>IF($Z167&lt;Lookups!$C$106,($AA167+AB167+AC167),IF($AA167&gt;=Lookups!$C$120,($AA167+AB167+AC167),$AA167+$AB167))</f>
        <v>#N/A</v>
      </c>
      <c r="AF167" s="7"/>
      <c r="AG167" s="7"/>
      <c r="AH167" s="7"/>
      <c r="AI167" s="7"/>
      <c r="AJ167" s="7"/>
      <c r="AK167" s="7"/>
      <c r="AL167" s="7"/>
      <c r="AM167" s="7"/>
      <c r="AN167" s="7"/>
      <c r="AO167" s="7"/>
      <c r="AP167" s="7"/>
      <c r="AQ167" s="7"/>
      <c r="AR167" s="7"/>
      <c r="AS167" s="7"/>
      <c r="AT167" s="7"/>
      <c r="AU167" s="7"/>
      <c r="AV167" s="7"/>
      <c r="AW167" s="7"/>
      <c r="AY167" s="7"/>
      <c r="AZ167" s="7"/>
      <c r="BA167" s="7"/>
      <c r="BB167" s="7"/>
    </row>
    <row r="168" spans="2:54" x14ac:dyDescent="0.2">
      <c r="B168" s="174"/>
      <c r="C168" s="176"/>
      <c r="F168" s="5">
        <v>0</v>
      </c>
      <c r="G168" s="192">
        <v>0</v>
      </c>
      <c r="H168" s="192">
        <v>0</v>
      </c>
      <c r="I168" s="5">
        <v>0</v>
      </c>
      <c r="J168" s="192">
        <v>0</v>
      </c>
      <c r="K168" s="192">
        <v>0</v>
      </c>
      <c r="L168" s="5">
        <v>0</v>
      </c>
      <c r="M168" s="5">
        <v>0</v>
      </c>
      <c r="N168" s="4" t="e">
        <f t="shared" si="16"/>
        <v>#N/A</v>
      </c>
      <c r="O168" s="4" t="e">
        <f>IF(ROUND(10.499-(((N168-VLOOKUP($C168,Lookups!$A$55:$D$64,3))/(VLOOKUP($C168,Lookups!$A$55:$D$64,4))*VLOOKUP($C168,Lookups!$C$2:$D$11,2))),0)&lt;1,1,IF(ROUND(10.499-(((N168-VLOOKUP($C168,Lookups!$A$55:$D$64,3))/(VLOOKUP($C168,Lookups!$A$55:$D$64,4))*VLOOKUP($C168,Lookups!$C$2:$D$11,2))),0)&lt;11,ROUND(10.499-(((N168-VLOOKUP($C168,Lookups!$A$55:$D$64,3))/(VLOOKUP($C168,Lookups!$A$55:$D$64,4))*VLOOKUP($C168,Lookups!$C$2:$D$11,2))),0),10))</f>
        <v>#N/A</v>
      </c>
      <c r="P168" s="13" t="str">
        <f>IF((SUM(F168:M168)=0),"J",VLOOKUP(O168,Lookups!$A$1:$B$11,2))</f>
        <v>J</v>
      </c>
      <c r="Q168" s="8" t="e">
        <f>VLOOKUP(C168,Lookups!$A$136:$C$144,3)</f>
        <v>#N/A</v>
      </c>
      <c r="R168" s="8" t="e">
        <f>VLOOKUP(C168,Lookups!$A$136:$C$144,2)</f>
        <v>#N/A</v>
      </c>
      <c r="S168" s="4" t="str">
        <f t="shared" si="17"/>
        <v>No</v>
      </c>
      <c r="T168" s="125">
        <f t="shared" si="18"/>
        <v>0</v>
      </c>
      <c r="U168" s="125">
        <f t="shared" si="19"/>
        <v>0</v>
      </c>
      <c r="V168" s="4" t="e">
        <f>IF($Q168&lt;&gt;3,VLOOKUP(F168,'Points Table A'!B$3:$F$33,5),VLOOKUP(F168,'Points Table A'!H$3:$L$33,5))</f>
        <v>#N/A</v>
      </c>
      <c r="W168" s="4" t="e">
        <f>IF($Q168&lt;&gt;3,VLOOKUP(G168,'Points Table A'!C$3:$F$33,4),VLOOKUP(G168,'Points Table A'!I$3:$L$33,4))</f>
        <v>#N/A</v>
      </c>
      <c r="X168" s="4" t="e">
        <f>IF($Q168&lt;&gt;3,VLOOKUP(H168,'Points Table A'!D$3:$F$28,3),VLOOKUP(H168,'Points Table A'!J$3:$L$33,3))</f>
        <v>#N/A</v>
      </c>
      <c r="Y168" s="4" t="e">
        <f>IF($Q168&lt;&gt;3,VLOOKUP(I168,'Points Table A'!E$3:$F$33,2),VLOOKUP(I168,'Points Table A'!K$3:$L$33,2))</f>
        <v>#N/A</v>
      </c>
      <c r="Z168" s="4" t="e">
        <f t="shared" si="20"/>
        <v>#N/A</v>
      </c>
      <c r="AA168" s="4">
        <f>IF($S168=Lookups!$B$113,VLOOKUP(L168,'Points Table C'!A$3:$E$11,5),VLOOKUP(U168,'Points Table C'!B$3:$E$11,4))</f>
        <v>0</v>
      </c>
      <c r="AB168" s="4" t="e">
        <f>IF($Q168=1,0,VLOOKUP($J168,'Points Table C'!$C$3:$E$18,3))</f>
        <v>#N/A</v>
      </c>
      <c r="AC168" s="4">
        <f>VLOOKUP($K168,'Points Table C'!$D$3:$E$18,2)</f>
        <v>0</v>
      </c>
      <c r="AD168" s="4" t="e">
        <f>IF($Z168&lt;Lookups!$C$106,($AA168+AB168+AC168),IF($AA168&gt;=Lookups!$C$120,($AA168+AB168+AC168),$AA168+$AB168))</f>
        <v>#N/A</v>
      </c>
      <c r="AF168" s="7"/>
      <c r="AG168" s="7"/>
      <c r="AH168" s="7"/>
      <c r="AI168" s="7"/>
      <c r="AJ168" s="7"/>
      <c r="AK168" s="7"/>
      <c r="AL168" s="7"/>
      <c r="AM168" s="7"/>
      <c r="AN168" s="7"/>
      <c r="AO168" s="7"/>
      <c r="AP168" s="7"/>
      <c r="AQ168" s="7"/>
      <c r="AR168" s="7"/>
      <c r="AS168" s="7"/>
      <c r="AT168" s="7"/>
      <c r="AU168" s="7"/>
      <c r="AV168" s="7"/>
      <c r="AW168" s="7"/>
      <c r="AY168" s="7"/>
      <c r="AZ168" s="7"/>
      <c r="BA168" s="7"/>
      <c r="BB168" s="7"/>
    </row>
    <row r="169" spans="2:54" x14ac:dyDescent="0.2">
      <c r="B169" s="174"/>
      <c r="C169" s="176"/>
      <c r="F169" s="5">
        <v>0</v>
      </c>
      <c r="G169" s="192">
        <v>0</v>
      </c>
      <c r="H169" s="192">
        <v>0</v>
      </c>
      <c r="I169" s="5">
        <v>0</v>
      </c>
      <c r="J169" s="192">
        <v>0</v>
      </c>
      <c r="K169" s="192">
        <v>0</v>
      </c>
      <c r="L169" s="5">
        <v>0</v>
      </c>
      <c r="M169" s="5">
        <v>0</v>
      </c>
      <c r="N169" s="4" t="e">
        <f t="shared" si="16"/>
        <v>#N/A</v>
      </c>
      <c r="O169" s="4" t="e">
        <f>IF(ROUND(10.499-(((N169-VLOOKUP($C169,Lookups!$A$55:$D$64,3))/(VLOOKUP($C169,Lookups!$A$55:$D$64,4))*VLOOKUP($C169,Lookups!$C$2:$D$11,2))),0)&lt;1,1,IF(ROUND(10.499-(((N169-VLOOKUP($C169,Lookups!$A$55:$D$64,3))/(VLOOKUP($C169,Lookups!$A$55:$D$64,4))*VLOOKUP($C169,Lookups!$C$2:$D$11,2))),0)&lt;11,ROUND(10.499-(((N169-VLOOKUP($C169,Lookups!$A$55:$D$64,3))/(VLOOKUP($C169,Lookups!$A$55:$D$64,4))*VLOOKUP($C169,Lookups!$C$2:$D$11,2))),0),10))</f>
        <v>#N/A</v>
      </c>
      <c r="P169" s="13" t="str">
        <f>IF((SUM(F169:M169)=0),"J",VLOOKUP(O169,Lookups!$A$1:$B$11,2))</f>
        <v>J</v>
      </c>
      <c r="Q169" s="8" t="e">
        <f>VLOOKUP(C169,Lookups!$A$136:$C$144,3)</f>
        <v>#N/A</v>
      </c>
      <c r="R169" s="8" t="e">
        <f>VLOOKUP(C169,Lookups!$A$136:$C$144,2)</f>
        <v>#N/A</v>
      </c>
      <c r="S169" s="4" t="str">
        <f t="shared" si="17"/>
        <v>No</v>
      </c>
      <c r="T169" s="125">
        <f t="shared" si="18"/>
        <v>0</v>
      </c>
      <c r="U169" s="125">
        <f t="shared" si="19"/>
        <v>0</v>
      </c>
      <c r="V169" s="4" t="e">
        <f>IF($Q169&lt;&gt;3,VLOOKUP(F169,'Points Table A'!B$3:$F$33,5),VLOOKUP(F169,'Points Table A'!H$3:$L$33,5))</f>
        <v>#N/A</v>
      </c>
      <c r="W169" s="4" t="e">
        <f>IF($Q169&lt;&gt;3,VLOOKUP(G169,'Points Table A'!C$3:$F$33,4),VLOOKUP(G169,'Points Table A'!I$3:$L$33,4))</f>
        <v>#N/A</v>
      </c>
      <c r="X169" s="4" t="e">
        <f>IF($Q169&lt;&gt;3,VLOOKUP(H169,'Points Table A'!D$3:$F$28,3),VLOOKUP(H169,'Points Table A'!J$3:$L$33,3))</f>
        <v>#N/A</v>
      </c>
      <c r="Y169" s="4" t="e">
        <f>IF($Q169&lt;&gt;3,VLOOKUP(I169,'Points Table A'!E$3:$F$33,2),VLOOKUP(I169,'Points Table A'!K$3:$L$33,2))</f>
        <v>#N/A</v>
      </c>
      <c r="Z169" s="4" t="e">
        <f t="shared" si="20"/>
        <v>#N/A</v>
      </c>
      <c r="AA169" s="4">
        <f>IF($S169=Lookups!$B$113,VLOOKUP(L169,'Points Table C'!A$3:$E$11,5),VLOOKUP(U169,'Points Table C'!B$3:$E$11,4))</f>
        <v>0</v>
      </c>
      <c r="AB169" s="4" t="e">
        <f>IF($Q169=1,0,VLOOKUP($J169,'Points Table C'!$C$3:$E$18,3))</f>
        <v>#N/A</v>
      </c>
      <c r="AC169" s="4">
        <f>VLOOKUP($K169,'Points Table C'!$D$3:$E$18,2)</f>
        <v>0</v>
      </c>
      <c r="AD169" s="4" t="e">
        <f>IF($Z169&lt;Lookups!$C$106,($AA169+AB169+AC169),IF($AA169&gt;=Lookups!$C$120,($AA169+AB169+AC169),$AA169+$AB169))</f>
        <v>#N/A</v>
      </c>
      <c r="AF169" s="7"/>
      <c r="AG169" s="7"/>
      <c r="AH169" s="7"/>
      <c r="AI169" s="7"/>
      <c r="AJ169" s="7"/>
      <c r="AK169" s="7"/>
      <c r="AL169" s="7"/>
      <c r="AM169" s="7"/>
      <c r="AN169" s="7"/>
      <c r="AO169" s="7"/>
      <c r="AP169" s="7"/>
      <c r="AQ169" s="7"/>
      <c r="AR169" s="7"/>
      <c r="AS169" s="7"/>
      <c r="AT169" s="7"/>
      <c r="AU169" s="7"/>
      <c r="AV169" s="7"/>
      <c r="AW169" s="7"/>
      <c r="AY169" s="7"/>
      <c r="AZ169" s="7"/>
      <c r="BA169" s="7"/>
      <c r="BB169" s="7"/>
    </row>
    <row r="170" spans="2:54" x14ac:dyDescent="0.2">
      <c r="B170" s="174"/>
      <c r="C170" s="176"/>
      <c r="F170" s="5">
        <v>0</v>
      </c>
      <c r="G170" s="192">
        <v>0</v>
      </c>
      <c r="H170" s="192">
        <v>0</v>
      </c>
      <c r="I170" s="5">
        <v>0</v>
      </c>
      <c r="J170" s="192">
        <v>0</v>
      </c>
      <c r="K170" s="192">
        <v>0</v>
      </c>
      <c r="L170" s="5">
        <v>0</v>
      </c>
      <c r="M170" s="5">
        <v>0</v>
      </c>
      <c r="N170" s="4" t="e">
        <f t="shared" si="16"/>
        <v>#N/A</v>
      </c>
      <c r="O170" s="4" t="e">
        <f>IF(ROUND(10.499-(((N170-VLOOKUP($C170,Lookups!$A$55:$D$64,3))/(VLOOKUP($C170,Lookups!$A$55:$D$64,4))*VLOOKUP($C170,Lookups!$C$2:$D$11,2))),0)&lt;1,1,IF(ROUND(10.499-(((N170-VLOOKUP($C170,Lookups!$A$55:$D$64,3))/(VLOOKUP($C170,Lookups!$A$55:$D$64,4))*VLOOKUP($C170,Lookups!$C$2:$D$11,2))),0)&lt;11,ROUND(10.499-(((N170-VLOOKUP($C170,Lookups!$A$55:$D$64,3))/(VLOOKUP($C170,Lookups!$A$55:$D$64,4))*VLOOKUP($C170,Lookups!$C$2:$D$11,2))),0),10))</f>
        <v>#N/A</v>
      </c>
      <c r="P170" s="13" t="str">
        <f>IF((SUM(F170:M170)=0),"J",VLOOKUP(O170,Lookups!$A$1:$B$11,2))</f>
        <v>J</v>
      </c>
      <c r="Q170" s="8" t="e">
        <f>VLOOKUP(C170,Lookups!$A$136:$C$144,3)</f>
        <v>#N/A</v>
      </c>
      <c r="R170" s="8" t="e">
        <f>VLOOKUP(C170,Lookups!$A$136:$C$144,2)</f>
        <v>#N/A</v>
      </c>
      <c r="S170" s="4" t="str">
        <f t="shared" si="17"/>
        <v>No</v>
      </c>
      <c r="T170" s="125">
        <f t="shared" si="18"/>
        <v>0</v>
      </c>
      <c r="U170" s="125">
        <f t="shared" si="19"/>
        <v>0</v>
      </c>
      <c r="V170" s="4" t="e">
        <f>IF($Q170&lt;&gt;3,VLOOKUP(F170,'Points Table A'!B$3:$F$33,5),VLOOKUP(F170,'Points Table A'!H$3:$L$33,5))</f>
        <v>#N/A</v>
      </c>
      <c r="W170" s="4" t="e">
        <f>IF($Q170&lt;&gt;3,VLOOKUP(G170,'Points Table A'!C$3:$F$33,4),VLOOKUP(G170,'Points Table A'!I$3:$L$33,4))</f>
        <v>#N/A</v>
      </c>
      <c r="X170" s="4" t="e">
        <f>IF($Q170&lt;&gt;3,VLOOKUP(H170,'Points Table A'!D$3:$F$28,3),VLOOKUP(H170,'Points Table A'!J$3:$L$33,3))</f>
        <v>#N/A</v>
      </c>
      <c r="Y170" s="4" t="e">
        <f>IF($Q170&lt;&gt;3,VLOOKUP(I170,'Points Table A'!E$3:$F$33,2),VLOOKUP(I170,'Points Table A'!K$3:$L$33,2))</f>
        <v>#N/A</v>
      </c>
      <c r="Z170" s="4" t="e">
        <f t="shared" si="20"/>
        <v>#N/A</v>
      </c>
      <c r="AA170" s="4">
        <f>IF($S170=Lookups!$B$113,VLOOKUP(L170,'Points Table C'!A$3:$E$11,5),VLOOKUP(U170,'Points Table C'!B$3:$E$11,4))</f>
        <v>0</v>
      </c>
      <c r="AB170" s="4" t="e">
        <f>IF($Q170=1,0,VLOOKUP($J170,'Points Table C'!$C$3:$E$18,3))</f>
        <v>#N/A</v>
      </c>
      <c r="AC170" s="4">
        <f>VLOOKUP($K170,'Points Table C'!$D$3:$E$18,2)</f>
        <v>0</v>
      </c>
      <c r="AD170" s="4" t="e">
        <f>IF($Z170&lt;Lookups!$C$106,($AA170+AB170+AC170),IF($AA170&gt;=Lookups!$C$120,($AA170+AB170+AC170),$AA170+$AB170))</f>
        <v>#N/A</v>
      </c>
      <c r="AF170" s="7"/>
      <c r="AG170" s="7"/>
      <c r="AH170" s="7"/>
      <c r="AI170" s="7"/>
      <c r="AJ170" s="7"/>
      <c r="AK170" s="7"/>
      <c r="AL170" s="7"/>
      <c r="AM170" s="7"/>
      <c r="AN170" s="7"/>
      <c r="AO170" s="7"/>
      <c r="AP170" s="7"/>
      <c r="AQ170" s="7"/>
      <c r="AR170" s="7"/>
      <c r="AS170" s="7"/>
      <c r="AT170" s="7"/>
      <c r="AU170" s="7"/>
      <c r="AV170" s="7"/>
      <c r="AW170" s="7"/>
      <c r="AY170" s="7"/>
      <c r="AZ170" s="7"/>
      <c r="BA170" s="7"/>
      <c r="BB170" s="7"/>
    </row>
    <row r="171" spans="2:54" x14ac:dyDescent="0.2">
      <c r="B171" s="174"/>
      <c r="C171" s="176"/>
      <c r="F171" s="5">
        <v>0</v>
      </c>
      <c r="G171" s="192">
        <v>0</v>
      </c>
      <c r="H171" s="192">
        <v>0</v>
      </c>
      <c r="I171" s="5">
        <v>0</v>
      </c>
      <c r="J171" s="192">
        <v>0</v>
      </c>
      <c r="K171" s="192">
        <v>0</v>
      </c>
      <c r="L171" s="5">
        <v>0</v>
      </c>
      <c r="M171" s="5">
        <v>0</v>
      </c>
      <c r="N171" s="4" t="e">
        <f t="shared" si="16"/>
        <v>#N/A</v>
      </c>
      <c r="O171" s="4" t="e">
        <f>IF(ROUND(10.499-(((N171-VLOOKUP($C171,Lookups!$A$55:$D$64,3))/(VLOOKUP($C171,Lookups!$A$55:$D$64,4))*VLOOKUP($C171,Lookups!$C$2:$D$11,2))),0)&lt;1,1,IF(ROUND(10.499-(((N171-VLOOKUP($C171,Lookups!$A$55:$D$64,3))/(VLOOKUP($C171,Lookups!$A$55:$D$64,4))*VLOOKUP($C171,Lookups!$C$2:$D$11,2))),0)&lt;11,ROUND(10.499-(((N171-VLOOKUP($C171,Lookups!$A$55:$D$64,3))/(VLOOKUP($C171,Lookups!$A$55:$D$64,4))*VLOOKUP($C171,Lookups!$C$2:$D$11,2))),0),10))</f>
        <v>#N/A</v>
      </c>
      <c r="P171" s="13" t="str">
        <f>IF((SUM(F171:M171)=0),"J",VLOOKUP(O171,Lookups!$A$1:$B$11,2))</f>
        <v>J</v>
      </c>
      <c r="Q171" s="8" t="e">
        <f>VLOOKUP(C171,Lookups!$A$136:$C$144,3)</f>
        <v>#N/A</v>
      </c>
      <c r="R171" s="8" t="e">
        <f>VLOOKUP(C171,Lookups!$A$136:$C$144,2)</f>
        <v>#N/A</v>
      </c>
      <c r="S171" s="4" t="str">
        <f t="shared" si="17"/>
        <v>No</v>
      </c>
      <c r="T171" s="125">
        <f t="shared" si="18"/>
        <v>0</v>
      </c>
      <c r="U171" s="125">
        <f t="shared" si="19"/>
        <v>0</v>
      </c>
      <c r="V171" s="4" t="e">
        <f>IF($Q171&lt;&gt;3,VLOOKUP(F171,'Points Table A'!B$3:$F$33,5),VLOOKUP(F171,'Points Table A'!H$3:$L$33,5))</f>
        <v>#N/A</v>
      </c>
      <c r="W171" s="4" t="e">
        <f>IF($Q171&lt;&gt;3,VLOOKUP(G171,'Points Table A'!C$3:$F$33,4),VLOOKUP(G171,'Points Table A'!I$3:$L$33,4))</f>
        <v>#N/A</v>
      </c>
      <c r="X171" s="4" t="e">
        <f>IF($Q171&lt;&gt;3,VLOOKUP(H171,'Points Table A'!D$3:$F$28,3),VLOOKUP(H171,'Points Table A'!J$3:$L$33,3))</f>
        <v>#N/A</v>
      </c>
      <c r="Y171" s="4" t="e">
        <f>IF($Q171&lt;&gt;3,VLOOKUP(I171,'Points Table A'!E$3:$F$33,2),VLOOKUP(I171,'Points Table A'!K$3:$L$33,2))</f>
        <v>#N/A</v>
      </c>
      <c r="Z171" s="4" t="e">
        <f t="shared" si="20"/>
        <v>#N/A</v>
      </c>
      <c r="AA171" s="4">
        <f>IF($S171=Lookups!$B$113,VLOOKUP(L171,'Points Table C'!A$3:$E$11,5),VLOOKUP(U171,'Points Table C'!B$3:$E$11,4))</f>
        <v>0</v>
      </c>
      <c r="AB171" s="4" t="e">
        <f>IF($Q171=1,0,VLOOKUP($J171,'Points Table C'!$C$3:$E$18,3))</f>
        <v>#N/A</v>
      </c>
      <c r="AC171" s="4">
        <f>VLOOKUP($K171,'Points Table C'!$D$3:$E$18,2)</f>
        <v>0</v>
      </c>
      <c r="AD171" s="4" t="e">
        <f>IF($Z171&lt;Lookups!$C$106,($AA171+AB171+AC171),IF($AA171&gt;=Lookups!$C$120,($AA171+AB171+AC171),$AA171+$AB171))</f>
        <v>#N/A</v>
      </c>
      <c r="AF171" s="7"/>
      <c r="AG171" s="7"/>
      <c r="AH171" s="7"/>
      <c r="AI171" s="7"/>
      <c r="AJ171" s="7"/>
      <c r="AK171" s="7"/>
      <c r="AL171" s="7"/>
      <c r="AM171" s="7"/>
      <c r="AN171" s="7"/>
      <c r="AO171" s="7"/>
      <c r="AP171" s="7"/>
      <c r="AQ171" s="7"/>
      <c r="AR171" s="7"/>
      <c r="AS171" s="7"/>
      <c r="AT171" s="7"/>
      <c r="AU171" s="7"/>
      <c r="AV171" s="7"/>
      <c r="AW171" s="7"/>
      <c r="AY171" s="7"/>
      <c r="AZ171" s="7"/>
      <c r="BA171" s="7"/>
      <c r="BB171" s="7"/>
    </row>
    <row r="172" spans="2:54" x14ac:dyDescent="0.2">
      <c r="B172" s="174"/>
      <c r="C172" s="176"/>
      <c r="F172" s="5">
        <v>0</v>
      </c>
      <c r="G172" s="192">
        <v>0</v>
      </c>
      <c r="H172" s="192">
        <v>0</v>
      </c>
      <c r="I172" s="5">
        <v>0</v>
      </c>
      <c r="J172" s="192">
        <v>0</v>
      </c>
      <c r="K172" s="192">
        <v>0</v>
      </c>
      <c r="L172" s="5">
        <v>0</v>
      </c>
      <c r="M172" s="5">
        <v>0</v>
      </c>
      <c r="N172" s="4" t="e">
        <f t="shared" si="16"/>
        <v>#N/A</v>
      </c>
      <c r="O172" s="4" t="e">
        <f>IF(ROUND(10.499-(((N172-VLOOKUP($C172,Lookups!$A$55:$D$64,3))/(VLOOKUP($C172,Lookups!$A$55:$D$64,4))*VLOOKUP($C172,Lookups!$C$2:$D$11,2))),0)&lt;1,1,IF(ROUND(10.499-(((N172-VLOOKUP($C172,Lookups!$A$55:$D$64,3))/(VLOOKUP($C172,Lookups!$A$55:$D$64,4))*VLOOKUP($C172,Lookups!$C$2:$D$11,2))),0)&lt;11,ROUND(10.499-(((N172-VLOOKUP($C172,Lookups!$A$55:$D$64,3))/(VLOOKUP($C172,Lookups!$A$55:$D$64,4))*VLOOKUP($C172,Lookups!$C$2:$D$11,2))),0),10))</f>
        <v>#N/A</v>
      </c>
      <c r="P172" s="13" t="str">
        <f>IF((SUM(F172:M172)=0),"J",VLOOKUP(O172,Lookups!$A$1:$B$11,2))</f>
        <v>J</v>
      </c>
      <c r="Q172" s="8" t="e">
        <f>VLOOKUP(C172,Lookups!$A$136:$C$144,3)</f>
        <v>#N/A</v>
      </c>
      <c r="R172" s="8" t="e">
        <f>VLOOKUP(C172,Lookups!$A$136:$C$144,2)</f>
        <v>#N/A</v>
      </c>
      <c r="S172" s="4" t="str">
        <f t="shared" si="17"/>
        <v>No</v>
      </c>
      <c r="T172" s="125">
        <f t="shared" si="18"/>
        <v>0</v>
      </c>
      <c r="U172" s="125">
        <f t="shared" si="19"/>
        <v>0</v>
      </c>
      <c r="V172" s="4" t="e">
        <f>IF($Q172&lt;&gt;3,VLOOKUP(F172,'Points Table A'!B$3:$F$33,5),VLOOKUP(F172,'Points Table A'!H$3:$L$33,5))</f>
        <v>#N/A</v>
      </c>
      <c r="W172" s="4" t="e">
        <f>IF($Q172&lt;&gt;3,VLOOKUP(G172,'Points Table A'!C$3:$F$33,4),VLOOKUP(G172,'Points Table A'!I$3:$L$33,4))</f>
        <v>#N/A</v>
      </c>
      <c r="X172" s="4" t="e">
        <f>IF($Q172&lt;&gt;3,VLOOKUP(H172,'Points Table A'!D$3:$F$28,3),VLOOKUP(H172,'Points Table A'!J$3:$L$33,3))</f>
        <v>#N/A</v>
      </c>
      <c r="Y172" s="4" t="e">
        <f>IF($Q172&lt;&gt;3,VLOOKUP(I172,'Points Table A'!E$3:$F$33,2),VLOOKUP(I172,'Points Table A'!K$3:$L$33,2))</f>
        <v>#N/A</v>
      </c>
      <c r="Z172" s="4" t="e">
        <f t="shared" si="20"/>
        <v>#N/A</v>
      </c>
      <c r="AA172" s="4">
        <f>IF($S172=Lookups!$B$113,VLOOKUP(L172,'Points Table C'!A$3:$E$11,5),VLOOKUP(U172,'Points Table C'!B$3:$E$11,4))</f>
        <v>0</v>
      </c>
      <c r="AB172" s="4" t="e">
        <f>IF($Q172=1,0,VLOOKUP($J172,'Points Table C'!$C$3:$E$18,3))</f>
        <v>#N/A</v>
      </c>
      <c r="AC172" s="4">
        <f>VLOOKUP($K172,'Points Table C'!$D$3:$E$18,2)</f>
        <v>0</v>
      </c>
      <c r="AD172" s="4" t="e">
        <f>IF($Z172&lt;Lookups!$C$106,($AA172+AB172+AC172),IF($AA172&gt;=Lookups!$C$120,($AA172+AB172+AC172),$AA172+$AB172))</f>
        <v>#N/A</v>
      </c>
      <c r="AF172" s="7"/>
      <c r="AG172" s="7"/>
      <c r="AH172" s="7"/>
      <c r="AI172" s="7"/>
      <c r="AJ172" s="7"/>
      <c r="AK172" s="7"/>
      <c r="AL172" s="7"/>
      <c r="AM172" s="7"/>
      <c r="AN172" s="7"/>
      <c r="AO172" s="7"/>
      <c r="AP172" s="7"/>
      <c r="AQ172" s="7"/>
      <c r="AR172" s="7"/>
      <c r="AS172" s="7"/>
      <c r="AT172" s="7"/>
      <c r="AU172" s="7"/>
      <c r="AV172" s="7"/>
      <c r="AW172" s="7"/>
      <c r="AY172" s="7"/>
      <c r="AZ172" s="7"/>
      <c r="BA172" s="7"/>
      <c r="BB172" s="7"/>
    </row>
    <row r="173" spans="2:54" x14ac:dyDescent="0.2">
      <c r="B173" s="174"/>
      <c r="C173" s="176"/>
      <c r="F173" s="5">
        <v>0</v>
      </c>
      <c r="G173" s="192">
        <v>0</v>
      </c>
      <c r="H173" s="192">
        <v>0</v>
      </c>
      <c r="I173" s="5">
        <v>0</v>
      </c>
      <c r="J173" s="192">
        <v>0</v>
      </c>
      <c r="K173" s="192">
        <v>0</v>
      </c>
      <c r="L173" s="5">
        <v>0</v>
      </c>
      <c r="M173" s="5">
        <v>0</v>
      </c>
      <c r="N173" s="4" t="e">
        <f t="shared" si="16"/>
        <v>#N/A</v>
      </c>
      <c r="O173" s="4" t="e">
        <f>IF(ROUND(10.499-(((N173-VLOOKUP($C173,Lookups!$A$55:$D$64,3))/(VLOOKUP($C173,Lookups!$A$55:$D$64,4))*VLOOKUP($C173,Lookups!$C$2:$D$11,2))),0)&lt;1,1,IF(ROUND(10.499-(((N173-VLOOKUP($C173,Lookups!$A$55:$D$64,3))/(VLOOKUP($C173,Lookups!$A$55:$D$64,4))*VLOOKUP($C173,Lookups!$C$2:$D$11,2))),0)&lt;11,ROUND(10.499-(((N173-VLOOKUP($C173,Lookups!$A$55:$D$64,3))/(VLOOKUP($C173,Lookups!$A$55:$D$64,4))*VLOOKUP($C173,Lookups!$C$2:$D$11,2))),0),10))</f>
        <v>#N/A</v>
      </c>
      <c r="P173" s="13" t="str">
        <f>IF((SUM(F173:M173)=0),"J",VLOOKUP(O173,Lookups!$A$1:$B$11,2))</f>
        <v>J</v>
      </c>
      <c r="Q173" s="8" t="e">
        <f>VLOOKUP(C173,Lookups!$A$136:$C$144,3)</f>
        <v>#N/A</v>
      </c>
      <c r="R173" s="8" t="e">
        <f>VLOOKUP(C173,Lookups!$A$136:$C$144,2)</f>
        <v>#N/A</v>
      </c>
      <c r="S173" s="4" t="str">
        <f t="shared" si="17"/>
        <v>No</v>
      </c>
      <c r="T173" s="125">
        <f t="shared" si="18"/>
        <v>0</v>
      </c>
      <c r="U173" s="125">
        <f t="shared" si="19"/>
        <v>0</v>
      </c>
      <c r="V173" s="4" t="e">
        <f>IF($Q173&lt;&gt;3,VLOOKUP(F173,'Points Table A'!B$3:$F$33,5),VLOOKUP(F173,'Points Table A'!H$3:$L$33,5))</f>
        <v>#N/A</v>
      </c>
      <c r="W173" s="4" t="e">
        <f>IF($Q173&lt;&gt;3,VLOOKUP(G173,'Points Table A'!C$3:$F$33,4),VLOOKUP(G173,'Points Table A'!I$3:$L$33,4))</f>
        <v>#N/A</v>
      </c>
      <c r="X173" s="4" t="e">
        <f>IF($Q173&lt;&gt;3,VLOOKUP(H173,'Points Table A'!D$3:$F$28,3),VLOOKUP(H173,'Points Table A'!J$3:$L$33,3))</f>
        <v>#N/A</v>
      </c>
      <c r="Y173" s="4" t="e">
        <f>IF($Q173&lt;&gt;3,VLOOKUP(I173,'Points Table A'!E$3:$F$33,2),VLOOKUP(I173,'Points Table A'!K$3:$L$33,2))</f>
        <v>#N/A</v>
      </c>
      <c r="Z173" s="4" t="e">
        <f t="shared" si="20"/>
        <v>#N/A</v>
      </c>
      <c r="AA173" s="4">
        <f>IF($S173=Lookups!$B$113,VLOOKUP(L173,'Points Table C'!A$3:$E$11,5),VLOOKUP(U173,'Points Table C'!B$3:$E$11,4))</f>
        <v>0</v>
      </c>
      <c r="AB173" s="4" t="e">
        <f>IF($Q173=1,0,VLOOKUP($J173,'Points Table C'!$C$3:$E$18,3))</f>
        <v>#N/A</v>
      </c>
      <c r="AC173" s="4">
        <f>VLOOKUP($K173,'Points Table C'!$D$3:$E$18,2)</f>
        <v>0</v>
      </c>
      <c r="AD173" s="4" t="e">
        <f>IF($Z173&lt;Lookups!$C$106,($AA173+AB173+AC173),IF($AA173&gt;=Lookups!$C$120,($AA173+AB173+AC173),$AA173+$AB173))</f>
        <v>#N/A</v>
      </c>
      <c r="AF173" s="7"/>
      <c r="AG173" s="7"/>
      <c r="AH173" s="7"/>
      <c r="AI173" s="7"/>
      <c r="AJ173" s="7"/>
      <c r="AK173" s="7"/>
      <c r="AL173" s="7"/>
      <c r="AM173" s="7"/>
      <c r="AN173" s="7"/>
      <c r="AO173" s="7"/>
      <c r="AP173" s="7"/>
      <c r="AQ173" s="7"/>
      <c r="AR173" s="7"/>
      <c r="AS173" s="7"/>
      <c r="AT173" s="7"/>
      <c r="AU173" s="7"/>
      <c r="AV173" s="7"/>
      <c r="AW173" s="7"/>
      <c r="AY173" s="7"/>
      <c r="AZ173" s="7"/>
      <c r="BA173" s="7"/>
      <c r="BB173" s="7"/>
    </row>
    <row r="174" spans="2:54" x14ac:dyDescent="0.2">
      <c r="B174" s="174"/>
      <c r="C174" s="176"/>
      <c r="F174" s="5">
        <v>0</v>
      </c>
      <c r="G174" s="192">
        <v>0</v>
      </c>
      <c r="H174" s="192">
        <v>0</v>
      </c>
      <c r="I174" s="5">
        <v>0</v>
      </c>
      <c r="J174" s="192">
        <v>0</v>
      </c>
      <c r="K174" s="192">
        <v>0</v>
      </c>
      <c r="L174" s="5">
        <v>0</v>
      </c>
      <c r="M174" s="5">
        <v>0</v>
      </c>
      <c r="N174" s="4" t="e">
        <f t="shared" si="16"/>
        <v>#N/A</v>
      </c>
      <c r="O174" s="4" t="e">
        <f>IF(ROUND(10.499-(((N174-VLOOKUP($C174,Lookups!$A$55:$D$64,3))/(VLOOKUP($C174,Lookups!$A$55:$D$64,4))*VLOOKUP($C174,Lookups!$C$2:$D$11,2))),0)&lt;1,1,IF(ROUND(10.499-(((N174-VLOOKUP($C174,Lookups!$A$55:$D$64,3))/(VLOOKUP($C174,Lookups!$A$55:$D$64,4))*VLOOKUP($C174,Lookups!$C$2:$D$11,2))),0)&lt;11,ROUND(10.499-(((N174-VLOOKUP($C174,Lookups!$A$55:$D$64,3))/(VLOOKUP($C174,Lookups!$A$55:$D$64,4))*VLOOKUP($C174,Lookups!$C$2:$D$11,2))),0),10))</f>
        <v>#N/A</v>
      </c>
      <c r="P174" s="13" t="str">
        <f>IF((SUM(F174:M174)=0),"J",VLOOKUP(O174,Lookups!$A$1:$B$11,2))</f>
        <v>J</v>
      </c>
      <c r="Q174" s="8" t="e">
        <f>VLOOKUP(C174,Lookups!$A$136:$C$144,3)</f>
        <v>#N/A</v>
      </c>
      <c r="R174" s="8" t="e">
        <f>VLOOKUP(C174,Lookups!$A$136:$C$144,2)</f>
        <v>#N/A</v>
      </c>
      <c r="S174" s="4" t="str">
        <f t="shared" si="17"/>
        <v>No</v>
      </c>
      <c r="T174" s="125">
        <f t="shared" si="18"/>
        <v>0</v>
      </c>
      <c r="U174" s="125">
        <f t="shared" si="19"/>
        <v>0</v>
      </c>
      <c r="V174" s="4" t="e">
        <f>IF($Q174&lt;&gt;3,VLOOKUP(F174,'Points Table A'!B$3:$F$33,5),VLOOKUP(F174,'Points Table A'!H$3:$L$33,5))</f>
        <v>#N/A</v>
      </c>
      <c r="W174" s="4" t="e">
        <f>IF($Q174&lt;&gt;3,VLOOKUP(G174,'Points Table A'!C$3:$F$33,4),VLOOKUP(G174,'Points Table A'!I$3:$L$33,4))</f>
        <v>#N/A</v>
      </c>
      <c r="X174" s="4" t="e">
        <f>IF($Q174&lt;&gt;3,VLOOKUP(H174,'Points Table A'!D$3:$F$28,3),VLOOKUP(H174,'Points Table A'!J$3:$L$33,3))</f>
        <v>#N/A</v>
      </c>
      <c r="Y174" s="4" t="e">
        <f>IF($Q174&lt;&gt;3,VLOOKUP(I174,'Points Table A'!E$3:$F$33,2),VLOOKUP(I174,'Points Table A'!K$3:$L$33,2))</f>
        <v>#N/A</v>
      </c>
      <c r="Z174" s="4" t="e">
        <f t="shared" si="20"/>
        <v>#N/A</v>
      </c>
      <c r="AA174" s="4">
        <f>IF($S174=Lookups!$B$113,VLOOKUP(L174,'Points Table C'!A$3:$E$11,5),VLOOKUP(U174,'Points Table C'!B$3:$E$11,4))</f>
        <v>0</v>
      </c>
      <c r="AB174" s="4" t="e">
        <f>IF($Q174=1,0,VLOOKUP($J174,'Points Table C'!$C$3:$E$18,3))</f>
        <v>#N/A</v>
      </c>
      <c r="AC174" s="4">
        <f>VLOOKUP($K174,'Points Table C'!$D$3:$E$18,2)</f>
        <v>0</v>
      </c>
      <c r="AD174" s="4" t="e">
        <f>IF($Z174&lt;Lookups!$C$106,($AA174+AB174+AC174),IF($AA174&gt;=Lookups!$C$120,($AA174+AB174+AC174),$AA174+$AB174))</f>
        <v>#N/A</v>
      </c>
      <c r="AF174" s="7"/>
      <c r="AG174" s="7"/>
      <c r="AH174" s="7"/>
      <c r="AI174" s="7"/>
      <c r="AJ174" s="7"/>
      <c r="AK174" s="7"/>
      <c r="AL174" s="7"/>
      <c r="AM174" s="7"/>
      <c r="AN174" s="7"/>
      <c r="AO174" s="7"/>
      <c r="AP174" s="7"/>
      <c r="AQ174" s="7"/>
      <c r="AR174" s="7"/>
      <c r="AS174" s="7"/>
      <c r="AT174" s="7"/>
      <c r="AU174" s="7"/>
      <c r="AV174" s="7"/>
      <c r="AW174" s="7"/>
      <c r="AY174" s="7"/>
      <c r="AZ174" s="7"/>
      <c r="BA174" s="7"/>
      <c r="BB174" s="7"/>
    </row>
    <row r="175" spans="2:54" x14ac:dyDescent="0.2">
      <c r="B175" s="174"/>
      <c r="C175" s="176"/>
      <c r="F175" s="5">
        <v>0</v>
      </c>
      <c r="G175" s="192">
        <v>0</v>
      </c>
      <c r="H175" s="192">
        <v>0</v>
      </c>
      <c r="I175" s="5">
        <v>0</v>
      </c>
      <c r="J175" s="192">
        <v>0</v>
      </c>
      <c r="K175" s="192">
        <v>0</v>
      </c>
      <c r="L175" s="5">
        <v>0</v>
      </c>
      <c r="M175" s="5">
        <v>0</v>
      </c>
      <c r="N175" s="4" t="e">
        <f t="shared" si="16"/>
        <v>#N/A</v>
      </c>
      <c r="O175" s="4" t="e">
        <f>IF(ROUND(10.499-(((N175-VLOOKUP($C175,Lookups!$A$55:$D$64,3))/(VLOOKUP($C175,Lookups!$A$55:$D$64,4))*VLOOKUP($C175,Lookups!$C$2:$D$11,2))),0)&lt;1,1,IF(ROUND(10.499-(((N175-VLOOKUP($C175,Lookups!$A$55:$D$64,3))/(VLOOKUP($C175,Lookups!$A$55:$D$64,4))*VLOOKUP($C175,Lookups!$C$2:$D$11,2))),0)&lt;11,ROUND(10.499-(((N175-VLOOKUP($C175,Lookups!$A$55:$D$64,3))/(VLOOKUP($C175,Lookups!$A$55:$D$64,4))*VLOOKUP($C175,Lookups!$C$2:$D$11,2))),0),10))</f>
        <v>#N/A</v>
      </c>
      <c r="P175" s="13" t="str">
        <f>IF((SUM(F175:M175)=0),"J",VLOOKUP(O175,Lookups!$A$1:$B$11,2))</f>
        <v>J</v>
      </c>
      <c r="Q175" s="8" t="e">
        <f>VLOOKUP(C175,Lookups!$A$136:$C$144,3)</f>
        <v>#N/A</v>
      </c>
      <c r="R175" s="8" t="e">
        <f>VLOOKUP(C175,Lookups!$A$136:$C$144,2)</f>
        <v>#N/A</v>
      </c>
      <c r="S175" s="4" t="str">
        <f t="shared" si="17"/>
        <v>No</v>
      </c>
      <c r="T175" s="125">
        <f t="shared" si="18"/>
        <v>0</v>
      </c>
      <c r="U175" s="125">
        <f t="shared" si="19"/>
        <v>0</v>
      </c>
      <c r="V175" s="4" t="e">
        <f>IF($Q175&lt;&gt;3,VLOOKUP(F175,'Points Table A'!B$3:$F$33,5),VLOOKUP(F175,'Points Table A'!H$3:$L$33,5))</f>
        <v>#N/A</v>
      </c>
      <c r="W175" s="4" t="e">
        <f>IF($Q175&lt;&gt;3,VLOOKUP(G175,'Points Table A'!C$3:$F$33,4),VLOOKUP(G175,'Points Table A'!I$3:$L$33,4))</f>
        <v>#N/A</v>
      </c>
      <c r="X175" s="4" t="e">
        <f>IF($Q175&lt;&gt;3,VLOOKUP(H175,'Points Table A'!D$3:$F$28,3),VLOOKUP(H175,'Points Table A'!J$3:$L$33,3))</f>
        <v>#N/A</v>
      </c>
      <c r="Y175" s="4" t="e">
        <f>IF($Q175&lt;&gt;3,VLOOKUP(I175,'Points Table A'!E$3:$F$33,2),VLOOKUP(I175,'Points Table A'!K$3:$L$33,2))</f>
        <v>#N/A</v>
      </c>
      <c r="Z175" s="4" t="e">
        <f t="shared" si="20"/>
        <v>#N/A</v>
      </c>
      <c r="AA175" s="4">
        <f>IF($S175=Lookups!$B$113,VLOOKUP(L175,'Points Table C'!A$3:$E$11,5),VLOOKUP(U175,'Points Table C'!B$3:$E$11,4))</f>
        <v>0</v>
      </c>
      <c r="AB175" s="4" t="e">
        <f>IF($Q175=1,0,VLOOKUP($J175,'Points Table C'!$C$3:$E$18,3))</f>
        <v>#N/A</v>
      </c>
      <c r="AC175" s="4">
        <f>VLOOKUP($K175,'Points Table C'!$D$3:$E$18,2)</f>
        <v>0</v>
      </c>
      <c r="AD175" s="4" t="e">
        <f>IF($Z175&lt;Lookups!$C$106,($AA175+AB175+AC175),IF($AA175&gt;=Lookups!$C$120,($AA175+AB175+AC175),$AA175+$AB175))</f>
        <v>#N/A</v>
      </c>
      <c r="AF175" s="7"/>
      <c r="AG175" s="7"/>
      <c r="AH175" s="7"/>
      <c r="AI175" s="7"/>
      <c r="AJ175" s="7"/>
      <c r="AK175" s="7"/>
      <c r="AL175" s="7"/>
      <c r="AM175" s="7"/>
      <c r="AN175" s="7"/>
      <c r="AO175" s="7"/>
      <c r="AP175" s="7"/>
      <c r="AQ175" s="7"/>
      <c r="AR175" s="7"/>
      <c r="AS175" s="7"/>
      <c r="AT175" s="7"/>
      <c r="AU175" s="7"/>
      <c r="AV175" s="7"/>
      <c r="AW175" s="7"/>
      <c r="AY175" s="7"/>
      <c r="AZ175" s="7"/>
      <c r="BA175" s="7"/>
      <c r="BB175" s="7"/>
    </row>
    <row r="176" spans="2:54" x14ac:dyDescent="0.2">
      <c r="B176" s="174"/>
      <c r="C176" s="176"/>
      <c r="F176" s="5">
        <v>0</v>
      </c>
      <c r="G176" s="192">
        <v>0</v>
      </c>
      <c r="H176" s="192">
        <v>0</v>
      </c>
      <c r="I176" s="5">
        <v>0</v>
      </c>
      <c r="J176" s="192">
        <v>0</v>
      </c>
      <c r="K176" s="192">
        <v>0</v>
      </c>
      <c r="L176" s="5">
        <v>0</v>
      </c>
      <c r="M176" s="5">
        <v>0</v>
      </c>
      <c r="N176" s="4" t="e">
        <f t="shared" si="16"/>
        <v>#N/A</v>
      </c>
      <c r="O176" s="4" t="e">
        <f>IF(ROUND(10.499-(((N176-VLOOKUP($C176,Lookups!$A$55:$D$64,3))/(VLOOKUP($C176,Lookups!$A$55:$D$64,4))*VLOOKUP($C176,Lookups!$C$2:$D$11,2))),0)&lt;1,1,IF(ROUND(10.499-(((N176-VLOOKUP($C176,Lookups!$A$55:$D$64,3))/(VLOOKUP($C176,Lookups!$A$55:$D$64,4))*VLOOKUP($C176,Lookups!$C$2:$D$11,2))),0)&lt;11,ROUND(10.499-(((N176-VLOOKUP($C176,Lookups!$A$55:$D$64,3))/(VLOOKUP($C176,Lookups!$A$55:$D$64,4))*VLOOKUP($C176,Lookups!$C$2:$D$11,2))),0),10))</f>
        <v>#N/A</v>
      </c>
      <c r="P176" s="13" t="str">
        <f>IF((SUM(F176:M176)=0),"J",VLOOKUP(O176,Lookups!$A$1:$B$11,2))</f>
        <v>J</v>
      </c>
      <c r="Q176" s="8" t="e">
        <f>VLOOKUP(C176,Lookups!$A$136:$C$144,3)</f>
        <v>#N/A</v>
      </c>
      <c r="R176" s="8" t="e">
        <f>VLOOKUP(C176,Lookups!$A$136:$C$144,2)</f>
        <v>#N/A</v>
      </c>
      <c r="S176" s="4" t="str">
        <f t="shared" si="17"/>
        <v>No</v>
      </c>
      <c r="T176" s="125">
        <f t="shared" si="18"/>
        <v>0</v>
      </c>
      <c r="U176" s="125">
        <f t="shared" si="19"/>
        <v>0</v>
      </c>
      <c r="V176" s="4" t="e">
        <f>IF($Q176&lt;&gt;3,VLOOKUP(F176,'Points Table A'!B$3:$F$33,5),VLOOKUP(F176,'Points Table A'!H$3:$L$33,5))</f>
        <v>#N/A</v>
      </c>
      <c r="W176" s="4" t="e">
        <f>IF($Q176&lt;&gt;3,VLOOKUP(G176,'Points Table A'!C$3:$F$33,4),VLOOKUP(G176,'Points Table A'!I$3:$L$33,4))</f>
        <v>#N/A</v>
      </c>
      <c r="X176" s="4" t="e">
        <f>IF($Q176&lt;&gt;3,VLOOKUP(H176,'Points Table A'!D$3:$F$28,3),VLOOKUP(H176,'Points Table A'!J$3:$L$33,3))</f>
        <v>#N/A</v>
      </c>
      <c r="Y176" s="4" t="e">
        <f>IF($Q176&lt;&gt;3,VLOOKUP(I176,'Points Table A'!E$3:$F$33,2),VLOOKUP(I176,'Points Table A'!K$3:$L$33,2))</f>
        <v>#N/A</v>
      </c>
      <c r="Z176" s="4" t="e">
        <f t="shared" si="20"/>
        <v>#N/A</v>
      </c>
      <c r="AA176" s="4">
        <f>IF($S176=Lookups!$B$113,VLOOKUP(L176,'Points Table C'!A$3:$E$11,5),VLOOKUP(U176,'Points Table C'!B$3:$E$11,4))</f>
        <v>0</v>
      </c>
      <c r="AB176" s="4" t="e">
        <f>IF($Q176=1,0,VLOOKUP($J176,'Points Table C'!$C$3:$E$18,3))</f>
        <v>#N/A</v>
      </c>
      <c r="AC176" s="4">
        <f>VLOOKUP($K176,'Points Table C'!$D$3:$E$18,2)</f>
        <v>0</v>
      </c>
      <c r="AD176" s="4" t="e">
        <f>IF($Z176&lt;Lookups!$C$106,($AA176+AB176+AC176),IF($AA176&gt;=Lookups!$C$120,($AA176+AB176+AC176),$AA176+$AB176))</f>
        <v>#N/A</v>
      </c>
      <c r="AF176" s="7"/>
      <c r="AG176" s="7"/>
      <c r="AH176" s="7"/>
      <c r="AI176" s="7"/>
      <c r="AJ176" s="7"/>
      <c r="AK176" s="7"/>
      <c r="AL176" s="7"/>
      <c r="AM176" s="7"/>
      <c r="AN176" s="7"/>
      <c r="AO176" s="7"/>
      <c r="AP176" s="7"/>
      <c r="AQ176" s="7"/>
      <c r="AR176" s="7"/>
      <c r="AS176" s="7"/>
      <c r="AT176" s="7"/>
      <c r="AU176" s="7"/>
      <c r="AV176" s="7"/>
      <c r="AW176" s="7"/>
      <c r="AY176" s="7"/>
      <c r="AZ176" s="7"/>
      <c r="BA176" s="7"/>
      <c r="BB176" s="7"/>
    </row>
    <row r="177" spans="2:54" x14ac:dyDescent="0.2">
      <c r="B177" s="174"/>
      <c r="C177" s="176"/>
      <c r="F177" s="5">
        <v>0</v>
      </c>
      <c r="G177" s="192">
        <v>0</v>
      </c>
      <c r="H177" s="192">
        <v>0</v>
      </c>
      <c r="I177" s="5">
        <v>0</v>
      </c>
      <c r="J177" s="192">
        <v>0</v>
      </c>
      <c r="K177" s="192">
        <v>0</v>
      </c>
      <c r="L177" s="5">
        <v>0</v>
      </c>
      <c r="M177" s="5">
        <v>0</v>
      </c>
      <c r="N177" s="4" t="e">
        <f t="shared" si="16"/>
        <v>#N/A</v>
      </c>
      <c r="O177" s="4" t="e">
        <f>IF(ROUND(10.499-(((N177-VLOOKUP($C177,Lookups!$A$55:$D$64,3))/(VLOOKUP($C177,Lookups!$A$55:$D$64,4))*VLOOKUP($C177,Lookups!$C$2:$D$11,2))),0)&lt;1,1,IF(ROUND(10.499-(((N177-VLOOKUP($C177,Lookups!$A$55:$D$64,3))/(VLOOKUP($C177,Lookups!$A$55:$D$64,4))*VLOOKUP($C177,Lookups!$C$2:$D$11,2))),0)&lt;11,ROUND(10.499-(((N177-VLOOKUP($C177,Lookups!$A$55:$D$64,3))/(VLOOKUP($C177,Lookups!$A$55:$D$64,4))*VLOOKUP($C177,Lookups!$C$2:$D$11,2))),0),10))</f>
        <v>#N/A</v>
      </c>
      <c r="P177" s="13" t="str">
        <f>IF((SUM(F177:M177)=0),"J",VLOOKUP(O177,Lookups!$A$1:$B$11,2))</f>
        <v>J</v>
      </c>
      <c r="Q177" s="8" t="e">
        <f>VLOOKUP(C177,Lookups!$A$136:$C$144,3)</f>
        <v>#N/A</v>
      </c>
      <c r="R177" s="8" t="e">
        <f>VLOOKUP(C177,Lookups!$A$136:$C$144,2)</f>
        <v>#N/A</v>
      </c>
      <c r="S177" s="4" t="str">
        <f t="shared" si="17"/>
        <v>No</v>
      </c>
      <c r="T177" s="125">
        <f t="shared" si="18"/>
        <v>0</v>
      </c>
      <c r="U177" s="125">
        <f t="shared" si="19"/>
        <v>0</v>
      </c>
      <c r="V177" s="4" t="e">
        <f>IF($Q177&lt;&gt;3,VLOOKUP(F177,'Points Table A'!B$3:$F$33,5),VLOOKUP(F177,'Points Table A'!H$3:$L$33,5))</f>
        <v>#N/A</v>
      </c>
      <c r="W177" s="4" t="e">
        <f>IF($Q177&lt;&gt;3,VLOOKUP(G177,'Points Table A'!C$3:$F$33,4),VLOOKUP(G177,'Points Table A'!I$3:$L$33,4))</f>
        <v>#N/A</v>
      </c>
      <c r="X177" s="4" t="e">
        <f>IF($Q177&lt;&gt;3,VLOOKUP(H177,'Points Table A'!D$3:$F$28,3),VLOOKUP(H177,'Points Table A'!J$3:$L$33,3))</f>
        <v>#N/A</v>
      </c>
      <c r="Y177" s="4" t="e">
        <f>IF($Q177&lt;&gt;3,VLOOKUP(I177,'Points Table A'!E$3:$F$33,2),VLOOKUP(I177,'Points Table A'!K$3:$L$33,2))</f>
        <v>#N/A</v>
      </c>
      <c r="Z177" s="4" t="e">
        <f t="shared" si="20"/>
        <v>#N/A</v>
      </c>
      <c r="AA177" s="4">
        <f>IF($S177=Lookups!$B$113,VLOOKUP(L177,'Points Table C'!A$3:$E$11,5),VLOOKUP(U177,'Points Table C'!B$3:$E$11,4))</f>
        <v>0</v>
      </c>
      <c r="AB177" s="4" t="e">
        <f>IF($Q177=1,0,VLOOKUP($J177,'Points Table C'!$C$3:$E$18,3))</f>
        <v>#N/A</v>
      </c>
      <c r="AC177" s="4">
        <f>VLOOKUP($K177,'Points Table C'!$D$3:$E$18,2)</f>
        <v>0</v>
      </c>
      <c r="AD177" s="4" t="e">
        <f>IF($Z177&lt;Lookups!$C$106,($AA177+AB177+AC177),IF($AA177&gt;=Lookups!$C$120,($AA177+AB177+AC177),$AA177+$AB177))</f>
        <v>#N/A</v>
      </c>
      <c r="AF177" s="7"/>
      <c r="AG177" s="7"/>
      <c r="AH177" s="7"/>
      <c r="AI177" s="7"/>
      <c r="AJ177" s="7"/>
      <c r="AK177" s="7"/>
      <c r="AL177" s="7"/>
      <c r="AM177" s="7"/>
      <c r="AN177" s="7"/>
      <c r="AO177" s="7"/>
      <c r="AP177" s="7"/>
      <c r="AQ177" s="7"/>
      <c r="AR177" s="7"/>
      <c r="AS177" s="7"/>
      <c r="AT177" s="7"/>
      <c r="AU177" s="7"/>
      <c r="AV177" s="7"/>
      <c r="AW177" s="7"/>
      <c r="AY177" s="7"/>
      <c r="AZ177" s="7"/>
      <c r="BA177" s="7"/>
      <c r="BB177" s="7"/>
    </row>
    <row r="178" spans="2:54" x14ac:dyDescent="0.2">
      <c r="B178" s="174"/>
      <c r="C178" s="176"/>
      <c r="F178" s="5">
        <v>0</v>
      </c>
      <c r="G178" s="192">
        <v>0</v>
      </c>
      <c r="H178" s="192">
        <v>0</v>
      </c>
      <c r="I178" s="5">
        <v>0</v>
      </c>
      <c r="J178" s="192">
        <v>0</v>
      </c>
      <c r="K178" s="192">
        <v>0</v>
      </c>
      <c r="L178" s="5">
        <v>0</v>
      </c>
      <c r="M178" s="5">
        <v>0</v>
      </c>
      <c r="N178" s="4" t="e">
        <f t="shared" si="16"/>
        <v>#N/A</v>
      </c>
      <c r="O178" s="4" t="e">
        <f>IF(ROUND(10.499-(((N178-VLOOKUP($C178,Lookups!$A$55:$D$64,3))/(VLOOKUP($C178,Lookups!$A$55:$D$64,4))*VLOOKUP($C178,Lookups!$C$2:$D$11,2))),0)&lt;1,1,IF(ROUND(10.499-(((N178-VLOOKUP($C178,Lookups!$A$55:$D$64,3))/(VLOOKUP($C178,Lookups!$A$55:$D$64,4))*VLOOKUP($C178,Lookups!$C$2:$D$11,2))),0)&lt;11,ROUND(10.499-(((N178-VLOOKUP($C178,Lookups!$A$55:$D$64,3))/(VLOOKUP($C178,Lookups!$A$55:$D$64,4))*VLOOKUP($C178,Lookups!$C$2:$D$11,2))),0),10))</f>
        <v>#N/A</v>
      </c>
      <c r="P178" s="13" t="str">
        <f>IF((SUM(F178:M178)=0),"J",VLOOKUP(O178,Lookups!$A$1:$B$11,2))</f>
        <v>J</v>
      </c>
      <c r="Q178" s="8" t="e">
        <f>VLOOKUP(C178,Lookups!$A$136:$C$144,3)</f>
        <v>#N/A</v>
      </c>
      <c r="R178" s="8" t="e">
        <f>VLOOKUP(C178,Lookups!$A$136:$C$144,2)</f>
        <v>#N/A</v>
      </c>
      <c r="S178" s="4" t="str">
        <f t="shared" si="17"/>
        <v>No</v>
      </c>
      <c r="T178" s="125">
        <f t="shared" si="18"/>
        <v>0</v>
      </c>
      <c r="U178" s="125">
        <f t="shared" si="19"/>
        <v>0</v>
      </c>
      <c r="V178" s="4" t="e">
        <f>IF($Q178&lt;&gt;3,VLOOKUP(F178,'Points Table A'!B$3:$F$33,5),VLOOKUP(F178,'Points Table A'!H$3:$L$33,5))</f>
        <v>#N/A</v>
      </c>
      <c r="W178" s="4" t="e">
        <f>IF($Q178&lt;&gt;3,VLOOKUP(G178,'Points Table A'!C$3:$F$33,4),VLOOKUP(G178,'Points Table A'!I$3:$L$33,4))</f>
        <v>#N/A</v>
      </c>
      <c r="X178" s="4" t="e">
        <f>IF($Q178&lt;&gt;3,VLOOKUP(H178,'Points Table A'!D$3:$F$28,3),VLOOKUP(H178,'Points Table A'!J$3:$L$33,3))</f>
        <v>#N/A</v>
      </c>
      <c r="Y178" s="4" t="e">
        <f>IF($Q178&lt;&gt;3,VLOOKUP(I178,'Points Table A'!E$3:$F$33,2),VLOOKUP(I178,'Points Table A'!K$3:$L$33,2))</f>
        <v>#N/A</v>
      </c>
      <c r="Z178" s="4" t="e">
        <f t="shared" si="20"/>
        <v>#N/A</v>
      </c>
      <c r="AA178" s="4">
        <f>IF($S178=Lookups!$B$113,VLOOKUP(L178,'Points Table C'!A$3:$E$11,5),VLOOKUP(U178,'Points Table C'!B$3:$E$11,4))</f>
        <v>0</v>
      </c>
      <c r="AB178" s="4" t="e">
        <f>IF($Q178=1,0,VLOOKUP($J178,'Points Table C'!$C$3:$E$18,3))</f>
        <v>#N/A</v>
      </c>
      <c r="AC178" s="4">
        <f>VLOOKUP($K178,'Points Table C'!$D$3:$E$18,2)</f>
        <v>0</v>
      </c>
      <c r="AD178" s="4" t="e">
        <f>IF($Z178&lt;Lookups!$C$106,($AA178+AB178+AC178),IF($AA178&gt;=Lookups!$C$120,($AA178+AB178+AC178),$AA178+$AB178))</f>
        <v>#N/A</v>
      </c>
      <c r="AF178" s="7"/>
      <c r="AG178" s="7"/>
      <c r="AH178" s="7"/>
      <c r="AI178" s="7"/>
      <c r="AJ178" s="7"/>
      <c r="AK178" s="7"/>
      <c r="AL178" s="7"/>
      <c r="AM178" s="7"/>
      <c r="AN178" s="7"/>
      <c r="AO178" s="7"/>
      <c r="AP178" s="7"/>
      <c r="AQ178" s="7"/>
      <c r="AR178" s="7"/>
      <c r="AS178" s="7"/>
      <c r="AT178" s="7"/>
      <c r="AU178" s="7"/>
      <c r="AV178" s="7"/>
      <c r="AW178" s="7"/>
      <c r="AY178" s="7"/>
      <c r="AZ178" s="7"/>
      <c r="BA178" s="7"/>
      <c r="BB178" s="7"/>
    </row>
    <row r="179" spans="2:54" x14ac:dyDescent="0.2">
      <c r="B179" s="174"/>
      <c r="C179" s="176"/>
      <c r="F179" s="5">
        <v>0</v>
      </c>
      <c r="G179" s="192">
        <v>0</v>
      </c>
      <c r="H179" s="192">
        <v>0</v>
      </c>
      <c r="I179" s="5">
        <v>0</v>
      </c>
      <c r="J179" s="192">
        <v>0</v>
      </c>
      <c r="K179" s="192">
        <v>0</v>
      </c>
      <c r="L179" s="5">
        <v>0</v>
      </c>
      <c r="M179" s="5">
        <v>0</v>
      </c>
      <c r="N179" s="4" t="e">
        <f t="shared" si="16"/>
        <v>#N/A</v>
      </c>
      <c r="O179" s="4" t="e">
        <f>IF(ROUND(10.499-(((N179-VLOOKUP($C179,Lookups!$A$55:$D$64,3))/(VLOOKUP($C179,Lookups!$A$55:$D$64,4))*VLOOKUP($C179,Lookups!$C$2:$D$11,2))),0)&lt;1,1,IF(ROUND(10.499-(((N179-VLOOKUP($C179,Lookups!$A$55:$D$64,3))/(VLOOKUP($C179,Lookups!$A$55:$D$64,4))*VLOOKUP($C179,Lookups!$C$2:$D$11,2))),0)&lt;11,ROUND(10.499-(((N179-VLOOKUP($C179,Lookups!$A$55:$D$64,3))/(VLOOKUP($C179,Lookups!$A$55:$D$64,4))*VLOOKUP($C179,Lookups!$C$2:$D$11,2))),0),10))</f>
        <v>#N/A</v>
      </c>
      <c r="P179" s="13" t="str">
        <f>IF((SUM(F179:M179)=0),"J",VLOOKUP(O179,Lookups!$A$1:$B$11,2))</f>
        <v>J</v>
      </c>
      <c r="Q179" s="8" t="e">
        <f>VLOOKUP(C179,Lookups!$A$136:$C$144,3)</f>
        <v>#N/A</v>
      </c>
      <c r="R179" s="8" t="e">
        <f>VLOOKUP(C179,Lookups!$A$136:$C$144,2)</f>
        <v>#N/A</v>
      </c>
      <c r="S179" s="4" t="str">
        <f t="shared" si="17"/>
        <v>No</v>
      </c>
      <c r="T179" s="125">
        <f t="shared" si="18"/>
        <v>0</v>
      </c>
      <c r="U179" s="125">
        <f t="shared" si="19"/>
        <v>0</v>
      </c>
      <c r="V179" s="4" t="e">
        <f>IF($Q179&lt;&gt;3,VLOOKUP(F179,'Points Table A'!B$3:$F$33,5),VLOOKUP(F179,'Points Table A'!H$3:$L$33,5))</f>
        <v>#N/A</v>
      </c>
      <c r="W179" s="4" t="e">
        <f>IF($Q179&lt;&gt;3,VLOOKUP(G179,'Points Table A'!C$3:$F$33,4),VLOOKUP(G179,'Points Table A'!I$3:$L$33,4))</f>
        <v>#N/A</v>
      </c>
      <c r="X179" s="4" t="e">
        <f>IF($Q179&lt;&gt;3,VLOOKUP(H179,'Points Table A'!D$3:$F$28,3),VLOOKUP(H179,'Points Table A'!J$3:$L$33,3))</f>
        <v>#N/A</v>
      </c>
      <c r="Y179" s="4" t="e">
        <f>IF($Q179&lt;&gt;3,VLOOKUP(I179,'Points Table A'!E$3:$F$33,2),VLOOKUP(I179,'Points Table A'!K$3:$L$33,2))</f>
        <v>#N/A</v>
      </c>
      <c r="Z179" s="4" t="e">
        <f t="shared" si="20"/>
        <v>#N/A</v>
      </c>
      <c r="AA179" s="4">
        <f>IF($S179=Lookups!$B$113,VLOOKUP(L179,'Points Table C'!A$3:$E$11,5),VLOOKUP(U179,'Points Table C'!B$3:$E$11,4))</f>
        <v>0</v>
      </c>
      <c r="AB179" s="4" t="e">
        <f>IF($Q179=1,0,VLOOKUP($J179,'Points Table C'!$C$3:$E$18,3))</f>
        <v>#N/A</v>
      </c>
      <c r="AC179" s="4">
        <f>VLOOKUP($K179,'Points Table C'!$D$3:$E$18,2)</f>
        <v>0</v>
      </c>
      <c r="AD179" s="4" t="e">
        <f>IF($Z179&lt;Lookups!$C$106,($AA179+AB179+AC179),IF($AA179&gt;=Lookups!$C$120,($AA179+AB179+AC179),$AA179+$AB179))</f>
        <v>#N/A</v>
      </c>
      <c r="AF179" s="7"/>
      <c r="AG179" s="7"/>
      <c r="AH179" s="7"/>
      <c r="AI179" s="7"/>
      <c r="AJ179" s="7"/>
      <c r="AK179" s="7"/>
      <c r="AL179" s="7"/>
      <c r="AM179" s="7"/>
      <c r="AN179" s="7"/>
      <c r="AO179" s="7"/>
      <c r="AP179" s="7"/>
      <c r="AQ179" s="7"/>
      <c r="AR179" s="7"/>
      <c r="AS179" s="7"/>
      <c r="AT179" s="7"/>
      <c r="AU179" s="7"/>
      <c r="AV179" s="7"/>
      <c r="AW179" s="7"/>
      <c r="AY179" s="7"/>
      <c r="AZ179" s="7"/>
      <c r="BA179" s="7"/>
      <c r="BB179" s="7"/>
    </row>
    <row r="180" spans="2:54" x14ac:dyDescent="0.2">
      <c r="B180" s="174"/>
      <c r="C180" s="176"/>
      <c r="F180" s="5">
        <v>0</v>
      </c>
      <c r="G180" s="192">
        <v>0</v>
      </c>
      <c r="H180" s="192">
        <v>0</v>
      </c>
      <c r="I180" s="5">
        <v>0</v>
      </c>
      <c r="J180" s="192">
        <v>0</v>
      </c>
      <c r="K180" s="192">
        <v>0</v>
      </c>
      <c r="L180" s="5">
        <v>0</v>
      </c>
      <c r="M180" s="5">
        <v>0</v>
      </c>
      <c r="N180" s="4" t="e">
        <f t="shared" si="16"/>
        <v>#N/A</v>
      </c>
      <c r="O180" s="4" t="e">
        <f>IF(ROUND(10.499-(((N180-VLOOKUP($C180,Lookups!$A$55:$D$64,3))/(VLOOKUP($C180,Lookups!$A$55:$D$64,4))*VLOOKUP($C180,Lookups!$C$2:$D$11,2))),0)&lt;1,1,IF(ROUND(10.499-(((N180-VLOOKUP($C180,Lookups!$A$55:$D$64,3))/(VLOOKUP($C180,Lookups!$A$55:$D$64,4))*VLOOKUP($C180,Lookups!$C$2:$D$11,2))),0)&lt;11,ROUND(10.499-(((N180-VLOOKUP($C180,Lookups!$A$55:$D$64,3))/(VLOOKUP($C180,Lookups!$A$55:$D$64,4))*VLOOKUP($C180,Lookups!$C$2:$D$11,2))),0),10))</f>
        <v>#N/A</v>
      </c>
      <c r="P180" s="13" t="str">
        <f>IF((SUM(F180:M180)=0),"J",VLOOKUP(O180,Lookups!$A$1:$B$11,2))</f>
        <v>J</v>
      </c>
      <c r="Q180" s="8" t="e">
        <f>VLOOKUP(C180,Lookups!$A$136:$C$144,3)</f>
        <v>#N/A</v>
      </c>
      <c r="R180" s="8" t="e">
        <f>VLOOKUP(C180,Lookups!$A$136:$C$144,2)</f>
        <v>#N/A</v>
      </c>
      <c r="S180" s="4" t="str">
        <f t="shared" si="17"/>
        <v>No</v>
      </c>
      <c r="T180" s="125">
        <f t="shared" si="18"/>
        <v>0</v>
      </c>
      <c r="U180" s="125">
        <f t="shared" si="19"/>
        <v>0</v>
      </c>
      <c r="V180" s="4" t="e">
        <f>IF($Q180&lt;&gt;3,VLOOKUP(F180,'Points Table A'!B$3:$F$33,5),VLOOKUP(F180,'Points Table A'!H$3:$L$33,5))</f>
        <v>#N/A</v>
      </c>
      <c r="W180" s="4" t="e">
        <f>IF($Q180&lt;&gt;3,VLOOKUP(G180,'Points Table A'!C$3:$F$33,4),VLOOKUP(G180,'Points Table A'!I$3:$L$33,4))</f>
        <v>#N/A</v>
      </c>
      <c r="X180" s="4" t="e">
        <f>IF($Q180&lt;&gt;3,VLOOKUP(H180,'Points Table A'!D$3:$F$28,3),VLOOKUP(H180,'Points Table A'!J$3:$L$33,3))</f>
        <v>#N/A</v>
      </c>
      <c r="Y180" s="4" t="e">
        <f>IF($Q180&lt;&gt;3,VLOOKUP(I180,'Points Table A'!E$3:$F$33,2),VLOOKUP(I180,'Points Table A'!K$3:$L$33,2))</f>
        <v>#N/A</v>
      </c>
      <c r="Z180" s="4" t="e">
        <f t="shared" si="20"/>
        <v>#N/A</v>
      </c>
      <c r="AA180" s="4">
        <f>IF($S180=Lookups!$B$113,VLOOKUP(L180,'Points Table C'!A$3:$E$11,5),VLOOKUP(U180,'Points Table C'!B$3:$E$11,4))</f>
        <v>0</v>
      </c>
      <c r="AB180" s="4" t="e">
        <f>IF($Q180=1,0,VLOOKUP($J180,'Points Table C'!$C$3:$E$18,3))</f>
        <v>#N/A</v>
      </c>
      <c r="AC180" s="4">
        <f>VLOOKUP($K180,'Points Table C'!$D$3:$E$18,2)</f>
        <v>0</v>
      </c>
      <c r="AD180" s="4" t="e">
        <f>IF($Z180&lt;Lookups!$C$106,($AA180+AB180+AC180),IF($AA180&gt;=Lookups!$C$120,($AA180+AB180+AC180),$AA180+$AB180))</f>
        <v>#N/A</v>
      </c>
      <c r="AF180" s="7"/>
      <c r="AG180" s="7"/>
      <c r="AH180" s="7"/>
      <c r="AI180" s="7"/>
      <c r="AJ180" s="7"/>
      <c r="AK180" s="7"/>
      <c r="AL180" s="7"/>
      <c r="AM180" s="7"/>
      <c r="AN180" s="7"/>
      <c r="AO180" s="7"/>
      <c r="AP180" s="7"/>
      <c r="AQ180" s="7"/>
      <c r="AR180" s="7"/>
      <c r="AS180" s="7"/>
      <c r="AT180" s="7"/>
      <c r="AU180" s="7"/>
      <c r="AV180" s="7"/>
      <c r="AW180" s="7"/>
      <c r="AY180" s="7"/>
      <c r="AZ180" s="7"/>
      <c r="BA180" s="7"/>
      <c r="BB180" s="7"/>
    </row>
    <row r="181" spans="2:54" x14ac:dyDescent="0.2">
      <c r="B181" s="174"/>
      <c r="C181" s="176"/>
      <c r="F181" s="5">
        <v>0</v>
      </c>
      <c r="G181" s="192">
        <v>0</v>
      </c>
      <c r="H181" s="192">
        <v>0</v>
      </c>
      <c r="I181" s="5">
        <v>0</v>
      </c>
      <c r="J181" s="192">
        <v>0</v>
      </c>
      <c r="K181" s="192">
        <v>0</v>
      </c>
      <c r="L181" s="5">
        <v>0</v>
      </c>
      <c r="M181" s="5">
        <v>0</v>
      </c>
      <c r="N181" s="4" t="e">
        <f t="shared" si="16"/>
        <v>#N/A</v>
      </c>
      <c r="O181" s="4" t="e">
        <f>IF(ROUND(10.499-(((N181-VLOOKUP($C181,Lookups!$A$55:$D$64,3))/(VLOOKUP($C181,Lookups!$A$55:$D$64,4))*VLOOKUP($C181,Lookups!$C$2:$D$11,2))),0)&lt;1,1,IF(ROUND(10.499-(((N181-VLOOKUP($C181,Lookups!$A$55:$D$64,3))/(VLOOKUP($C181,Lookups!$A$55:$D$64,4))*VLOOKUP($C181,Lookups!$C$2:$D$11,2))),0)&lt;11,ROUND(10.499-(((N181-VLOOKUP($C181,Lookups!$A$55:$D$64,3))/(VLOOKUP($C181,Lookups!$A$55:$D$64,4))*VLOOKUP($C181,Lookups!$C$2:$D$11,2))),0),10))</f>
        <v>#N/A</v>
      </c>
      <c r="P181" s="13" t="str">
        <f>IF((SUM(F181:M181)=0),"J",VLOOKUP(O181,Lookups!$A$1:$B$11,2))</f>
        <v>J</v>
      </c>
      <c r="Q181" s="8" t="e">
        <f>VLOOKUP(C181,Lookups!$A$136:$C$144,3)</f>
        <v>#N/A</v>
      </c>
      <c r="R181" s="8" t="e">
        <f>VLOOKUP(C181,Lookups!$A$136:$C$144,2)</f>
        <v>#N/A</v>
      </c>
      <c r="S181" s="4" t="str">
        <f t="shared" si="17"/>
        <v>No</v>
      </c>
      <c r="T181" s="125">
        <f t="shared" si="18"/>
        <v>0</v>
      </c>
      <c r="U181" s="125">
        <f t="shared" si="19"/>
        <v>0</v>
      </c>
      <c r="V181" s="4" t="e">
        <f>IF($Q181&lt;&gt;3,VLOOKUP(F181,'Points Table A'!B$3:$F$33,5),VLOOKUP(F181,'Points Table A'!H$3:$L$33,5))</f>
        <v>#N/A</v>
      </c>
      <c r="W181" s="4" t="e">
        <f>IF($Q181&lt;&gt;3,VLOOKUP(G181,'Points Table A'!C$3:$F$33,4),VLOOKUP(G181,'Points Table A'!I$3:$L$33,4))</f>
        <v>#N/A</v>
      </c>
      <c r="X181" s="4" t="e">
        <f>IF($Q181&lt;&gt;3,VLOOKUP(H181,'Points Table A'!D$3:$F$28,3),VLOOKUP(H181,'Points Table A'!J$3:$L$33,3))</f>
        <v>#N/A</v>
      </c>
      <c r="Y181" s="4" t="e">
        <f>IF($Q181&lt;&gt;3,VLOOKUP(I181,'Points Table A'!E$3:$F$33,2),VLOOKUP(I181,'Points Table A'!K$3:$L$33,2))</f>
        <v>#N/A</v>
      </c>
      <c r="Z181" s="4" t="e">
        <f t="shared" si="20"/>
        <v>#N/A</v>
      </c>
      <c r="AA181" s="4">
        <f>IF($S181=Lookups!$B$113,VLOOKUP(L181,'Points Table C'!A$3:$E$11,5),VLOOKUP(U181,'Points Table C'!B$3:$E$11,4))</f>
        <v>0</v>
      </c>
      <c r="AB181" s="4" t="e">
        <f>IF($Q181=1,0,VLOOKUP($J181,'Points Table C'!$C$3:$E$18,3))</f>
        <v>#N/A</v>
      </c>
      <c r="AC181" s="4">
        <f>VLOOKUP($K181,'Points Table C'!$D$3:$E$18,2)</f>
        <v>0</v>
      </c>
      <c r="AD181" s="4" t="e">
        <f>IF($Z181&lt;Lookups!$C$106,($AA181+AB181+AC181),IF($AA181&gt;=Lookups!$C$120,($AA181+AB181+AC181),$AA181+$AB181))</f>
        <v>#N/A</v>
      </c>
      <c r="AF181" s="7"/>
      <c r="AG181" s="7"/>
      <c r="AH181" s="7"/>
      <c r="AI181" s="7"/>
      <c r="AJ181" s="7"/>
      <c r="AK181" s="7"/>
      <c r="AL181" s="7"/>
      <c r="AM181" s="7"/>
      <c r="AN181" s="7"/>
      <c r="AO181" s="7"/>
      <c r="AP181" s="7"/>
      <c r="AQ181" s="7"/>
      <c r="AR181" s="7"/>
      <c r="AS181" s="7"/>
      <c r="AT181" s="7"/>
      <c r="AU181" s="7"/>
      <c r="AV181" s="7"/>
      <c r="AW181" s="7"/>
      <c r="AY181" s="7"/>
      <c r="AZ181" s="7"/>
      <c r="BA181" s="7"/>
      <c r="BB181" s="7"/>
    </row>
    <row r="182" spans="2:54" x14ac:dyDescent="0.2">
      <c r="B182" s="174"/>
      <c r="C182" s="176"/>
      <c r="F182" s="5">
        <v>0</v>
      </c>
      <c r="G182" s="192">
        <v>0</v>
      </c>
      <c r="H182" s="192">
        <v>0</v>
      </c>
      <c r="I182" s="5">
        <v>0</v>
      </c>
      <c r="J182" s="192">
        <v>0</v>
      </c>
      <c r="K182" s="192">
        <v>0</v>
      </c>
      <c r="L182" s="5">
        <v>0</v>
      </c>
      <c r="M182" s="5">
        <v>0</v>
      </c>
      <c r="N182" s="4" t="e">
        <f t="shared" si="16"/>
        <v>#N/A</v>
      </c>
      <c r="O182" s="4" t="e">
        <f>IF(ROUND(10.499-(((N182-VLOOKUP($C182,Lookups!$A$55:$D$64,3))/(VLOOKUP($C182,Lookups!$A$55:$D$64,4))*VLOOKUP($C182,Lookups!$C$2:$D$11,2))),0)&lt;1,1,IF(ROUND(10.499-(((N182-VLOOKUP($C182,Lookups!$A$55:$D$64,3))/(VLOOKUP($C182,Lookups!$A$55:$D$64,4))*VLOOKUP($C182,Lookups!$C$2:$D$11,2))),0)&lt;11,ROUND(10.499-(((N182-VLOOKUP($C182,Lookups!$A$55:$D$64,3))/(VLOOKUP($C182,Lookups!$A$55:$D$64,4))*VLOOKUP($C182,Lookups!$C$2:$D$11,2))),0),10))</f>
        <v>#N/A</v>
      </c>
      <c r="P182" s="13" t="str">
        <f>IF((SUM(F182:M182)=0),"J",VLOOKUP(O182,Lookups!$A$1:$B$11,2))</f>
        <v>J</v>
      </c>
      <c r="Q182" s="8" t="e">
        <f>VLOOKUP(C182,Lookups!$A$136:$C$144,3)</f>
        <v>#N/A</v>
      </c>
      <c r="R182" s="8" t="e">
        <f>VLOOKUP(C182,Lookups!$A$136:$C$144,2)</f>
        <v>#N/A</v>
      </c>
      <c r="S182" s="4" t="str">
        <f t="shared" si="17"/>
        <v>No</v>
      </c>
      <c r="T182" s="125">
        <f t="shared" si="18"/>
        <v>0</v>
      </c>
      <c r="U182" s="125">
        <f t="shared" si="19"/>
        <v>0</v>
      </c>
      <c r="V182" s="4" t="e">
        <f>IF($Q182&lt;&gt;3,VLOOKUP(F182,'Points Table A'!B$3:$F$33,5),VLOOKUP(F182,'Points Table A'!H$3:$L$33,5))</f>
        <v>#N/A</v>
      </c>
      <c r="W182" s="4" t="e">
        <f>IF($Q182&lt;&gt;3,VLOOKUP(G182,'Points Table A'!C$3:$F$33,4),VLOOKUP(G182,'Points Table A'!I$3:$L$33,4))</f>
        <v>#N/A</v>
      </c>
      <c r="X182" s="4" t="e">
        <f>IF($Q182&lt;&gt;3,VLOOKUP(H182,'Points Table A'!D$3:$F$28,3),VLOOKUP(H182,'Points Table A'!J$3:$L$33,3))</f>
        <v>#N/A</v>
      </c>
      <c r="Y182" s="4" t="e">
        <f>IF($Q182&lt;&gt;3,VLOOKUP(I182,'Points Table A'!E$3:$F$33,2),VLOOKUP(I182,'Points Table A'!K$3:$L$33,2))</f>
        <v>#N/A</v>
      </c>
      <c r="Z182" s="4" t="e">
        <f t="shared" si="20"/>
        <v>#N/A</v>
      </c>
      <c r="AA182" s="4">
        <f>IF($S182=Lookups!$B$113,VLOOKUP(L182,'Points Table C'!A$3:$E$11,5),VLOOKUP(U182,'Points Table C'!B$3:$E$11,4))</f>
        <v>0</v>
      </c>
      <c r="AB182" s="4" t="e">
        <f>IF($Q182=1,0,VLOOKUP($J182,'Points Table C'!$C$3:$E$18,3))</f>
        <v>#N/A</v>
      </c>
      <c r="AC182" s="4">
        <f>VLOOKUP($K182,'Points Table C'!$D$3:$E$18,2)</f>
        <v>0</v>
      </c>
      <c r="AD182" s="4" t="e">
        <f>IF($Z182&lt;Lookups!$C$106,($AA182+AB182+AC182),IF($AA182&gt;=Lookups!$C$120,($AA182+AB182+AC182),$AA182+$AB182))</f>
        <v>#N/A</v>
      </c>
      <c r="AF182" s="7"/>
      <c r="AG182" s="7"/>
      <c r="AH182" s="7"/>
      <c r="AI182" s="7"/>
      <c r="AJ182" s="7"/>
      <c r="AK182" s="7"/>
      <c r="AL182" s="7"/>
      <c r="AM182" s="7"/>
      <c r="AN182" s="7"/>
      <c r="AO182" s="7"/>
      <c r="AP182" s="7"/>
      <c r="AQ182" s="7"/>
      <c r="AR182" s="7"/>
      <c r="AS182" s="7"/>
      <c r="AT182" s="7"/>
      <c r="AU182" s="7"/>
      <c r="AV182" s="7"/>
      <c r="AW182" s="7"/>
      <c r="AY182" s="7"/>
      <c r="AZ182" s="7"/>
      <c r="BA182" s="7"/>
      <c r="BB182" s="7"/>
    </row>
    <row r="183" spans="2:54" x14ac:dyDescent="0.2">
      <c r="B183" s="174"/>
      <c r="C183" s="176"/>
      <c r="F183" s="5">
        <v>0</v>
      </c>
      <c r="G183" s="192">
        <v>0</v>
      </c>
      <c r="H183" s="192">
        <v>0</v>
      </c>
      <c r="I183" s="5">
        <v>0</v>
      </c>
      <c r="J183" s="192">
        <v>0</v>
      </c>
      <c r="K183" s="192">
        <v>0</v>
      </c>
      <c r="L183" s="5">
        <v>0</v>
      </c>
      <c r="M183" s="5">
        <v>0</v>
      </c>
      <c r="N183" s="4" t="e">
        <f t="shared" si="16"/>
        <v>#N/A</v>
      </c>
      <c r="O183" s="4" t="e">
        <f>IF(ROUND(10.499-(((N183-VLOOKUP($C183,Lookups!$A$55:$D$64,3))/(VLOOKUP($C183,Lookups!$A$55:$D$64,4))*VLOOKUP($C183,Lookups!$C$2:$D$11,2))),0)&lt;1,1,IF(ROUND(10.499-(((N183-VLOOKUP($C183,Lookups!$A$55:$D$64,3))/(VLOOKUP($C183,Lookups!$A$55:$D$64,4))*VLOOKUP($C183,Lookups!$C$2:$D$11,2))),0)&lt;11,ROUND(10.499-(((N183-VLOOKUP($C183,Lookups!$A$55:$D$64,3))/(VLOOKUP($C183,Lookups!$A$55:$D$64,4))*VLOOKUP($C183,Lookups!$C$2:$D$11,2))),0),10))</f>
        <v>#N/A</v>
      </c>
      <c r="P183" s="13" t="str">
        <f>IF((SUM(F183:M183)=0),"J",VLOOKUP(O183,Lookups!$A$1:$B$11,2))</f>
        <v>J</v>
      </c>
      <c r="Q183" s="8" t="e">
        <f>VLOOKUP(C183,Lookups!$A$136:$C$144,3)</f>
        <v>#N/A</v>
      </c>
      <c r="R183" s="8" t="e">
        <f>VLOOKUP(C183,Lookups!$A$136:$C$144,2)</f>
        <v>#N/A</v>
      </c>
      <c r="S183" s="4" t="str">
        <f t="shared" si="17"/>
        <v>No</v>
      </c>
      <c r="T183" s="125">
        <f t="shared" si="18"/>
        <v>0</v>
      </c>
      <c r="U183" s="125">
        <f t="shared" si="19"/>
        <v>0</v>
      </c>
      <c r="V183" s="4" t="e">
        <f>IF($Q183&lt;&gt;3,VLOOKUP(F183,'Points Table A'!B$3:$F$33,5),VLOOKUP(F183,'Points Table A'!H$3:$L$33,5))</f>
        <v>#N/A</v>
      </c>
      <c r="W183" s="4" t="e">
        <f>IF($Q183&lt;&gt;3,VLOOKUP(G183,'Points Table A'!C$3:$F$33,4),VLOOKUP(G183,'Points Table A'!I$3:$L$33,4))</f>
        <v>#N/A</v>
      </c>
      <c r="X183" s="4" t="e">
        <f>IF($Q183&lt;&gt;3,VLOOKUP(H183,'Points Table A'!D$3:$F$28,3),VLOOKUP(H183,'Points Table A'!J$3:$L$33,3))</f>
        <v>#N/A</v>
      </c>
      <c r="Y183" s="4" t="e">
        <f>IF($Q183&lt;&gt;3,VLOOKUP(I183,'Points Table A'!E$3:$F$33,2),VLOOKUP(I183,'Points Table A'!K$3:$L$33,2))</f>
        <v>#N/A</v>
      </c>
      <c r="Z183" s="4" t="e">
        <f t="shared" si="20"/>
        <v>#N/A</v>
      </c>
      <c r="AA183" s="4">
        <f>IF($S183=Lookups!$B$113,VLOOKUP(L183,'Points Table C'!A$3:$E$11,5),VLOOKUP(U183,'Points Table C'!B$3:$E$11,4))</f>
        <v>0</v>
      </c>
      <c r="AB183" s="4" t="e">
        <f>IF($Q183=1,0,VLOOKUP($J183,'Points Table C'!$C$3:$E$18,3))</f>
        <v>#N/A</v>
      </c>
      <c r="AC183" s="4">
        <f>VLOOKUP($K183,'Points Table C'!$D$3:$E$18,2)</f>
        <v>0</v>
      </c>
      <c r="AD183" s="4" t="e">
        <f>IF($Z183&lt;Lookups!$C$106,($AA183+AB183+AC183),IF($AA183&gt;=Lookups!$C$120,($AA183+AB183+AC183),$AA183+$AB183))</f>
        <v>#N/A</v>
      </c>
      <c r="AF183" s="7"/>
      <c r="AG183" s="7"/>
      <c r="AH183" s="7"/>
      <c r="AI183" s="7"/>
      <c r="AJ183" s="7"/>
      <c r="AK183" s="7"/>
      <c r="AL183" s="7"/>
      <c r="AM183" s="7"/>
      <c r="AN183" s="7"/>
      <c r="AO183" s="7"/>
      <c r="AP183" s="7"/>
      <c r="AQ183" s="7"/>
      <c r="AR183" s="7"/>
      <c r="AS183" s="7"/>
      <c r="AT183" s="7"/>
      <c r="AU183" s="7"/>
      <c r="AV183" s="7"/>
      <c r="AW183" s="7"/>
      <c r="AY183" s="7"/>
      <c r="AZ183" s="7"/>
      <c r="BA183" s="7"/>
      <c r="BB183" s="7"/>
    </row>
    <row r="184" spans="2:54" x14ac:dyDescent="0.2">
      <c r="B184" s="174"/>
      <c r="C184" s="176"/>
      <c r="F184" s="5">
        <v>0</v>
      </c>
      <c r="G184" s="192">
        <v>0</v>
      </c>
      <c r="H184" s="192">
        <v>0</v>
      </c>
      <c r="I184" s="5">
        <v>0</v>
      </c>
      <c r="J184" s="192">
        <v>0</v>
      </c>
      <c r="K184" s="192">
        <v>0</v>
      </c>
      <c r="L184" s="5">
        <v>0</v>
      </c>
      <c r="M184" s="5">
        <v>0</v>
      </c>
      <c r="N184" s="4" t="e">
        <f t="shared" si="16"/>
        <v>#N/A</v>
      </c>
      <c r="O184" s="4" t="e">
        <f>IF(ROUND(10.499-(((N184-VLOOKUP($C184,Lookups!$A$55:$D$64,3))/(VLOOKUP($C184,Lookups!$A$55:$D$64,4))*VLOOKUP($C184,Lookups!$C$2:$D$11,2))),0)&lt;1,1,IF(ROUND(10.499-(((N184-VLOOKUP($C184,Lookups!$A$55:$D$64,3))/(VLOOKUP($C184,Lookups!$A$55:$D$64,4))*VLOOKUP($C184,Lookups!$C$2:$D$11,2))),0)&lt;11,ROUND(10.499-(((N184-VLOOKUP($C184,Lookups!$A$55:$D$64,3))/(VLOOKUP($C184,Lookups!$A$55:$D$64,4))*VLOOKUP($C184,Lookups!$C$2:$D$11,2))),0),10))</f>
        <v>#N/A</v>
      </c>
      <c r="P184" s="13" t="str">
        <f>IF((SUM(F184:M184)=0),"J",VLOOKUP(O184,Lookups!$A$1:$B$11,2))</f>
        <v>J</v>
      </c>
      <c r="Q184" s="8" t="e">
        <f>VLOOKUP(C184,Lookups!$A$136:$C$144,3)</f>
        <v>#N/A</v>
      </c>
      <c r="R184" s="8" t="e">
        <f>VLOOKUP(C184,Lookups!$A$136:$C$144,2)</f>
        <v>#N/A</v>
      </c>
      <c r="S184" s="4" t="str">
        <f t="shared" si="17"/>
        <v>No</v>
      </c>
      <c r="T184" s="125">
        <f t="shared" si="18"/>
        <v>0</v>
      </c>
      <c r="U184" s="125">
        <f t="shared" si="19"/>
        <v>0</v>
      </c>
      <c r="V184" s="4" t="e">
        <f>IF($Q184&lt;&gt;3,VLOOKUP(F184,'Points Table A'!B$3:$F$33,5),VLOOKUP(F184,'Points Table A'!H$3:$L$33,5))</f>
        <v>#N/A</v>
      </c>
      <c r="W184" s="4" t="e">
        <f>IF($Q184&lt;&gt;3,VLOOKUP(G184,'Points Table A'!C$3:$F$33,4),VLOOKUP(G184,'Points Table A'!I$3:$L$33,4))</f>
        <v>#N/A</v>
      </c>
      <c r="X184" s="4" t="e">
        <f>IF($Q184&lt;&gt;3,VLOOKUP(H184,'Points Table A'!D$3:$F$28,3),VLOOKUP(H184,'Points Table A'!J$3:$L$33,3))</f>
        <v>#N/A</v>
      </c>
      <c r="Y184" s="4" t="e">
        <f>IF($Q184&lt;&gt;3,VLOOKUP(I184,'Points Table A'!E$3:$F$33,2),VLOOKUP(I184,'Points Table A'!K$3:$L$33,2))</f>
        <v>#N/A</v>
      </c>
      <c r="Z184" s="4" t="e">
        <f t="shared" si="20"/>
        <v>#N/A</v>
      </c>
      <c r="AA184" s="4">
        <f>IF($S184=Lookups!$B$113,VLOOKUP(L184,'Points Table C'!A$3:$E$11,5),VLOOKUP(U184,'Points Table C'!B$3:$E$11,4))</f>
        <v>0</v>
      </c>
      <c r="AB184" s="4" t="e">
        <f>IF($Q184=1,0,VLOOKUP($J184,'Points Table C'!$C$3:$E$18,3))</f>
        <v>#N/A</v>
      </c>
      <c r="AC184" s="4">
        <f>VLOOKUP($K184,'Points Table C'!$D$3:$E$18,2)</f>
        <v>0</v>
      </c>
      <c r="AD184" s="4" t="e">
        <f>IF($Z184&lt;Lookups!$C$106,($AA184+AB184+AC184),IF($AA184&gt;=Lookups!$C$120,($AA184+AB184+AC184),$AA184+$AB184))</f>
        <v>#N/A</v>
      </c>
      <c r="AF184" s="7"/>
      <c r="AG184" s="7"/>
      <c r="AH184" s="7"/>
      <c r="AI184" s="7"/>
      <c r="AJ184" s="7"/>
      <c r="AK184" s="7"/>
      <c r="AL184" s="7"/>
      <c r="AM184" s="7"/>
      <c r="AN184" s="7"/>
      <c r="AO184" s="7"/>
      <c r="AP184" s="7"/>
      <c r="AQ184" s="7"/>
      <c r="AR184" s="7"/>
      <c r="AS184" s="7"/>
      <c r="AT184" s="7"/>
      <c r="AU184" s="7"/>
      <c r="AV184" s="7"/>
      <c r="AW184" s="7"/>
      <c r="AY184" s="7"/>
      <c r="AZ184" s="7"/>
      <c r="BA184" s="7"/>
      <c r="BB184" s="7"/>
    </row>
    <row r="185" spans="2:54" x14ac:dyDescent="0.2">
      <c r="B185" s="174"/>
      <c r="C185" s="176"/>
      <c r="F185" s="5">
        <v>0</v>
      </c>
      <c r="G185" s="192">
        <v>0</v>
      </c>
      <c r="H185" s="192">
        <v>0</v>
      </c>
      <c r="I185" s="5">
        <v>0</v>
      </c>
      <c r="J185" s="192">
        <v>0</v>
      </c>
      <c r="K185" s="192">
        <v>0</v>
      </c>
      <c r="L185" s="5">
        <v>0</v>
      </c>
      <c r="M185" s="5">
        <v>0</v>
      </c>
      <c r="N185" s="4" t="e">
        <f t="shared" ref="N185:N248" si="21">$Z185-$AD185</f>
        <v>#N/A</v>
      </c>
      <c r="O185" s="4" t="e">
        <f>IF(ROUND(10.499-(((N185-VLOOKUP($C185,Lookups!$A$55:$D$64,3))/(VLOOKUP($C185,Lookups!$A$55:$D$64,4))*VLOOKUP($C185,Lookups!$C$2:$D$11,2))),0)&lt;1,1,IF(ROUND(10.499-(((N185-VLOOKUP($C185,Lookups!$A$55:$D$64,3))/(VLOOKUP($C185,Lookups!$A$55:$D$64,4))*VLOOKUP($C185,Lookups!$C$2:$D$11,2))),0)&lt;11,ROUND(10.499-(((N185-VLOOKUP($C185,Lookups!$A$55:$D$64,3))/(VLOOKUP($C185,Lookups!$A$55:$D$64,4))*VLOOKUP($C185,Lookups!$C$2:$D$11,2))),0),10))</f>
        <v>#N/A</v>
      </c>
      <c r="P185" s="13" t="str">
        <f>IF((SUM(F185:M185)=0),"J",VLOOKUP(O185,Lookups!$A$1:$B$11,2))</f>
        <v>J</v>
      </c>
      <c r="Q185" s="8" t="e">
        <f>VLOOKUP(C185,Lookups!$A$136:$C$144,3)</f>
        <v>#N/A</v>
      </c>
      <c r="R185" s="8" t="e">
        <f>VLOOKUP(C185,Lookups!$A$136:$C$144,2)</f>
        <v>#N/A</v>
      </c>
      <c r="S185" s="4" t="str">
        <f t="shared" si="17"/>
        <v>No</v>
      </c>
      <c r="T185" s="125">
        <f t="shared" si="18"/>
        <v>0</v>
      </c>
      <c r="U185" s="125">
        <f t="shared" si="19"/>
        <v>0</v>
      </c>
      <c r="V185" s="4" t="e">
        <f>IF($Q185&lt;&gt;3,VLOOKUP(F185,'Points Table A'!B$3:$F$33,5),VLOOKUP(F185,'Points Table A'!H$3:$L$33,5))</f>
        <v>#N/A</v>
      </c>
      <c r="W185" s="4" t="e">
        <f>IF($Q185&lt;&gt;3,VLOOKUP(G185,'Points Table A'!C$3:$F$33,4),VLOOKUP(G185,'Points Table A'!I$3:$L$33,4))</f>
        <v>#N/A</v>
      </c>
      <c r="X185" s="4" t="e">
        <f>IF($Q185&lt;&gt;3,VLOOKUP(H185,'Points Table A'!D$3:$F$28,3),VLOOKUP(H185,'Points Table A'!J$3:$L$33,3))</f>
        <v>#N/A</v>
      </c>
      <c r="Y185" s="4" t="e">
        <f>IF($Q185&lt;&gt;3,VLOOKUP(I185,'Points Table A'!E$3:$F$33,2),VLOOKUP(I185,'Points Table A'!K$3:$L$33,2))</f>
        <v>#N/A</v>
      </c>
      <c r="Z185" s="4" t="e">
        <f t="shared" si="20"/>
        <v>#N/A</v>
      </c>
      <c r="AA185" s="4">
        <f>IF($S185=Lookups!$B$113,VLOOKUP(L185,'Points Table C'!A$3:$E$11,5),VLOOKUP(U185,'Points Table C'!B$3:$E$11,4))</f>
        <v>0</v>
      </c>
      <c r="AB185" s="4" t="e">
        <f>IF($Q185=1,0,VLOOKUP($J185,'Points Table C'!$C$3:$E$18,3))</f>
        <v>#N/A</v>
      </c>
      <c r="AC185" s="4">
        <f>VLOOKUP($K185,'Points Table C'!$D$3:$E$18,2)</f>
        <v>0</v>
      </c>
      <c r="AD185" s="4" t="e">
        <f>IF($Z185&lt;Lookups!$C$106,($AA185+AB185+AC185),IF($AA185&gt;=Lookups!$C$120,($AA185+AB185+AC185),$AA185+$AB185))</f>
        <v>#N/A</v>
      </c>
      <c r="AF185" s="7"/>
      <c r="AG185" s="7"/>
      <c r="AH185" s="7"/>
      <c r="AI185" s="7"/>
      <c r="AJ185" s="7"/>
      <c r="AK185" s="7"/>
      <c r="AL185" s="7"/>
      <c r="AM185" s="7"/>
      <c r="AN185" s="7"/>
      <c r="AO185" s="7"/>
      <c r="AP185" s="7"/>
      <c r="AQ185" s="7"/>
      <c r="AR185" s="7"/>
      <c r="AS185" s="7"/>
      <c r="AT185" s="7"/>
      <c r="AU185" s="7"/>
      <c r="AV185" s="7"/>
      <c r="AW185" s="7"/>
      <c r="AY185" s="7"/>
      <c r="AZ185" s="7"/>
      <c r="BA185" s="7"/>
      <c r="BB185" s="7"/>
    </row>
    <row r="186" spans="2:54" x14ac:dyDescent="0.2">
      <c r="B186" s="174"/>
      <c r="C186" s="176"/>
      <c r="F186" s="5">
        <v>0</v>
      </c>
      <c r="G186" s="192">
        <v>0</v>
      </c>
      <c r="H186" s="192">
        <v>0</v>
      </c>
      <c r="I186" s="5">
        <v>0</v>
      </c>
      <c r="J186" s="192">
        <v>0</v>
      </c>
      <c r="K186" s="192">
        <v>0</v>
      </c>
      <c r="L186" s="5">
        <v>0</v>
      </c>
      <c r="M186" s="5">
        <v>0</v>
      </c>
      <c r="N186" s="4" t="e">
        <f t="shared" si="21"/>
        <v>#N/A</v>
      </c>
      <c r="O186" s="4" t="e">
        <f>IF(ROUND(10.499-(((N186-VLOOKUP($C186,Lookups!$A$55:$D$64,3))/(VLOOKUP($C186,Lookups!$A$55:$D$64,4))*VLOOKUP($C186,Lookups!$C$2:$D$11,2))),0)&lt;1,1,IF(ROUND(10.499-(((N186-VLOOKUP($C186,Lookups!$A$55:$D$64,3))/(VLOOKUP($C186,Lookups!$A$55:$D$64,4))*VLOOKUP($C186,Lookups!$C$2:$D$11,2))),0)&lt;11,ROUND(10.499-(((N186-VLOOKUP($C186,Lookups!$A$55:$D$64,3))/(VLOOKUP($C186,Lookups!$A$55:$D$64,4))*VLOOKUP($C186,Lookups!$C$2:$D$11,2))),0),10))</f>
        <v>#N/A</v>
      </c>
      <c r="P186" s="13" t="str">
        <f>IF((SUM(F186:M186)=0),"J",VLOOKUP(O186,Lookups!$A$1:$B$11,2))</f>
        <v>J</v>
      </c>
      <c r="Q186" s="8" t="e">
        <f>VLOOKUP(C186,Lookups!$A$136:$C$144,3)</f>
        <v>#N/A</v>
      </c>
      <c r="R186" s="8" t="e">
        <f>VLOOKUP(C186,Lookups!$A$136:$C$144,2)</f>
        <v>#N/A</v>
      </c>
      <c r="S186" s="4" t="str">
        <f t="shared" si="17"/>
        <v>No</v>
      </c>
      <c r="T186" s="125">
        <f t="shared" si="18"/>
        <v>0</v>
      </c>
      <c r="U186" s="125">
        <f t="shared" si="19"/>
        <v>0</v>
      </c>
      <c r="V186" s="4" t="e">
        <f>IF($Q186&lt;&gt;3,VLOOKUP(F186,'Points Table A'!B$3:$F$33,5),VLOOKUP(F186,'Points Table A'!H$3:$L$33,5))</f>
        <v>#N/A</v>
      </c>
      <c r="W186" s="4" t="e">
        <f>IF($Q186&lt;&gt;3,VLOOKUP(G186,'Points Table A'!C$3:$F$33,4),VLOOKUP(G186,'Points Table A'!I$3:$L$33,4))</f>
        <v>#N/A</v>
      </c>
      <c r="X186" s="4" t="e">
        <f>IF($Q186&lt;&gt;3,VLOOKUP(H186,'Points Table A'!D$3:$F$28,3),VLOOKUP(H186,'Points Table A'!J$3:$L$33,3))</f>
        <v>#N/A</v>
      </c>
      <c r="Y186" s="4" t="e">
        <f>IF($Q186&lt;&gt;3,VLOOKUP(I186,'Points Table A'!E$3:$F$33,2),VLOOKUP(I186,'Points Table A'!K$3:$L$33,2))</f>
        <v>#N/A</v>
      </c>
      <c r="Z186" s="4" t="e">
        <f t="shared" si="20"/>
        <v>#N/A</v>
      </c>
      <c r="AA186" s="4">
        <f>IF($S186=Lookups!$B$113,VLOOKUP(L186,'Points Table C'!A$3:$E$11,5),VLOOKUP(U186,'Points Table C'!B$3:$E$11,4))</f>
        <v>0</v>
      </c>
      <c r="AB186" s="4" t="e">
        <f>IF($Q186=1,0,VLOOKUP($J186,'Points Table C'!$C$3:$E$18,3))</f>
        <v>#N/A</v>
      </c>
      <c r="AC186" s="4">
        <f>VLOOKUP($K186,'Points Table C'!$D$3:$E$18,2)</f>
        <v>0</v>
      </c>
      <c r="AD186" s="4" t="e">
        <f>IF($Z186&lt;Lookups!$C$106,($AA186+AB186+AC186),IF($AA186&gt;=Lookups!$C$120,($AA186+AB186+AC186),$AA186+$AB186))</f>
        <v>#N/A</v>
      </c>
      <c r="AF186" s="7"/>
      <c r="AG186" s="7"/>
      <c r="AH186" s="7"/>
      <c r="AI186" s="7"/>
      <c r="AJ186" s="7"/>
      <c r="AK186" s="7"/>
      <c r="AL186" s="7"/>
      <c r="AM186" s="7"/>
      <c r="AN186" s="7"/>
      <c r="AO186" s="7"/>
      <c r="AP186" s="7"/>
      <c r="AQ186" s="7"/>
      <c r="AR186" s="7"/>
      <c r="AS186" s="7"/>
      <c r="AT186" s="7"/>
      <c r="AU186" s="7"/>
      <c r="AV186" s="7"/>
      <c r="AW186" s="7"/>
      <c r="AY186" s="7"/>
      <c r="AZ186" s="7"/>
      <c r="BA186" s="7"/>
      <c r="BB186" s="7"/>
    </row>
    <row r="187" spans="2:54" x14ac:dyDescent="0.2">
      <c r="B187" s="174"/>
      <c r="C187" s="176"/>
      <c r="F187" s="5">
        <v>0</v>
      </c>
      <c r="G187" s="192">
        <v>0</v>
      </c>
      <c r="H187" s="192">
        <v>0</v>
      </c>
      <c r="I187" s="5">
        <v>0</v>
      </c>
      <c r="J187" s="192">
        <v>0</v>
      </c>
      <c r="K187" s="192">
        <v>0</v>
      </c>
      <c r="L187" s="5">
        <v>0</v>
      </c>
      <c r="M187" s="5">
        <v>0</v>
      </c>
      <c r="N187" s="4" t="e">
        <f t="shared" si="21"/>
        <v>#N/A</v>
      </c>
      <c r="O187" s="4" t="e">
        <f>IF(ROUND(10.499-(((N187-VLOOKUP($C187,Lookups!$A$55:$D$64,3))/(VLOOKUP($C187,Lookups!$A$55:$D$64,4))*VLOOKUP($C187,Lookups!$C$2:$D$11,2))),0)&lt;1,1,IF(ROUND(10.499-(((N187-VLOOKUP($C187,Lookups!$A$55:$D$64,3))/(VLOOKUP($C187,Lookups!$A$55:$D$64,4))*VLOOKUP($C187,Lookups!$C$2:$D$11,2))),0)&lt;11,ROUND(10.499-(((N187-VLOOKUP($C187,Lookups!$A$55:$D$64,3))/(VLOOKUP($C187,Lookups!$A$55:$D$64,4))*VLOOKUP($C187,Lookups!$C$2:$D$11,2))),0),10))</f>
        <v>#N/A</v>
      </c>
      <c r="P187" s="13" t="str">
        <f>IF((SUM(F187:M187)=0),"J",VLOOKUP(O187,Lookups!$A$1:$B$11,2))</f>
        <v>J</v>
      </c>
      <c r="Q187" s="8" t="e">
        <f>VLOOKUP(C187,Lookups!$A$136:$C$144,3)</f>
        <v>#N/A</v>
      </c>
      <c r="R187" s="8" t="e">
        <f>VLOOKUP(C187,Lookups!$A$136:$C$144,2)</f>
        <v>#N/A</v>
      </c>
      <c r="S187" s="4" t="str">
        <f t="shared" si="17"/>
        <v>No</v>
      </c>
      <c r="T187" s="125">
        <f t="shared" si="18"/>
        <v>0</v>
      </c>
      <c r="U187" s="125">
        <f t="shared" si="19"/>
        <v>0</v>
      </c>
      <c r="V187" s="4" t="e">
        <f>IF($Q187&lt;&gt;3,VLOOKUP(F187,'Points Table A'!B$3:$F$33,5),VLOOKUP(F187,'Points Table A'!H$3:$L$33,5))</f>
        <v>#N/A</v>
      </c>
      <c r="W187" s="4" t="e">
        <f>IF($Q187&lt;&gt;3,VLOOKUP(G187,'Points Table A'!C$3:$F$33,4),VLOOKUP(G187,'Points Table A'!I$3:$L$33,4))</f>
        <v>#N/A</v>
      </c>
      <c r="X187" s="4" t="e">
        <f>IF($Q187&lt;&gt;3,VLOOKUP(H187,'Points Table A'!D$3:$F$28,3),VLOOKUP(H187,'Points Table A'!J$3:$L$33,3))</f>
        <v>#N/A</v>
      </c>
      <c r="Y187" s="4" t="e">
        <f>IF($Q187&lt;&gt;3,VLOOKUP(I187,'Points Table A'!E$3:$F$33,2),VLOOKUP(I187,'Points Table A'!K$3:$L$33,2))</f>
        <v>#N/A</v>
      </c>
      <c r="Z187" s="4" t="e">
        <f t="shared" si="20"/>
        <v>#N/A</v>
      </c>
      <c r="AA187" s="4">
        <f>IF($S187=Lookups!$B$113,VLOOKUP(L187,'Points Table C'!A$3:$E$11,5),VLOOKUP(U187,'Points Table C'!B$3:$E$11,4))</f>
        <v>0</v>
      </c>
      <c r="AB187" s="4" t="e">
        <f>IF($Q187=1,0,VLOOKUP($J187,'Points Table C'!$C$3:$E$18,3))</f>
        <v>#N/A</v>
      </c>
      <c r="AC187" s="4">
        <f>VLOOKUP($K187,'Points Table C'!$D$3:$E$18,2)</f>
        <v>0</v>
      </c>
      <c r="AD187" s="4" t="e">
        <f>IF($Z187&lt;Lookups!$C$106,($AA187+AB187+AC187),IF($AA187&gt;=Lookups!$C$120,($AA187+AB187+AC187),$AA187+$AB187))</f>
        <v>#N/A</v>
      </c>
      <c r="AF187" s="7"/>
      <c r="AG187" s="7"/>
      <c r="AH187" s="7"/>
      <c r="AI187" s="7"/>
      <c r="AJ187" s="7"/>
      <c r="AK187" s="7"/>
      <c r="AL187" s="7"/>
      <c r="AM187" s="7"/>
      <c r="AN187" s="7"/>
      <c r="AO187" s="7"/>
      <c r="AP187" s="7"/>
      <c r="AQ187" s="7"/>
      <c r="AR187" s="7"/>
      <c r="AS187" s="7"/>
      <c r="AT187" s="7"/>
      <c r="AU187" s="7"/>
      <c r="AV187" s="7"/>
      <c r="AW187" s="7"/>
      <c r="AY187" s="7"/>
      <c r="AZ187" s="7"/>
      <c r="BA187" s="7"/>
      <c r="BB187" s="7"/>
    </row>
    <row r="188" spans="2:54" x14ac:dyDescent="0.2">
      <c r="B188" s="174"/>
      <c r="C188" s="176"/>
      <c r="F188" s="5">
        <v>0</v>
      </c>
      <c r="G188" s="192">
        <v>0</v>
      </c>
      <c r="H188" s="192">
        <v>0</v>
      </c>
      <c r="I188" s="5">
        <v>0</v>
      </c>
      <c r="J188" s="192">
        <v>0</v>
      </c>
      <c r="K188" s="192">
        <v>0</v>
      </c>
      <c r="L188" s="5">
        <v>0</v>
      </c>
      <c r="M188" s="5">
        <v>0</v>
      </c>
      <c r="N188" s="4" t="e">
        <f t="shared" si="21"/>
        <v>#N/A</v>
      </c>
      <c r="O188" s="4" t="e">
        <f>IF(ROUND(10.499-(((N188-VLOOKUP($C188,Lookups!$A$55:$D$64,3))/(VLOOKUP($C188,Lookups!$A$55:$D$64,4))*VLOOKUP($C188,Lookups!$C$2:$D$11,2))),0)&lt;1,1,IF(ROUND(10.499-(((N188-VLOOKUP($C188,Lookups!$A$55:$D$64,3))/(VLOOKUP($C188,Lookups!$A$55:$D$64,4))*VLOOKUP($C188,Lookups!$C$2:$D$11,2))),0)&lt;11,ROUND(10.499-(((N188-VLOOKUP($C188,Lookups!$A$55:$D$64,3))/(VLOOKUP($C188,Lookups!$A$55:$D$64,4))*VLOOKUP($C188,Lookups!$C$2:$D$11,2))),0),10))</f>
        <v>#N/A</v>
      </c>
      <c r="P188" s="13" t="str">
        <f>IF((SUM(F188:M188)=0),"J",VLOOKUP(O188,Lookups!$A$1:$B$11,2))</f>
        <v>J</v>
      </c>
      <c r="Q188" s="8" t="e">
        <f>VLOOKUP(C188,Lookups!$A$136:$C$144,3)</f>
        <v>#N/A</v>
      </c>
      <c r="R188" s="8" t="e">
        <f>VLOOKUP(C188,Lookups!$A$136:$C$144,2)</f>
        <v>#N/A</v>
      </c>
      <c r="S188" s="4" t="str">
        <f t="shared" si="17"/>
        <v>No</v>
      </c>
      <c r="T188" s="125">
        <f t="shared" si="18"/>
        <v>0</v>
      </c>
      <c r="U188" s="125">
        <f t="shared" si="19"/>
        <v>0</v>
      </c>
      <c r="V188" s="4" t="e">
        <f>IF($Q188&lt;&gt;3,VLOOKUP(F188,'Points Table A'!B$3:$F$33,5),VLOOKUP(F188,'Points Table A'!H$3:$L$33,5))</f>
        <v>#N/A</v>
      </c>
      <c r="W188" s="4" t="e">
        <f>IF($Q188&lt;&gt;3,VLOOKUP(G188,'Points Table A'!C$3:$F$33,4),VLOOKUP(G188,'Points Table A'!I$3:$L$33,4))</f>
        <v>#N/A</v>
      </c>
      <c r="X188" s="4" t="e">
        <f>IF($Q188&lt;&gt;3,VLOOKUP(H188,'Points Table A'!D$3:$F$28,3),VLOOKUP(H188,'Points Table A'!J$3:$L$33,3))</f>
        <v>#N/A</v>
      </c>
      <c r="Y188" s="4" t="e">
        <f>IF($Q188&lt;&gt;3,VLOOKUP(I188,'Points Table A'!E$3:$F$33,2),VLOOKUP(I188,'Points Table A'!K$3:$L$33,2))</f>
        <v>#N/A</v>
      </c>
      <c r="Z188" s="4" t="e">
        <f t="shared" si="20"/>
        <v>#N/A</v>
      </c>
      <c r="AA188" s="4">
        <f>IF($S188=Lookups!$B$113,VLOOKUP(L188,'Points Table C'!A$3:$E$11,5),VLOOKUP(U188,'Points Table C'!B$3:$E$11,4))</f>
        <v>0</v>
      </c>
      <c r="AB188" s="4" t="e">
        <f>IF($Q188=1,0,VLOOKUP($J188,'Points Table C'!$C$3:$E$18,3))</f>
        <v>#N/A</v>
      </c>
      <c r="AC188" s="4">
        <f>VLOOKUP($K188,'Points Table C'!$D$3:$E$18,2)</f>
        <v>0</v>
      </c>
      <c r="AD188" s="4" t="e">
        <f>IF($Z188&lt;Lookups!$C$106,($AA188+AB188+AC188),IF($AA188&gt;=Lookups!$C$120,($AA188+AB188+AC188),$AA188+$AB188))</f>
        <v>#N/A</v>
      </c>
      <c r="AF188" s="7"/>
      <c r="AG188" s="7"/>
      <c r="AH188" s="7"/>
      <c r="AI188" s="7"/>
      <c r="AJ188" s="7"/>
      <c r="AK188" s="7"/>
      <c r="AL188" s="7"/>
      <c r="AM188" s="7"/>
      <c r="AN188" s="7"/>
      <c r="AO188" s="7"/>
      <c r="AP188" s="7"/>
      <c r="AQ188" s="7"/>
      <c r="AR188" s="7"/>
      <c r="AS188" s="7"/>
      <c r="AT188" s="7"/>
      <c r="AU188" s="7"/>
      <c r="AV188" s="7"/>
      <c r="AW188" s="7"/>
      <c r="AY188" s="7"/>
      <c r="AZ188" s="7"/>
      <c r="BA188" s="7"/>
      <c r="BB188" s="7"/>
    </row>
    <row r="189" spans="2:54" x14ac:dyDescent="0.2">
      <c r="B189" s="174"/>
      <c r="C189" s="176"/>
      <c r="F189" s="5">
        <v>0</v>
      </c>
      <c r="G189" s="192">
        <v>0</v>
      </c>
      <c r="H189" s="192">
        <v>0</v>
      </c>
      <c r="I189" s="5">
        <v>0</v>
      </c>
      <c r="J189" s="192">
        <v>0</v>
      </c>
      <c r="K189" s="192">
        <v>0</v>
      </c>
      <c r="L189" s="5">
        <v>0</v>
      </c>
      <c r="M189" s="5">
        <v>0</v>
      </c>
      <c r="N189" s="4" t="e">
        <f t="shared" si="21"/>
        <v>#N/A</v>
      </c>
      <c r="O189" s="4" t="e">
        <f>IF(ROUND(10.499-(((N189-VLOOKUP($C189,Lookups!$A$55:$D$64,3))/(VLOOKUP($C189,Lookups!$A$55:$D$64,4))*VLOOKUP($C189,Lookups!$C$2:$D$11,2))),0)&lt;1,1,IF(ROUND(10.499-(((N189-VLOOKUP($C189,Lookups!$A$55:$D$64,3))/(VLOOKUP($C189,Lookups!$A$55:$D$64,4))*VLOOKUP($C189,Lookups!$C$2:$D$11,2))),0)&lt;11,ROUND(10.499-(((N189-VLOOKUP($C189,Lookups!$A$55:$D$64,3))/(VLOOKUP($C189,Lookups!$A$55:$D$64,4))*VLOOKUP($C189,Lookups!$C$2:$D$11,2))),0),10))</f>
        <v>#N/A</v>
      </c>
      <c r="P189" s="13" t="str">
        <f>IF((SUM(F189:M189)=0),"J",VLOOKUP(O189,Lookups!$A$1:$B$11,2))</f>
        <v>J</v>
      </c>
      <c r="Q189" s="8" t="e">
        <f>VLOOKUP(C189,Lookups!$A$136:$C$144,3)</f>
        <v>#N/A</v>
      </c>
      <c r="R189" s="8" t="e">
        <f>VLOOKUP(C189,Lookups!$A$136:$C$144,2)</f>
        <v>#N/A</v>
      </c>
      <c r="S189" s="4" t="str">
        <f t="shared" si="17"/>
        <v>No</v>
      </c>
      <c r="T189" s="125">
        <f t="shared" si="18"/>
        <v>0</v>
      </c>
      <c r="U189" s="125">
        <f t="shared" si="19"/>
        <v>0</v>
      </c>
      <c r="V189" s="4" t="e">
        <f>IF($Q189&lt;&gt;3,VLOOKUP(F189,'Points Table A'!B$3:$F$33,5),VLOOKUP(F189,'Points Table A'!H$3:$L$33,5))</f>
        <v>#N/A</v>
      </c>
      <c r="W189" s="4" t="e">
        <f>IF($Q189&lt;&gt;3,VLOOKUP(G189,'Points Table A'!C$3:$F$33,4),VLOOKUP(G189,'Points Table A'!I$3:$L$33,4))</f>
        <v>#N/A</v>
      </c>
      <c r="X189" s="4" t="e">
        <f>IF($Q189&lt;&gt;3,VLOOKUP(H189,'Points Table A'!D$3:$F$28,3),VLOOKUP(H189,'Points Table A'!J$3:$L$33,3))</f>
        <v>#N/A</v>
      </c>
      <c r="Y189" s="4" t="e">
        <f>IF($Q189&lt;&gt;3,VLOOKUP(I189,'Points Table A'!E$3:$F$33,2),VLOOKUP(I189,'Points Table A'!K$3:$L$33,2))</f>
        <v>#N/A</v>
      </c>
      <c r="Z189" s="4" t="e">
        <f t="shared" si="20"/>
        <v>#N/A</v>
      </c>
      <c r="AA189" s="4">
        <f>IF($S189=Lookups!$B$113,VLOOKUP(L189,'Points Table C'!A$3:$E$11,5),VLOOKUP(U189,'Points Table C'!B$3:$E$11,4))</f>
        <v>0</v>
      </c>
      <c r="AB189" s="4" t="e">
        <f>IF($Q189=1,0,VLOOKUP($J189,'Points Table C'!$C$3:$E$18,3))</f>
        <v>#N/A</v>
      </c>
      <c r="AC189" s="4">
        <f>VLOOKUP($K189,'Points Table C'!$D$3:$E$18,2)</f>
        <v>0</v>
      </c>
      <c r="AD189" s="4" t="e">
        <f>IF($Z189&lt;Lookups!$C$106,($AA189+AB189+AC189),IF($AA189&gt;=Lookups!$C$120,($AA189+AB189+AC189),$AA189+$AB189))</f>
        <v>#N/A</v>
      </c>
      <c r="AF189" s="7"/>
      <c r="AG189" s="7"/>
      <c r="AH189" s="7"/>
      <c r="AI189" s="7"/>
      <c r="AJ189" s="7"/>
      <c r="AK189" s="7"/>
      <c r="AL189" s="7"/>
      <c r="AM189" s="7"/>
      <c r="AN189" s="7"/>
      <c r="AO189" s="7"/>
      <c r="AP189" s="7"/>
      <c r="AQ189" s="7"/>
      <c r="AR189" s="7"/>
      <c r="AS189" s="7"/>
      <c r="AT189" s="7"/>
      <c r="AU189" s="7"/>
      <c r="AV189" s="7"/>
      <c r="AW189" s="7"/>
      <c r="AY189" s="7"/>
      <c r="AZ189" s="7"/>
      <c r="BA189" s="7"/>
      <c r="BB189" s="7"/>
    </row>
    <row r="190" spans="2:54" x14ac:dyDescent="0.2">
      <c r="B190" s="174"/>
      <c r="C190" s="176"/>
      <c r="F190" s="5">
        <v>0</v>
      </c>
      <c r="G190" s="192">
        <v>0</v>
      </c>
      <c r="H190" s="192">
        <v>0</v>
      </c>
      <c r="I190" s="5">
        <v>0</v>
      </c>
      <c r="J190" s="192">
        <v>0</v>
      </c>
      <c r="K190" s="192">
        <v>0</v>
      </c>
      <c r="L190" s="5">
        <v>0</v>
      </c>
      <c r="M190" s="5">
        <v>0</v>
      </c>
      <c r="N190" s="4" t="e">
        <f t="shared" si="21"/>
        <v>#N/A</v>
      </c>
      <c r="O190" s="4" t="e">
        <f>IF(ROUND(10.499-(((N190-VLOOKUP($C190,Lookups!$A$55:$D$64,3))/(VLOOKUP($C190,Lookups!$A$55:$D$64,4))*VLOOKUP($C190,Lookups!$C$2:$D$11,2))),0)&lt;1,1,IF(ROUND(10.499-(((N190-VLOOKUP($C190,Lookups!$A$55:$D$64,3))/(VLOOKUP($C190,Lookups!$A$55:$D$64,4))*VLOOKUP($C190,Lookups!$C$2:$D$11,2))),0)&lt;11,ROUND(10.499-(((N190-VLOOKUP($C190,Lookups!$A$55:$D$64,3))/(VLOOKUP($C190,Lookups!$A$55:$D$64,4))*VLOOKUP($C190,Lookups!$C$2:$D$11,2))),0),10))</f>
        <v>#N/A</v>
      </c>
      <c r="P190" s="13" t="str">
        <f>IF((SUM(F190:M190)=0),"J",VLOOKUP(O190,Lookups!$A$1:$B$11,2))</f>
        <v>J</v>
      </c>
      <c r="Q190" s="8" t="e">
        <f>VLOOKUP(C190,Lookups!$A$136:$C$144,3)</f>
        <v>#N/A</v>
      </c>
      <c r="R190" s="8" t="e">
        <f>VLOOKUP(C190,Lookups!$A$136:$C$144,2)</f>
        <v>#N/A</v>
      </c>
      <c r="S190" s="4" t="str">
        <f t="shared" si="17"/>
        <v>No</v>
      </c>
      <c r="T190" s="125">
        <f t="shared" si="18"/>
        <v>0</v>
      </c>
      <c r="U190" s="125">
        <f t="shared" si="19"/>
        <v>0</v>
      </c>
      <c r="V190" s="4" t="e">
        <f>IF($Q190&lt;&gt;3,VLOOKUP(F190,'Points Table A'!B$3:$F$33,5),VLOOKUP(F190,'Points Table A'!H$3:$L$33,5))</f>
        <v>#N/A</v>
      </c>
      <c r="W190" s="4" t="e">
        <f>IF($Q190&lt;&gt;3,VLOOKUP(G190,'Points Table A'!C$3:$F$33,4),VLOOKUP(G190,'Points Table A'!I$3:$L$33,4))</f>
        <v>#N/A</v>
      </c>
      <c r="X190" s="4" t="e">
        <f>IF($Q190&lt;&gt;3,VLOOKUP(H190,'Points Table A'!D$3:$F$28,3),VLOOKUP(H190,'Points Table A'!J$3:$L$33,3))</f>
        <v>#N/A</v>
      </c>
      <c r="Y190" s="4" t="e">
        <f>IF($Q190&lt;&gt;3,VLOOKUP(I190,'Points Table A'!E$3:$F$33,2),VLOOKUP(I190,'Points Table A'!K$3:$L$33,2))</f>
        <v>#N/A</v>
      </c>
      <c r="Z190" s="4" t="e">
        <f t="shared" si="20"/>
        <v>#N/A</v>
      </c>
      <c r="AA190" s="4">
        <f>IF($S190=Lookups!$B$113,VLOOKUP(L190,'Points Table C'!A$3:$E$11,5),VLOOKUP(U190,'Points Table C'!B$3:$E$11,4))</f>
        <v>0</v>
      </c>
      <c r="AB190" s="4" t="e">
        <f>IF($Q190=1,0,VLOOKUP($J190,'Points Table C'!$C$3:$E$18,3))</f>
        <v>#N/A</v>
      </c>
      <c r="AC190" s="4">
        <f>VLOOKUP($K190,'Points Table C'!$D$3:$E$18,2)</f>
        <v>0</v>
      </c>
      <c r="AD190" s="4" t="e">
        <f>IF($Z190&lt;Lookups!$C$106,($AA190+AB190+AC190),IF($AA190&gt;=Lookups!$C$120,($AA190+AB190+AC190),$AA190+$AB190))</f>
        <v>#N/A</v>
      </c>
      <c r="AF190" s="7"/>
      <c r="AG190" s="7"/>
      <c r="AH190" s="7"/>
      <c r="AI190" s="7"/>
      <c r="AJ190" s="7"/>
      <c r="AK190" s="7"/>
      <c r="AL190" s="7"/>
      <c r="AM190" s="7"/>
      <c r="AN190" s="7"/>
      <c r="AO190" s="7"/>
      <c r="AP190" s="7"/>
      <c r="AQ190" s="7"/>
      <c r="AR190" s="7"/>
      <c r="AS190" s="7"/>
      <c r="AT190" s="7"/>
      <c r="AU190" s="7"/>
      <c r="AV190" s="7"/>
      <c r="AW190" s="7"/>
      <c r="AY190" s="7"/>
      <c r="AZ190" s="7"/>
      <c r="BA190" s="7"/>
      <c r="BB190" s="7"/>
    </row>
    <row r="191" spans="2:54" x14ac:dyDescent="0.2">
      <c r="B191" s="174"/>
      <c r="C191" s="176"/>
      <c r="F191" s="5">
        <v>0</v>
      </c>
      <c r="G191" s="192">
        <v>0</v>
      </c>
      <c r="H191" s="192">
        <v>0</v>
      </c>
      <c r="I191" s="5">
        <v>0</v>
      </c>
      <c r="J191" s="192">
        <v>0</v>
      </c>
      <c r="K191" s="192">
        <v>0</v>
      </c>
      <c r="L191" s="5">
        <v>0</v>
      </c>
      <c r="M191" s="5">
        <v>0</v>
      </c>
      <c r="N191" s="4" t="e">
        <f t="shared" si="21"/>
        <v>#N/A</v>
      </c>
      <c r="O191" s="4" t="e">
        <f>IF(ROUND(10.499-(((N191-VLOOKUP($C191,Lookups!$A$55:$D$64,3))/(VLOOKUP($C191,Lookups!$A$55:$D$64,4))*VLOOKUP($C191,Lookups!$C$2:$D$11,2))),0)&lt;1,1,IF(ROUND(10.499-(((N191-VLOOKUP($C191,Lookups!$A$55:$D$64,3))/(VLOOKUP($C191,Lookups!$A$55:$D$64,4))*VLOOKUP($C191,Lookups!$C$2:$D$11,2))),0)&lt;11,ROUND(10.499-(((N191-VLOOKUP($C191,Lookups!$A$55:$D$64,3))/(VLOOKUP($C191,Lookups!$A$55:$D$64,4))*VLOOKUP($C191,Lookups!$C$2:$D$11,2))),0),10))</f>
        <v>#N/A</v>
      </c>
      <c r="P191" s="13" t="str">
        <f>IF((SUM(F191:M191)=0),"J",VLOOKUP(O191,Lookups!$A$1:$B$11,2))</f>
        <v>J</v>
      </c>
      <c r="Q191" s="8" t="e">
        <f>VLOOKUP(C191,Lookups!$A$136:$C$144,3)</f>
        <v>#N/A</v>
      </c>
      <c r="R191" s="8" t="e">
        <f>VLOOKUP(C191,Lookups!$A$136:$C$144,2)</f>
        <v>#N/A</v>
      </c>
      <c r="S191" s="4" t="str">
        <f t="shared" si="17"/>
        <v>No</v>
      </c>
      <c r="T191" s="125">
        <f t="shared" si="18"/>
        <v>0</v>
      </c>
      <c r="U191" s="125">
        <f t="shared" si="19"/>
        <v>0</v>
      </c>
      <c r="V191" s="4" t="e">
        <f>IF($Q191&lt;&gt;3,VLOOKUP(F191,'Points Table A'!B$3:$F$33,5),VLOOKUP(F191,'Points Table A'!H$3:$L$33,5))</f>
        <v>#N/A</v>
      </c>
      <c r="W191" s="4" t="e">
        <f>IF($Q191&lt;&gt;3,VLOOKUP(G191,'Points Table A'!C$3:$F$33,4),VLOOKUP(G191,'Points Table A'!I$3:$L$33,4))</f>
        <v>#N/A</v>
      </c>
      <c r="X191" s="4" t="e">
        <f>IF($Q191&lt;&gt;3,VLOOKUP(H191,'Points Table A'!D$3:$F$28,3),VLOOKUP(H191,'Points Table A'!J$3:$L$33,3))</f>
        <v>#N/A</v>
      </c>
      <c r="Y191" s="4" t="e">
        <f>IF($Q191&lt;&gt;3,VLOOKUP(I191,'Points Table A'!E$3:$F$33,2),VLOOKUP(I191,'Points Table A'!K$3:$L$33,2))</f>
        <v>#N/A</v>
      </c>
      <c r="Z191" s="4" t="e">
        <f t="shared" si="20"/>
        <v>#N/A</v>
      </c>
      <c r="AA191" s="4">
        <f>IF($S191=Lookups!$B$113,VLOOKUP(L191,'Points Table C'!A$3:$E$11,5),VLOOKUP(U191,'Points Table C'!B$3:$E$11,4))</f>
        <v>0</v>
      </c>
      <c r="AB191" s="4" t="e">
        <f>IF($Q191=1,0,VLOOKUP($J191,'Points Table C'!$C$3:$E$18,3))</f>
        <v>#N/A</v>
      </c>
      <c r="AC191" s="4">
        <f>VLOOKUP($K191,'Points Table C'!$D$3:$E$18,2)</f>
        <v>0</v>
      </c>
      <c r="AD191" s="4" t="e">
        <f>IF($Z191&lt;Lookups!$C$106,($AA191+AB191+AC191),IF($AA191&gt;=Lookups!$C$120,($AA191+AB191+AC191),$AA191+$AB191))</f>
        <v>#N/A</v>
      </c>
      <c r="AF191" s="7"/>
      <c r="AG191" s="7"/>
      <c r="AH191" s="7"/>
      <c r="AI191" s="7"/>
      <c r="AJ191" s="7"/>
      <c r="AK191" s="7"/>
      <c r="AL191" s="7"/>
      <c r="AM191" s="7"/>
      <c r="AN191" s="7"/>
      <c r="AO191" s="7"/>
      <c r="AP191" s="7"/>
      <c r="AQ191" s="7"/>
      <c r="AR191" s="7"/>
      <c r="AS191" s="7"/>
      <c r="AT191" s="7"/>
      <c r="AU191" s="7"/>
      <c r="AV191" s="7"/>
      <c r="AW191" s="7"/>
      <c r="AY191" s="7"/>
      <c r="AZ191" s="7"/>
      <c r="BA191" s="7"/>
      <c r="BB191" s="7"/>
    </row>
    <row r="192" spans="2:54" x14ac:dyDescent="0.2">
      <c r="B192" s="174"/>
      <c r="C192" s="176"/>
      <c r="F192" s="5">
        <v>0</v>
      </c>
      <c r="G192" s="192">
        <v>0</v>
      </c>
      <c r="H192" s="192">
        <v>0</v>
      </c>
      <c r="I192" s="5">
        <v>0</v>
      </c>
      <c r="J192" s="192">
        <v>0</v>
      </c>
      <c r="K192" s="192">
        <v>0</v>
      </c>
      <c r="L192" s="5">
        <v>0</v>
      </c>
      <c r="M192" s="5">
        <v>0</v>
      </c>
      <c r="N192" s="4" t="e">
        <f t="shared" si="21"/>
        <v>#N/A</v>
      </c>
      <c r="O192" s="4" t="e">
        <f>IF(ROUND(10.499-(((N192-VLOOKUP($C192,Lookups!$A$55:$D$64,3))/(VLOOKUP($C192,Lookups!$A$55:$D$64,4))*VLOOKUP($C192,Lookups!$C$2:$D$11,2))),0)&lt;1,1,IF(ROUND(10.499-(((N192-VLOOKUP($C192,Lookups!$A$55:$D$64,3))/(VLOOKUP($C192,Lookups!$A$55:$D$64,4))*VLOOKUP($C192,Lookups!$C$2:$D$11,2))),0)&lt;11,ROUND(10.499-(((N192-VLOOKUP($C192,Lookups!$A$55:$D$64,3))/(VLOOKUP($C192,Lookups!$A$55:$D$64,4))*VLOOKUP($C192,Lookups!$C$2:$D$11,2))),0),10))</f>
        <v>#N/A</v>
      </c>
      <c r="P192" s="13" t="str">
        <f>IF((SUM(F192:M192)=0),"J",VLOOKUP(O192,Lookups!$A$1:$B$11,2))</f>
        <v>J</v>
      </c>
      <c r="Q192" s="8" t="e">
        <f>VLOOKUP(C192,Lookups!$A$136:$C$144,3)</f>
        <v>#N/A</v>
      </c>
      <c r="R192" s="8" t="e">
        <f>VLOOKUP(C192,Lookups!$A$136:$C$144,2)</f>
        <v>#N/A</v>
      </c>
      <c r="S192" s="4" t="str">
        <f t="shared" si="17"/>
        <v>No</v>
      </c>
      <c r="T192" s="125">
        <f t="shared" si="18"/>
        <v>0</v>
      </c>
      <c r="U192" s="125">
        <f t="shared" si="19"/>
        <v>0</v>
      </c>
      <c r="V192" s="4" t="e">
        <f>IF($Q192&lt;&gt;3,VLOOKUP(F192,'Points Table A'!B$3:$F$33,5),VLOOKUP(F192,'Points Table A'!H$3:$L$33,5))</f>
        <v>#N/A</v>
      </c>
      <c r="W192" s="4" t="e">
        <f>IF($Q192&lt;&gt;3,VLOOKUP(G192,'Points Table A'!C$3:$F$33,4),VLOOKUP(G192,'Points Table A'!I$3:$L$33,4))</f>
        <v>#N/A</v>
      </c>
      <c r="X192" s="4" t="e">
        <f>IF($Q192&lt;&gt;3,VLOOKUP(H192,'Points Table A'!D$3:$F$28,3),VLOOKUP(H192,'Points Table A'!J$3:$L$33,3))</f>
        <v>#N/A</v>
      </c>
      <c r="Y192" s="4" t="e">
        <f>IF($Q192&lt;&gt;3,VLOOKUP(I192,'Points Table A'!E$3:$F$33,2),VLOOKUP(I192,'Points Table A'!K$3:$L$33,2))</f>
        <v>#N/A</v>
      </c>
      <c r="Z192" s="4" t="e">
        <f t="shared" si="20"/>
        <v>#N/A</v>
      </c>
      <c r="AA192" s="4">
        <f>IF($S192=Lookups!$B$113,VLOOKUP(L192,'Points Table C'!A$3:$E$11,5),VLOOKUP(U192,'Points Table C'!B$3:$E$11,4))</f>
        <v>0</v>
      </c>
      <c r="AB192" s="4" t="e">
        <f>IF($Q192=1,0,VLOOKUP($J192,'Points Table C'!$C$3:$E$18,3))</f>
        <v>#N/A</v>
      </c>
      <c r="AC192" s="4">
        <f>VLOOKUP($K192,'Points Table C'!$D$3:$E$18,2)</f>
        <v>0</v>
      </c>
      <c r="AD192" s="4" t="e">
        <f>IF($Z192&lt;Lookups!$C$106,($AA192+AB192+AC192),IF($AA192&gt;=Lookups!$C$120,($AA192+AB192+AC192),$AA192+$AB192))</f>
        <v>#N/A</v>
      </c>
      <c r="AF192" s="7"/>
      <c r="AG192" s="7"/>
      <c r="AH192" s="7"/>
      <c r="AI192" s="7"/>
      <c r="AJ192" s="7"/>
      <c r="AK192" s="7"/>
      <c r="AL192" s="7"/>
      <c r="AM192" s="7"/>
      <c r="AN192" s="7"/>
      <c r="AO192" s="7"/>
      <c r="AP192" s="7"/>
      <c r="AQ192" s="7"/>
      <c r="AR192" s="7"/>
      <c r="AS192" s="7"/>
      <c r="AT192" s="7"/>
      <c r="AU192" s="7"/>
      <c r="AV192" s="7"/>
      <c r="AW192" s="7"/>
      <c r="AY192" s="7"/>
      <c r="AZ192" s="7"/>
      <c r="BA192" s="7"/>
      <c r="BB192" s="7"/>
    </row>
    <row r="193" spans="2:54" x14ac:dyDescent="0.2">
      <c r="B193" s="174"/>
      <c r="C193" s="176"/>
      <c r="F193" s="5">
        <v>0</v>
      </c>
      <c r="G193" s="192">
        <v>0</v>
      </c>
      <c r="H193" s="192">
        <v>0</v>
      </c>
      <c r="I193" s="5">
        <v>0</v>
      </c>
      <c r="J193" s="192">
        <v>0</v>
      </c>
      <c r="K193" s="192">
        <v>0</v>
      </c>
      <c r="L193" s="5">
        <v>0</v>
      </c>
      <c r="M193" s="5">
        <v>0</v>
      </c>
      <c r="N193" s="4" t="e">
        <f t="shared" si="21"/>
        <v>#N/A</v>
      </c>
      <c r="O193" s="4" t="e">
        <f>IF(ROUND(10.499-(((N193-VLOOKUP($C193,Lookups!$A$55:$D$64,3))/(VLOOKUP($C193,Lookups!$A$55:$D$64,4))*VLOOKUP($C193,Lookups!$C$2:$D$11,2))),0)&lt;1,1,IF(ROUND(10.499-(((N193-VLOOKUP($C193,Lookups!$A$55:$D$64,3))/(VLOOKUP($C193,Lookups!$A$55:$D$64,4))*VLOOKUP($C193,Lookups!$C$2:$D$11,2))),0)&lt;11,ROUND(10.499-(((N193-VLOOKUP($C193,Lookups!$A$55:$D$64,3))/(VLOOKUP($C193,Lookups!$A$55:$D$64,4))*VLOOKUP($C193,Lookups!$C$2:$D$11,2))),0),10))</f>
        <v>#N/A</v>
      </c>
      <c r="P193" s="13" t="str">
        <f>IF((SUM(F193:M193)=0),"J",VLOOKUP(O193,Lookups!$A$1:$B$11,2))</f>
        <v>J</v>
      </c>
      <c r="Q193" s="8" t="e">
        <f>VLOOKUP(C193,Lookups!$A$136:$C$144,3)</f>
        <v>#N/A</v>
      </c>
      <c r="R193" s="8" t="e">
        <f>VLOOKUP(C193,Lookups!$A$136:$C$144,2)</f>
        <v>#N/A</v>
      </c>
      <c r="S193" s="4" t="str">
        <f t="shared" si="17"/>
        <v>No</v>
      </c>
      <c r="T193" s="125">
        <f t="shared" si="18"/>
        <v>0</v>
      </c>
      <c r="U193" s="125">
        <f t="shared" si="19"/>
        <v>0</v>
      </c>
      <c r="V193" s="4" t="e">
        <f>IF($Q193&lt;&gt;3,VLOOKUP(F193,'Points Table A'!B$3:$F$33,5),VLOOKUP(F193,'Points Table A'!H$3:$L$33,5))</f>
        <v>#N/A</v>
      </c>
      <c r="W193" s="4" t="e">
        <f>IF($Q193&lt;&gt;3,VLOOKUP(G193,'Points Table A'!C$3:$F$33,4),VLOOKUP(G193,'Points Table A'!I$3:$L$33,4))</f>
        <v>#N/A</v>
      </c>
      <c r="X193" s="4" t="e">
        <f>IF($Q193&lt;&gt;3,VLOOKUP(H193,'Points Table A'!D$3:$F$28,3),VLOOKUP(H193,'Points Table A'!J$3:$L$33,3))</f>
        <v>#N/A</v>
      </c>
      <c r="Y193" s="4" t="e">
        <f>IF($Q193&lt;&gt;3,VLOOKUP(I193,'Points Table A'!E$3:$F$33,2),VLOOKUP(I193,'Points Table A'!K$3:$L$33,2))</f>
        <v>#N/A</v>
      </c>
      <c r="Z193" s="4" t="e">
        <f t="shared" si="20"/>
        <v>#N/A</v>
      </c>
      <c r="AA193" s="4">
        <f>IF($S193=Lookups!$B$113,VLOOKUP(L193,'Points Table C'!A$3:$E$11,5),VLOOKUP(U193,'Points Table C'!B$3:$E$11,4))</f>
        <v>0</v>
      </c>
      <c r="AB193" s="4" t="e">
        <f>IF($Q193=1,0,VLOOKUP($J193,'Points Table C'!$C$3:$E$18,3))</f>
        <v>#N/A</v>
      </c>
      <c r="AC193" s="4">
        <f>VLOOKUP($K193,'Points Table C'!$D$3:$E$18,2)</f>
        <v>0</v>
      </c>
      <c r="AD193" s="4" t="e">
        <f>IF($Z193&lt;Lookups!$C$106,($AA193+AB193+AC193),IF($AA193&gt;=Lookups!$C$120,($AA193+AB193+AC193),$AA193+$AB193))</f>
        <v>#N/A</v>
      </c>
      <c r="AF193" s="7"/>
      <c r="AG193" s="7"/>
      <c r="AH193" s="7"/>
      <c r="AI193" s="7"/>
      <c r="AJ193" s="7"/>
      <c r="AK193" s="7"/>
      <c r="AL193" s="7"/>
      <c r="AM193" s="7"/>
      <c r="AN193" s="7"/>
      <c r="AO193" s="7"/>
      <c r="AP193" s="7"/>
      <c r="AQ193" s="7"/>
      <c r="AR193" s="7"/>
      <c r="AS193" s="7"/>
      <c r="AT193" s="7"/>
      <c r="AU193" s="7"/>
      <c r="AV193" s="7"/>
      <c r="AW193" s="7"/>
      <c r="AY193" s="7"/>
      <c r="AZ193" s="7"/>
      <c r="BA193" s="7"/>
      <c r="BB193" s="7"/>
    </row>
    <row r="194" spans="2:54" x14ac:dyDescent="0.2">
      <c r="B194" s="174"/>
      <c r="C194" s="176"/>
      <c r="F194" s="5">
        <v>0</v>
      </c>
      <c r="G194" s="192">
        <v>0</v>
      </c>
      <c r="H194" s="192">
        <v>0</v>
      </c>
      <c r="I194" s="5">
        <v>0</v>
      </c>
      <c r="J194" s="192">
        <v>0</v>
      </c>
      <c r="K194" s="192">
        <v>0</v>
      </c>
      <c r="L194" s="5">
        <v>0</v>
      </c>
      <c r="M194" s="5">
        <v>0</v>
      </c>
      <c r="N194" s="4" t="e">
        <f t="shared" si="21"/>
        <v>#N/A</v>
      </c>
      <c r="O194" s="4" t="e">
        <f>IF(ROUND(10.499-(((N194-VLOOKUP($C194,Lookups!$A$55:$D$64,3))/(VLOOKUP($C194,Lookups!$A$55:$D$64,4))*VLOOKUP($C194,Lookups!$C$2:$D$11,2))),0)&lt;1,1,IF(ROUND(10.499-(((N194-VLOOKUP($C194,Lookups!$A$55:$D$64,3))/(VLOOKUP($C194,Lookups!$A$55:$D$64,4))*VLOOKUP($C194,Lookups!$C$2:$D$11,2))),0)&lt;11,ROUND(10.499-(((N194-VLOOKUP($C194,Lookups!$A$55:$D$64,3))/(VLOOKUP($C194,Lookups!$A$55:$D$64,4))*VLOOKUP($C194,Lookups!$C$2:$D$11,2))),0),10))</f>
        <v>#N/A</v>
      </c>
      <c r="P194" s="13" t="str">
        <f>IF((SUM(F194:M194)=0),"J",VLOOKUP(O194,Lookups!$A$1:$B$11,2))</f>
        <v>J</v>
      </c>
      <c r="Q194" s="8" t="e">
        <f>VLOOKUP(C194,Lookups!$A$136:$C$144,3)</f>
        <v>#N/A</v>
      </c>
      <c r="R194" s="8" t="e">
        <f>VLOOKUP(C194,Lookups!$A$136:$C$144,2)</f>
        <v>#N/A</v>
      </c>
      <c r="S194" s="4" t="str">
        <f t="shared" si="17"/>
        <v>No</v>
      </c>
      <c r="T194" s="125">
        <f t="shared" si="18"/>
        <v>0</v>
      </c>
      <c r="U194" s="125">
        <f t="shared" si="19"/>
        <v>0</v>
      </c>
      <c r="V194" s="4" t="e">
        <f>IF($Q194&lt;&gt;3,VLOOKUP(F194,'Points Table A'!B$3:$F$33,5),VLOOKUP(F194,'Points Table A'!H$3:$L$33,5))</f>
        <v>#N/A</v>
      </c>
      <c r="W194" s="4" t="e">
        <f>IF($Q194&lt;&gt;3,VLOOKUP(G194,'Points Table A'!C$3:$F$33,4),VLOOKUP(G194,'Points Table A'!I$3:$L$33,4))</f>
        <v>#N/A</v>
      </c>
      <c r="X194" s="4" t="e">
        <f>IF($Q194&lt;&gt;3,VLOOKUP(H194,'Points Table A'!D$3:$F$28,3),VLOOKUP(H194,'Points Table A'!J$3:$L$33,3))</f>
        <v>#N/A</v>
      </c>
      <c r="Y194" s="4" t="e">
        <f>IF($Q194&lt;&gt;3,VLOOKUP(I194,'Points Table A'!E$3:$F$33,2),VLOOKUP(I194,'Points Table A'!K$3:$L$33,2))</f>
        <v>#N/A</v>
      </c>
      <c r="Z194" s="4" t="e">
        <f t="shared" si="20"/>
        <v>#N/A</v>
      </c>
      <c r="AA194" s="4">
        <f>IF($S194=Lookups!$B$113,VLOOKUP(L194,'Points Table C'!A$3:$E$11,5),VLOOKUP(U194,'Points Table C'!B$3:$E$11,4))</f>
        <v>0</v>
      </c>
      <c r="AB194" s="4" t="e">
        <f>IF($Q194=1,0,VLOOKUP($J194,'Points Table C'!$C$3:$E$18,3))</f>
        <v>#N/A</v>
      </c>
      <c r="AC194" s="4">
        <f>VLOOKUP($K194,'Points Table C'!$D$3:$E$18,2)</f>
        <v>0</v>
      </c>
      <c r="AD194" s="4" t="e">
        <f>IF($Z194&lt;Lookups!$C$106,($AA194+AB194+AC194),IF($AA194&gt;=Lookups!$C$120,($AA194+AB194+AC194),$AA194+$AB194))</f>
        <v>#N/A</v>
      </c>
      <c r="AF194" s="7"/>
      <c r="AG194" s="7"/>
      <c r="AH194" s="7"/>
      <c r="AI194" s="7"/>
      <c r="AJ194" s="7"/>
      <c r="AK194" s="7"/>
      <c r="AL194" s="7"/>
      <c r="AM194" s="7"/>
      <c r="AN194" s="7"/>
      <c r="AO194" s="7"/>
      <c r="AP194" s="7"/>
      <c r="AQ194" s="7"/>
      <c r="AR194" s="7"/>
      <c r="AS194" s="7"/>
      <c r="AT194" s="7"/>
      <c r="AU194" s="7"/>
      <c r="AV194" s="7"/>
      <c r="AW194" s="7"/>
      <c r="AY194" s="7"/>
      <c r="AZ194" s="7"/>
      <c r="BA194" s="7"/>
      <c r="BB194" s="7"/>
    </row>
    <row r="195" spans="2:54" x14ac:dyDescent="0.2">
      <c r="B195" s="174"/>
      <c r="C195" s="176"/>
      <c r="F195" s="5">
        <v>0</v>
      </c>
      <c r="G195" s="192">
        <v>0</v>
      </c>
      <c r="H195" s="192">
        <v>0</v>
      </c>
      <c r="I195" s="5">
        <v>0</v>
      </c>
      <c r="J195" s="192">
        <v>0</v>
      </c>
      <c r="K195" s="192">
        <v>0</v>
      </c>
      <c r="L195" s="5">
        <v>0</v>
      </c>
      <c r="M195" s="5">
        <v>0</v>
      </c>
      <c r="N195" s="4" t="e">
        <f t="shared" si="21"/>
        <v>#N/A</v>
      </c>
      <c r="O195" s="4" t="e">
        <f>IF(ROUND(10.499-(((N195-VLOOKUP($C195,Lookups!$A$55:$D$64,3))/(VLOOKUP($C195,Lookups!$A$55:$D$64,4))*VLOOKUP($C195,Lookups!$C$2:$D$11,2))),0)&lt;1,1,IF(ROUND(10.499-(((N195-VLOOKUP($C195,Lookups!$A$55:$D$64,3))/(VLOOKUP($C195,Lookups!$A$55:$D$64,4))*VLOOKUP($C195,Lookups!$C$2:$D$11,2))),0)&lt;11,ROUND(10.499-(((N195-VLOOKUP($C195,Lookups!$A$55:$D$64,3))/(VLOOKUP($C195,Lookups!$A$55:$D$64,4))*VLOOKUP($C195,Lookups!$C$2:$D$11,2))),0),10))</f>
        <v>#N/A</v>
      </c>
      <c r="P195" s="13" t="str">
        <f>IF((SUM(F195:M195)=0),"J",VLOOKUP(O195,Lookups!$A$1:$B$11,2))</f>
        <v>J</v>
      </c>
      <c r="Q195" s="8" t="e">
        <f>VLOOKUP(C195,Lookups!$A$136:$C$144,3)</f>
        <v>#N/A</v>
      </c>
      <c r="R195" s="8" t="e">
        <f>VLOOKUP(C195,Lookups!$A$136:$C$144,2)</f>
        <v>#N/A</v>
      </c>
      <c r="S195" s="4" t="str">
        <f t="shared" si="17"/>
        <v>No</v>
      </c>
      <c r="T195" s="125">
        <f t="shared" si="18"/>
        <v>0</v>
      </c>
      <c r="U195" s="125">
        <f t="shared" si="19"/>
        <v>0</v>
      </c>
      <c r="V195" s="4" t="e">
        <f>IF($Q195&lt;&gt;3,VLOOKUP(F195,'Points Table A'!B$3:$F$33,5),VLOOKUP(F195,'Points Table A'!H$3:$L$33,5))</f>
        <v>#N/A</v>
      </c>
      <c r="W195" s="4" t="e">
        <f>IF($Q195&lt;&gt;3,VLOOKUP(G195,'Points Table A'!C$3:$F$33,4),VLOOKUP(G195,'Points Table A'!I$3:$L$33,4))</f>
        <v>#N/A</v>
      </c>
      <c r="X195" s="4" t="e">
        <f>IF($Q195&lt;&gt;3,VLOOKUP(H195,'Points Table A'!D$3:$F$28,3),VLOOKUP(H195,'Points Table A'!J$3:$L$33,3))</f>
        <v>#N/A</v>
      </c>
      <c r="Y195" s="4" t="e">
        <f>IF($Q195&lt;&gt;3,VLOOKUP(I195,'Points Table A'!E$3:$F$33,2),VLOOKUP(I195,'Points Table A'!K$3:$L$33,2))</f>
        <v>#N/A</v>
      </c>
      <c r="Z195" s="4" t="e">
        <f t="shared" si="20"/>
        <v>#N/A</v>
      </c>
      <c r="AA195" s="4">
        <f>IF($S195=Lookups!$B$113,VLOOKUP(L195,'Points Table C'!A$3:$E$11,5),VLOOKUP(U195,'Points Table C'!B$3:$E$11,4))</f>
        <v>0</v>
      </c>
      <c r="AB195" s="4" t="e">
        <f>IF($Q195=1,0,VLOOKUP($J195,'Points Table C'!$C$3:$E$18,3))</f>
        <v>#N/A</v>
      </c>
      <c r="AC195" s="4">
        <f>VLOOKUP($K195,'Points Table C'!$D$3:$E$18,2)</f>
        <v>0</v>
      </c>
      <c r="AD195" s="4" t="e">
        <f>IF($Z195&lt;Lookups!$C$106,($AA195+AB195+AC195),IF($AA195&gt;=Lookups!$C$120,($AA195+AB195+AC195),$AA195+$AB195))</f>
        <v>#N/A</v>
      </c>
      <c r="AF195" s="7"/>
      <c r="AG195" s="7"/>
      <c r="AH195" s="7"/>
      <c r="AI195" s="7"/>
      <c r="AJ195" s="7"/>
      <c r="AK195" s="7"/>
      <c r="AL195" s="7"/>
      <c r="AM195" s="7"/>
      <c r="AN195" s="7"/>
      <c r="AO195" s="7"/>
      <c r="AP195" s="7"/>
      <c r="AQ195" s="7"/>
      <c r="AR195" s="7"/>
      <c r="AS195" s="7"/>
      <c r="AT195" s="7"/>
      <c r="AU195" s="7"/>
      <c r="AV195" s="7"/>
      <c r="AW195" s="7"/>
      <c r="AY195" s="7"/>
      <c r="AZ195" s="7"/>
      <c r="BA195" s="7"/>
      <c r="BB195" s="7"/>
    </row>
    <row r="196" spans="2:54" x14ac:dyDescent="0.2">
      <c r="B196" s="174"/>
      <c r="C196" s="176"/>
      <c r="F196" s="5">
        <v>0</v>
      </c>
      <c r="G196" s="192">
        <v>0</v>
      </c>
      <c r="H196" s="192">
        <v>0</v>
      </c>
      <c r="I196" s="5">
        <v>0</v>
      </c>
      <c r="J196" s="192">
        <v>0</v>
      </c>
      <c r="K196" s="192">
        <v>0</v>
      </c>
      <c r="L196" s="5">
        <v>0</v>
      </c>
      <c r="M196" s="5">
        <v>0</v>
      </c>
      <c r="N196" s="4" t="e">
        <f t="shared" si="21"/>
        <v>#N/A</v>
      </c>
      <c r="O196" s="4" t="e">
        <f>IF(ROUND(10.499-(((N196-VLOOKUP($C196,Lookups!$A$55:$D$64,3))/(VLOOKUP($C196,Lookups!$A$55:$D$64,4))*VLOOKUP($C196,Lookups!$C$2:$D$11,2))),0)&lt;1,1,IF(ROUND(10.499-(((N196-VLOOKUP($C196,Lookups!$A$55:$D$64,3))/(VLOOKUP($C196,Lookups!$A$55:$D$64,4))*VLOOKUP($C196,Lookups!$C$2:$D$11,2))),0)&lt;11,ROUND(10.499-(((N196-VLOOKUP($C196,Lookups!$A$55:$D$64,3))/(VLOOKUP($C196,Lookups!$A$55:$D$64,4))*VLOOKUP($C196,Lookups!$C$2:$D$11,2))),0),10))</f>
        <v>#N/A</v>
      </c>
      <c r="P196" s="13" t="str">
        <f>IF((SUM(F196:M196)=0),"J",VLOOKUP(O196,Lookups!$A$1:$B$11,2))</f>
        <v>J</v>
      </c>
      <c r="Q196" s="8" t="e">
        <f>VLOOKUP(C196,Lookups!$A$136:$C$144,3)</f>
        <v>#N/A</v>
      </c>
      <c r="R196" s="8" t="e">
        <f>VLOOKUP(C196,Lookups!$A$136:$C$144,2)</f>
        <v>#N/A</v>
      </c>
      <c r="S196" s="4" t="str">
        <f t="shared" si="17"/>
        <v>No</v>
      </c>
      <c r="T196" s="125">
        <f t="shared" si="18"/>
        <v>0</v>
      </c>
      <c r="U196" s="125">
        <f t="shared" si="19"/>
        <v>0</v>
      </c>
      <c r="V196" s="4" t="e">
        <f>IF($Q196&lt;&gt;3,VLOOKUP(F196,'Points Table A'!B$3:$F$33,5),VLOOKUP(F196,'Points Table A'!H$3:$L$33,5))</f>
        <v>#N/A</v>
      </c>
      <c r="W196" s="4" t="e">
        <f>IF($Q196&lt;&gt;3,VLOOKUP(G196,'Points Table A'!C$3:$F$33,4),VLOOKUP(G196,'Points Table A'!I$3:$L$33,4))</f>
        <v>#N/A</v>
      </c>
      <c r="X196" s="4" t="e">
        <f>IF($Q196&lt;&gt;3,VLOOKUP(H196,'Points Table A'!D$3:$F$28,3),VLOOKUP(H196,'Points Table A'!J$3:$L$33,3))</f>
        <v>#N/A</v>
      </c>
      <c r="Y196" s="4" t="e">
        <f>IF($Q196&lt;&gt;3,VLOOKUP(I196,'Points Table A'!E$3:$F$33,2),VLOOKUP(I196,'Points Table A'!K$3:$L$33,2))</f>
        <v>#N/A</v>
      </c>
      <c r="Z196" s="4" t="e">
        <f t="shared" si="20"/>
        <v>#N/A</v>
      </c>
      <c r="AA196" s="4">
        <f>IF($S196=Lookups!$B$113,VLOOKUP(L196,'Points Table C'!A$3:$E$11,5),VLOOKUP(U196,'Points Table C'!B$3:$E$11,4))</f>
        <v>0</v>
      </c>
      <c r="AB196" s="4" t="e">
        <f>IF($Q196=1,0,VLOOKUP($J196,'Points Table C'!$C$3:$E$18,3))</f>
        <v>#N/A</v>
      </c>
      <c r="AC196" s="4">
        <f>VLOOKUP($K196,'Points Table C'!$D$3:$E$18,2)</f>
        <v>0</v>
      </c>
      <c r="AD196" s="4" t="e">
        <f>IF($Z196&lt;Lookups!$C$106,($AA196+AB196+AC196),IF($AA196&gt;=Lookups!$C$120,($AA196+AB196+AC196),$AA196+$AB196))</f>
        <v>#N/A</v>
      </c>
      <c r="AF196" s="7"/>
      <c r="AG196" s="7"/>
      <c r="AH196" s="7"/>
      <c r="AI196" s="7"/>
      <c r="AJ196" s="7"/>
      <c r="AK196" s="7"/>
      <c r="AL196" s="7"/>
      <c r="AM196" s="7"/>
      <c r="AN196" s="7"/>
      <c r="AO196" s="7"/>
      <c r="AP196" s="7"/>
      <c r="AQ196" s="7"/>
      <c r="AR196" s="7"/>
      <c r="AS196" s="7"/>
      <c r="AT196" s="7"/>
      <c r="AU196" s="7"/>
      <c r="AV196" s="7"/>
      <c r="AW196" s="7"/>
      <c r="AY196" s="7"/>
      <c r="AZ196" s="7"/>
      <c r="BA196" s="7"/>
      <c r="BB196" s="7"/>
    </row>
    <row r="197" spans="2:54" x14ac:dyDescent="0.2">
      <c r="B197" s="174"/>
      <c r="C197" s="176"/>
      <c r="F197" s="5">
        <v>0</v>
      </c>
      <c r="G197" s="192">
        <v>0</v>
      </c>
      <c r="H197" s="192">
        <v>0</v>
      </c>
      <c r="I197" s="5">
        <v>0</v>
      </c>
      <c r="J197" s="192">
        <v>0</v>
      </c>
      <c r="K197" s="192">
        <v>0</v>
      </c>
      <c r="L197" s="5">
        <v>0</v>
      </c>
      <c r="M197" s="5">
        <v>0</v>
      </c>
      <c r="N197" s="4" t="e">
        <f t="shared" si="21"/>
        <v>#N/A</v>
      </c>
      <c r="O197" s="4" t="e">
        <f>IF(ROUND(10.499-(((N197-VLOOKUP($C197,Lookups!$A$55:$D$64,3))/(VLOOKUP($C197,Lookups!$A$55:$D$64,4))*VLOOKUP($C197,Lookups!$C$2:$D$11,2))),0)&lt;1,1,IF(ROUND(10.499-(((N197-VLOOKUP($C197,Lookups!$A$55:$D$64,3))/(VLOOKUP($C197,Lookups!$A$55:$D$64,4))*VLOOKUP($C197,Lookups!$C$2:$D$11,2))),0)&lt;11,ROUND(10.499-(((N197-VLOOKUP($C197,Lookups!$A$55:$D$64,3))/(VLOOKUP($C197,Lookups!$A$55:$D$64,4))*VLOOKUP($C197,Lookups!$C$2:$D$11,2))),0),10))</f>
        <v>#N/A</v>
      </c>
      <c r="P197" s="13" t="str">
        <f>IF((SUM(F197:M197)=0),"J",VLOOKUP(O197,Lookups!$A$1:$B$11,2))</f>
        <v>J</v>
      </c>
      <c r="Q197" s="8" t="e">
        <f>VLOOKUP(C197,Lookups!$A$136:$C$144,3)</f>
        <v>#N/A</v>
      </c>
      <c r="R197" s="8" t="e">
        <f>VLOOKUP(C197,Lookups!$A$136:$C$144,2)</f>
        <v>#N/A</v>
      </c>
      <c r="S197" s="4" t="str">
        <f t="shared" si="17"/>
        <v>No</v>
      </c>
      <c r="T197" s="125">
        <f t="shared" si="18"/>
        <v>0</v>
      </c>
      <c r="U197" s="125">
        <f t="shared" si="19"/>
        <v>0</v>
      </c>
      <c r="V197" s="4" t="e">
        <f>IF($Q197&lt;&gt;3,VLOOKUP(F197,'Points Table A'!B$3:$F$33,5),VLOOKUP(F197,'Points Table A'!H$3:$L$33,5))</f>
        <v>#N/A</v>
      </c>
      <c r="W197" s="4" t="e">
        <f>IF($Q197&lt;&gt;3,VLOOKUP(G197,'Points Table A'!C$3:$F$33,4),VLOOKUP(G197,'Points Table A'!I$3:$L$33,4))</f>
        <v>#N/A</v>
      </c>
      <c r="X197" s="4" t="e">
        <f>IF($Q197&lt;&gt;3,VLOOKUP(H197,'Points Table A'!D$3:$F$28,3),VLOOKUP(H197,'Points Table A'!J$3:$L$33,3))</f>
        <v>#N/A</v>
      </c>
      <c r="Y197" s="4" t="e">
        <f>IF($Q197&lt;&gt;3,VLOOKUP(I197,'Points Table A'!E$3:$F$33,2),VLOOKUP(I197,'Points Table A'!K$3:$L$33,2))</f>
        <v>#N/A</v>
      </c>
      <c r="Z197" s="4" t="e">
        <f t="shared" si="20"/>
        <v>#N/A</v>
      </c>
      <c r="AA197" s="4">
        <f>IF($S197=Lookups!$B$113,VLOOKUP(L197,'Points Table C'!A$3:$E$11,5),VLOOKUP(U197,'Points Table C'!B$3:$E$11,4))</f>
        <v>0</v>
      </c>
      <c r="AB197" s="4" t="e">
        <f>IF($Q197=1,0,VLOOKUP($J197,'Points Table C'!$C$3:$E$18,3))</f>
        <v>#N/A</v>
      </c>
      <c r="AC197" s="4">
        <f>VLOOKUP($K197,'Points Table C'!$D$3:$E$18,2)</f>
        <v>0</v>
      </c>
      <c r="AD197" s="4" t="e">
        <f>IF($Z197&lt;Lookups!$C$106,($AA197+AB197+AC197),IF($AA197&gt;=Lookups!$C$120,($AA197+AB197+AC197),$AA197+$AB197))</f>
        <v>#N/A</v>
      </c>
      <c r="AF197" s="7"/>
      <c r="AG197" s="7"/>
      <c r="AH197" s="7"/>
      <c r="AI197" s="7"/>
      <c r="AJ197" s="7"/>
      <c r="AK197" s="7"/>
      <c r="AL197" s="7"/>
      <c r="AM197" s="7"/>
      <c r="AN197" s="7"/>
      <c r="AO197" s="7"/>
      <c r="AP197" s="7"/>
      <c r="AQ197" s="7"/>
      <c r="AR197" s="7"/>
      <c r="AS197" s="7"/>
      <c r="AT197" s="7"/>
      <c r="AU197" s="7"/>
      <c r="AV197" s="7"/>
      <c r="AW197" s="7"/>
      <c r="AY197" s="7"/>
      <c r="AZ197" s="7"/>
      <c r="BA197" s="7"/>
      <c r="BB197" s="7"/>
    </row>
    <row r="198" spans="2:54" x14ac:dyDescent="0.2">
      <c r="B198" s="174"/>
      <c r="C198" s="176"/>
      <c r="F198" s="5">
        <v>0</v>
      </c>
      <c r="G198" s="192">
        <v>0</v>
      </c>
      <c r="H198" s="192">
        <v>0</v>
      </c>
      <c r="I198" s="5">
        <v>0</v>
      </c>
      <c r="J198" s="192">
        <v>0</v>
      </c>
      <c r="K198" s="192">
        <v>0</v>
      </c>
      <c r="L198" s="5">
        <v>0</v>
      </c>
      <c r="M198" s="5">
        <v>0</v>
      </c>
      <c r="N198" s="4" t="e">
        <f t="shared" si="21"/>
        <v>#N/A</v>
      </c>
      <c r="O198" s="4" t="e">
        <f>IF(ROUND(10.499-(((N198-VLOOKUP($C198,Lookups!$A$55:$D$64,3))/(VLOOKUP($C198,Lookups!$A$55:$D$64,4))*VLOOKUP($C198,Lookups!$C$2:$D$11,2))),0)&lt;1,1,IF(ROUND(10.499-(((N198-VLOOKUP($C198,Lookups!$A$55:$D$64,3))/(VLOOKUP($C198,Lookups!$A$55:$D$64,4))*VLOOKUP($C198,Lookups!$C$2:$D$11,2))),0)&lt;11,ROUND(10.499-(((N198-VLOOKUP($C198,Lookups!$A$55:$D$64,3))/(VLOOKUP($C198,Lookups!$A$55:$D$64,4))*VLOOKUP($C198,Lookups!$C$2:$D$11,2))),0),10))</f>
        <v>#N/A</v>
      </c>
      <c r="P198" s="13" t="str">
        <f>IF((SUM(F198:M198)=0),"J",VLOOKUP(O198,Lookups!$A$1:$B$11,2))</f>
        <v>J</v>
      </c>
      <c r="Q198" s="8" t="e">
        <f>VLOOKUP(C198,Lookups!$A$136:$C$144,3)</f>
        <v>#N/A</v>
      </c>
      <c r="R198" s="8" t="e">
        <f>VLOOKUP(C198,Lookups!$A$136:$C$144,2)</f>
        <v>#N/A</v>
      </c>
      <c r="S198" s="4" t="str">
        <f t="shared" si="17"/>
        <v>No</v>
      </c>
      <c r="T198" s="125">
        <f t="shared" si="18"/>
        <v>0</v>
      </c>
      <c r="U198" s="125">
        <f t="shared" si="19"/>
        <v>0</v>
      </c>
      <c r="V198" s="4" t="e">
        <f>IF($Q198&lt;&gt;3,VLOOKUP(F198,'Points Table A'!B$3:$F$33,5),VLOOKUP(F198,'Points Table A'!H$3:$L$33,5))</f>
        <v>#N/A</v>
      </c>
      <c r="W198" s="4" t="e">
        <f>IF($Q198&lt;&gt;3,VLOOKUP(G198,'Points Table A'!C$3:$F$33,4),VLOOKUP(G198,'Points Table A'!I$3:$L$33,4))</f>
        <v>#N/A</v>
      </c>
      <c r="X198" s="4" t="e">
        <f>IF($Q198&lt;&gt;3,VLOOKUP(H198,'Points Table A'!D$3:$F$28,3),VLOOKUP(H198,'Points Table A'!J$3:$L$33,3))</f>
        <v>#N/A</v>
      </c>
      <c r="Y198" s="4" t="e">
        <f>IF($Q198&lt;&gt;3,VLOOKUP(I198,'Points Table A'!E$3:$F$33,2),VLOOKUP(I198,'Points Table A'!K$3:$L$33,2))</f>
        <v>#N/A</v>
      </c>
      <c r="Z198" s="4" t="e">
        <f t="shared" si="20"/>
        <v>#N/A</v>
      </c>
      <c r="AA198" s="4">
        <f>IF($S198=Lookups!$B$113,VLOOKUP(L198,'Points Table C'!A$3:$E$11,5),VLOOKUP(U198,'Points Table C'!B$3:$E$11,4))</f>
        <v>0</v>
      </c>
      <c r="AB198" s="4" t="e">
        <f>IF($Q198=1,0,VLOOKUP($J198,'Points Table C'!$C$3:$E$18,3))</f>
        <v>#N/A</v>
      </c>
      <c r="AC198" s="4">
        <f>VLOOKUP($K198,'Points Table C'!$D$3:$E$18,2)</f>
        <v>0</v>
      </c>
      <c r="AD198" s="4" t="e">
        <f>IF($Z198&lt;Lookups!$C$106,($AA198+AB198+AC198),IF($AA198&gt;=Lookups!$C$120,($AA198+AB198+AC198),$AA198+$AB198))</f>
        <v>#N/A</v>
      </c>
      <c r="AF198" s="7"/>
      <c r="AG198" s="7"/>
      <c r="AH198" s="7"/>
      <c r="AI198" s="7"/>
      <c r="AJ198" s="7"/>
      <c r="AK198" s="7"/>
      <c r="AL198" s="7"/>
      <c r="AM198" s="7"/>
      <c r="AN198" s="7"/>
      <c r="AO198" s="7"/>
      <c r="AP198" s="7"/>
      <c r="AQ198" s="7"/>
      <c r="AR198" s="7"/>
      <c r="AS198" s="7"/>
      <c r="AT198" s="7"/>
      <c r="AU198" s="7"/>
      <c r="AV198" s="7"/>
      <c r="AW198" s="7"/>
      <c r="AY198" s="7"/>
      <c r="AZ198" s="7"/>
      <c r="BA198" s="7"/>
      <c r="BB198" s="7"/>
    </row>
    <row r="199" spans="2:54" x14ac:dyDescent="0.2">
      <c r="B199" s="174"/>
      <c r="C199" s="176"/>
      <c r="F199" s="5">
        <v>0</v>
      </c>
      <c r="G199" s="192">
        <v>0</v>
      </c>
      <c r="H199" s="192">
        <v>0</v>
      </c>
      <c r="I199" s="5">
        <v>0</v>
      </c>
      <c r="J199" s="192">
        <v>0</v>
      </c>
      <c r="K199" s="192">
        <v>0</v>
      </c>
      <c r="L199" s="5">
        <v>0</v>
      </c>
      <c r="M199" s="5">
        <v>0</v>
      </c>
      <c r="N199" s="4" t="e">
        <f t="shared" si="21"/>
        <v>#N/A</v>
      </c>
      <c r="O199" s="4" t="e">
        <f>IF(ROUND(10.499-(((N199-VLOOKUP($C199,Lookups!$A$55:$D$64,3))/(VLOOKUP($C199,Lookups!$A$55:$D$64,4))*VLOOKUP($C199,Lookups!$C$2:$D$11,2))),0)&lt;1,1,IF(ROUND(10.499-(((N199-VLOOKUP($C199,Lookups!$A$55:$D$64,3))/(VLOOKUP($C199,Lookups!$A$55:$D$64,4))*VLOOKUP($C199,Lookups!$C$2:$D$11,2))),0)&lt;11,ROUND(10.499-(((N199-VLOOKUP($C199,Lookups!$A$55:$D$64,3))/(VLOOKUP($C199,Lookups!$A$55:$D$64,4))*VLOOKUP($C199,Lookups!$C$2:$D$11,2))),0),10))</f>
        <v>#N/A</v>
      </c>
      <c r="P199" s="13" t="str">
        <f>IF((SUM(F199:M199)=0),"J",VLOOKUP(O199,Lookups!$A$1:$B$11,2))</f>
        <v>J</v>
      </c>
      <c r="Q199" s="8" t="e">
        <f>VLOOKUP(C199,Lookups!$A$136:$C$144,3)</f>
        <v>#N/A</v>
      </c>
      <c r="R199" s="8" t="e">
        <f>VLOOKUP(C199,Lookups!$A$136:$C$144,2)</f>
        <v>#N/A</v>
      </c>
      <c r="S199" s="4" t="str">
        <f t="shared" si="17"/>
        <v>No</v>
      </c>
      <c r="T199" s="125">
        <f t="shared" si="18"/>
        <v>0</v>
      </c>
      <c r="U199" s="125">
        <f t="shared" si="19"/>
        <v>0</v>
      </c>
      <c r="V199" s="4" t="e">
        <f>IF($Q199&lt;&gt;3,VLOOKUP(F199,'Points Table A'!B$3:$F$33,5),VLOOKUP(F199,'Points Table A'!H$3:$L$33,5))</f>
        <v>#N/A</v>
      </c>
      <c r="W199" s="4" t="e">
        <f>IF($Q199&lt;&gt;3,VLOOKUP(G199,'Points Table A'!C$3:$F$33,4),VLOOKUP(G199,'Points Table A'!I$3:$L$33,4))</f>
        <v>#N/A</v>
      </c>
      <c r="X199" s="4" t="e">
        <f>IF($Q199&lt;&gt;3,VLOOKUP(H199,'Points Table A'!D$3:$F$28,3),VLOOKUP(H199,'Points Table A'!J$3:$L$33,3))</f>
        <v>#N/A</v>
      </c>
      <c r="Y199" s="4" t="e">
        <f>IF($Q199&lt;&gt;3,VLOOKUP(I199,'Points Table A'!E$3:$F$33,2),VLOOKUP(I199,'Points Table A'!K$3:$L$33,2))</f>
        <v>#N/A</v>
      </c>
      <c r="Z199" s="4" t="e">
        <f t="shared" si="20"/>
        <v>#N/A</v>
      </c>
      <c r="AA199" s="4">
        <f>IF($S199=Lookups!$B$113,VLOOKUP(L199,'Points Table C'!A$3:$E$11,5),VLOOKUP(U199,'Points Table C'!B$3:$E$11,4))</f>
        <v>0</v>
      </c>
      <c r="AB199" s="4" t="e">
        <f>IF($Q199=1,0,VLOOKUP($J199,'Points Table C'!$C$3:$E$18,3))</f>
        <v>#N/A</v>
      </c>
      <c r="AC199" s="4">
        <f>VLOOKUP($K199,'Points Table C'!$D$3:$E$18,2)</f>
        <v>0</v>
      </c>
      <c r="AD199" s="4" t="e">
        <f>IF($Z199&lt;Lookups!$C$106,($AA199+AB199+AC199),IF($AA199&gt;=Lookups!$C$120,($AA199+AB199+AC199),$AA199+$AB199))</f>
        <v>#N/A</v>
      </c>
      <c r="AF199" s="7"/>
      <c r="AG199" s="7"/>
      <c r="AH199" s="7"/>
      <c r="AI199" s="7"/>
      <c r="AJ199" s="7"/>
      <c r="AK199" s="7"/>
      <c r="AL199" s="7"/>
      <c r="AM199" s="7"/>
      <c r="AN199" s="7"/>
      <c r="AO199" s="7"/>
      <c r="AP199" s="7"/>
      <c r="AQ199" s="7"/>
      <c r="AR199" s="7"/>
      <c r="AS199" s="7"/>
      <c r="AT199" s="7"/>
      <c r="AU199" s="7"/>
      <c r="AV199" s="7"/>
      <c r="AW199" s="7"/>
      <c r="AY199" s="7"/>
      <c r="AZ199" s="7"/>
      <c r="BA199" s="7"/>
      <c r="BB199" s="7"/>
    </row>
    <row r="200" spans="2:54" x14ac:dyDescent="0.2">
      <c r="B200" s="174"/>
      <c r="C200" s="176"/>
      <c r="F200" s="5">
        <v>0</v>
      </c>
      <c r="G200" s="192">
        <v>0</v>
      </c>
      <c r="H200" s="192">
        <v>0</v>
      </c>
      <c r="I200" s="5">
        <v>0</v>
      </c>
      <c r="J200" s="192">
        <v>0</v>
      </c>
      <c r="K200" s="192">
        <v>0</v>
      </c>
      <c r="L200" s="5">
        <v>0</v>
      </c>
      <c r="M200" s="5">
        <v>0</v>
      </c>
      <c r="N200" s="4" t="e">
        <f t="shared" si="21"/>
        <v>#N/A</v>
      </c>
      <c r="O200" s="4" t="e">
        <f>IF(ROUND(10.499-(((N200-VLOOKUP($C200,Lookups!$A$55:$D$64,3))/(VLOOKUP($C200,Lookups!$A$55:$D$64,4))*VLOOKUP($C200,Lookups!$C$2:$D$11,2))),0)&lt;1,1,IF(ROUND(10.499-(((N200-VLOOKUP($C200,Lookups!$A$55:$D$64,3))/(VLOOKUP($C200,Lookups!$A$55:$D$64,4))*VLOOKUP($C200,Lookups!$C$2:$D$11,2))),0)&lt;11,ROUND(10.499-(((N200-VLOOKUP($C200,Lookups!$A$55:$D$64,3))/(VLOOKUP($C200,Lookups!$A$55:$D$64,4))*VLOOKUP($C200,Lookups!$C$2:$D$11,2))),0),10))</f>
        <v>#N/A</v>
      </c>
      <c r="P200" s="13" t="str">
        <f>IF((SUM(F200:M200)=0),"J",VLOOKUP(O200,Lookups!$A$1:$B$11,2))</f>
        <v>J</v>
      </c>
      <c r="Q200" s="8" t="e">
        <f>VLOOKUP(C200,Lookups!$A$136:$C$144,3)</f>
        <v>#N/A</v>
      </c>
      <c r="R200" s="8" t="e">
        <f>VLOOKUP(C200,Lookups!$A$136:$C$144,2)</f>
        <v>#N/A</v>
      </c>
      <c r="S200" s="4" t="str">
        <f t="shared" si="17"/>
        <v>No</v>
      </c>
      <c r="T200" s="125">
        <f t="shared" si="18"/>
        <v>0</v>
      </c>
      <c r="U200" s="125">
        <f t="shared" si="19"/>
        <v>0</v>
      </c>
      <c r="V200" s="4" t="e">
        <f>IF($Q200&lt;&gt;3,VLOOKUP(F200,'Points Table A'!B$3:$F$33,5),VLOOKUP(F200,'Points Table A'!H$3:$L$33,5))</f>
        <v>#N/A</v>
      </c>
      <c r="W200" s="4" t="e">
        <f>IF($Q200&lt;&gt;3,VLOOKUP(G200,'Points Table A'!C$3:$F$33,4),VLOOKUP(G200,'Points Table A'!I$3:$L$33,4))</f>
        <v>#N/A</v>
      </c>
      <c r="X200" s="4" t="e">
        <f>IF($Q200&lt;&gt;3,VLOOKUP(H200,'Points Table A'!D$3:$F$28,3),VLOOKUP(H200,'Points Table A'!J$3:$L$33,3))</f>
        <v>#N/A</v>
      </c>
      <c r="Y200" s="4" t="e">
        <f>IF($Q200&lt;&gt;3,VLOOKUP(I200,'Points Table A'!E$3:$F$33,2),VLOOKUP(I200,'Points Table A'!K$3:$L$33,2))</f>
        <v>#N/A</v>
      </c>
      <c r="Z200" s="4" t="e">
        <f t="shared" si="20"/>
        <v>#N/A</v>
      </c>
      <c r="AA200" s="4">
        <f>IF($S200=Lookups!$B$113,VLOOKUP(L200,'Points Table C'!A$3:$E$11,5),VLOOKUP(U200,'Points Table C'!B$3:$E$11,4))</f>
        <v>0</v>
      </c>
      <c r="AB200" s="4" t="e">
        <f>IF($Q200=1,0,VLOOKUP($J200,'Points Table C'!$C$3:$E$18,3))</f>
        <v>#N/A</v>
      </c>
      <c r="AC200" s="4">
        <f>VLOOKUP($K200,'Points Table C'!$D$3:$E$18,2)</f>
        <v>0</v>
      </c>
      <c r="AD200" s="4" t="e">
        <f>IF($Z200&lt;Lookups!$C$106,($AA200+AB200+AC200),IF($AA200&gt;=Lookups!$C$120,($AA200+AB200+AC200),$AA200+$AB200))</f>
        <v>#N/A</v>
      </c>
      <c r="AF200" s="7"/>
      <c r="AG200" s="7"/>
      <c r="AH200" s="7"/>
      <c r="AI200" s="7"/>
      <c r="AJ200" s="7"/>
      <c r="AK200" s="7"/>
      <c r="AL200" s="7"/>
      <c r="AM200" s="7"/>
      <c r="AN200" s="7"/>
      <c r="AO200" s="7"/>
      <c r="AP200" s="7"/>
      <c r="AQ200" s="7"/>
      <c r="AR200" s="7"/>
      <c r="AS200" s="7"/>
      <c r="AT200" s="7"/>
      <c r="AU200" s="7"/>
      <c r="AV200" s="7"/>
      <c r="AW200" s="7"/>
      <c r="AY200" s="7"/>
      <c r="AZ200" s="7"/>
      <c r="BA200" s="7"/>
      <c r="BB200" s="7"/>
    </row>
    <row r="201" spans="2:54" x14ac:dyDescent="0.2">
      <c r="B201" s="174"/>
      <c r="C201" s="176"/>
      <c r="F201" s="5">
        <v>0</v>
      </c>
      <c r="G201" s="192">
        <v>0</v>
      </c>
      <c r="H201" s="192">
        <v>0</v>
      </c>
      <c r="I201" s="5">
        <v>0</v>
      </c>
      <c r="J201" s="192">
        <v>0</v>
      </c>
      <c r="K201" s="192">
        <v>0</v>
      </c>
      <c r="L201" s="5">
        <v>0</v>
      </c>
      <c r="M201" s="5">
        <v>0</v>
      </c>
      <c r="N201" s="4" t="e">
        <f t="shared" si="21"/>
        <v>#N/A</v>
      </c>
      <c r="O201" s="4" t="e">
        <f>IF(ROUND(10.499-(((N201-VLOOKUP($C201,Lookups!$A$55:$D$64,3))/(VLOOKUP($C201,Lookups!$A$55:$D$64,4))*VLOOKUP($C201,Lookups!$C$2:$D$11,2))),0)&lt;1,1,IF(ROUND(10.499-(((N201-VLOOKUP($C201,Lookups!$A$55:$D$64,3))/(VLOOKUP($C201,Lookups!$A$55:$D$64,4))*VLOOKUP($C201,Lookups!$C$2:$D$11,2))),0)&lt;11,ROUND(10.499-(((N201-VLOOKUP($C201,Lookups!$A$55:$D$64,3))/(VLOOKUP($C201,Lookups!$A$55:$D$64,4))*VLOOKUP($C201,Lookups!$C$2:$D$11,2))),0),10))</f>
        <v>#N/A</v>
      </c>
      <c r="P201" s="13" t="str">
        <f>IF((SUM(F201:M201)=0),"J",VLOOKUP(O201,Lookups!$A$1:$B$11,2))</f>
        <v>J</v>
      </c>
      <c r="Q201" s="8" t="e">
        <f>VLOOKUP(C201,Lookups!$A$136:$C$144,3)</f>
        <v>#N/A</v>
      </c>
      <c r="R201" s="8" t="e">
        <f>VLOOKUP(C201,Lookups!$A$136:$C$144,2)</f>
        <v>#N/A</v>
      </c>
      <c r="S201" s="4" t="str">
        <f t="shared" si="17"/>
        <v>No</v>
      </c>
      <c r="T201" s="125">
        <f t="shared" si="18"/>
        <v>0</v>
      </c>
      <c r="U201" s="125">
        <f t="shared" si="19"/>
        <v>0</v>
      </c>
      <c r="V201" s="4" t="e">
        <f>IF($Q201&lt;&gt;3,VLOOKUP(F201,'Points Table A'!B$3:$F$33,5),VLOOKUP(F201,'Points Table A'!H$3:$L$33,5))</f>
        <v>#N/A</v>
      </c>
      <c r="W201" s="4" t="e">
        <f>IF($Q201&lt;&gt;3,VLOOKUP(G201,'Points Table A'!C$3:$F$33,4),VLOOKUP(G201,'Points Table A'!I$3:$L$33,4))</f>
        <v>#N/A</v>
      </c>
      <c r="X201" s="4" t="e">
        <f>IF($Q201&lt;&gt;3,VLOOKUP(H201,'Points Table A'!D$3:$F$28,3),VLOOKUP(H201,'Points Table A'!J$3:$L$33,3))</f>
        <v>#N/A</v>
      </c>
      <c r="Y201" s="4" t="e">
        <f>IF($Q201&lt;&gt;3,VLOOKUP(I201,'Points Table A'!E$3:$F$33,2),VLOOKUP(I201,'Points Table A'!K$3:$L$33,2))</f>
        <v>#N/A</v>
      </c>
      <c r="Z201" s="4" t="e">
        <f t="shared" si="20"/>
        <v>#N/A</v>
      </c>
      <c r="AA201" s="4">
        <f>IF($S201=Lookups!$B$113,VLOOKUP(L201,'Points Table C'!A$3:$E$11,5),VLOOKUP(U201,'Points Table C'!B$3:$E$11,4))</f>
        <v>0</v>
      </c>
      <c r="AB201" s="4" t="e">
        <f>IF($Q201=1,0,VLOOKUP($J201,'Points Table C'!$C$3:$E$18,3))</f>
        <v>#N/A</v>
      </c>
      <c r="AC201" s="4">
        <f>VLOOKUP($K201,'Points Table C'!$D$3:$E$18,2)</f>
        <v>0</v>
      </c>
      <c r="AD201" s="4" t="e">
        <f>IF($Z201&lt;Lookups!$C$106,($AA201+AB201+AC201),IF($AA201&gt;=Lookups!$C$120,($AA201+AB201+AC201),$AA201+$AB201))</f>
        <v>#N/A</v>
      </c>
      <c r="AF201" s="7"/>
      <c r="AG201" s="7"/>
      <c r="AH201" s="7"/>
      <c r="AI201" s="7"/>
      <c r="AJ201" s="7"/>
      <c r="AK201" s="7"/>
      <c r="AL201" s="7"/>
      <c r="AM201" s="7"/>
      <c r="AN201" s="7"/>
      <c r="AO201" s="7"/>
      <c r="AP201" s="7"/>
      <c r="AQ201" s="7"/>
      <c r="AR201" s="7"/>
      <c r="AS201" s="7"/>
      <c r="AT201" s="7"/>
      <c r="AU201" s="7"/>
      <c r="AV201" s="7"/>
      <c r="AW201" s="7"/>
      <c r="AY201" s="7"/>
      <c r="AZ201" s="7"/>
      <c r="BA201" s="7"/>
      <c r="BB201" s="7"/>
    </row>
    <row r="202" spans="2:54" x14ac:dyDescent="0.2">
      <c r="B202" s="174"/>
      <c r="C202" s="176"/>
      <c r="F202" s="5">
        <v>0</v>
      </c>
      <c r="G202" s="192">
        <v>0</v>
      </c>
      <c r="H202" s="192">
        <v>0</v>
      </c>
      <c r="I202" s="5">
        <v>0</v>
      </c>
      <c r="J202" s="192">
        <v>0</v>
      </c>
      <c r="K202" s="192">
        <v>0</v>
      </c>
      <c r="L202" s="5">
        <v>0</v>
      </c>
      <c r="M202" s="5">
        <v>0</v>
      </c>
      <c r="N202" s="4" t="e">
        <f t="shared" si="21"/>
        <v>#N/A</v>
      </c>
      <c r="O202" s="4" t="e">
        <f>IF(ROUND(10.499-(((N202-VLOOKUP($C202,Lookups!$A$55:$D$64,3))/(VLOOKUP($C202,Lookups!$A$55:$D$64,4))*VLOOKUP($C202,Lookups!$C$2:$D$11,2))),0)&lt;1,1,IF(ROUND(10.499-(((N202-VLOOKUP($C202,Lookups!$A$55:$D$64,3))/(VLOOKUP($C202,Lookups!$A$55:$D$64,4))*VLOOKUP($C202,Lookups!$C$2:$D$11,2))),0)&lt;11,ROUND(10.499-(((N202-VLOOKUP($C202,Lookups!$A$55:$D$64,3))/(VLOOKUP($C202,Lookups!$A$55:$D$64,4))*VLOOKUP($C202,Lookups!$C$2:$D$11,2))),0),10))</f>
        <v>#N/A</v>
      </c>
      <c r="P202" s="13" t="str">
        <f>IF((SUM(F202:M202)=0),"J",VLOOKUP(O202,Lookups!$A$1:$B$11,2))</f>
        <v>J</v>
      </c>
      <c r="Q202" s="8" t="e">
        <f>VLOOKUP(C202,Lookups!$A$136:$C$144,3)</f>
        <v>#N/A</v>
      </c>
      <c r="R202" s="8" t="e">
        <f>VLOOKUP(C202,Lookups!$A$136:$C$144,2)</f>
        <v>#N/A</v>
      </c>
      <c r="S202" s="4" t="str">
        <f t="shared" si="17"/>
        <v>No</v>
      </c>
      <c r="T202" s="125">
        <f t="shared" si="18"/>
        <v>0</v>
      </c>
      <c r="U202" s="125">
        <f t="shared" si="19"/>
        <v>0</v>
      </c>
      <c r="V202" s="4" t="e">
        <f>IF($Q202&lt;&gt;3,VLOOKUP(F202,'Points Table A'!B$3:$F$33,5),VLOOKUP(F202,'Points Table A'!H$3:$L$33,5))</f>
        <v>#N/A</v>
      </c>
      <c r="W202" s="4" t="e">
        <f>IF($Q202&lt;&gt;3,VLOOKUP(G202,'Points Table A'!C$3:$F$33,4),VLOOKUP(G202,'Points Table A'!I$3:$L$33,4))</f>
        <v>#N/A</v>
      </c>
      <c r="X202" s="4" t="e">
        <f>IF($Q202&lt;&gt;3,VLOOKUP(H202,'Points Table A'!D$3:$F$28,3),VLOOKUP(H202,'Points Table A'!J$3:$L$33,3))</f>
        <v>#N/A</v>
      </c>
      <c r="Y202" s="4" t="e">
        <f>IF($Q202&lt;&gt;3,VLOOKUP(I202,'Points Table A'!E$3:$F$33,2),VLOOKUP(I202,'Points Table A'!K$3:$L$33,2))</f>
        <v>#N/A</v>
      </c>
      <c r="Z202" s="4" t="e">
        <f t="shared" si="20"/>
        <v>#N/A</v>
      </c>
      <c r="AA202" s="4">
        <f>IF($S202=Lookups!$B$113,VLOOKUP(L202,'Points Table C'!A$3:$E$11,5),VLOOKUP(U202,'Points Table C'!B$3:$E$11,4))</f>
        <v>0</v>
      </c>
      <c r="AB202" s="4" t="e">
        <f>IF($Q202=1,0,VLOOKUP($J202,'Points Table C'!$C$3:$E$18,3))</f>
        <v>#N/A</v>
      </c>
      <c r="AC202" s="4">
        <f>VLOOKUP($K202,'Points Table C'!$D$3:$E$18,2)</f>
        <v>0</v>
      </c>
      <c r="AD202" s="4" t="e">
        <f>IF($Z202&lt;Lookups!$C$106,($AA202+AB202+AC202),IF($AA202&gt;=Lookups!$C$120,($AA202+AB202+AC202),$AA202+$AB202))</f>
        <v>#N/A</v>
      </c>
      <c r="AF202" s="7"/>
      <c r="AG202" s="7"/>
      <c r="AH202" s="7"/>
      <c r="AI202" s="7"/>
      <c r="AJ202" s="7"/>
      <c r="AK202" s="7"/>
      <c r="AL202" s="7"/>
      <c r="AM202" s="7"/>
      <c r="AN202" s="7"/>
      <c r="AO202" s="7"/>
      <c r="AP202" s="7"/>
      <c r="AQ202" s="7"/>
      <c r="AR202" s="7"/>
      <c r="AS202" s="7"/>
      <c r="AT202" s="7"/>
      <c r="AU202" s="7"/>
      <c r="AV202" s="7"/>
      <c r="AW202" s="7"/>
      <c r="AY202" s="7"/>
      <c r="AZ202" s="7"/>
      <c r="BA202" s="7"/>
      <c r="BB202" s="7"/>
    </row>
    <row r="203" spans="2:54" x14ac:dyDescent="0.2">
      <c r="B203" s="174"/>
      <c r="C203" s="176"/>
      <c r="F203" s="5">
        <v>0</v>
      </c>
      <c r="G203" s="192">
        <v>0</v>
      </c>
      <c r="H203" s="192">
        <v>0</v>
      </c>
      <c r="I203" s="5">
        <v>0</v>
      </c>
      <c r="J203" s="192">
        <v>0</v>
      </c>
      <c r="K203" s="192">
        <v>0</v>
      </c>
      <c r="L203" s="5">
        <v>0</v>
      </c>
      <c r="M203" s="5">
        <v>0</v>
      </c>
      <c r="N203" s="4" t="e">
        <f t="shared" si="21"/>
        <v>#N/A</v>
      </c>
      <c r="O203" s="4" t="e">
        <f>IF(ROUND(10.499-(((N203-VLOOKUP($C203,Lookups!$A$55:$D$64,3))/(VLOOKUP($C203,Lookups!$A$55:$D$64,4))*VLOOKUP($C203,Lookups!$C$2:$D$11,2))),0)&lt;1,1,IF(ROUND(10.499-(((N203-VLOOKUP($C203,Lookups!$A$55:$D$64,3))/(VLOOKUP($C203,Lookups!$A$55:$D$64,4))*VLOOKUP($C203,Lookups!$C$2:$D$11,2))),0)&lt;11,ROUND(10.499-(((N203-VLOOKUP($C203,Lookups!$A$55:$D$64,3))/(VLOOKUP($C203,Lookups!$A$55:$D$64,4))*VLOOKUP($C203,Lookups!$C$2:$D$11,2))),0),10))</f>
        <v>#N/A</v>
      </c>
      <c r="P203" s="13" t="str">
        <f>IF((SUM(F203:M203)=0),"J",VLOOKUP(O203,Lookups!$A$1:$B$11,2))</f>
        <v>J</v>
      </c>
      <c r="Q203" s="8" t="e">
        <f>VLOOKUP(C203,Lookups!$A$136:$C$144,3)</f>
        <v>#N/A</v>
      </c>
      <c r="R203" s="8" t="e">
        <f>VLOOKUP(C203,Lookups!$A$136:$C$144,2)</f>
        <v>#N/A</v>
      </c>
      <c r="S203" s="4" t="str">
        <f t="shared" si="17"/>
        <v>No</v>
      </c>
      <c r="T203" s="125">
        <f t="shared" si="18"/>
        <v>0</v>
      </c>
      <c r="U203" s="125">
        <f t="shared" si="19"/>
        <v>0</v>
      </c>
      <c r="V203" s="4" t="e">
        <f>IF($Q203&lt;&gt;3,VLOOKUP(F203,'Points Table A'!B$3:$F$33,5),VLOOKUP(F203,'Points Table A'!H$3:$L$33,5))</f>
        <v>#N/A</v>
      </c>
      <c r="W203" s="4" t="e">
        <f>IF($Q203&lt;&gt;3,VLOOKUP(G203,'Points Table A'!C$3:$F$33,4),VLOOKUP(G203,'Points Table A'!I$3:$L$33,4))</f>
        <v>#N/A</v>
      </c>
      <c r="X203" s="4" t="e">
        <f>IF($Q203&lt;&gt;3,VLOOKUP(H203,'Points Table A'!D$3:$F$28,3),VLOOKUP(H203,'Points Table A'!J$3:$L$33,3))</f>
        <v>#N/A</v>
      </c>
      <c r="Y203" s="4" t="e">
        <f>IF($Q203&lt;&gt;3,VLOOKUP(I203,'Points Table A'!E$3:$F$33,2),VLOOKUP(I203,'Points Table A'!K$3:$L$33,2))</f>
        <v>#N/A</v>
      </c>
      <c r="Z203" s="4" t="e">
        <f t="shared" si="20"/>
        <v>#N/A</v>
      </c>
      <c r="AA203" s="4">
        <f>IF($S203=Lookups!$B$113,VLOOKUP(L203,'Points Table C'!A$3:$E$11,5),VLOOKUP(U203,'Points Table C'!B$3:$E$11,4))</f>
        <v>0</v>
      </c>
      <c r="AB203" s="4" t="e">
        <f>IF($Q203=1,0,VLOOKUP($J203,'Points Table C'!$C$3:$E$18,3))</f>
        <v>#N/A</v>
      </c>
      <c r="AC203" s="4">
        <f>VLOOKUP($K203,'Points Table C'!$D$3:$E$18,2)</f>
        <v>0</v>
      </c>
      <c r="AD203" s="4" t="e">
        <f>IF($Z203&lt;Lookups!$C$106,($AA203+AB203+AC203),IF($AA203&gt;=Lookups!$C$120,($AA203+AB203+AC203),$AA203+$AB203))</f>
        <v>#N/A</v>
      </c>
      <c r="AF203" s="7"/>
      <c r="AG203" s="7"/>
      <c r="AH203" s="7"/>
      <c r="AI203" s="7"/>
      <c r="AJ203" s="7"/>
      <c r="AK203" s="7"/>
      <c r="AL203" s="7"/>
      <c r="AM203" s="7"/>
      <c r="AN203" s="7"/>
      <c r="AO203" s="7"/>
      <c r="AP203" s="7"/>
      <c r="AQ203" s="7"/>
      <c r="AR203" s="7"/>
      <c r="AS203" s="7"/>
      <c r="AT203" s="7"/>
      <c r="AU203" s="7"/>
      <c r="AV203" s="7"/>
      <c r="AW203" s="7"/>
      <c r="AY203" s="7"/>
      <c r="AZ203" s="7"/>
      <c r="BA203" s="7"/>
      <c r="BB203" s="7"/>
    </row>
    <row r="204" spans="2:54" x14ac:dyDescent="0.2">
      <c r="B204" s="174"/>
      <c r="C204" s="176"/>
      <c r="F204" s="5">
        <v>0</v>
      </c>
      <c r="G204" s="192">
        <v>0</v>
      </c>
      <c r="H204" s="192">
        <v>0</v>
      </c>
      <c r="I204" s="5">
        <v>0</v>
      </c>
      <c r="J204" s="192">
        <v>0</v>
      </c>
      <c r="K204" s="192">
        <v>0</v>
      </c>
      <c r="L204" s="5">
        <v>0</v>
      </c>
      <c r="M204" s="5">
        <v>0</v>
      </c>
      <c r="N204" s="4" t="e">
        <f t="shared" si="21"/>
        <v>#N/A</v>
      </c>
      <c r="O204" s="4" t="e">
        <f>IF(ROUND(10.499-(((N204-VLOOKUP($C204,Lookups!$A$55:$D$64,3))/(VLOOKUP($C204,Lookups!$A$55:$D$64,4))*VLOOKUP($C204,Lookups!$C$2:$D$11,2))),0)&lt;1,1,IF(ROUND(10.499-(((N204-VLOOKUP($C204,Lookups!$A$55:$D$64,3))/(VLOOKUP($C204,Lookups!$A$55:$D$64,4))*VLOOKUP($C204,Lookups!$C$2:$D$11,2))),0)&lt;11,ROUND(10.499-(((N204-VLOOKUP($C204,Lookups!$A$55:$D$64,3))/(VLOOKUP($C204,Lookups!$A$55:$D$64,4))*VLOOKUP($C204,Lookups!$C$2:$D$11,2))),0),10))</f>
        <v>#N/A</v>
      </c>
      <c r="P204" s="13" t="str">
        <f>IF((SUM(F204:M204)=0),"J",VLOOKUP(O204,Lookups!$A$1:$B$11,2))</f>
        <v>J</v>
      </c>
      <c r="Q204" s="8" t="e">
        <f>VLOOKUP(C204,Lookups!$A$136:$C$144,3)</f>
        <v>#N/A</v>
      </c>
      <c r="R204" s="8" t="e">
        <f>VLOOKUP(C204,Lookups!$A$136:$C$144,2)</f>
        <v>#N/A</v>
      </c>
      <c r="S204" s="4" t="str">
        <f t="shared" si="17"/>
        <v>No</v>
      </c>
      <c r="T204" s="125">
        <f t="shared" si="18"/>
        <v>0</v>
      </c>
      <c r="U204" s="125">
        <f t="shared" si="19"/>
        <v>0</v>
      </c>
      <c r="V204" s="4" t="e">
        <f>IF($Q204&lt;&gt;3,VLOOKUP(F204,'Points Table A'!B$3:$F$33,5),VLOOKUP(F204,'Points Table A'!H$3:$L$33,5))</f>
        <v>#N/A</v>
      </c>
      <c r="W204" s="4" t="e">
        <f>IF($Q204&lt;&gt;3,VLOOKUP(G204,'Points Table A'!C$3:$F$33,4),VLOOKUP(G204,'Points Table A'!I$3:$L$33,4))</f>
        <v>#N/A</v>
      </c>
      <c r="X204" s="4" t="e">
        <f>IF($Q204&lt;&gt;3,VLOOKUP(H204,'Points Table A'!D$3:$F$28,3),VLOOKUP(H204,'Points Table A'!J$3:$L$33,3))</f>
        <v>#N/A</v>
      </c>
      <c r="Y204" s="4" t="e">
        <f>IF($Q204&lt;&gt;3,VLOOKUP(I204,'Points Table A'!E$3:$F$33,2),VLOOKUP(I204,'Points Table A'!K$3:$L$33,2))</f>
        <v>#N/A</v>
      </c>
      <c r="Z204" s="4" t="e">
        <f t="shared" si="20"/>
        <v>#N/A</v>
      </c>
      <c r="AA204" s="4">
        <f>IF($S204=Lookups!$B$113,VLOOKUP(L204,'Points Table C'!A$3:$E$11,5),VLOOKUP(U204,'Points Table C'!B$3:$E$11,4))</f>
        <v>0</v>
      </c>
      <c r="AB204" s="4" t="e">
        <f>IF($Q204=1,0,VLOOKUP($J204,'Points Table C'!$C$3:$E$18,3))</f>
        <v>#N/A</v>
      </c>
      <c r="AC204" s="4">
        <f>VLOOKUP($K204,'Points Table C'!$D$3:$E$18,2)</f>
        <v>0</v>
      </c>
      <c r="AD204" s="4" t="e">
        <f>IF($Z204&lt;Lookups!$C$106,($AA204+AB204+AC204),IF($AA204&gt;=Lookups!$C$120,($AA204+AB204+AC204),$AA204+$AB204))</f>
        <v>#N/A</v>
      </c>
      <c r="AF204" s="7"/>
      <c r="AG204" s="7"/>
      <c r="AH204" s="7"/>
      <c r="AI204" s="7"/>
      <c r="AJ204" s="7"/>
      <c r="AK204" s="7"/>
      <c r="AL204" s="7"/>
      <c r="AM204" s="7"/>
      <c r="AN204" s="7"/>
      <c r="AO204" s="7"/>
      <c r="AP204" s="7"/>
      <c r="AQ204" s="7"/>
      <c r="AR204" s="7"/>
      <c r="AS204" s="7"/>
      <c r="AT204" s="7"/>
      <c r="AU204" s="7"/>
      <c r="AV204" s="7"/>
      <c r="AW204" s="7"/>
      <c r="AY204" s="7"/>
      <c r="AZ204" s="7"/>
      <c r="BA204" s="7"/>
      <c r="BB204" s="7"/>
    </row>
    <row r="205" spans="2:54" x14ac:dyDescent="0.2">
      <c r="B205" s="174"/>
      <c r="C205" s="176"/>
      <c r="F205" s="5">
        <v>0</v>
      </c>
      <c r="G205" s="192">
        <v>0</v>
      </c>
      <c r="H205" s="192">
        <v>0</v>
      </c>
      <c r="I205" s="5">
        <v>0</v>
      </c>
      <c r="J205" s="192">
        <v>0</v>
      </c>
      <c r="K205" s="192">
        <v>0</v>
      </c>
      <c r="L205" s="5">
        <v>0</v>
      </c>
      <c r="M205" s="5">
        <v>0</v>
      </c>
      <c r="N205" s="4" t="e">
        <f t="shared" si="21"/>
        <v>#N/A</v>
      </c>
      <c r="O205" s="4" t="e">
        <f>IF(ROUND(10.499-(((N205-VLOOKUP($C205,Lookups!$A$55:$D$64,3))/(VLOOKUP($C205,Lookups!$A$55:$D$64,4))*VLOOKUP($C205,Lookups!$C$2:$D$11,2))),0)&lt;1,1,IF(ROUND(10.499-(((N205-VLOOKUP($C205,Lookups!$A$55:$D$64,3))/(VLOOKUP($C205,Lookups!$A$55:$D$64,4))*VLOOKUP($C205,Lookups!$C$2:$D$11,2))),0)&lt;11,ROUND(10.499-(((N205-VLOOKUP($C205,Lookups!$A$55:$D$64,3))/(VLOOKUP($C205,Lookups!$A$55:$D$64,4))*VLOOKUP($C205,Lookups!$C$2:$D$11,2))),0),10))</f>
        <v>#N/A</v>
      </c>
      <c r="P205" s="13" t="str">
        <f>IF((SUM(F205:M205)=0),"J",VLOOKUP(O205,Lookups!$A$1:$B$11,2))</f>
        <v>J</v>
      </c>
      <c r="Q205" s="8" t="e">
        <f>VLOOKUP(C205,Lookups!$A$136:$C$144,3)</f>
        <v>#N/A</v>
      </c>
      <c r="R205" s="8" t="e">
        <f>VLOOKUP(C205,Lookups!$A$136:$C$144,2)</f>
        <v>#N/A</v>
      </c>
      <c r="S205" s="4" t="str">
        <f t="shared" si="17"/>
        <v>No</v>
      </c>
      <c r="T205" s="125">
        <f t="shared" si="18"/>
        <v>0</v>
      </c>
      <c r="U205" s="125">
        <f t="shared" si="19"/>
        <v>0</v>
      </c>
      <c r="V205" s="4" t="e">
        <f>IF($Q205&lt;&gt;3,VLOOKUP(F205,'Points Table A'!B$3:$F$33,5),VLOOKUP(F205,'Points Table A'!H$3:$L$33,5))</f>
        <v>#N/A</v>
      </c>
      <c r="W205" s="4" t="e">
        <f>IF($Q205&lt;&gt;3,VLOOKUP(G205,'Points Table A'!C$3:$F$33,4),VLOOKUP(G205,'Points Table A'!I$3:$L$33,4))</f>
        <v>#N/A</v>
      </c>
      <c r="X205" s="4" t="e">
        <f>IF($Q205&lt;&gt;3,VLOOKUP(H205,'Points Table A'!D$3:$F$28,3),VLOOKUP(H205,'Points Table A'!J$3:$L$33,3))</f>
        <v>#N/A</v>
      </c>
      <c r="Y205" s="4" t="e">
        <f>IF($Q205&lt;&gt;3,VLOOKUP(I205,'Points Table A'!E$3:$F$33,2),VLOOKUP(I205,'Points Table A'!K$3:$L$33,2))</f>
        <v>#N/A</v>
      </c>
      <c r="Z205" s="4" t="e">
        <f t="shared" si="20"/>
        <v>#N/A</v>
      </c>
      <c r="AA205" s="4">
        <f>IF($S205=Lookups!$B$113,VLOOKUP(L205,'Points Table C'!A$3:$E$11,5),VLOOKUP(U205,'Points Table C'!B$3:$E$11,4))</f>
        <v>0</v>
      </c>
      <c r="AB205" s="4" t="e">
        <f>IF($Q205=1,0,VLOOKUP($J205,'Points Table C'!$C$3:$E$18,3))</f>
        <v>#N/A</v>
      </c>
      <c r="AC205" s="4">
        <f>VLOOKUP($K205,'Points Table C'!$D$3:$E$18,2)</f>
        <v>0</v>
      </c>
      <c r="AD205" s="4" t="e">
        <f>IF($Z205&lt;Lookups!$C$106,($AA205+AB205+AC205),IF($AA205&gt;=Lookups!$C$120,($AA205+AB205+AC205),$AA205+$AB205))</f>
        <v>#N/A</v>
      </c>
      <c r="AF205" s="7"/>
      <c r="AG205" s="7"/>
      <c r="AH205" s="7"/>
      <c r="AI205" s="7"/>
      <c r="AJ205" s="7"/>
      <c r="AK205" s="7"/>
      <c r="AL205" s="7"/>
      <c r="AM205" s="7"/>
      <c r="AN205" s="7"/>
      <c r="AO205" s="7"/>
      <c r="AP205" s="7"/>
      <c r="AQ205" s="7"/>
      <c r="AR205" s="7"/>
      <c r="AS205" s="7"/>
      <c r="AT205" s="7"/>
      <c r="AU205" s="7"/>
      <c r="AV205" s="7"/>
      <c r="AW205" s="7"/>
      <c r="AY205" s="7"/>
      <c r="AZ205" s="7"/>
      <c r="BA205" s="7"/>
      <c r="BB205" s="7"/>
    </row>
    <row r="206" spans="2:54" x14ac:dyDescent="0.2">
      <c r="B206" s="174"/>
      <c r="C206" s="176"/>
      <c r="F206" s="5">
        <v>0</v>
      </c>
      <c r="G206" s="192">
        <v>0</v>
      </c>
      <c r="H206" s="192">
        <v>0</v>
      </c>
      <c r="I206" s="5">
        <v>0</v>
      </c>
      <c r="J206" s="192">
        <v>0</v>
      </c>
      <c r="K206" s="192">
        <v>0</v>
      </c>
      <c r="L206" s="5">
        <v>0</v>
      </c>
      <c r="M206" s="5">
        <v>0</v>
      </c>
      <c r="N206" s="4" t="e">
        <f t="shared" si="21"/>
        <v>#N/A</v>
      </c>
      <c r="O206" s="4" t="e">
        <f>IF(ROUND(10.499-(((N206-VLOOKUP($C206,Lookups!$A$55:$D$64,3))/(VLOOKUP($C206,Lookups!$A$55:$D$64,4))*VLOOKUP($C206,Lookups!$C$2:$D$11,2))),0)&lt;1,1,IF(ROUND(10.499-(((N206-VLOOKUP($C206,Lookups!$A$55:$D$64,3))/(VLOOKUP($C206,Lookups!$A$55:$D$64,4))*VLOOKUP($C206,Lookups!$C$2:$D$11,2))),0)&lt;11,ROUND(10.499-(((N206-VLOOKUP($C206,Lookups!$A$55:$D$64,3))/(VLOOKUP($C206,Lookups!$A$55:$D$64,4))*VLOOKUP($C206,Lookups!$C$2:$D$11,2))),0),10))</f>
        <v>#N/A</v>
      </c>
      <c r="P206" s="13" t="str">
        <f>IF((SUM(F206:M206)=0),"J",VLOOKUP(O206,Lookups!$A$1:$B$11,2))</f>
        <v>J</v>
      </c>
      <c r="Q206" s="8" t="e">
        <f>VLOOKUP(C206,Lookups!$A$136:$C$144,3)</f>
        <v>#N/A</v>
      </c>
      <c r="R206" s="8" t="e">
        <f>VLOOKUP(C206,Lookups!$A$136:$C$144,2)</f>
        <v>#N/A</v>
      </c>
      <c r="S206" s="4" t="str">
        <f t="shared" si="17"/>
        <v>No</v>
      </c>
      <c r="T206" s="125">
        <f t="shared" si="18"/>
        <v>0</v>
      </c>
      <c r="U206" s="125">
        <f t="shared" si="19"/>
        <v>0</v>
      </c>
      <c r="V206" s="4" t="e">
        <f>IF($Q206&lt;&gt;3,VLOOKUP(F206,'Points Table A'!B$3:$F$33,5),VLOOKUP(F206,'Points Table A'!H$3:$L$33,5))</f>
        <v>#N/A</v>
      </c>
      <c r="W206" s="4" t="e">
        <f>IF($Q206&lt;&gt;3,VLOOKUP(G206,'Points Table A'!C$3:$F$33,4),VLOOKUP(G206,'Points Table A'!I$3:$L$33,4))</f>
        <v>#N/A</v>
      </c>
      <c r="X206" s="4" t="e">
        <f>IF($Q206&lt;&gt;3,VLOOKUP(H206,'Points Table A'!D$3:$F$28,3),VLOOKUP(H206,'Points Table A'!J$3:$L$33,3))</f>
        <v>#N/A</v>
      </c>
      <c r="Y206" s="4" t="e">
        <f>IF($Q206&lt;&gt;3,VLOOKUP(I206,'Points Table A'!E$3:$F$33,2),VLOOKUP(I206,'Points Table A'!K$3:$L$33,2))</f>
        <v>#N/A</v>
      </c>
      <c r="Z206" s="4" t="e">
        <f t="shared" si="20"/>
        <v>#N/A</v>
      </c>
      <c r="AA206" s="4">
        <f>IF($S206=Lookups!$B$113,VLOOKUP(L206,'Points Table C'!A$3:$E$11,5),VLOOKUP(U206,'Points Table C'!B$3:$E$11,4))</f>
        <v>0</v>
      </c>
      <c r="AB206" s="4" t="e">
        <f>IF($Q206=1,0,VLOOKUP($J206,'Points Table C'!$C$3:$E$18,3))</f>
        <v>#N/A</v>
      </c>
      <c r="AC206" s="4">
        <f>VLOOKUP($K206,'Points Table C'!$D$3:$E$18,2)</f>
        <v>0</v>
      </c>
      <c r="AD206" s="4" t="e">
        <f>IF($Z206&lt;Lookups!$C$106,($AA206+AB206+AC206),IF($AA206&gt;=Lookups!$C$120,($AA206+AB206+AC206),$AA206+$AB206))</f>
        <v>#N/A</v>
      </c>
      <c r="AF206" s="7"/>
      <c r="AG206" s="7"/>
      <c r="AH206" s="7"/>
      <c r="AI206" s="7"/>
      <c r="AJ206" s="7"/>
      <c r="AK206" s="7"/>
      <c r="AL206" s="7"/>
      <c r="AM206" s="7"/>
      <c r="AN206" s="7"/>
      <c r="AO206" s="7"/>
      <c r="AP206" s="7"/>
      <c r="AQ206" s="7"/>
      <c r="AR206" s="7"/>
      <c r="AS206" s="7"/>
      <c r="AT206" s="7"/>
      <c r="AU206" s="7"/>
      <c r="AV206" s="7"/>
      <c r="AW206" s="7"/>
      <c r="AY206" s="7"/>
      <c r="AZ206" s="7"/>
      <c r="BA206" s="7"/>
      <c r="BB206" s="7"/>
    </row>
    <row r="207" spans="2:54" x14ac:dyDescent="0.2">
      <c r="B207" s="174"/>
      <c r="C207" s="176"/>
      <c r="F207" s="5">
        <v>0</v>
      </c>
      <c r="G207" s="192">
        <v>0</v>
      </c>
      <c r="H207" s="192">
        <v>0</v>
      </c>
      <c r="I207" s="5">
        <v>0</v>
      </c>
      <c r="J207" s="192">
        <v>0</v>
      </c>
      <c r="K207" s="192">
        <v>0</v>
      </c>
      <c r="L207" s="5">
        <v>0</v>
      </c>
      <c r="M207" s="5">
        <v>0</v>
      </c>
      <c r="N207" s="4" t="e">
        <f t="shared" si="21"/>
        <v>#N/A</v>
      </c>
      <c r="O207" s="4" t="e">
        <f>IF(ROUND(10.499-(((N207-VLOOKUP($C207,Lookups!$A$55:$D$64,3))/(VLOOKUP($C207,Lookups!$A$55:$D$64,4))*VLOOKUP($C207,Lookups!$C$2:$D$11,2))),0)&lt;1,1,IF(ROUND(10.499-(((N207-VLOOKUP($C207,Lookups!$A$55:$D$64,3))/(VLOOKUP($C207,Lookups!$A$55:$D$64,4))*VLOOKUP($C207,Lookups!$C$2:$D$11,2))),0)&lt;11,ROUND(10.499-(((N207-VLOOKUP($C207,Lookups!$A$55:$D$64,3))/(VLOOKUP($C207,Lookups!$A$55:$D$64,4))*VLOOKUP($C207,Lookups!$C$2:$D$11,2))),0),10))</f>
        <v>#N/A</v>
      </c>
      <c r="P207" s="13" t="str">
        <f>IF((SUM(F207:M207)=0),"J",VLOOKUP(O207,Lookups!$A$1:$B$11,2))</f>
        <v>J</v>
      </c>
      <c r="Q207" s="8" t="e">
        <f>VLOOKUP(C207,Lookups!$A$136:$C$144,3)</f>
        <v>#N/A</v>
      </c>
      <c r="R207" s="8" t="e">
        <f>VLOOKUP(C207,Lookups!$A$136:$C$144,2)</f>
        <v>#N/A</v>
      </c>
      <c r="S207" s="4" t="str">
        <f t="shared" ref="S207:S270" si="22">IF(AND(L207&gt;0,M207=0),"Yes","No")</f>
        <v>No</v>
      </c>
      <c r="T207" s="125">
        <f t="shared" ref="T207:T270" si="23">L207+M207</f>
        <v>0</v>
      </c>
      <c r="U207" s="125">
        <f t="shared" ref="U207:U270" si="24">ROUND(100*(M207+2*L207)/(M207+2*L207+(100-L207-M207)),2)</f>
        <v>0</v>
      </c>
      <c r="V207" s="4" t="e">
        <f>IF($Q207&lt;&gt;3,VLOOKUP(F207,'Points Table A'!B$3:$F$33,5),VLOOKUP(F207,'Points Table A'!H$3:$L$33,5))</f>
        <v>#N/A</v>
      </c>
      <c r="W207" s="4" t="e">
        <f>IF($Q207&lt;&gt;3,VLOOKUP(G207,'Points Table A'!C$3:$F$33,4),VLOOKUP(G207,'Points Table A'!I$3:$L$33,4))</f>
        <v>#N/A</v>
      </c>
      <c r="X207" s="4" t="e">
        <f>IF($Q207&lt;&gt;3,VLOOKUP(H207,'Points Table A'!D$3:$F$28,3),VLOOKUP(H207,'Points Table A'!J$3:$L$33,3))</f>
        <v>#N/A</v>
      </c>
      <c r="Y207" s="4" t="e">
        <f>IF($Q207&lt;&gt;3,VLOOKUP(I207,'Points Table A'!E$3:$F$33,2),VLOOKUP(I207,'Points Table A'!K$3:$L$33,2))</f>
        <v>#N/A</v>
      </c>
      <c r="Z207" s="4" t="e">
        <f t="shared" ref="Z207:Z270" si="25">SUM(V207:Y207)</f>
        <v>#N/A</v>
      </c>
      <c r="AA207" s="4">
        <f>IF($S207=Lookups!$B$113,VLOOKUP(L207,'Points Table C'!A$3:$E$11,5),VLOOKUP(U207,'Points Table C'!B$3:$E$11,4))</f>
        <v>0</v>
      </c>
      <c r="AB207" s="4" t="e">
        <f>IF($Q207=1,0,VLOOKUP($J207,'Points Table C'!$C$3:$E$18,3))</f>
        <v>#N/A</v>
      </c>
      <c r="AC207" s="4">
        <f>VLOOKUP($K207,'Points Table C'!$D$3:$E$18,2)</f>
        <v>0</v>
      </c>
      <c r="AD207" s="4" t="e">
        <f>IF($Z207&lt;Lookups!$C$106,($AA207+AB207+AC207),IF($AA207&gt;=Lookups!$C$120,($AA207+AB207+AC207),$AA207+$AB207))</f>
        <v>#N/A</v>
      </c>
      <c r="AF207" s="7"/>
      <c r="AG207" s="7"/>
      <c r="AH207" s="7"/>
      <c r="AI207" s="7"/>
      <c r="AJ207" s="7"/>
      <c r="AK207" s="7"/>
      <c r="AL207" s="7"/>
      <c r="AM207" s="7"/>
      <c r="AN207" s="7"/>
      <c r="AO207" s="7"/>
      <c r="AP207" s="7"/>
      <c r="AQ207" s="7"/>
      <c r="AR207" s="7"/>
      <c r="AS207" s="7"/>
      <c r="AT207" s="7"/>
      <c r="AU207" s="7"/>
      <c r="AV207" s="7"/>
      <c r="AW207" s="7"/>
      <c r="AY207" s="7"/>
      <c r="AZ207" s="7"/>
      <c r="BA207" s="7"/>
      <c r="BB207" s="7"/>
    </row>
    <row r="208" spans="2:54" x14ac:dyDescent="0.2">
      <c r="B208" s="174"/>
      <c r="C208" s="176"/>
      <c r="F208" s="5">
        <v>0</v>
      </c>
      <c r="G208" s="192">
        <v>0</v>
      </c>
      <c r="H208" s="192">
        <v>0</v>
      </c>
      <c r="I208" s="5">
        <v>0</v>
      </c>
      <c r="J208" s="192">
        <v>0</v>
      </c>
      <c r="K208" s="192">
        <v>0</v>
      </c>
      <c r="L208" s="5">
        <v>0</v>
      </c>
      <c r="M208" s="5">
        <v>0</v>
      </c>
      <c r="N208" s="4" t="e">
        <f t="shared" si="21"/>
        <v>#N/A</v>
      </c>
      <c r="O208" s="4" t="e">
        <f>IF(ROUND(10.499-(((N208-VLOOKUP($C208,Lookups!$A$55:$D$64,3))/(VLOOKUP($C208,Lookups!$A$55:$D$64,4))*VLOOKUP($C208,Lookups!$C$2:$D$11,2))),0)&lt;1,1,IF(ROUND(10.499-(((N208-VLOOKUP($C208,Lookups!$A$55:$D$64,3))/(VLOOKUP($C208,Lookups!$A$55:$D$64,4))*VLOOKUP($C208,Lookups!$C$2:$D$11,2))),0)&lt;11,ROUND(10.499-(((N208-VLOOKUP($C208,Lookups!$A$55:$D$64,3))/(VLOOKUP($C208,Lookups!$A$55:$D$64,4))*VLOOKUP($C208,Lookups!$C$2:$D$11,2))),0),10))</f>
        <v>#N/A</v>
      </c>
      <c r="P208" s="13" t="str">
        <f>IF((SUM(F208:M208)=0),"J",VLOOKUP(O208,Lookups!$A$1:$B$11,2))</f>
        <v>J</v>
      </c>
      <c r="Q208" s="8" t="e">
        <f>VLOOKUP(C208,Lookups!$A$136:$C$144,3)</f>
        <v>#N/A</v>
      </c>
      <c r="R208" s="8" t="e">
        <f>VLOOKUP(C208,Lookups!$A$136:$C$144,2)</f>
        <v>#N/A</v>
      </c>
      <c r="S208" s="4" t="str">
        <f t="shared" si="22"/>
        <v>No</v>
      </c>
      <c r="T208" s="125">
        <f t="shared" si="23"/>
        <v>0</v>
      </c>
      <c r="U208" s="125">
        <f t="shared" si="24"/>
        <v>0</v>
      </c>
      <c r="V208" s="4" t="e">
        <f>IF($Q208&lt;&gt;3,VLOOKUP(F208,'Points Table A'!B$3:$F$33,5),VLOOKUP(F208,'Points Table A'!H$3:$L$33,5))</f>
        <v>#N/A</v>
      </c>
      <c r="W208" s="4" t="e">
        <f>IF($Q208&lt;&gt;3,VLOOKUP(G208,'Points Table A'!C$3:$F$33,4),VLOOKUP(G208,'Points Table A'!I$3:$L$33,4))</f>
        <v>#N/A</v>
      </c>
      <c r="X208" s="4" t="e">
        <f>IF($Q208&lt;&gt;3,VLOOKUP(H208,'Points Table A'!D$3:$F$28,3),VLOOKUP(H208,'Points Table A'!J$3:$L$33,3))</f>
        <v>#N/A</v>
      </c>
      <c r="Y208" s="4" t="e">
        <f>IF($Q208&lt;&gt;3,VLOOKUP(I208,'Points Table A'!E$3:$F$33,2),VLOOKUP(I208,'Points Table A'!K$3:$L$33,2))</f>
        <v>#N/A</v>
      </c>
      <c r="Z208" s="4" t="e">
        <f t="shared" si="25"/>
        <v>#N/A</v>
      </c>
      <c r="AA208" s="4">
        <f>IF($S208=Lookups!$B$113,VLOOKUP(L208,'Points Table C'!A$3:$E$11,5),VLOOKUP(U208,'Points Table C'!B$3:$E$11,4))</f>
        <v>0</v>
      </c>
      <c r="AB208" s="4" t="e">
        <f>IF($Q208=1,0,VLOOKUP($J208,'Points Table C'!$C$3:$E$18,3))</f>
        <v>#N/A</v>
      </c>
      <c r="AC208" s="4">
        <f>VLOOKUP($K208,'Points Table C'!$D$3:$E$18,2)</f>
        <v>0</v>
      </c>
      <c r="AD208" s="4" t="e">
        <f>IF($Z208&lt;Lookups!$C$106,($AA208+AB208+AC208),IF($AA208&gt;=Lookups!$C$120,($AA208+AB208+AC208),$AA208+$AB208))</f>
        <v>#N/A</v>
      </c>
      <c r="AF208" s="7"/>
      <c r="AG208" s="7"/>
      <c r="AH208" s="7"/>
      <c r="AI208" s="7"/>
      <c r="AJ208" s="7"/>
      <c r="AK208" s="7"/>
      <c r="AL208" s="7"/>
      <c r="AM208" s="7"/>
      <c r="AN208" s="7"/>
      <c r="AO208" s="7"/>
      <c r="AP208" s="7"/>
      <c r="AQ208" s="7"/>
      <c r="AR208" s="7"/>
      <c r="AS208" s="7"/>
      <c r="AT208" s="7"/>
      <c r="AU208" s="7"/>
      <c r="AV208" s="7"/>
      <c r="AW208" s="7"/>
      <c r="AY208" s="7"/>
      <c r="AZ208" s="7"/>
      <c r="BA208" s="7"/>
      <c r="BB208" s="7"/>
    </row>
    <row r="209" spans="2:54" x14ac:dyDescent="0.2">
      <c r="B209" s="174"/>
      <c r="C209" s="176"/>
      <c r="F209" s="5">
        <v>0</v>
      </c>
      <c r="G209" s="192">
        <v>0</v>
      </c>
      <c r="H209" s="192">
        <v>0</v>
      </c>
      <c r="I209" s="5">
        <v>0</v>
      </c>
      <c r="J209" s="192">
        <v>0</v>
      </c>
      <c r="K209" s="192">
        <v>0</v>
      </c>
      <c r="L209" s="5">
        <v>0</v>
      </c>
      <c r="M209" s="5">
        <v>0</v>
      </c>
      <c r="N209" s="4" t="e">
        <f t="shared" si="21"/>
        <v>#N/A</v>
      </c>
      <c r="O209" s="4" t="e">
        <f>IF(ROUND(10.499-(((N209-VLOOKUP($C209,Lookups!$A$55:$D$64,3))/(VLOOKUP($C209,Lookups!$A$55:$D$64,4))*VLOOKUP($C209,Lookups!$C$2:$D$11,2))),0)&lt;1,1,IF(ROUND(10.499-(((N209-VLOOKUP($C209,Lookups!$A$55:$D$64,3))/(VLOOKUP($C209,Lookups!$A$55:$D$64,4))*VLOOKUP($C209,Lookups!$C$2:$D$11,2))),0)&lt;11,ROUND(10.499-(((N209-VLOOKUP($C209,Lookups!$A$55:$D$64,3))/(VLOOKUP($C209,Lookups!$A$55:$D$64,4))*VLOOKUP($C209,Lookups!$C$2:$D$11,2))),0),10))</f>
        <v>#N/A</v>
      </c>
      <c r="P209" s="13" t="str">
        <f>IF((SUM(F209:M209)=0),"J",VLOOKUP(O209,Lookups!$A$1:$B$11,2))</f>
        <v>J</v>
      </c>
      <c r="Q209" s="8" t="e">
        <f>VLOOKUP(C209,Lookups!$A$136:$C$144,3)</f>
        <v>#N/A</v>
      </c>
      <c r="R209" s="8" t="e">
        <f>VLOOKUP(C209,Lookups!$A$136:$C$144,2)</f>
        <v>#N/A</v>
      </c>
      <c r="S209" s="4" t="str">
        <f t="shared" si="22"/>
        <v>No</v>
      </c>
      <c r="T209" s="125">
        <f t="shared" si="23"/>
        <v>0</v>
      </c>
      <c r="U209" s="125">
        <f t="shared" si="24"/>
        <v>0</v>
      </c>
      <c r="V209" s="4" t="e">
        <f>IF($Q209&lt;&gt;3,VLOOKUP(F209,'Points Table A'!B$3:$F$33,5),VLOOKUP(F209,'Points Table A'!H$3:$L$33,5))</f>
        <v>#N/A</v>
      </c>
      <c r="W209" s="4" t="e">
        <f>IF($Q209&lt;&gt;3,VLOOKUP(G209,'Points Table A'!C$3:$F$33,4),VLOOKUP(G209,'Points Table A'!I$3:$L$33,4))</f>
        <v>#N/A</v>
      </c>
      <c r="X209" s="4" t="e">
        <f>IF($Q209&lt;&gt;3,VLOOKUP(H209,'Points Table A'!D$3:$F$28,3),VLOOKUP(H209,'Points Table A'!J$3:$L$33,3))</f>
        <v>#N/A</v>
      </c>
      <c r="Y209" s="4" t="e">
        <f>IF($Q209&lt;&gt;3,VLOOKUP(I209,'Points Table A'!E$3:$F$33,2),VLOOKUP(I209,'Points Table A'!K$3:$L$33,2))</f>
        <v>#N/A</v>
      </c>
      <c r="Z209" s="4" t="e">
        <f t="shared" si="25"/>
        <v>#N/A</v>
      </c>
      <c r="AA209" s="4">
        <f>IF($S209=Lookups!$B$113,VLOOKUP(L209,'Points Table C'!A$3:$E$11,5),VLOOKUP(U209,'Points Table C'!B$3:$E$11,4))</f>
        <v>0</v>
      </c>
      <c r="AB209" s="4" t="e">
        <f>IF($Q209=1,0,VLOOKUP($J209,'Points Table C'!$C$3:$E$18,3))</f>
        <v>#N/A</v>
      </c>
      <c r="AC209" s="4">
        <f>VLOOKUP($K209,'Points Table C'!$D$3:$E$18,2)</f>
        <v>0</v>
      </c>
      <c r="AD209" s="4" t="e">
        <f>IF($Z209&lt;Lookups!$C$106,($AA209+AB209+AC209),IF($AA209&gt;=Lookups!$C$120,($AA209+AB209+AC209),$AA209+$AB209))</f>
        <v>#N/A</v>
      </c>
      <c r="AF209" s="7"/>
      <c r="AG209" s="7"/>
      <c r="AH209" s="7"/>
      <c r="AI209" s="7"/>
      <c r="AJ209" s="7"/>
      <c r="AK209" s="7"/>
      <c r="AL209" s="7"/>
      <c r="AM209" s="7"/>
      <c r="AN209" s="7"/>
      <c r="AO209" s="7"/>
      <c r="AP209" s="7"/>
      <c r="AQ209" s="7"/>
      <c r="AR209" s="7"/>
      <c r="AS209" s="7"/>
      <c r="AT209" s="7"/>
      <c r="AU209" s="7"/>
      <c r="AV209" s="7"/>
      <c r="AW209" s="7"/>
      <c r="AY209" s="7"/>
      <c r="AZ209" s="7"/>
      <c r="BA209" s="7"/>
      <c r="BB209" s="7"/>
    </row>
    <row r="210" spans="2:54" x14ac:dyDescent="0.2">
      <c r="B210" s="174"/>
      <c r="C210" s="176"/>
      <c r="F210" s="5">
        <v>0</v>
      </c>
      <c r="G210" s="192">
        <v>0</v>
      </c>
      <c r="H210" s="192">
        <v>0</v>
      </c>
      <c r="I210" s="5">
        <v>0</v>
      </c>
      <c r="J210" s="192">
        <v>0</v>
      </c>
      <c r="K210" s="192">
        <v>0</v>
      </c>
      <c r="L210" s="5">
        <v>0</v>
      </c>
      <c r="M210" s="5">
        <v>0</v>
      </c>
      <c r="N210" s="4" t="e">
        <f t="shared" si="21"/>
        <v>#N/A</v>
      </c>
      <c r="O210" s="4" t="e">
        <f>IF(ROUND(10.499-(((N210-VLOOKUP($C210,Lookups!$A$55:$D$64,3))/(VLOOKUP($C210,Lookups!$A$55:$D$64,4))*VLOOKUP($C210,Lookups!$C$2:$D$11,2))),0)&lt;1,1,IF(ROUND(10.499-(((N210-VLOOKUP($C210,Lookups!$A$55:$D$64,3))/(VLOOKUP($C210,Lookups!$A$55:$D$64,4))*VLOOKUP($C210,Lookups!$C$2:$D$11,2))),0)&lt;11,ROUND(10.499-(((N210-VLOOKUP($C210,Lookups!$A$55:$D$64,3))/(VLOOKUP($C210,Lookups!$A$55:$D$64,4))*VLOOKUP($C210,Lookups!$C$2:$D$11,2))),0),10))</f>
        <v>#N/A</v>
      </c>
      <c r="P210" s="13" t="str">
        <f>IF((SUM(F210:M210)=0),"J",VLOOKUP(O210,Lookups!$A$1:$B$11,2))</f>
        <v>J</v>
      </c>
      <c r="Q210" s="8" t="e">
        <f>VLOOKUP(C210,Lookups!$A$136:$C$144,3)</f>
        <v>#N/A</v>
      </c>
      <c r="R210" s="8" t="e">
        <f>VLOOKUP(C210,Lookups!$A$136:$C$144,2)</f>
        <v>#N/A</v>
      </c>
      <c r="S210" s="4" t="str">
        <f t="shared" si="22"/>
        <v>No</v>
      </c>
      <c r="T210" s="125">
        <f t="shared" si="23"/>
        <v>0</v>
      </c>
      <c r="U210" s="125">
        <f t="shared" si="24"/>
        <v>0</v>
      </c>
      <c r="V210" s="4" t="e">
        <f>IF($Q210&lt;&gt;3,VLOOKUP(F210,'Points Table A'!B$3:$F$33,5),VLOOKUP(F210,'Points Table A'!H$3:$L$33,5))</f>
        <v>#N/A</v>
      </c>
      <c r="W210" s="4" t="e">
        <f>IF($Q210&lt;&gt;3,VLOOKUP(G210,'Points Table A'!C$3:$F$33,4),VLOOKUP(G210,'Points Table A'!I$3:$L$33,4))</f>
        <v>#N/A</v>
      </c>
      <c r="X210" s="4" t="e">
        <f>IF($Q210&lt;&gt;3,VLOOKUP(H210,'Points Table A'!D$3:$F$28,3),VLOOKUP(H210,'Points Table A'!J$3:$L$33,3))</f>
        <v>#N/A</v>
      </c>
      <c r="Y210" s="4" t="e">
        <f>IF($Q210&lt;&gt;3,VLOOKUP(I210,'Points Table A'!E$3:$F$33,2),VLOOKUP(I210,'Points Table A'!K$3:$L$33,2))</f>
        <v>#N/A</v>
      </c>
      <c r="Z210" s="4" t="e">
        <f t="shared" si="25"/>
        <v>#N/A</v>
      </c>
      <c r="AA210" s="4">
        <f>IF($S210=Lookups!$B$113,VLOOKUP(L210,'Points Table C'!A$3:$E$11,5),VLOOKUP(U210,'Points Table C'!B$3:$E$11,4))</f>
        <v>0</v>
      </c>
      <c r="AB210" s="4" t="e">
        <f>IF($Q210=1,0,VLOOKUP($J210,'Points Table C'!$C$3:$E$18,3))</f>
        <v>#N/A</v>
      </c>
      <c r="AC210" s="4">
        <f>VLOOKUP($K210,'Points Table C'!$D$3:$E$18,2)</f>
        <v>0</v>
      </c>
      <c r="AD210" s="4" t="e">
        <f>IF($Z210&lt;Lookups!$C$106,($AA210+AB210+AC210),IF($AA210&gt;=Lookups!$C$120,($AA210+AB210+AC210),$AA210+$AB210))</f>
        <v>#N/A</v>
      </c>
      <c r="AF210" s="7"/>
      <c r="AG210" s="7"/>
      <c r="AH210" s="7"/>
      <c r="AI210" s="7"/>
      <c r="AJ210" s="7"/>
      <c r="AK210" s="7"/>
      <c r="AL210" s="7"/>
      <c r="AM210" s="7"/>
      <c r="AN210" s="7"/>
      <c r="AO210" s="7"/>
      <c r="AP210" s="7"/>
      <c r="AQ210" s="7"/>
      <c r="AR210" s="7"/>
      <c r="AS210" s="7"/>
      <c r="AT210" s="7"/>
      <c r="AU210" s="7"/>
      <c r="AV210" s="7"/>
      <c r="AW210" s="7"/>
      <c r="AY210" s="7"/>
      <c r="AZ210" s="7"/>
      <c r="BA210" s="7"/>
      <c r="BB210" s="7"/>
    </row>
    <row r="211" spans="2:54" x14ac:dyDescent="0.2">
      <c r="B211" s="174"/>
      <c r="C211" s="176"/>
      <c r="F211" s="5">
        <v>0</v>
      </c>
      <c r="G211" s="192">
        <v>0</v>
      </c>
      <c r="H211" s="192">
        <v>0</v>
      </c>
      <c r="I211" s="5">
        <v>0</v>
      </c>
      <c r="J211" s="192">
        <v>0</v>
      </c>
      <c r="K211" s="192">
        <v>0</v>
      </c>
      <c r="L211" s="5">
        <v>0</v>
      </c>
      <c r="M211" s="5">
        <v>0</v>
      </c>
      <c r="N211" s="4" t="e">
        <f t="shared" si="21"/>
        <v>#N/A</v>
      </c>
      <c r="O211" s="4" t="e">
        <f>IF(ROUND(10.499-(((N211-VLOOKUP($C211,Lookups!$A$55:$D$64,3))/(VLOOKUP($C211,Lookups!$A$55:$D$64,4))*VLOOKUP($C211,Lookups!$C$2:$D$11,2))),0)&lt;1,1,IF(ROUND(10.499-(((N211-VLOOKUP($C211,Lookups!$A$55:$D$64,3))/(VLOOKUP($C211,Lookups!$A$55:$D$64,4))*VLOOKUP($C211,Lookups!$C$2:$D$11,2))),0)&lt;11,ROUND(10.499-(((N211-VLOOKUP($C211,Lookups!$A$55:$D$64,3))/(VLOOKUP($C211,Lookups!$A$55:$D$64,4))*VLOOKUP($C211,Lookups!$C$2:$D$11,2))),0),10))</f>
        <v>#N/A</v>
      </c>
      <c r="P211" s="13" t="str">
        <f>IF((SUM(F211:M211)=0),"J",VLOOKUP(O211,Lookups!$A$1:$B$11,2))</f>
        <v>J</v>
      </c>
      <c r="Q211" s="8" t="e">
        <f>VLOOKUP(C211,Lookups!$A$136:$C$144,3)</f>
        <v>#N/A</v>
      </c>
      <c r="R211" s="8" t="e">
        <f>VLOOKUP(C211,Lookups!$A$136:$C$144,2)</f>
        <v>#N/A</v>
      </c>
      <c r="S211" s="4" t="str">
        <f t="shared" si="22"/>
        <v>No</v>
      </c>
      <c r="T211" s="125">
        <f t="shared" si="23"/>
        <v>0</v>
      </c>
      <c r="U211" s="125">
        <f t="shared" si="24"/>
        <v>0</v>
      </c>
      <c r="V211" s="4" t="e">
        <f>IF($Q211&lt;&gt;3,VLOOKUP(F211,'Points Table A'!B$3:$F$33,5),VLOOKUP(F211,'Points Table A'!H$3:$L$33,5))</f>
        <v>#N/A</v>
      </c>
      <c r="W211" s="4" t="e">
        <f>IF($Q211&lt;&gt;3,VLOOKUP(G211,'Points Table A'!C$3:$F$33,4),VLOOKUP(G211,'Points Table A'!I$3:$L$33,4))</f>
        <v>#N/A</v>
      </c>
      <c r="X211" s="4" t="e">
        <f>IF($Q211&lt;&gt;3,VLOOKUP(H211,'Points Table A'!D$3:$F$28,3),VLOOKUP(H211,'Points Table A'!J$3:$L$33,3))</f>
        <v>#N/A</v>
      </c>
      <c r="Y211" s="4" t="e">
        <f>IF($Q211&lt;&gt;3,VLOOKUP(I211,'Points Table A'!E$3:$F$33,2),VLOOKUP(I211,'Points Table A'!K$3:$L$33,2))</f>
        <v>#N/A</v>
      </c>
      <c r="Z211" s="4" t="e">
        <f t="shared" si="25"/>
        <v>#N/A</v>
      </c>
      <c r="AA211" s="4">
        <f>IF($S211=Lookups!$B$113,VLOOKUP(L211,'Points Table C'!A$3:$E$11,5),VLOOKUP(U211,'Points Table C'!B$3:$E$11,4))</f>
        <v>0</v>
      </c>
      <c r="AB211" s="4" t="e">
        <f>IF($Q211=1,0,VLOOKUP($J211,'Points Table C'!$C$3:$E$18,3))</f>
        <v>#N/A</v>
      </c>
      <c r="AC211" s="4">
        <f>VLOOKUP($K211,'Points Table C'!$D$3:$E$18,2)</f>
        <v>0</v>
      </c>
      <c r="AD211" s="4" t="e">
        <f>IF($Z211&lt;Lookups!$C$106,($AA211+AB211+AC211),IF($AA211&gt;=Lookups!$C$120,($AA211+AB211+AC211),$AA211+$AB211))</f>
        <v>#N/A</v>
      </c>
      <c r="AF211" s="7"/>
      <c r="AG211" s="7"/>
      <c r="AH211" s="7"/>
      <c r="AI211" s="7"/>
      <c r="AJ211" s="7"/>
      <c r="AK211" s="7"/>
      <c r="AL211" s="7"/>
      <c r="AM211" s="7"/>
      <c r="AN211" s="7"/>
      <c r="AO211" s="7"/>
      <c r="AP211" s="7"/>
      <c r="AQ211" s="7"/>
      <c r="AR211" s="7"/>
      <c r="AS211" s="7"/>
      <c r="AT211" s="7"/>
      <c r="AU211" s="7"/>
      <c r="AV211" s="7"/>
      <c r="AW211" s="7"/>
      <c r="AY211" s="7"/>
      <c r="AZ211" s="7"/>
      <c r="BA211" s="7"/>
      <c r="BB211" s="7"/>
    </row>
    <row r="212" spans="2:54" x14ac:dyDescent="0.2">
      <c r="B212" s="174"/>
      <c r="C212" s="176"/>
      <c r="F212" s="5">
        <v>0</v>
      </c>
      <c r="G212" s="192">
        <v>0</v>
      </c>
      <c r="H212" s="192">
        <v>0</v>
      </c>
      <c r="I212" s="5">
        <v>0</v>
      </c>
      <c r="J212" s="192">
        <v>0</v>
      </c>
      <c r="K212" s="192">
        <v>0</v>
      </c>
      <c r="L212" s="5">
        <v>0</v>
      </c>
      <c r="M212" s="5">
        <v>0</v>
      </c>
      <c r="N212" s="4" t="e">
        <f t="shared" si="21"/>
        <v>#N/A</v>
      </c>
      <c r="O212" s="4" t="e">
        <f>IF(ROUND(10.499-(((N212-VLOOKUP($C212,Lookups!$A$55:$D$64,3))/(VLOOKUP($C212,Lookups!$A$55:$D$64,4))*VLOOKUP($C212,Lookups!$C$2:$D$11,2))),0)&lt;1,1,IF(ROUND(10.499-(((N212-VLOOKUP($C212,Lookups!$A$55:$D$64,3))/(VLOOKUP($C212,Lookups!$A$55:$D$64,4))*VLOOKUP($C212,Lookups!$C$2:$D$11,2))),0)&lt;11,ROUND(10.499-(((N212-VLOOKUP($C212,Lookups!$A$55:$D$64,3))/(VLOOKUP($C212,Lookups!$A$55:$D$64,4))*VLOOKUP($C212,Lookups!$C$2:$D$11,2))),0),10))</f>
        <v>#N/A</v>
      </c>
      <c r="P212" s="13" t="str">
        <f>IF((SUM(F212:M212)=0),"J",VLOOKUP(O212,Lookups!$A$1:$B$11,2))</f>
        <v>J</v>
      </c>
      <c r="Q212" s="8" t="e">
        <f>VLOOKUP(C212,Lookups!$A$136:$C$144,3)</f>
        <v>#N/A</v>
      </c>
      <c r="R212" s="8" t="e">
        <f>VLOOKUP(C212,Lookups!$A$136:$C$144,2)</f>
        <v>#N/A</v>
      </c>
      <c r="S212" s="4" t="str">
        <f t="shared" si="22"/>
        <v>No</v>
      </c>
      <c r="T212" s="125">
        <f t="shared" si="23"/>
        <v>0</v>
      </c>
      <c r="U212" s="125">
        <f t="shared" si="24"/>
        <v>0</v>
      </c>
      <c r="V212" s="4" t="e">
        <f>IF($Q212&lt;&gt;3,VLOOKUP(F212,'Points Table A'!B$3:$F$33,5),VLOOKUP(F212,'Points Table A'!H$3:$L$33,5))</f>
        <v>#N/A</v>
      </c>
      <c r="W212" s="4" t="e">
        <f>IF($Q212&lt;&gt;3,VLOOKUP(G212,'Points Table A'!C$3:$F$33,4),VLOOKUP(G212,'Points Table A'!I$3:$L$33,4))</f>
        <v>#N/A</v>
      </c>
      <c r="X212" s="4" t="e">
        <f>IF($Q212&lt;&gt;3,VLOOKUP(H212,'Points Table A'!D$3:$F$28,3),VLOOKUP(H212,'Points Table A'!J$3:$L$33,3))</f>
        <v>#N/A</v>
      </c>
      <c r="Y212" s="4" t="e">
        <f>IF($Q212&lt;&gt;3,VLOOKUP(I212,'Points Table A'!E$3:$F$33,2),VLOOKUP(I212,'Points Table A'!K$3:$L$33,2))</f>
        <v>#N/A</v>
      </c>
      <c r="Z212" s="4" t="e">
        <f t="shared" si="25"/>
        <v>#N/A</v>
      </c>
      <c r="AA212" s="4">
        <f>IF($S212=Lookups!$B$113,VLOOKUP(L212,'Points Table C'!A$3:$E$11,5),VLOOKUP(U212,'Points Table C'!B$3:$E$11,4))</f>
        <v>0</v>
      </c>
      <c r="AB212" s="4" t="e">
        <f>IF($Q212=1,0,VLOOKUP($J212,'Points Table C'!$C$3:$E$18,3))</f>
        <v>#N/A</v>
      </c>
      <c r="AC212" s="4">
        <f>VLOOKUP($K212,'Points Table C'!$D$3:$E$18,2)</f>
        <v>0</v>
      </c>
      <c r="AD212" s="4" t="e">
        <f>IF($Z212&lt;Lookups!$C$106,($AA212+AB212+AC212),IF($AA212&gt;=Lookups!$C$120,($AA212+AB212+AC212),$AA212+$AB212))</f>
        <v>#N/A</v>
      </c>
      <c r="AF212" s="7"/>
      <c r="AG212" s="7"/>
      <c r="AH212" s="7"/>
      <c r="AI212" s="7"/>
      <c r="AJ212" s="7"/>
      <c r="AK212" s="7"/>
      <c r="AL212" s="7"/>
      <c r="AM212" s="7"/>
      <c r="AN212" s="7"/>
      <c r="AO212" s="7"/>
      <c r="AP212" s="7"/>
      <c r="AQ212" s="7"/>
      <c r="AR212" s="7"/>
      <c r="AS212" s="7"/>
      <c r="AT212" s="7"/>
      <c r="AU212" s="7"/>
      <c r="AV212" s="7"/>
      <c r="AW212" s="7"/>
      <c r="AY212" s="7"/>
      <c r="AZ212" s="7"/>
      <c r="BA212" s="7"/>
      <c r="BB212" s="7"/>
    </row>
    <row r="213" spans="2:54" x14ac:dyDescent="0.2">
      <c r="B213" s="174"/>
      <c r="C213" s="176"/>
      <c r="F213" s="5">
        <v>0</v>
      </c>
      <c r="G213" s="192">
        <v>0</v>
      </c>
      <c r="H213" s="192">
        <v>0</v>
      </c>
      <c r="I213" s="5">
        <v>0</v>
      </c>
      <c r="J213" s="192">
        <v>0</v>
      </c>
      <c r="K213" s="192">
        <v>0</v>
      </c>
      <c r="L213" s="5">
        <v>0</v>
      </c>
      <c r="M213" s="5">
        <v>0</v>
      </c>
      <c r="N213" s="4" t="e">
        <f t="shared" si="21"/>
        <v>#N/A</v>
      </c>
      <c r="O213" s="4" t="e">
        <f>IF(ROUND(10.499-(((N213-VLOOKUP($C213,Lookups!$A$55:$D$64,3))/(VLOOKUP($C213,Lookups!$A$55:$D$64,4))*VLOOKUP($C213,Lookups!$C$2:$D$11,2))),0)&lt;1,1,IF(ROUND(10.499-(((N213-VLOOKUP($C213,Lookups!$A$55:$D$64,3))/(VLOOKUP($C213,Lookups!$A$55:$D$64,4))*VLOOKUP($C213,Lookups!$C$2:$D$11,2))),0)&lt;11,ROUND(10.499-(((N213-VLOOKUP($C213,Lookups!$A$55:$D$64,3))/(VLOOKUP($C213,Lookups!$A$55:$D$64,4))*VLOOKUP($C213,Lookups!$C$2:$D$11,2))),0),10))</f>
        <v>#N/A</v>
      </c>
      <c r="P213" s="13" t="str">
        <f>IF((SUM(F213:M213)=0),"J",VLOOKUP(O213,Lookups!$A$1:$B$11,2))</f>
        <v>J</v>
      </c>
      <c r="Q213" s="8" t="e">
        <f>VLOOKUP(C213,Lookups!$A$136:$C$144,3)</f>
        <v>#N/A</v>
      </c>
      <c r="R213" s="8" t="e">
        <f>VLOOKUP(C213,Lookups!$A$136:$C$144,2)</f>
        <v>#N/A</v>
      </c>
      <c r="S213" s="4" t="str">
        <f t="shared" si="22"/>
        <v>No</v>
      </c>
      <c r="T213" s="125">
        <f t="shared" si="23"/>
        <v>0</v>
      </c>
      <c r="U213" s="125">
        <f t="shared" si="24"/>
        <v>0</v>
      </c>
      <c r="V213" s="4" t="e">
        <f>IF($Q213&lt;&gt;3,VLOOKUP(F213,'Points Table A'!B$3:$F$33,5),VLOOKUP(F213,'Points Table A'!H$3:$L$33,5))</f>
        <v>#N/A</v>
      </c>
      <c r="W213" s="4" t="e">
        <f>IF($Q213&lt;&gt;3,VLOOKUP(G213,'Points Table A'!C$3:$F$33,4),VLOOKUP(G213,'Points Table A'!I$3:$L$33,4))</f>
        <v>#N/A</v>
      </c>
      <c r="X213" s="4" t="e">
        <f>IF($Q213&lt;&gt;3,VLOOKUP(H213,'Points Table A'!D$3:$F$28,3),VLOOKUP(H213,'Points Table A'!J$3:$L$33,3))</f>
        <v>#N/A</v>
      </c>
      <c r="Y213" s="4" t="e">
        <f>IF($Q213&lt;&gt;3,VLOOKUP(I213,'Points Table A'!E$3:$F$33,2),VLOOKUP(I213,'Points Table A'!K$3:$L$33,2))</f>
        <v>#N/A</v>
      </c>
      <c r="Z213" s="4" t="e">
        <f t="shared" si="25"/>
        <v>#N/A</v>
      </c>
      <c r="AA213" s="4">
        <f>IF($S213=Lookups!$B$113,VLOOKUP(L213,'Points Table C'!A$3:$E$11,5),VLOOKUP(U213,'Points Table C'!B$3:$E$11,4))</f>
        <v>0</v>
      </c>
      <c r="AB213" s="4" t="e">
        <f>IF($Q213=1,0,VLOOKUP($J213,'Points Table C'!$C$3:$E$18,3))</f>
        <v>#N/A</v>
      </c>
      <c r="AC213" s="4">
        <f>VLOOKUP($K213,'Points Table C'!$D$3:$E$18,2)</f>
        <v>0</v>
      </c>
      <c r="AD213" s="4" t="e">
        <f>IF($Z213&lt;Lookups!$C$106,($AA213+AB213+AC213),IF($AA213&gt;=Lookups!$C$120,($AA213+AB213+AC213),$AA213+$AB213))</f>
        <v>#N/A</v>
      </c>
      <c r="AF213" s="7"/>
      <c r="AG213" s="7"/>
      <c r="AH213" s="7"/>
      <c r="AI213" s="7"/>
      <c r="AJ213" s="7"/>
      <c r="AK213" s="7"/>
      <c r="AL213" s="7"/>
      <c r="AM213" s="7"/>
      <c r="AN213" s="7"/>
      <c r="AO213" s="7"/>
      <c r="AP213" s="7"/>
      <c r="AQ213" s="7"/>
      <c r="AR213" s="7"/>
      <c r="AS213" s="7"/>
      <c r="AT213" s="7"/>
      <c r="AU213" s="7"/>
      <c r="AV213" s="7"/>
      <c r="AW213" s="7"/>
      <c r="AY213" s="7"/>
      <c r="AZ213" s="7"/>
      <c r="BA213" s="7"/>
      <c r="BB213" s="7"/>
    </row>
    <row r="214" spans="2:54" x14ac:dyDescent="0.2">
      <c r="B214" s="174"/>
      <c r="C214" s="176"/>
      <c r="F214" s="5">
        <v>0</v>
      </c>
      <c r="G214" s="192">
        <v>0</v>
      </c>
      <c r="H214" s="192">
        <v>0</v>
      </c>
      <c r="I214" s="5">
        <v>0</v>
      </c>
      <c r="J214" s="192">
        <v>0</v>
      </c>
      <c r="K214" s="192">
        <v>0</v>
      </c>
      <c r="L214" s="5">
        <v>0</v>
      </c>
      <c r="M214" s="5">
        <v>0</v>
      </c>
      <c r="N214" s="4" t="e">
        <f t="shared" si="21"/>
        <v>#N/A</v>
      </c>
      <c r="O214" s="4" t="e">
        <f>IF(ROUND(10.499-(((N214-VLOOKUP($C214,Lookups!$A$55:$D$64,3))/(VLOOKUP($C214,Lookups!$A$55:$D$64,4))*VLOOKUP($C214,Lookups!$C$2:$D$11,2))),0)&lt;1,1,IF(ROUND(10.499-(((N214-VLOOKUP($C214,Lookups!$A$55:$D$64,3))/(VLOOKUP($C214,Lookups!$A$55:$D$64,4))*VLOOKUP($C214,Lookups!$C$2:$D$11,2))),0)&lt;11,ROUND(10.499-(((N214-VLOOKUP($C214,Lookups!$A$55:$D$64,3))/(VLOOKUP($C214,Lookups!$A$55:$D$64,4))*VLOOKUP($C214,Lookups!$C$2:$D$11,2))),0),10))</f>
        <v>#N/A</v>
      </c>
      <c r="P214" s="13" t="str">
        <f>IF((SUM(F214:M214)=0),"J",VLOOKUP(O214,Lookups!$A$1:$B$11,2))</f>
        <v>J</v>
      </c>
      <c r="Q214" s="8" t="e">
        <f>VLOOKUP(C214,Lookups!$A$136:$C$144,3)</f>
        <v>#N/A</v>
      </c>
      <c r="R214" s="8" t="e">
        <f>VLOOKUP(C214,Lookups!$A$136:$C$144,2)</f>
        <v>#N/A</v>
      </c>
      <c r="S214" s="4" t="str">
        <f t="shared" si="22"/>
        <v>No</v>
      </c>
      <c r="T214" s="125">
        <f t="shared" si="23"/>
        <v>0</v>
      </c>
      <c r="U214" s="125">
        <f t="shared" si="24"/>
        <v>0</v>
      </c>
      <c r="V214" s="4" t="e">
        <f>IF($Q214&lt;&gt;3,VLOOKUP(F214,'Points Table A'!B$3:$F$33,5),VLOOKUP(F214,'Points Table A'!H$3:$L$33,5))</f>
        <v>#N/A</v>
      </c>
      <c r="W214" s="4" t="e">
        <f>IF($Q214&lt;&gt;3,VLOOKUP(G214,'Points Table A'!C$3:$F$33,4),VLOOKUP(G214,'Points Table A'!I$3:$L$33,4))</f>
        <v>#N/A</v>
      </c>
      <c r="X214" s="4" t="e">
        <f>IF($Q214&lt;&gt;3,VLOOKUP(H214,'Points Table A'!D$3:$F$28,3),VLOOKUP(H214,'Points Table A'!J$3:$L$33,3))</f>
        <v>#N/A</v>
      </c>
      <c r="Y214" s="4" t="e">
        <f>IF($Q214&lt;&gt;3,VLOOKUP(I214,'Points Table A'!E$3:$F$33,2),VLOOKUP(I214,'Points Table A'!K$3:$L$33,2))</f>
        <v>#N/A</v>
      </c>
      <c r="Z214" s="4" t="e">
        <f t="shared" si="25"/>
        <v>#N/A</v>
      </c>
      <c r="AA214" s="4">
        <f>IF($S214=Lookups!$B$113,VLOOKUP(L214,'Points Table C'!A$3:$E$11,5),VLOOKUP(U214,'Points Table C'!B$3:$E$11,4))</f>
        <v>0</v>
      </c>
      <c r="AB214" s="4" t="e">
        <f>IF($Q214=1,0,VLOOKUP($J214,'Points Table C'!$C$3:$E$18,3))</f>
        <v>#N/A</v>
      </c>
      <c r="AC214" s="4">
        <f>VLOOKUP($K214,'Points Table C'!$D$3:$E$18,2)</f>
        <v>0</v>
      </c>
      <c r="AD214" s="4" t="e">
        <f>IF($Z214&lt;Lookups!$C$106,($AA214+AB214+AC214),IF($AA214&gt;=Lookups!$C$120,($AA214+AB214+AC214),$AA214+$AB214))</f>
        <v>#N/A</v>
      </c>
      <c r="AF214" s="7"/>
      <c r="AG214" s="7"/>
      <c r="AH214" s="7"/>
      <c r="AI214" s="7"/>
      <c r="AJ214" s="7"/>
      <c r="AK214" s="7"/>
      <c r="AL214" s="7"/>
      <c r="AM214" s="7"/>
      <c r="AN214" s="7"/>
      <c r="AO214" s="7"/>
      <c r="AP214" s="7"/>
      <c r="AQ214" s="7"/>
      <c r="AR214" s="7"/>
      <c r="AS214" s="7"/>
      <c r="AT214" s="7"/>
      <c r="AU214" s="7"/>
      <c r="AV214" s="7"/>
      <c r="AW214" s="7"/>
      <c r="AY214" s="7"/>
      <c r="AZ214" s="7"/>
      <c r="BA214" s="7"/>
      <c r="BB214" s="7"/>
    </row>
    <row r="215" spans="2:54" x14ac:dyDescent="0.2">
      <c r="B215" s="174"/>
      <c r="C215" s="176"/>
      <c r="F215" s="5">
        <v>0</v>
      </c>
      <c r="G215" s="192">
        <v>0</v>
      </c>
      <c r="H215" s="192">
        <v>0</v>
      </c>
      <c r="I215" s="5">
        <v>0</v>
      </c>
      <c r="J215" s="192">
        <v>0</v>
      </c>
      <c r="K215" s="192">
        <v>0</v>
      </c>
      <c r="L215" s="5">
        <v>0</v>
      </c>
      <c r="M215" s="5">
        <v>0</v>
      </c>
      <c r="N215" s="4" t="e">
        <f t="shared" si="21"/>
        <v>#N/A</v>
      </c>
      <c r="O215" s="4" t="e">
        <f>IF(ROUND(10.499-(((N215-VLOOKUP($C215,Lookups!$A$55:$D$64,3))/(VLOOKUP($C215,Lookups!$A$55:$D$64,4))*VLOOKUP($C215,Lookups!$C$2:$D$11,2))),0)&lt;1,1,IF(ROUND(10.499-(((N215-VLOOKUP($C215,Lookups!$A$55:$D$64,3))/(VLOOKUP($C215,Lookups!$A$55:$D$64,4))*VLOOKUP($C215,Lookups!$C$2:$D$11,2))),0)&lt;11,ROUND(10.499-(((N215-VLOOKUP($C215,Lookups!$A$55:$D$64,3))/(VLOOKUP($C215,Lookups!$A$55:$D$64,4))*VLOOKUP($C215,Lookups!$C$2:$D$11,2))),0),10))</f>
        <v>#N/A</v>
      </c>
      <c r="P215" s="13" t="str">
        <f>IF((SUM(F215:M215)=0),"J",VLOOKUP(O215,Lookups!$A$1:$B$11,2))</f>
        <v>J</v>
      </c>
      <c r="Q215" s="8" t="e">
        <f>VLOOKUP(C215,Lookups!$A$136:$C$144,3)</f>
        <v>#N/A</v>
      </c>
      <c r="R215" s="8" t="e">
        <f>VLOOKUP(C215,Lookups!$A$136:$C$144,2)</f>
        <v>#N/A</v>
      </c>
      <c r="S215" s="4" t="str">
        <f t="shared" si="22"/>
        <v>No</v>
      </c>
      <c r="T215" s="125">
        <f t="shared" si="23"/>
        <v>0</v>
      </c>
      <c r="U215" s="125">
        <f t="shared" si="24"/>
        <v>0</v>
      </c>
      <c r="V215" s="4" t="e">
        <f>IF($Q215&lt;&gt;3,VLOOKUP(F215,'Points Table A'!B$3:$F$33,5),VLOOKUP(F215,'Points Table A'!H$3:$L$33,5))</f>
        <v>#N/A</v>
      </c>
      <c r="W215" s="4" t="e">
        <f>IF($Q215&lt;&gt;3,VLOOKUP(G215,'Points Table A'!C$3:$F$33,4),VLOOKUP(G215,'Points Table A'!I$3:$L$33,4))</f>
        <v>#N/A</v>
      </c>
      <c r="X215" s="4" t="e">
        <f>IF($Q215&lt;&gt;3,VLOOKUP(H215,'Points Table A'!D$3:$F$28,3),VLOOKUP(H215,'Points Table A'!J$3:$L$33,3))</f>
        <v>#N/A</v>
      </c>
      <c r="Y215" s="4" t="e">
        <f>IF($Q215&lt;&gt;3,VLOOKUP(I215,'Points Table A'!E$3:$F$33,2),VLOOKUP(I215,'Points Table A'!K$3:$L$33,2))</f>
        <v>#N/A</v>
      </c>
      <c r="Z215" s="4" t="e">
        <f t="shared" si="25"/>
        <v>#N/A</v>
      </c>
      <c r="AA215" s="4">
        <f>IF($S215=Lookups!$B$113,VLOOKUP(L215,'Points Table C'!A$3:$E$11,5),VLOOKUP(U215,'Points Table C'!B$3:$E$11,4))</f>
        <v>0</v>
      </c>
      <c r="AB215" s="4" t="e">
        <f>IF($Q215=1,0,VLOOKUP($J215,'Points Table C'!$C$3:$E$18,3))</f>
        <v>#N/A</v>
      </c>
      <c r="AC215" s="4">
        <f>VLOOKUP($K215,'Points Table C'!$D$3:$E$18,2)</f>
        <v>0</v>
      </c>
      <c r="AD215" s="4" t="e">
        <f>IF($Z215&lt;Lookups!$C$106,($AA215+AB215+AC215),IF($AA215&gt;=Lookups!$C$120,($AA215+AB215+AC215),$AA215+$AB215))</f>
        <v>#N/A</v>
      </c>
      <c r="AF215" s="7"/>
      <c r="AG215" s="7"/>
      <c r="AH215" s="7"/>
      <c r="AI215" s="7"/>
      <c r="AJ215" s="7"/>
      <c r="AK215" s="7"/>
      <c r="AL215" s="7"/>
      <c r="AM215" s="7"/>
      <c r="AN215" s="7"/>
      <c r="AO215" s="7"/>
      <c r="AP215" s="7"/>
      <c r="AQ215" s="7"/>
      <c r="AR215" s="7"/>
      <c r="AS215" s="7"/>
      <c r="AT215" s="7"/>
      <c r="AU215" s="7"/>
      <c r="AV215" s="7"/>
      <c r="AW215" s="7"/>
      <c r="AY215" s="7"/>
      <c r="AZ215" s="7"/>
      <c r="BA215" s="7"/>
      <c r="BB215" s="7"/>
    </row>
    <row r="216" spans="2:54" x14ac:dyDescent="0.2">
      <c r="B216" s="174"/>
      <c r="C216" s="176"/>
      <c r="F216" s="5">
        <v>0</v>
      </c>
      <c r="G216" s="192">
        <v>0</v>
      </c>
      <c r="H216" s="192">
        <v>0</v>
      </c>
      <c r="I216" s="5">
        <v>0</v>
      </c>
      <c r="J216" s="192">
        <v>0</v>
      </c>
      <c r="K216" s="192">
        <v>0</v>
      </c>
      <c r="L216" s="5">
        <v>0</v>
      </c>
      <c r="M216" s="5">
        <v>0</v>
      </c>
      <c r="N216" s="4" t="e">
        <f t="shared" si="21"/>
        <v>#N/A</v>
      </c>
      <c r="O216" s="4" t="e">
        <f>IF(ROUND(10.499-(((N216-VLOOKUP($C216,Lookups!$A$55:$D$64,3))/(VLOOKUP($C216,Lookups!$A$55:$D$64,4))*VLOOKUP($C216,Lookups!$C$2:$D$11,2))),0)&lt;1,1,IF(ROUND(10.499-(((N216-VLOOKUP($C216,Lookups!$A$55:$D$64,3))/(VLOOKUP($C216,Lookups!$A$55:$D$64,4))*VLOOKUP($C216,Lookups!$C$2:$D$11,2))),0)&lt;11,ROUND(10.499-(((N216-VLOOKUP($C216,Lookups!$A$55:$D$64,3))/(VLOOKUP($C216,Lookups!$A$55:$D$64,4))*VLOOKUP($C216,Lookups!$C$2:$D$11,2))),0),10))</f>
        <v>#N/A</v>
      </c>
      <c r="P216" s="13" t="str">
        <f>IF((SUM(F216:M216)=0),"J",VLOOKUP(O216,Lookups!$A$1:$B$11,2))</f>
        <v>J</v>
      </c>
      <c r="Q216" s="8" t="e">
        <f>VLOOKUP(C216,Lookups!$A$136:$C$144,3)</f>
        <v>#N/A</v>
      </c>
      <c r="R216" s="8" t="e">
        <f>VLOOKUP(C216,Lookups!$A$136:$C$144,2)</f>
        <v>#N/A</v>
      </c>
      <c r="S216" s="4" t="str">
        <f t="shared" si="22"/>
        <v>No</v>
      </c>
      <c r="T216" s="125">
        <f t="shared" si="23"/>
        <v>0</v>
      </c>
      <c r="U216" s="125">
        <f t="shared" si="24"/>
        <v>0</v>
      </c>
      <c r="V216" s="4" t="e">
        <f>IF($Q216&lt;&gt;3,VLOOKUP(F216,'Points Table A'!B$3:$F$33,5),VLOOKUP(F216,'Points Table A'!H$3:$L$33,5))</f>
        <v>#N/A</v>
      </c>
      <c r="W216" s="4" t="e">
        <f>IF($Q216&lt;&gt;3,VLOOKUP(G216,'Points Table A'!C$3:$F$33,4),VLOOKUP(G216,'Points Table A'!I$3:$L$33,4))</f>
        <v>#N/A</v>
      </c>
      <c r="X216" s="4" t="e">
        <f>IF($Q216&lt;&gt;3,VLOOKUP(H216,'Points Table A'!D$3:$F$28,3),VLOOKUP(H216,'Points Table A'!J$3:$L$33,3))</f>
        <v>#N/A</v>
      </c>
      <c r="Y216" s="4" t="e">
        <f>IF($Q216&lt;&gt;3,VLOOKUP(I216,'Points Table A'!E$3:$F$33,2),VLOOKUP(I216,'Points Table A'!K$3:$L$33,2))</f>
        <v>#N/A</v>
      </c>
      <c r="Z216" s="4" t="e">
        <f t="shared" si="25"/>
        <v>#N/A</v>
      </c>
      <c r="AA216" s="4">
        <f>IF($S216=Lookups!$B$113,VLOOKUP(L216,'Points Table C'!A$3:$E$11,5),VLOOKUP(U216,'Points Table C'!B$3:$E$11,4))</f>
        <v>0</v>
      </c>
      <c r="AB216" s="4" t="e">
        <f>IF($Q216=1,0,VLOOKUP($J216,'Points Table C'!$C$3:$E$18,3))</f>
        <v>#N/A</v>
      </c>
      <c r="AC216" s="4">
        <f>VLOOKUP($K216,'Points Table C'!$D$3:$E$18,2)</f>
        <v>0</v>
      </c>
      <c r="AD216" s="4" t="e">
        <f>IF($Z216&lt;Lookups!$C$106,($AA216+AB216+AC216),IF($AA216&gt;=Lookups!$C$120,($AA216+AB216+AC216),$AA216+$AB216))</f>
        <v>#N/A</v>
      </c>
      <c r="AF216" s="7"/>
      <c r="AG216" s="7"/>
      <c r="AH216" s="7"/>
      <c r="AI216" s="7"/>
      <c r="AJ216" s="7"/>
      <c r="AK216" s="7"/>
      <c r="AL216" s="7"/>
      <c r="AM216" s="7"/>
      <c r="AN216" s="7"/>
      <c r="AO216" s="7"/>
      <c r="AP216" s="7"/>
      <c r="AQ216" s="7"/>
      <c r="AR216" s="7"/>
      <c r="AS216" s="7"/>
      <c r="AT216" s="7"/>
      <c r="AU216" s="7"/>
      <c r="AV216" s="7"/>
      <c r="AW216" s="7"/>
      <c r="AY216" s="7"/>
      <c r="AZ216" s="7"/>
      <c r="BA216" s="7"/>
      <c r="BB216" s="7"/>
    </row>
    <row r="217" spans="2:54" x14ac:dyDescent="0.2">
      <c r="B217" s="174"/>
      <c r="C217" s="176"/>
      <c r="F217" s="5">
        <v>0</v>
      </c>
      <c r="G217" s="192">
        <v>0</v>
      </c>
      <c r="H217" s="192">
        <v>0</v>
      </c>
      <c r="I217" s="5">
        <v>0</v>
      </c>
      <c r="J217" s="192">
        <v>0</v>
      </c>
      <c r="K217" s="192">
        <v>0</v>
      </c>
      <c r="L217" s="5">
        <v>0</v>
      </c>
      <c r="M217" s="5">
        <v>0</v>
      </c>
      <c r="N217" s="4" t="e">
        <f t="shared" si="21"/>
        <v>#N/A</v>
      </c>
      <c r="O217" s="4" t="e">
        <f>IF(ROUND(10.499-(((N217-VLOOKUP($C217,Lookups!$A$55:$D$64,3))/(VLOOKUP($C217,Lookups!$A$55:$D$64,4))*VLOOKUP($C217,Lookups!$C$2:$D$11,2))),0)&lt;1,1,IF(ROUND(10.499-(((N217-VLOOKUP($C217,Lookups!$A$55:$D$64,3))/(VLOOKUP($C217,Lookups!$A$55:$D$64,4))*VLOOKUP($C217,Lookups!$C$2:$D$11,2))),0)&lt;11,ROUND(10.499-(((N217-VLOOKUP($C217,Lookups!$A$55:$D$64,3))/(VLOOKUP($C217,Lookups!$A$55:$D$64,4))*VLOOKUP($C217,Lookups!$C$2:$D$11,2))),0),10))</f>
        <v>#N/A</v>
      </c>
      <c r="P217" s="13" t="str">
        <f>IF((SUM(F217:M217)=0),"J",VLOOKUP(O217,Lookups!$A$1:$B$11,2))</f>
        <v>J</v>
      </c>
      <c r="Q217" s="8" t="e">
        <f>VLOOKUP(C217,Lookups!$A$136:$C$144,3)</f>
        <v>#N/A</v>
      </c>
      <c r="R217" s="8" t="e">
        <f>VLOOKUP(C217,Lookups!$A$136:$C$144,2)</f>
        <v>#N/A</v>
      </c>
      <c r="S217" s="4" t="str">
        <f t="shared" si="22"/>
        <v>No</v>
      </c>
      <c r="T217" s="125">
        <f t="shared" si="23"/>
        <v>0</v>
      </c>
      <c r="U217" s="125">
        <f t="shared" si="24"/>
        <v>0</v>
      </c>
      <c r="V217" s="4" t="e">
        <f>IF($Q217&lt;&gt;3,VLOOKUP(F217,'Points Table A'!B$3:$F$33,5),VLOOKUP(F217,'Points Table A'!H$3:$L$33,5))</f>
        <v>#N/A</v>
      </c>
      <c r="W217" s="4" t="e">
        <f>IF($Q217&lt;&gt;3,VLOOKUP(G217,'Points Table A'!C$3:$F$33,4),VLOOKUP(G217,'Points Table A'!I$3:$L$33,4))</f>
        <v>#N/A</v>
      </c>
      <c r="X217" s="4" t="e">
        <f>IF($Q217&lt;&gt;3,VLOOKUP(H217,'Points Table A'!D$3:$F$28,3),VLOOKUP(H217,'Points Table A'!J$3:$L$33,3))</f>
        <v>#N/A</v>
      </c>
      <c r="Y217" s="4" t="e">
        <f>IF($Q217&lt;&gt;3,VLOOKUP(I217,'Points Table A'!E$3:$F$33,2),VLOOKUP(I217,'Points Table A'!K$3:$L$33,2))</f>
        <v>#N/A</v>
      </c>
      <c r="Z217" s="4" t="e">
        <f t="shared" si="25"/>
        <v>#N/A</v>
      </c>
      <c r="AA217" s="4">
        <f>IF($S217=Lookups!$B$113,VLOOKUP(L217,'Points Table C'!A$3:$E$11,5),VLOOKUP(U217,'Points Table C'!B$3:$E$11,4))</f>
        <v>0</v>
      </c>
      <c r="AB217" s="4" t="e">
        <f>IF($Q217=1,0,VLOOKUP($J217,'Points Table C'!$C$3:$E$18,3))</f>
        <v>#N/A</v>
      </c>
      <c r="AC217" s="4">
        <f>VLOOKUP($K217,'Points Table C'!$D$3:$E$18,2)</f>
        <v>0</v>
      </c>
      <c r="AD217" s="4" t="e">
        <f>IF($Z217&lt;Lookups!$C$106,($AA217+AB217+AC217),IF($AA217&gt;=Lookups!$C$120,($AA217+AB217+AC217),$AA217+$AB217))</f>
        <v>#N/A</v>
      </c>
      <c r="AF217" s="7"/>
      <c r="AG217" s="7"/>
      <c r="AH217" s="7"/>
      <c r="AI217" s="7"/>
      <c r="AJ217" s="7"/>
      <c r="AK217" s="7"/>
      <c r="AL217" s="7"/>
      <c r="AM217" s="7"/>
      <c r="AN217" s="7"/>
      <c r="AO217" s="7"/>
      <c r="AP217" s="7"/>
      <c r="AQ217" s="7"/>
      <c r="AR217" s="7"/>
      <c r="AS217" s="7"/>
      <c r="AT217" s="7"/>
      <c r="AU217" s="7"/>
      <c r="AV217" s="7"/>
      <c r="AW217" s="7"/>
      <c r="AY217" s="7"/>
      <c r="AZ217" s="7"/>
      <c r="BA217" s="7"/>
      <c r="BB217" s="7"/>
    </row>
    <row r="218" spans="2:54" x14ac:dyDescent="0.2">
      <c r="B218" s="174"/>
      <c r="C218" s="176"/>
      <c r="F218" s="5">
        <v>0</v>
      </c>
      <c r="G218" s="192">
        <v>0</v>
      </c>
      <c r="H218" s="192">
        <v>0</v>
      </c>
      <c r="I218" s="5">
        <v>0</v>
      </c>
      <c r="J218" s="192">
        <v>0</v>
      </c>
      <c r="K218" s="192">
        <v>0</v>
      </c>
      <c r="L218" s="5">
        <v>0</v>
      </c>
      <c r="M218" s="5">
        <v>0</v>
      </c>
      <c r="N218" s="4" t="e">
        <f t="shared" si="21"/>
        <v>#N/A</v>
      </c>
      <c r="O218" s="4" t="e">
        <f>IF(ROUND(10.499-(((N218-VLOOKUP($C218,Lookups!$A$55:$D$64,3))/(VLOOKUP($C218,Lookups!$A$55:$D$64,4))*VLOOKUP($C218,Lookups!$C$2:$D$11,2))),0)&lt;1,1,IF(ROUND(10.499-(((N218-VLOOKUP($C218,Lookups!$A$55:$D$64,3))/(VLOOKUP($C218,Lookups!$A$55:$D$64,4))*VLOOKUP($C218,Lookups!$C$2:$D$11,2))),0)&lt;11,ROUND(10.499-(((N218-VLOOKUP($C218,Lookups!$A$55:$D$64,3))/(VLOOKUP($C218,Lookups!$A$55:$D$64,4))*VLOOKUP($C218,Lookups!$C$2:$D$11,2))),0),10))</f>
        <v>#N/A</v>
      </c>
      <c r="P218" s="13" t="str">
        <f>IF((SUM(F218:M218)=0),"J",VLOOKUP(O218,Lookups!$A$1:$B$11,2))</f>
        <v>J</v>
      </c>
      <c r="Q218" s="8" t="e">
        <f>VLOOKUP(C218,Lookups!$A$136:$C$144,3)</f>
        <v>#N/A</v>
      </c>
      <c r="R218" s="8" t="e">
        <f>VLOOKUP(C218,Lookups!$A$136:$C$144,2)</f>
        <v>#N/A</v>
      </c>
      <c r="S218" s="4" t="str">
        <f t="shared" si="22"/>
        <v>No</v>
      </c>
      <c r="T218" s="125">
        <f t="shared" si="23"/>
        <v>0</v>
      </c>
      <c r="U218" s="125">
        <f t="shared" si="24"/>
        <v>0</v>
      </c>
      <c r="V218" s="4" t="e">
        <f>IF($Q218&lt;&gt;3,VLOOKUP(F218,'Points Table A'!B$3:$F$33,5),VLOOKUP(F218,'Points Table A'!H$3:$L$33,5))</f>
        <v>#N/A</v>
      </c>
      <c r="W218" s="4" t="e">
        <f>IF($Q218&lt;&gt;3,VLOOKUP(G218,'Points Table A'!C$3:$F$33,4),VLOOKUP(G218,'Points Table A'!I$3:$L$33,4))</f>
        <v>#N/A</v>
      </c>
      <c r="X218" s="4" t="e">
        <f>IF($Q218&lt;&gt;3,VLOOKUP(H218,'Points Table A'!D$3:$F$28,3),VLOOKUP(H218,'Points Table A'!J$3:$L$33,3))</f>
        <v>#N/A</v>
      </c>
      <c r="Y218" s="4" t="e">
        <f>IF($Q218&lt;&gt;3,VLOOKUP(I218,'Points Table A'!E$3:$F$33,2),VLOOKUP(I218,'Points Table A'!K$3:$L$33,2))</f>
        <v>#N/A</v>
      </c>
      <c r="Z218" s="4" t="e">
        <f t="shared" si="25"/>
        <v>#N/A</v>
      </c>
      <c r="AA218" s="4">
        <f>IF($S218=Lookups!$B$113,VLOOKUP(L218,'Points Table C'!A$3:$E$11,5),VLOOKUP(U218,'Points Table C'!B$3:$E$11,4))</f>
        <v>0</v>
      </c>
      <c r="AB218" s="4" t="e">
        <f>IF($Q218=1,0,VLOOKUP($J218,'Points Table C'!$C$3:$E$18,3))</f>
        <v>#N/A</v>
      </c>
      <c r="AC218" s="4">
        <f>VLOOKUP($K218,'Points Table C'!$D$3:$E$18,2)</f>
        <v>0</v>
      </c>
      <c r="AD218" s="4" t="e">
        <f>IF($Z218&lt;Lookups!$C$106,($AA218+AB218+AC218),IF($AA218&gt;=Lookups!$C$120,($AA218+AB218+AC218),$AA218+$AB218))</f>
        <v>#N/A</v>
      </c>
      <c r="AF218" s="7"/>
      <c r="AG218" s="7"/>
      <c r="AH218" s="7"/>
      <c r="AI218" s="7"/>
      <c r="AJ218" s="7"/>
      <c r="AK218" s="7"/>
      <c r="AL218" s="7"/>
      <c r="AM218" s="7"/>
      <c r="AN218" s="7"/>
      <c r="AO218" s="7"/>
      <c r="AP218" s="7"/>
      <c r="AQ218" s="7"/>
      <c r="AR218" s="7"/>
      <c r="AS218" s="7"/>
      <c r="AT218" s="7"/>
      <c r="AU218" s="7"/>
      <c r="AV218" s="7"/>
      <c r="AW218" s="7"/>
      <c r="AY218" s="7"/>
      <c r="AZ218" s="7"/>
      <c r="BA218" s="7"/>
      <c r="BB218" s="7"/>
    </row>
    <row r="219" spans="2:54" x14ac:dyDescent="0.2">
      <c r="B219" s="174"/>
      <c r="C219" s="176"/>
      <c r="F219" s="5">
        <v>0</v>
      </c>
      <c r="G219" s="192">
        <v>0</v>
      </c>
      <c r="H219" s="192">
        <v>0</v>
      </c>
      <c r="I219" s="5">
        <v>0</v>
      </c>
      <c r="J219" s="192">
        <v>0</v>
      </c>
      <c r="K219" s="192">
        <v>0</v>
      </c>
      <c r="L219" s="5">
        <v>0</v>
      </c>
      <c r="M219" s="5">
        <v>0</v>
      </c>
      <c r="N219" s="4" t="e">
        <f t="shared" si="21"/>
        <v>#N/A</v>
      </c>
      <c r="O219" s="4" t="e">
        <f>IF(ROUND(10.499-(((N219-VLOOKUP($C219,Lookups!$A$55:$D$64,3))/(VLOOKUP($C219,Lookups!$A$55:$D$64,4))*VLOOKUP($C219,Lookups!$C$2:$D$11,2))),0)&lt;1,1,IF(ROUND(10.499-(((N219-VLOOKUP($C219,Lookups!$A$55:$D$64,3))/(VLOOKUP($C219,Lookups!$A$55:$D$64,4))*VLOOKUP($C219,Lookups!$C$2:$D$11,2))),0)&lt;11,ROUND(10.499-(((N219-VLOOKUP($C219,Lookups!$A$55:$D$64,3))/(VLOOKUP($C219,Lookups!$A$55:$D$64,4))*VLOOKUP($C219,Lookups!$C$2:$D$11,2))),0),10))</f>
        <v>#N/A</v>
      </c>
      <c r="P219" s="13" t="str">
        <f>IF((SUM(F219:M219)=0),"J",VLOOKUP(O219,Lookups!$A$1:$B$11,2))</f>
        <v>J</v>
      </c>
      <c r="Q219" s="8" t="e">
        <f>VLOOKUP(C219,Lookups!$A$136:$C$144,3)</f>
        <v>#N/A</v>
      </c>
      <c r="R219" s="8" t="e">
        <f>VLOOKUP(C219,Lookups!$A$136:$C$144,2)</f>
        <v>#N/A</v>
      </c>
      <c r="S219" s="4" t="str">
        <f t="shared" si="22"/>
        <v>No</v>
      </c>
      <c r="T219" s="125">
        <f t="shared" si="23"/>
        <v>0</v>
      </c>
      <c r="U219" s="125">
        <f t="shared" si="24"/>
        <v>0</v>
      </c>
      <c r="V219" s="4" t="e">
        <f>IF($Q219&lt;&gt;3,VLOOKUP(F219,'Points Table A'!B$3:$F$33,5),VLOOKUP(F219,'Points Table A'!H$3:$L$33,5))</f>
        <v>#N/A</v>
      </c>
      <c r="W219" s="4" t="e">
        <f>IF($Q219&lt;&gt;3,VLOOKUP(G219,'Points Table A'!C$3:$F$33,4),VLOOKUP(G219,'Points Table A'!I$3:$L$33,4))</f>
        <v>#N/A</v>
      </c>
      <c r="X219" s="4" t="e">
        <f>IF($Q219&lt;&gt;3,VLOOKUP(H219,'Points Table A'!D$3:$F$28,3),VLOOKUP(H219,'Points Table A'!J$3:$L$33,3))</f>
        <v>#N/A</v>
      </c>
      <c r="Y219" s="4" t="e">
        <f>IF($Q219&lt;&gt;3,VLOOKUP(I219,'Points Table A'!E$3:$F$33,2),VLOOKUP(I219,'Points Table A'!K$3:$L$33,2))</f>
        <v>#N/A</v>
      </c>
      <c r="Z219" s="4" t="e">
        <f t="shared" si="25"/>
        <v>#N/A</v>
      </c>
      <c r="AA219" s="4">
        <f>IF($S219=Lookups!$B$113,VLOOKUP(L219,'Points Table C'!A$3:$E$11,5),VLOOKUP(U219,'Points Table C'!B$3:$E$11,4))</f>
        <v>0</v>
      </c>
      <c r="AB219" s="4" t="e">
        <f>IF($Q219=1,0,VLOOKUP($J219,'Points Table C'!$C$3:$E$18,3))</f>
        <v>#N/A</v>
      </c>
      <c r="AC219" s="4">
        <f>VLOOKUP($K219,'Points Table C'!$D$3:$E$18,2)</f>
        <v>0</v>
      </c>
      <c r="AD219" s="4" t="e">
        <f>IF($Z219&lt;Lookups!$C$106,($AA219+AB219+AC219),IF($AA219&gt;=Lookups!$C$120,($AA219+AB219+AC219),$AA219+$AB219))</f>
        <v>#N/A</v>
      </c>
      <c r="AF219" s="7"/>
      <c r="AG219" s="7"/>
      <c r="AH219" s="7"/>
      <c r="AI219" s="7"/>
      <c r="AJ219" s="7"/>
      <c r="AK219" s="7"/>
      <c r="AL219" s="7"/>
      <c r="AM219" s="7"/>
      <c r="AN219" s="7"/>
      <c r="AO219" s="7"/>
      <c r="AP219" s="7"/>
      <c r="AQ219" s="7"/>
      <c r="AR219" s="7"/>
      <c r="AS219" s="7"/>
      <c r="AT219" s="7"/>
      <c r="AU219" s="7"/>
      <c r="AV219" s="7"/>
      <c r="AW219" s="7"/>
      <c r="AY219" s="7"/>
      <c r="AZ219" s="7"/>
      <c r="BA219" s="7"/>
      <c r="BB219" s="7"/>
    </row>
    <row r="220" spans="2:54" x14ac:dyDescent="0.2">
      <c r="B220" s="174"/>
      <c r="C220" s="176"/>
      <c r="F220" s="5">
        <v>0</v>
      </c>
      <c r="G220" s="192">
        <v>0</v>
      </c>
      <c r="H220" s="192">
        <v>0</v>
      </c>
      <c r="I220" s="5">
        <v>0</v>
      </c>
      <c r="J220" s="192">
        <v>0</v>
      </c>
      <c r="K220" s="192">
        <v>0</v>
      </c>
      <c r="L220" s="5">
        <v>0</v>
      </c>
      <c r="M220" s="5">
        <v>0</v>
      </c>
      <c r="N220" s="4" t="e">
        <f t="shared" si="21"/>
        <v>#N/A</v>
      </c>
      <c r="O220" s="4" t="e">
        <f>IF(ROUND(10.499-(((N220-VLOOKUP($C220,Lookups!$A$55:$D$64,3))/(VLOOKUP($C220,Lookups!$A$55:$D$64,4))*VLOOKUP($C220,Lookups!$C$2:$D$11,2))),0)&lt;1,1,IF(ROUND(10.499-(((N220-VLOOKUP($C220,Lookups!$A$55:$D$64,3))/(VLOOKUP($C220,Lookups!$A$55:$D$64,4))*VLOOKUP($C220,Lookups!$C$2:$D$11,2))),0)&lt;11,ROUND(10.499-(((N220-VLOOKUP($C220,Lookups!$A$55:$D$64,3))/(VLOOKUP($C220,Lookups!$A$55:$D$64,4))*VLOOKUP($C220,Lookups!$C$2:$D$11,2))),0),10))</f>
        <v>#N/A</v>
      </c>
      <c r="P220" s="13" t="str">
        <f>IF((SUM(F220:M220)=0),"J",VLOOKUP(O220,Lookups!$A$1:$B$11,2))</f>
        <v>J</v>
      </c>
      <c r="Q220" s="8" t="e">
        <f>VLOOKUP(C220,Lookups!$A$136:$C$144,3)</f>
        <v>#N/A</v>
      </c>
      <c r="R220" s="8" t="e">
        <f>VLOOKUP(C220,Lookups!$A$136:$C$144,2)</f>
        <v>#N/A</v>
      </c>
      <c r="S220" s="4" t="str">
        <f t="shared" si="22"/>
        <v>No</v>
      </c>
      <c r="T220" s="125">
        <f t="shared" si="23"/>
        <v>0</v>
      </c>
      <c r="U220" s="125">
        <f t="shared" si="24"/>
        <v>0</v>
      </c>
      <c r="V220" s="4" t="e">
        <f>IF($Q220&lt;&gt;3,VLOOKUP(F220,'Points Table A'!B$3:$F$33,5),VLOOKUP(F220,'Points Table A'!H$3:$L$33,5))</f>
        <v>#N/A</v>
      </c>
      <c r="W220" s="4" t="e">
        <f>IF($Q220&lt;&gt;3,VLOOKUP(G220,'Points Table A'!C$3:$F$33,4),VLOOKUP(G220,'Points Table A'!I$3:$L$33,4))</f>
        <v>#N/A</v>
      </c>
      <c r="X220" s="4" t="e">
        <f>IF($Q220&lt;&gt;3,VLOOKUP(H220,'Points Table A'!D$3:$F$28,3),VLOOKUP(H220,'Points Table A'!J$3:$L$33,3))</f>
        <v>#N/A</v>
      </c>
      <c r="Y220" s="4" t="e">
        <f>IF($Q220&lt;&gt;3,VLOOKUP(I220,'Points Table A'!E$3:$F$33,2),VLOOKUP(I220,'Points Table A'!K$3:$L$33,2))</f>
        <v>#N/A</v>
      </c>
      <c r="Z220" s="4" t="e">
        <f t="shared" si="25"/>
        <v>#N/A</v>
      </c>
      <c r="AA220" s="4">
        <f>IF($S220=Lookups!$B$113,VLOOKUP(L220,'Points Table C'!A$3:$E$11,5),VLOOKUP(U220,'Points Table C'!B$3:$E$11,4))</f>
        <v>0</v>
      </c>
      <c r="AB220" s="4" t="e">
        <f>IF($Q220=1,0,VLOOKUP($J220,'Points Table C'!$C$3:$E$18,3))</f>
        <v>#N/A</v>
      </c>
      <c r="AC220" s="4">
        <f>VLOOKUP($K220,'Points Table C'!$D$3:$E$18,2)</f>
        <v>0</v>
      </c>
      <c r="AD220" s="4" t="e">
        <f>IF($Z220&lt;Lookups!$C$106,($AA220+AB220+AC220),IF($AA220&gt;=Lookups!$C$120,($AA220+AB220+AC220),$AA220+$AB220))</f>
        <v>#N/A</v>
      </c>
      <c r="AF220" s="7"/>
      <c r="AG220" s="7"/>
      <c r="AH220" s="7"/>
      <c r="AI220" s="7"/>
      <c r="AJ220" s="7"/>
      <c r="AK220" s="7"/>
      <c r="AL220" s="7"/>
      <c r="AM220" s="7"/>
      <c r="AN220" s="7"/>
      <c r="AO220" s="7"/>
      <c r="AP220" s="7"/>
      <c r="AQ220" s="7"/>
      <c r="AR220" s="7"/>
      <c r="AS220" s="7"/>
      <c r="AT220" s="7"/>
      <c r="AU220" s="7"/>
      <c r="AV220" s="7"/>
      <c r="AW220" s="7"/>
      <c r="AY220" s="7"/>
      <c r="AZ220" s="7"/>
      <c r="BA220" s="7"/>
      <c r="BB220" s="7"/>
    </row>
    <row r="221" spans="2:54" x14ac:dyDescent="0.2">
      <c r="B221" s="174"/>
      <c r="C221" s="176"/>
      <c r="F221" s="5">
        <v>0</v>
      </c>
      <c r="G221" s="192">
        <v>0</v>
      </c>
      <c r="H221" s="192">
        <v>0</v>
      </c>
      <c r="I221" s="5">
        <v>0</v>
      </c>
      <c r="J221" s="192">
        <v>0</v>
      </c>
      <c r="K221" s="192">
        <v>0</v>
      </c>
      <c r="L221" s="5">
        <v>0</v>
      </c>
      <c r="M221" s="5">
        <v>0</v>
      </c>
      <c r="N221" s="4" t="e">
        <f t="shared" si="21"/>
        <v>#N/A</v>
      </c>
      <c r="O221" s="4" t="e">
        <f>IF(ROUND(10.499-(((N221-VLOOKUP($C221,Lookups!$A$55:$D$64,3))/(VLOOKUP($C221,Lookups!$A$55:$D$64,4))*VLOOKUP($C221,Lookups!$C$2:$D$11,2))),0)&lt;1,1,IF(ROUND(10.499-(((N221-VLOOKUP($C221,Lookups!$A$55:$D$64,3))/(VLOOKUP($C221,Lookups!$A$55:$D$64,4))*VLOOKUP($C221,Lookups!$C$2:$D$11,2))),0)&lt;11,ROUND(10.499-(((N221-VLOOKUP($C221,Lookups!$A$55:$D$64,3))/(VLOOKUP($C221,Lookups!$A$55:$D$64,4))*VLOOKUP($C221,Lookups!$C$2:$D$11,2))),0),10))</f>
        <v>#N/A</v>
      </c>
      <c r="P221" s="13" t="str">
        <f>IF((SUM(F221:M221)=0),"J",VLOOKUP(O221,Lookups!$A$1:$B$11,2))</f>
        <v>J</v>
      </c>
      <c r="Q221" s="8" t="e">
        <f>VLOOKUP(C221,Lookups!$A$136:$C$144,3)</f>
        <v>#N/A</v>
      </c>
      <c r="R221" s="8" t="e">
        <f>VLOOKUP(C221,Lookups!$A$136:$C$144,2)</f>
        <v>#N/A</v>
      </c>
      <c r="S221" s="4" t="str">
        <f t="shared" si="22"/>
        <v>No</v>
      </c>
      <c r="T221" s="125">
        <f t="shared" si="23"/>
        <v>0</v>
      </c>
      <c r="U221" s="125">
        <f t="shared" si="24"/>
        <v>0</v>
      </c>
      <c r="V221" s="4" t="e">
        <f>IF($Q221&lt;&gt;3,VLOOKUP(F221,'Points Table A'!B$3:$F$33,5),VLOOKUP(F221,'Points Table A'!H$3:$L$33,5))</f>
        <v>#N/A</v>
      </c>
      <c r="W221" s="4" t="e">
        <f>IF($Q221&lt;&gt;3,VLOOKUP(G221,'Points Table A'!C$3:$F$33,4),VLOOKUP(G221,'Points Table A'!I$3:$L$33,4))</f>
        <v>#N/A</v>
      </c>
      <c r="X221" s="4" t="e">
        <f>IF($Q221&lt;&gt;3,VLOOKUP(H221,'Points Table A'!D$3:$F$28,3),VLOOKUP(H221,'Points Table A'!J$3:$L$33,3))</f>
        <v>#N/A</v>
      </c>
      <c r="Y221" s="4" t="e">
        <f>IF($Q221&lt;&gt;3,VLOOKUP(I221,'Points Table A'!E$3:$F$33,2),VLOOKUP(I221,'Points Table A'!K$3:$L$33,2))</f>
        <v>#N/A</v>
      </c>
      <c r="Z221" s="4" t="e">
        <f t="shared" si="25"/>
        <v>#N/A</v>
      </c>
      <c r="AA221" s="4">
        <f>IF($S221=Lookups!$B$113,VLOOKUP(L221,'Points Table C'!A$3:$E$11,5),VLOOKUP(U221,'Points Table C'!B$3:$E$11,4))</f>
        <v>0</v>
      </c>
      <c r="AB221" s="4" t="e">
        <f>IF($Q221=1,0,VLOOKUP($J221,'Points Table C'!$C$3:$E$18,3))</f>
        <v>#N/A</v>
      </c>
      <c r="AC221" s="4">
        <f>VLOOKUP($K221,'Points Table C'!$D$3:$E$18,2)</f>
        <v>0</v>
      </c>
      <c r="AD221" s="4" t="e">
        <f>IF($Z221&lt;Lookups!$C$106,($AA221+AB221+AC221),IF($AA221&gt;=Lookups!$C$120,($AA221+AB221+AC221),$AA221+$AB221))</f>
        <v>#N/A</v>
      </c>
      <c r="AF221" s="7"/>
      <c r="AG221" s="7"/>
      <c r="AH221" s="7"/>
      <c r="AI221" s="7"/>
      <c r="AJ221" s="7"/>
      <c r="AK221" s="7"/>
      <c r="AL221" s="7"/>
      <c r="AM221" s="7"/>
      <c r="AN221" s="7"/>
      <c r="AO221" s="7"/>
      <c r="AP221" s="7"/>
      <c r="AQ221" s="7"/>
      <c r="AR221" s="7"/>
      <c r="AS221" s="7"/>
      <c r="AT221" s="7"/>
      <c r="AU221" s="7"/>
      <c r="AV221" s="7"/>
      <c r="AW221" s="7"/>
      <c r="AY221" s="7"/>
      <c r="AZ221" s="7"/>
      <c r="BA221" s="7"/>
      <c r="BB221" s="7"/>
    </row>
    <row r="222" spans="2:54" x14ac:dyDescent="0.2">
      <c r="B222" s="174"/>
      <c r="C222" s="176"/>
      <c r="F222" s="5">
        <v>0</v>
      </c>
      <c r="G222" s="192">
        <v>0</v>
      </c>
      <c r="H222" s="192">
        <v>0</v>
      </c>
      <c r="I222" s="5">
        <v>0</v>
      </c>
      <c r="J222" s="192">
        <v>0</v>
      </c>
      <c r="K222" s="192">
        <v>0</v>
      </c>
      <c r="L222" s="5">
        <v>0</v>
      </c>
      <c r="M222" s="5">
        <v>0</v>
      </c>
      <c r="N222" s="4" t="e">
        <f t="shared" si="21"/>
        <v>#N/A</v>
      </c>
      <c r="O222" s="4" t="e">
        <f>IF(ROUND(10.499-(((N222-VLOOKUP($C222,Lookups!$A$55:$D$64,3))/(VLOOKUP($C222,Lookups!$A$55:$D$64,4))*VLOOKUP($C222,Lookups!$C$2:$D$11,2))),0)&lt;1,1,IF(ROUND(10.499-(((N222-VLOOKUP($C222,Lookups!$A$55:$D$64,3))/(VLOOKUP($C222,Lookups!$A$55:$D$64,4))*VLOOKUP($C222,Lookups!$C$2:$D$11,2))),0)&lt;11,ROUND(10.499-(((N222-VLOOKUP($C222,Lookups!$A$55:$D$64,3))/(VLOOKUP($C222,Lookups!$A$55:$D$64,4))*VLOOKUP($C222,Lookups!$C$2:$D$11,2))),0),10))</f>
        <v>#N/A</v>
      </c>
      <c r="P222" s="13" t="str">
        <f>IF((SUM(F222:M222)=0),"J",VLOOKUP(O222,Lookups!$A$1:$B$11,2))</f>
        <v>J</v>
      </c>
      <c r="Q222" s="8" t="e">
        <f>VLOOKUP(C222,Lookups!$A$136:$C$144,3)</f>
        <v>#N/A</v>
      </c>
      <c r="R222" s="8" t="e">
        <f>VLOOKUP(C222,Lookups!$A$136:$C$144,2)</f>
        <v>#N/A</v>
      </c>
      <c r="S222" s="4" t="str">
        <f t="shared" si="22"/>
        <v>No</v>
      </c>
      <c r="T222" s="125">
        <f t="shared" si="23"/>
        <v>0</v>
      </c>
      <c r="U222" s="125">
        <f t="shared" si="24"/>
        <v>0</v>
      </c>
      <c r="V222" s="4" t="e">
        <f>IF($Q222&lt;&gt;3,VLOOKUP(F222,'Points Table A'!B$3:$F$33,5),VLOOKUP(F222,'Points Table A'!H$3:$L$33,5))</f>
        <v>#N/A</v>
      </c>
      <c r="W222" s="4" t="e">
        <f>IF($Q222&lt;&gt;3,VLOOKUP(G222,'Points Table A'!C$3:$F$33,4),VLOOKUP(G222,'Points Table A'!I$3:$L$33,4))</f>
        <v>#N/A</v>
      </c>
      <c r="X222" s="4" t="e">
        <f>IF($Q222&lt;&gt;3,VLOOKUP(H222,'Points Table A'!D$3:$F$28,3),VLOOKUP(H222,'Points Table A'!J$3:$L$33,3))</f>
        <v>#N/A</v>
      </c>
      <c r="Y222" s="4" t="e">
        <f>IF($Q222&lt;&gt;3,VLOOKUP(I222,'Points Table A'!E$3:$F$33,2),VLOOKUP(I222,'Points Table A'!K$3:$L$33,2))</f>
        <v>#N/A</v>
      </c>
      <c r="Z222" s="4" t="e">
        <f t="shared" si="25"/>
        <v>#N/A</v>
      </c>
      <c r="AA222" s="4">
        <f>IF($S222=Lookups!$B$113,VLOOKUP(L222,'Points Table C'!A$3:$E$11,5),VLOOKUP(U222,'Points Table C'!B$3:$E$11,4))</f>
        <v>0</v>
      </c>
      <c r="AB222" s="4" t="e">
        <f>IF($Q222=1,0,VLOOKUP($J222,'Points Table C'!$C$3:$E$18,3))</f>
        <v>#N/A</v>
      </c>
      <c r="AC222" s="4">
        <f>VLOOKUP($K222,'Points Table C'!$D$3:$E$18,2)</f>
        <v>0</v>
      </c>
      <c r="AD222" s="4" t="e">
        <f>IF($Z222&lt;Lookups!$C$106,($AA222+AB222+AC222),IF($AA222&gt;=Lookups!$C$120,($AA222+AB222+AC222),$AA222+$AB222))</f>
        <v>#N/A</v>
      </c>
      <c r="AF222" s="7"/>
      <c r="AG222" s="7"/>
      <c r="AH222" s="7"/>
      <c r="AI222" s="7"/>
      <c r="AJ222" s="7"/>
      <c r="AK222" s="7"/>
      <c r="AL222" s="7"/>
      <c r="AM222" s="7"/>
      <c r="AN222" s="7"/>
      <c r="AO222" s="7"/>
      <c r="AP222" s="7"/>
      <c r="AQ222" s="7"/>
      <c r="AR222" s="7"/>
      <c r="AS222" s="7"/>
      <c r="AT222" s="7"/>
      <c r="AU222" s="7"/>
      <c r="AV222" s="7"/>
      <c r="AW222" s="7"/>
      <c r="AY222" s="7"/>
      <c r="AZ222" s="7"/>
      <c r="BA222" s="7"/>
      <c r="BB222" s="7"/>
    </row>
    <row r="223" spans="2:54" x14ac:dyDescent="0.2">
      <c r="B223" s="174"/>
      <c r="C223" s="176"/>
      <c r="F223" s="5">
        <v>0</v>
      </c>
      <c r="G223" s="192">
        <v>0</v>
      </c>
      <c r="H223" s="192">
        <v>0</v>
      </c>
      <c r="I223" s="5">
        <v>0</v>
      </c>
      <c r="J223" s="192">
        <v>0</v>
      </c>
      <c r="K223" s="192">
        <v>0</v>
      </c>
      <c r="L223" s="5">
        <v>0</v>
      </c>
      <c r="M223" s="5">
        <v>0</v>
      </c>
      <c r="N223" s="4" t="e">
        <f t="shared" si="21"/>
        <v>#N/A</v>
      </c>
      <c r="O223" s="4" t="e">
        <f>IF(ROUND(10.499-(((N223-VLOOKUP($C223,Lookups!$A$55:$D$64,3))/(VLOOKUP($C223,Lookups!$A$55:$D$64,4))*VLOOKUP($C223,Lookups!$C$2:$D$11,2))),0)&lt;1,1,IF(ROUND(10.499-(((N223-VLOOKUP($C223,Lookups!$A$55:$D$64,3))/(VLOOKUP($C223,Lookups!$A$55:$D$64,4))*VLOOKUP($C223,Lookups!$C$2:$D$11,2))),0)&lt;11,ROUND(10.499-(((N223-VLOOKUP($C223,Lookups!$A$55:$D$64,3))/(VLOOKUP($C223,Lookups!$A$55:$D$64,4))*VLOOKUP($C223,Lookups!$C$2:$D$11,2))),0),10))</f>
        <v>#N/A</v>
      </c>
      <c r="P223" s="13" t="str">
        <f>IF((SUM(F223:M223)=0),"J",VLOOKUP(O223,Lookups!$A$1:$B$11,2))</f>
        <v>J</v>
      </c>
      <c r="Q223" s="8" t="e">
        <f>VLOOKUP(C223,Lookups!$A$136:$C$144,3)</f>
        <v>#N/A</v>
      </c>
      <c r="R223" s="8" t="e">
        <f>VLOOKUP(C223,Lookups!$A$136:$C$144,2)</f>
        <v>#N/A</v>
      </c>
      <c r="S223" s="4" t="str">
        <f t="shared" si="22"/>
        <v>No</v>
      </c>
      <c r="T223" s="125">
        <f t="shared" si="23"/>
        <v>0</v>
      </c>
      <c r="U223" s="125">
        <f t="shared" si="24"/>
        <v>0</v>
      </c>
      <c r="V223" s="4" t="e">
        <f>IF($Q223&lt;&gt;3,VLOOKUP(F223,'Points Table A'!B$3:$F$33,5),VLOOKUP(F223,'Points Table A'!H$3:$L$33,5))</f>
        <v>#N/A</v>
      </c>
      <c r="W223" s="4" t="e">
        <f>IF($Q223&lt;&gt;3,VLOOKUP(G223,'Points Table A'!C$3:$F$33,4),VLOOKUP(G223,'Points Table A'!I$3:$L$33,4))</f>
        <v>#N/A</v>
      </c>
      <c r="X223" s="4" t="e">
        <f>IF($Q223&lt;&gt;3,VLOOKUP(H223,'Points Table A'!D$3:$F$28,3),VLOOKUP(H223,'Points Table A'!J$3:$L$33,3))</f>
        <v>#N/A</v>
      </c>
      <c r="Y223" s="4" t="e">
        <f>IF($Q223&lt;&gt;3,VLOOKUP(I223,'Points Table A'!E$3:$F$33,2),VLOOKUP(I223,'Points Table A'!K$3:$L$33,2))</f>
        <v>#N/A</v>
      </c>
      <c r="Z223" s="4" t="e">
        <f t="shared" si="25"/>
        <v>#N/A</v>
      </c>
      <c r="AA223" s="4">
        <f>IF($S223=Lookups!$B$113,VLOOKUP(L223,'Points Table C'!A$3:$E$11,5),VLOOKUP(U223,'Points Table C'!B$3:$E$11,4))</f>
        <v>0</v>
      </c>
      <c r="AB223" s="4" t="e">
        <f>IF($Q223=1,0,VLOOKUP($J223,'Points Table C'!$C$3:$E$18,3))</f>
        <v>#N/A</v>
      </c>
      <c r="AC223" s="4">
        <f>VLOOKUP($K223,'Points Table C'!$D$3:$E$18,2)</f>
        <v>0</v>
      </c>
      <c r="AD223" s="4" t="e">
        <f>IF($Z223&lt;Lookups!$C$106,($AA223+AB223+AC223),IF($AA223&gt;=Lookups!$C$120,($AA223+AB223+AC223),$AA223+$AB223))</f>
        <v>#N/A</v>
      </c>
      <c r="AF223" s="7"/>
      <c r="AG223" s="7"/>
      <c r="AH223" s="7"/>
      <c r="AI223" s="7"/>
      <c r="AJ223" s="7"/>
      <c r="AK223" s="7"/>
      <c r="AL223" s="7"/>
      <c r="AM223" s="7"/>
      <c r="AN223" s="7"/>
      <c r="AO223" s="7"/>
      <c r="AP223" s="7"/>
      <c r="AQ223" s="7"/>
      <c r="AR223" s="7"/>
      <c r="AS223" s="7"/>
      <c r="AT223" s="7"/>
      <c r="AU223" s="7"/>
      <c r="AV223" s="7"/>
      <c r="AW223" s="7"/>
      <c r="AY223" s="7"/>
      <c r="AZ223" s="7"/>
      <c r="BA223" s="7"/>
      <c r="BB223" s="7"/>
    </row>
    <row r="224" spans="2:54" x14ac:dyDescent="0.2">
      <c r="B224" s="174"/>
      <c r="C224" s="176"/>
      <c r="F224" s="5">
        <v>0</v>
      </c>
      <c r="G224" s="192">
        <v>0</v>
      </c>
      <c r="H224" s="192">
        <v>0</v>
      </c>
      <c r="I224" s="5">
        <v>0</v>
      </c>
      <c r="J224" s="192">
        <v>0</v>
      </c>
      <c r="K224" s="192">
        <v>0</v>
      </c>
      <c r="L224" s="5">
        <v>0</v>
      </c>
      <c r="M224" s="5">
        <v>0</v>
      </c>
      <c r="N224" s="4" t="e">
        <f t="shared" si="21"/>
        <v>#N/A</v>
      </c>
      <c r="O224" s="4" t="e">
        <f>IF(ROUND(10.499-(((N224-VLOOKUP($C224,Lookups!$A$55:$D$64,3))/(VLOOKUP($C224,Lookups!$A$55:$D$64,4))*VLOOKUP($C224,Lookups!$C$2:$D$11,2))),0)&lt;1,1,IF(ROUND(10.499-(((N224-VLOOKUP($C224,Lookups!$A$55:$D$64,3))/(VLOOKUP($C224,Lookups!$A$55:$D$64,4))*VLOOKUP($C224,Lookups!$C$2:$D$11,2))),0)&lt;11,ROUND(10.499-(((N224-VLOOKUP($C224,Lookups!$A$55:$D$64,3))/(VLOOKUP($C224,Lookups!$A$55:$D$64,4))*VLOOKUP($C224,Lookups!$C$2:$D$11,2))),0),10))</f>
        <v>#N/A</v>
      </c>
      <c r="P224" s="13" t="str">
        <f>IF((SUM(F224:M224)=0),"J",VLOOKUP(O224,Lookups!$A$1:$B$11,2))</f>
        <v>J</v>
      </c>
      <c r="Q224" s="8" t="e">
        <f>VLOOKUP(C224,Lookups!$A$136:$C$144,3)</f>
        <v>#N/A</v>
      </c>
      <c r="R224" s="8" t="e">
        <f>VLOOKUP(C224,Lookups!$A$136:$C$144,2)</f>
        <v>#N/A</v>
      </c>
      <c r="S224" s="4" t="str">
        <f t="shared" si="22"/>
        <v>No</v>
      </c>
      <c r="T224" s="125">
        <f t="shared" si="23"/>
        <v>0</v>
      </c>
      <c r="U224" s="125">
        <f t="shared" si="24"/>
        <v>0</v>
      </c>
      <c r="V224" s="4" t="e">
        <f>IF($Q224&lt;&gt;3,VLOOKUP(F224,'Points Table A'!B$3:$F$33,5),VLOOKUP(F224,'Points Table A'!H$3:$L$33,5))</f>
        <v>#N/A</v>
      </c>
      <c r="W224" s="4" t="e">
        <f>IF($Q224&lt;&gt;3,VLOOKUP(G224,'Points Table A'!C$3:$F$33,4),VLOOKUP(G224,'Points Table A'!I$3:$L$33,4))</f>
        <v>#N/A</v>
      </c>
      <c r="X224" s="4" t="e">
        <f>IF($Q224&lt;&gt;3,VLOOKUP(H224,'Points Table A'!D$3:$F$28,3),VLOOKUP(H224,'Points Table A'!J$3:$L$33,3))</f>
        <v>#N/A</v>
      </c>
      <c r="Y224" s="4" t="e">
        <f>IF($Q224&lt;&gt;3,VLOOKUP(I224,'Points Table A'!E$3:$F$33,2),VLOOKUP(I224,'Points Table A'!K$3:$L$33,2))</f>
        <v>#N/A</v>
      </c>
      <c r="Z224" s="4" t="e">
        <f t="shared" si="25"/>
        <v>#N/A</v>
      </c>
      <c r="AA224" s="4">
        <f>IF($S224=Lookups!$B$113,VLOOKUP(L224,'Points Table C'!A$3:$E$11,5),VLOOKUP(U224,'Points Table C'!B$3:$E$11,4))</f>
        <v>0</v>
      </c>
      <c r="AB224" s="4" t="e">
        <f>IF($Q224=1,0,VLOOKUP($J224,'Points Table C'!$C$3:$E$18,3))</f>
        <v>#N/A</v>
      </c>
      <c r="AC224" s="4">
        <f>VLOOKUP($K224,'Points Table C'!$D$3:$E$18,2)</f>
        <v>0</v>
      </c>
      <c r="AD224" s="4" t="e">
        <f>IF($Z224&lt;Lookups!$C$106,($AA224+AB224+AC224),IF($AA224&gt;=Lookups!$C$120,($AA224+AB224+AC224),$AA224+$AB224))</f>
        <v>#N/A</v>
      </c>
      <c r="AF224" s="7"/>
      <c r="AG224" s="7"/>
      <c r="AH224" s="7"/>
      <c r="AI224" s="7"/>
      <c r="AJ224" s="7"/>
      <c r="AK224" s="7"/>
      <c r="AL224" s="7"/>
      <c r="AM224" s="7"/>
      <c r="AN224" s="7"/>
      <c r="AO224" s="7"/>
      <c r="AP224" s="7"/>
      <c r="AQ224" s="7"/>
      <c r="AR224" s="7"/>
      <c r="AS224" s="7"/>
      <c r="AT224" s="7"/>
      <c r="AU224" s="7"/>
      <c r="AV224" s="7"/>
      <c r="AW224" s="7"/>
      <c r="AY224" s="7"/>
      <c r="AZ224" s="7"/>
      <c r="BA224" s="7"/>
      <c r="BB224" s="7"/>
    </row>
    <row r="225" spans="2:54" x14ac:dyDescent="0.2">
      <c r="B225" s="174"/>
      <c r="C225" s="176"/>
      <c r="F225" s="5">
        <v>0</v>
      </c>
      <c r="G225" s="192">
        <v>0</v>
      </c>
      <c r="H225" s="192">
        <v>0</v>
      </c>
      <c r="I225" s="5">
        <v>0</v>
      </c>
      <c r="J225" s="192">
        <v>0</v>
      </c>
      <c r="K225" s="192">
        <v>0</v>
      </c>
      <c r="L225" s="5">
        <v>0</v>
      </c>
      <c r="M225" s="5">
        <v>0</v>
      </c>
      <c r="N225" s="4" t="e">
        <f t="shared" si="21"/>
        <v>#N/A</v>
      </c>
      <c r="O225" s="4" t="e">
        <f>IF(ROUND(10.499-(((N225-VLOOKUP($C225,Lookups!$A$55:$D$64,3))/(VLOOKUP($C225,Lookups!$A$55:$D$64,4))*VLOOKUP($C225,Lookups!$C$2:$D$11,2))),0)&lt;1,1,IF(ROUND(10.499-(((N225-VLOOKUP($C225,Lookups!$A$55:$D$64,3))/(VLOOKUP($C225,Lookups!$A$55:$D$64,4))*VLOOKUP($C225,Lookups!$C$2:$D$11,2))),0)&lt;11,ROUND(10.499-(((N225-VLOOKUP($C225,Lookups!$A$55:$D$64,3))/(VLOOKUP($C225,Lookups!$A$55:$D$64,4))*VLOOKUP($C225,Lookups!$C$2:$D$11,2))),0),10))</f>
        <v>#N/A</v>
      </c>
      <c r="P225" s="13" t="str">
        <f>IF((SUM(F225:M225)=0),"J",VLOOKUP(O225,Lookups!$A$1:$B$11,2))</f>
        <v>J</v>
      </c>
      <c r="Q225" s="8" t="e">
        <f>VLOOKUP(C225,Lookups!$A$136:$C$144,3)</f>
        <v>#N/A</v>
      </c>
      <c r="R225" s="8" t="e">
        <f>VLOOKUP(C225,Lookups!$A$136:$C$144,2)</f>
        <v>#N/A</v>
      </c>
      <c r="S225" s="4" t="str">
        <f t="shared" si="22"/>
        <v>No</v>
      </c>
      <c r="T225" s="125">
        <f t="shared" si="23"/>
        <v>0</v>
      </c>
      <c r="U225" s="125">
        <f t="shared" si="24"/>
        <v>0</v>
      </c>
      <c r="V225" s="4" t="e">
        <f>IF($Q225&lt;&gt;3,VLOOKUP(F225,'Points Table A'!B$3:$F$33,5),VLOOKUP(F225,'Points Table A'!H$3:$L$33,5))</f>
        <v>#N/A</v>
      </c>
      <c r="W225" s="4" t="e">
        <f>IF($Q225&lt;&gt;3,VLOOKUP(G225,'Points Table A'!C$3:$F$33,4),VLOOKUP(G225,'Points Table A'!I$3:$L$33,4))</f>
        <v>#N/A</v>
      </c>
      <c r="X225" s="4" t="e">
        <f>IF($Q225&lt;&gt;3,VLOOKUP(H225,'Points Table A'!D$3:$F$28,3),VLOOKUP(H225,'Points Table A'!J$3:$L$33,3))</f>
        <v>#N/A</v>
      </c>
      <c r="Y225" s="4" t="e">
        <f>IF($Q225&lt;&gt;3,VLOOKUP(I225,'Points Table A'!E$3:$F$33,2),VLOOKUP(I225,'Points Table A'!K$3:$L$33,2))</f>
        <v>#N/A</v>
      </c>
      <c r="Z225" s="4" t="e">
        <f t="shared" si="25"/>
        <v>#N/A</v>
      </c>
      <c r="AA225" s="4">
        <f>IF($S225=Lookups!$B$113,VLOOKUP(L225,'Points Table C'!A$3:$E$11,5),VLOOKUP(U225,'Points Table C'!B$3:$E$11,4))</f>
        <v>0</v>
      </c>
      <c r="AB225" s="4" t="e">
        <f>IF($Q225=1,0,VLOOKUP($J225,'Points Table C'!$C$3:$E$18,3))</f>
        <v>#N/A</v>
      </c>
      <c r="AC225" s="4">
        <f>VLOOKUP($K225,'Points Table C'!$D$3:$E$18,2)</f>
        <v>0</v>
      </c>
      <c r="AD225" s="4" t="e">
        <f>IF($Z225&lt;Lookups!$C$106,($AA225+AB225+AC225),IF($AA225&gt;=Lookups!$C$120,($AA225+AB225+AC225),$AA225+$AB225))</f>
        <v>#N/A</v>
      </c>
      <c r="AF225" s="7"/>
      <c r="AG225" s="7"/>
      <c r="AH225" s="7"/>
      <c r="AI225" s="7"/>
      <c r="AJ225" s="7"/>
      <c r="AK225" s="7"/>
      <c r="AL225" s="7"/>
      <c r="AM225" s="7"/>
      <c r="AN225" s="7"/>
      <c r="AO225" s="7"/>
      <c r="AP225" s="7"/>
      <c r="AQ225" s="7"/>
      <c r="AR225" s="7"/>
      <c r="AS225" s="7"/>
      <c r="AT225" s="7"/>
      <c r="AU225" s="7"/>
      <c r="AV225" s="7"/>
      <c r="AW225" s="7"/>
      <c r="AY225" s="7"/>
      <c r="AZ225" s="7"/>
      <c r="BA225" s="7"/>
      <c r="BB225" s="7"/>
    </row>
    <row r="226" spans="2:54" x14ac:dyDescent="0.2">
      <c r="B226" s="174"/>
      <c r="C226" s="176"/>
      <c r="F226" s="5">
        <v>0</v>
      </c>
      <c r="G226" s="192">
        <v>0</v>
      </c>
      <c r="H226" s="192">
        <v>0</v>
      </c>
      <c r="I226" s="5">
        <v>0</v>
      </c>
      <c r="J226" s="192">
        <v>0</v>
      </c>
      <c r="K226" s="192">
        <v>0</v>
      </c>
      <c r="L226" s="5">
        <v>0</v>
      </c>
      <c r="M226" s="5">
        <v>0</v>
      </c>
      <c r="N226" s="4" t="e">
        <f t="shared" si="21"/>
        <v>#N/A</v>
      </c>
      <c r="O226" s="4" t="e">
        <f>IF(ROUND(10.499-(((N226-VLOOKUP($C226,Lookups!$A$55:$D$64,3))/(VLOOKUP($C226,Lookups!$A$55:$D$64,4))*VLOOKUP($C226,Lookups!$C$2:$D$11,2))),0)&lt;1,1,IF(ROUND(10.499-(((N226-VLOOKUP($C226,Lookups!$A$55:$D$64,3))/(VLOOKUP($C226,Lookups!$A$55:$D$64,4))*VLOOKUP($C226,Lookups!$C$2:$D$11,2))),0)&lt;11,ROUND(10.499-(((N226-VLOOKUP($C226,Lookups!$A$55:$D$64,3))/(VLOOKUP($C226,Lookups!$A$55:$D$64,4))*VLOOKUP($C226,Lookups!$C$2:$D$11,2))),0),10))</f>
        <v>#N/A</v>
      </c>
      <c r="P226" s="13" t="str">
        <f>IF((SUM(F226:M226)=0),"J",VLOOKUP(O226,Lookups!$A$1:$B$11,2))</f>
        <v>J</v>
      </c>
      <c r="Q226" s="8" t="e">
        <f>VLOOKUP(C226,Lookups!$A$136:$C$144,3)</f>
        <v>#N/A</v>
      </c>
      <c r="R226" s="8" t="e">
        <f>VLOOKUP(C226,Lookups!$A$136:$C$144,2)</f>
        <v>#N/A</v>
      </c>
      <c r="S226" s="4" t="str">
        <f t="shared" si="22"/>
        <v>No</v>
      </c>
      <c r="T226" s="125">
        <f t="shared" si="23"/>
        <v>0</v>
      </c>
      <c r="U226" s="125">
        <f t="shared" si="24"/>
        <v>0</v>
      </c>
      <c r="V226" s="4" t="e">
        <f>IF($Q226&lt;&gt;3,VLOOKUP(F226,'Points Table A'!B$3:$F$33,5),VLOOKUP(F226,'Points Table A'!H$3:$L$33,5))</f>
        <v>#N/A</v>
      </c>
      <c r="W226" s="4" t="e">
        <f>IF($Q226&lt;&gt;3,VLOOKUP(G226,'Points Table A'!C$3:$F$33,4),VLOOKUP(G226,'Points Table A'!I$3:$L$33,4))</f>
        <v>#N/A</v>
      </c>
      <c r="X226" s="4" t="e">
        <f>IF($Q226&lt;&gt;3,VLOOKUP(H226,'Points Table A'!D$3:$F$28,3),VLOOKUP(H226,'Points Table A'!J$3:$L$33,3))</f>
        <v>#N/A</v>
      </c>
      <c r="Y226" s="4" t="e">
        <f>IF($Q226&lt;&gt;3,VLOOKUP(I226,'Points Table A'!E$3:$F$33,2),VLOOKUP(I226,'Points Table A'!K$3:$L$33,2))</f>
        <v>#N/A</v>
      </c>
      <c r="Z226" s="4" t="e">
        <f t="shared" si="25"/>
        <v>#N/A</v>
      </c>
      <c r="AA226" s="4">
        <f>IF($S226=Lookups!$B$113,VLOOKUP(L226,'Points Table C'!A$3:$E$11,5),VLOOKUP(U226,'Points Table C'!B$3:$E$11,4))</f>
        <v>0</v>
      </c>
      <c r="AB226" s="4" t="e">
        <f>IF($Q226=1,0,VLOOKUP($J226,'Points Table C'!$C$3:$E$18,3))</f>
        <v>#N/A</v>
      </c>
      <c r="AC226" s="4">
        <f>VLOOKUP($K226,'Points Table C'!$D$3:$E$18,2)</f>
        <v>0</v>
      </c>
      <c r="AD226" s="4" t="e">
        <f>IF($Z226&lt;Lookups!$C$106,($AA226+AB226+AC226),IF($AA226&gt;=Lookups!$C$120,($AA226+AB226+AC226),$AA226+$AB226))</f>
        <v>#N/A</v>
      </c>
      <c r="AF226" s="7"/>
      <c r="AG226" s="7"/>
      <c r="AH226" s="7"/>
      <c r="AI226" s="7"/>
      <c r="AJ226" s="7"/>
      <c r="AK226" s="7"/>
      <c r="AL226" s="7"/>
      <c r="AM226" s="7"/>
      <c r="AN226" s="7"/>
      <c r="AO226" s="7"/>
      <c r="AP226" s="7"/>
      <c r="AQ226" s="7"/>
      <c r="AR226" s="7"/>
      <c r="AS226" s="7"/>
      <c r="AT226" s="7"/>
      <c r="AU226" s="7"/>
      <c r="AV226" s="7"/>
      <c r="AW226" s="7"/>
      <c r="AY226" s="7"/>
      <c r="AZ226" s="7"/>
      <c r="BA226" s="7"/>
      <c r="BB226" s="7"/>
    </row>
    <row r="227" spans="2:54" x14ac:dyDescent="0.2">
      <c r="B227" s="174"/>
      <c r="C227" s="176"/>
      <c r="F227" s="5">
        <v>0</v>
      </c>
      <c r="G227" s="192">
        <v>0</v>
      </c>
      <c r="H227" s="192">
        <v>0</v>
      </c>
      <c r="I227" s="5">
        <v>0</v>
      </c>
      <c r="J227" s="192">
        <v>0</v>
      </c>
      <c r="K227" s="192">
        <v>0</v>
      </c>
      <c r="L227" s="5">
        <v>0</v>
      </c>
      <c r="M227" s="5">
        <v>0</v>
      </c>
      <c r="N227" s="4" t="e">
        <f t="shared" si="21"/>
        <v>#N/A</v>
      </c>
      <c r="O227" s="4" t="e">
        <f>IF(ROUND(10.499-(((N227-VLOOKUP($C227,Lookups!$A$55:$D$64,3))/(VLOOKUP($C227,Lookups!$A$55:$D$64,4))*VLOOKUP($C227,Lookups!$C$2:$D$11,2))),0)&lt;1,1,IF(ROUND(10.499-(((N227-VLOOKUP($C227,Lookups!$A$55:$D$64,3))/(VLOOKUP($C227,Lookups!$A$55:$D$64,4))*VLOOKUP($C227,Lookups!$C$2:$D$11,2))),0)&lt;11,ROUND(10.499-(((N227-VLOOKUP($C227,Lookups!$A$55:$D$64,3))/(VLOOKUP($C227,Lookups!$A$55:$D$64,4))*VLOOKUP($C227,Lookups!$C$2:$D$11,2))),0),10))</f>
        <v>#N/A</v>
      </c>
      <c r="P227" s="13" t="str">
        <f>IF((SUM(F227:M227)=0),"J",VLOOKUP(O227,Lookups!$A$1:$B$11,2))</f>
        <v>J</v>
      </c>
      <c r="Q227" s="8" t="e">
        <f>VLOOKUP(C227,Lookups!$A$136:$C$144,3)</f>
        <v>#N/A</v>
      </c>
      <c r="R227" s="8" t="e">
        <f>VLOOKUP(C227,Lookups!$A$136:$C$144,2)</f>
        <v>#N/A</v>
      </c>
      <c r="S227" s="4" t="str">
        <f t="shared" si="22"/>
        <v>No</v>
      </c>
      <c r="T227" s="125">
        <f t="shared" si="23"/>
        <v>0</v>
      </c>
      <c r="U227" s="125">
        <f t="shared" si="24"/>
        <v>0</v>
      </c>
      <c r="V227" s="4" t="e">
        <f>IF($Q227&lt;&gt;3,VLOOKUP(F227,'Points Table A'!B$3:$F$33,5),VLOOKUP(F227,'Points Table A'!H$3:$L$33,5))</f>
        <v>#N/A</v>
      </c>
      <c r="W227" s="4" t="e">
        <f>IF($Q227&lt;&gt;3,VLOOKUP(G227,'Points Table A'!C$3:$F$33,4),VLOOKUP(G227,'Points Table A'!I$3:$L$33,4))</f>
        <v>#N/A</v>
      </c>
      <c r="X227" s="4" t="e">
        <f>IF($Q227&lt;&gt;3,VLOOKUP(H227,'Points Table A'!D$3:$F$28,3),VLOOKUP(H227,'Points Table A'!J$3:$L$33,3))</f>
        <v>#N/A</v>
      </c>
      <c r="Y227" s="4" t="e">
        <f>IF($Q227&lt;&gt;3,VLOOKUP(I227,'Points Table A'!E$3:$F$33,2),VLOOKUP(I227,'Points Table A'!K$3:$L$33,2))</f>
        <v>#N/A</v>
      </c>
      <c r="Z227" s="4" t="e">
        <f t="shared" si="25"/>
        <v>#N/A</v>
      </c>
      <c r="AA227" s="4">
        <f>IF($S227=Lookups!$B$113,VLOOKUP(L227,'Points Table C'!A$3:$E$11,5),VLOOKUP(U227,'Points Table C'!B$3:$E$11,4))</f>
        <v>0</v>
      </c>
      <c r="AB227" s="4" t="e">
        <f>IF($Q227=1,0,VLOOKUP($J227,'Points Table C'!$C$3:$E$18,3))</f>
        <v>#N/A</v>
      </c>
      <c r="AC227" s="4">
        <f>VLOOKUP($K227,'Points Table C'!$D$3:$E$18,2)</f>
        <v>0</v>
      </c>
      <c r="AD227" s="4" t="e">
        <f>IF($Z227&lt;Lookups!$C$106,($AA227+AB227+AC227),IF($AA227&gt;=Lookups!$C$120,($AA227+AB227+AC227),$AA227+$AB227))</f>
        <v>#N/A</v>
      </c>
      <c r="AF227" s="7"/>
      <c r="AG227" s="7"/>
      <c r="AH227" s="7"/>
      <c r="AI227" s="7"/>
      <c r="AJ227" s="7"/>
      <c r="AK227" s="7"/>
      <c r="AL227" s="7"/>
      <c r="AM227" s="7"/>
      <c r="AN227" s="7"/>
      <c r="AO227" s="7"/>
      <c r="AP227" s="7"/>
      <c r="AQ227" s="7"/>
      <c r="AR227" s="7"/>
      <c r="AS227" s="7"/>
      <c r="AT227" s="7"/>
      <c r="AU227" s="7"/>
      <c r="AV227" s="7"/>
      <c r="AW227" s="7"/>
      <c r="AY227" s="7"/>
      <c r="AZ227" s="7"/>
      <c r="BA227" s="7"/>
      <c r="BB227" s="7"/>
    </row>
    <row r="228" spans="2:54" x14ac:dyDescent="0.2">
      <c r="B228" s="174"/>
      <c r="C228" s="176"/>
      <c r="F228" s="5">
        <v>0</v>
      </c>
      <c r="G228" s="192">
        <v>0</v>
      </c>
      <c r="H228" s="192">
        <v>0</v>
      </c>
      <c r="I228" s="5">
        <v>0</v>
      </c>
      <c r="J228" s="192">
        <v>0</v>
      </c>
      <c r="K228" s="192">
        <v>0</v>
      </c>
      <c r="L228" s="5">
        <v>0</v>
      </c>
      <c r="M228" s="5">
        <v>0</v>
      </c>
      <c r="N228" s="4" t="e">
        <f t="shared" si="21"/>
        <v>#N/A</v>
      </c>
      <c r="O228" s="4" t="e">
        <f>IF(ROUND(10.499-(((N228-VLOOKUP($C228,Lookups!$A$55:$D$64,3))/(VLOOKUP($C228,Lookups!$A$55:$D$64,4))*VLOOKUP($C228,Lookups!$C$2:$D$11,2))),0)&lt;1,1,IF(ROUND(10.499-(((N228-VLOOKUP($C228,Lookups!$A$55:$D$64,3))/(VLOOKUP($C228,Lookups!$A$55:$D$64,4))*VLOOKUP($C228,Lookups!$C$2:$D$11,2))),0)&lt;11,ROUND(10.499-(((N228-VLOOKUP($C228,Lookups!$A$55:$D$64,3))/(VLOOKUP($C228,Lookups!$A$55:$D$64,4))*VLOOKUP($C228,Lookups!$C$2:$D$11,2))),0),10))</f>
        <v>#N/A</v>
      </c>
      <c r="P228" s="13" t="str">
        <f>IF((SUM(F228:M228)=0),"J",VLOOKUP(O228,Lookups!$A$1:$B$11,2))</f>
        <v>J</v>
      </c>
      <c r="Q228" s="8" t="e">
        <f>VLOOKUP(C228,Lookups!$A$136:$C$144,3)</f>
        <v>#N/A</v>
      </c>
      <c r="R228" s="8" t="e">
        <f>VLOOKUP(C228,Lookups!$A$136:$C$144,2)</f>
        <v>#N/A</v>
      </c>
      <c r="S228" s="4" t="str">
        <f t="shared" si="22"/>
        <v>No</v>
      </c>
      <c r="T228" s="125">
        <f t="shared" si="23"/>
        <v>0</v>
      </c>
      <c r="U228" s="125">
        <f t="shared" si="24"/>
        <v>0</v>
      </c>
      <c r="V228" s="4" t="e">
        <f>IF($Q228&lt;&gt;3,VLOOKUP(F228,'Points Table A'!B$3:$F$33,5),VLOOKUP(F228,'Points Table A'!H$3:$L$33,5))</f>
        <v>#N/A</v>
      </c>
      <c r="W228" s="4" t="e">
        <f>IF($Q228&lt;&gt;3,VLOOKUP(G228,'Points Table A'!C$3:$F$33,4),VLOOKUP(G228,'Points Table A'!I$3:$L$33,4))</f>
        <v>#N/A</v>
      </c>
      <c r="X228" s="4" t="e">
        <f>IF($Q228&lt;&gt;3,VLOOKUP(H228,'Points Table A'!D$3:$F$28,3),VLOOKUP(H228,'Points Table A'!J$3:$L$33,3))</f>
        <v>#N/A</v>
      </c>
      <c r="Y228" s="4" t="e">
        <f>IF($Q228&lt;&gt;3,VLOOKUP(I228,'Points Table A'!E$3:$F$33,2),VLOOKUP(I228,'Points Table A'!K$3:$L$33,2))</f>
        <v>#N/A</v>
      </c>
      <c r="Z228" s="4" t="e">
        <f t="shared" si="25"/>
        <v>#N/A</v>
      </c>
      <c r="AA228" s="4">
        <f>IF($S228=Lookups!$B$113,VLOOKUP(L228,'Points Table C'!A$3:$E$11,5),VLOOKUP(U228,'Points Table C'!B$3:$E$11,4))</f>
        <v>0</v>
      </c>
      <c r="AB228" s="4" t="e">
        <f>IF($Q228=1,0,VLOOKUP($J228,'Points Table C'!$C$3:$E$18,3))</f>
        <v>#N/A</v>
      </c>
      <c r="AC228" s="4">
        <f>VLOOKUP($K228,'Points Table C'!$D$3:$E$18,2)</f>
        <v>0</v>
      </c>
      <c r="AD228" s="4" t="e">
        <f>IF($Z228&lt;Lookups!$C$106,($AA228+AB228+AC228),IF($AA228&gt;=Lookups!$C$120,($AA228+AB228+AC228),$AA228+$AB228))</f>
        <v>#N/A</v>
      </c>
      <c r="AF228" s="7"/>
      <c r="AG228" s="7"/>
      <c r="AH228" s="7"/>
      <c r="AI228" s="7"/>
      <c r="AJ228" s="7"/>
      <c r="AK228" s="7"/>
      <c r="AL228" s="7"/>
      <c r="AM228" s="7"/>
      <c r="AN228" s="7"/>
      <c r="AO228" s="7"/>
      <c r="AP228" s="7"/>
      <c r="AQ228" s="7"/>
      <c r="AR228" s="7"/>
      <c r="AS228" s="7"/>
      <c r="AT228" s="7"/>
      <c r="AU228" s="7"/>
      <c r="AV228" s="7"/>
      <c r="AW228" s="7"/>
      <c r="AY228" s="7"/>
      <c r="AZ228" s="7"/>
      <c r="BA228" s="7"/>
      <c r="BB228" s="7"/>
    </row>
    <row r="229" spans="2:54" x14ac:dyDescent="0.2">
      <c r="B229" s="174"/>
      <c r="C229" s="176"/>
      <c r="F229" s="5">
        <v>0</v>
      </c>
      <c r="G229" s="192">
        <v>0</v>
      </c>
      <c r="H229" s="192">
        <v>0</v>
      </c>
      <c r="I229" s="5">
        <v>0</v>
      </c>
      <c r="J229" s="192">
        <v>0</v>
      </c>
      <c r="K229" s="192">
        <v>0</v>
      </c>
      <c r="L229" s="5">
        <v>0</v>
      </c>
      <c r="M229" s="5">
        <v>0</v>
      </c>
      <c r="N229" s="4" t="e">
        <f t="shared" si="21"/>
        <v>#N/A</v>
      </c>
      <c r="O229" s="4" t="e">
        <f>IF(ROUND(10.499-(((N229-VLOOKUP($C229,Lookups!$A$55:$D$64,3))/(VLOOKUP($C229,Lookups!$A$55:$D$64,4))*VLOOKUP($C229,Lookups!$C$2:$D$11,2))),0)&lt;1,1,IF(ROUND(10.499-(((N229-VLOOKUP($C229,Lookups!$A$55:$D$64,3))/(VLOOKUP($C229,Lookups!$A$55:$D$64,4))*VLOOKUP($C229,Lookups!$C$2:$D$11,2))),0)&lt;11,ROUND(10.499-(((N229-VLOOKUP($C229,Lookups!$A$55:$D$64,3))/(VLOOKUP($C229,Lookups!$A$55:$D$64,4))*VLOOKUP($C229,Lookups!$C$2:$D$11,2))),0),10))</f>
        <v>#N/A</v>
      </c>
      <c r="P229" s="13" t="str">
        <f>IF((SUM(F229:M229)=0),"J",VLOOKUP(O229,Lookups!$A$1:$B$11,2))</f>
        <v>J</v>
      </c>
      <c r="Q229" s="8" t="e">
        <f>VLOOKUP(C229,Lookups!$A$136:$C$144,3)</f>
        <v>#N/A</v>
      </c>
      <c r="R229" s="8" t="e">
        <f>VLOOKUP(C229,Lookups!$A$136:$C$144,2)</f>
        <v>#N/A</v>
      </c>
      <c r="S229" s="4" t="str">
        <f t="shared" si="22"/>
        <v>No</v>
      </c>
      <c r="T229" s="125">
        <f t="shared" si="23"/>
        <v>0</v>
      </c>
      <c r="U229" s="125">
        <f t="shared" si="24"/>
        <v>0</v>
      </c>
      <c r="V229" s="4" t="e">
        <f>IF($Q229&lt;&gt;3,VLOOKUP(F229,'Points Table A'!B$3:$F$33,5),VLOOKUP(F229,'Points Table A'!H$3:$L$33,5))</f>
        <v>#N/A</v>
      </c>
      <c r="W229" s="4" t="e">
        <f>IF($Q229&lt;&gt;3,VLOOKUP(G229,'Points Table A'!C$3:$F$33,4),VLOOKUP(G229,'Points Table A'!I$3:$L$33,4))</f>
        <v>#N/A</v>
      </c>
      <c r="X229" s="4" t="e">
        <f>IF($Q229&lt;&gt;3,VLOOKUP(H229,'Points Table A'!D$3:$F$28,3),VLOOKUP(H229,'Points Table A'!J$3:$L$33,3))</f>
        <v>#N/A</v>
      </c>
      <c r="Y229" s="4" t="e">
        <f>IF($Q229&lt;&gt;3,VLOOKUP(I229,'Points Table A'!E$3:$F$33,2),VLOOKUP(I229,'Points Table A'!K$3:$L$33,2))</f>
        <v>#N/A</v>
      </c>
      <c r="Z229" s="4" t="e">
        <f t="shared" si="25"/>
        <v>#N/A</v>
      </c>
      <c r="AA229" s="4">
        <f>IF($S229=Lookups!$B$113,VLOOKUP(L229,'Points Table C'!A$3:$E$11,5),VLOOKUP(U229,'Points Table C'!B$3:$E$11,4))</f>
        <v>0</v>
      </c>
      <c r="AB229" s="4" t="e">
        <f>IF($Q229=1,0,VLOOKUP($J229,'Points Table C'!$C$3:$E$18,3))</f>
        <v>#N/A</v>
      </c>
      <c r="AC229" s="4">
        <f>VLOOKUP($K229,'Points Table C'!$D$3:$E$18,2)</f>
        <v>0</v>
      </c>
      <c r="AD229" s="4" t="e">
        <f>IF($Z229&lt;Lookups!$C$106,($AA229+AB229+AC229),IF($AA229&gt;=Lookups!$C$120,($AA229+AB229+AC229),$AA229+$AB229))</f>
        <v>#N/A</v>
      </c>
      <c r="AF229" s="7"/>
      <c r="AG229" s="7"/>
      <c r="AH229" s="7"/>
      <c r="AI229" s="7"/>
      <c r="AJ229" s="7"/>
      <c r="AK229" s="7"/>
      <c r="AL229" s="7"/>
      <c r="AM229" s="7"/>
      <c r="AN229" s="7"/>
      <c r="AO229" s="7"/>
      <c r="AP229" s="7"/>
      <c r="AQ229" s="7"/>
      <c r="AR229" s="7"/>
      <c r="AS229" s="7"/>
      <c r="AT229" s="7"/>
      <c r="AU229" s="7"/>
      <c r="AV229" s="7"/>
      <c r="AW229" s="7"/>
      <c r="AY229" s="7"/>
      <c r="AZ229" s="7"/>
      <c r="BA229" s="7"/>
      <c r="BB229" s="7"/>
    </row>
    <row r="230" spans="2:54" x14ac:dyDescent="0.2">
      <c r="B230" s="174"/>
      <c r="C230" s="176"/>
      <c r="F230" s="5">
        <v>0</v>
      </c>
      <c r="G230" s="192">
        <v>0</v>
      </c>
      <c r="H230" s="192">
        <v>0</v>
      </c>
      <c r="I230" s="5">
        <v>0</v>
      </c>
      <c r="J230" s="192">
        <v>0</v>
      </c>
      <c r="K230" s="192">
        <v>0</v>
      </c>
      <c r="L230" s="5">
        <v>0</v>
      </c>
      <c r="M230" s="5">
        <v>0</v>
      </c>
      <c r="N230" s="4" t="e">
        <f t="shared" si="21"/>
        <v>#N/A</v>
      </c>
      <c r="O230" s="4" t="e">
        <f>IF(ROUND(10.499-(((N230-VLOOKUP($C230,Lookups!$A$55:$D$64,3))/(VLOOKUP($C230,Lookups!$A$55:$D$64,4))*VLOOKUP($C230,Lookups!$C$2:$D$11,2))),0)&lt;1,1,IF(ROUND(10.499-(((N230-VLOOKUP($C230,Lookups!$A$55:$D$64,3))/(VLOOKUP($C230,Lookups!$A$55:$D$64,4))*VLOOKUP($C230,Lookups!$C$2:$D$11,2))),0)&lt;11,ROUND(10.499-(((N230-VLOOKUP($C230,Lookups!$A$55:$D$64,3))/(VLOOKUP($C230,Lookups!$A$55:$D$64,4))*VLOOKUP($C230,Lookups!$C$2:$D$11,2))),0),10))</f>
        <v>#N/A</v>
      </c>
      <c r="P230" s="13" t="str">
        <f>IF((SUM(F230:M230)=0),"J",VLOOKUP(O230,Lookups!$A$1:$B$11,2))</f>
        <v>J</v>
      </c>
      <c r="Q230" s="8" t="e">
        <f>VLOOKUP(C230,Lookups!$A$136:$C$144,3)</f>
        <v>#N/A</v>
      </c>
      <c r="R230" s="8" t="e">
        <f>VLOOKUP(C230,Lookups!$A$136:$C$144,2)</f>
        <v>#N/A</v>
      </c>
      <c r="S230" s="4" t="str">
        <f t="shared" si="22"/>
        <v>No</v>
      </c>
      <c r="T230" s="125">
        <f t="shared" si="23"/>
        <v>0</v>
      </c>
      <c r="U230" s="125">
        <f t="shared" si="24"/>
        <v>0</v>
      </c>
      <c r="V230" s="4" t="e">
        <f>IF($Q230&lt;&gt;3,VLOOKUP(F230,'Points Table A'!B$3:$F$33,5),VLOOKUP(F230,'Points Table A'!H$3:$L$33,5))</f>
        <v>#N/A</v>
      </c>
      <c r="W230" s="4" t="e">
        <f>IF($Q230&lt;&gt;3,VLOOKUP(G230,'Points Table A'!C$3:$F$33,4),VLOOKUP(G230,'Points Table A'!I$3:$L$33,4))</f>
        <v>#N/A</v>
      </c>
      <c r="X230" s="4" t="e">
        <f>IF($Q230&lt;&gt;3,VLOOKUP(H230,'Points Table A'!D$3:$F$28,3),VLOOKUP(H230,'Points Table A'!J$3:$L$33,3))</f>
        <v>#N/A</v>
      </c>
      <c r="Y230" s="4" t="e">
        <f>IF($Q230&lt;&gt;3,VLOOKUP(I230,'Points Table A'!E$3:$F$33,2),VLOOKUP(I230,'Points Table A'!K$3:$L$33,2))</f>
        <v>#N/A</v>
      </c>
      <c r="Z230" s="4" t="e">
        <f t="shared" si="25"/>
        <v>#N/A</v>
      </c>
      <c r="AA230" s="4">
        <f>IF($S230=Lookups!$B$113,VLOOKUP(L230,'Points Table C'!A$3:$E$11,5),VLOOKUP(U230,'Points Table C'!B$3:$E$11,4))</f>
        <v>0</v>
      </c>
      <c r="AB230" s="4" t="e">
        <f>IF($Q230=1,0,VLOOKUP($J230,'Points Table C'!$C$3:$E$18,3))</f>
        <v>#N/A</v>
      </c>
      <c r="AC230" s="4">
        <f>VLOOKUP($K230,'Points Table C'!$D$3:$E$18,2)</f>
        <v>0</v>
      </c>
      <c r="AD230" s="4" t="e">
        <f>IF($Z230&lt;Lookups!$C$106,($AA230+AB230+AC230),IF($AA230&gt;=Lookups!$C$120,($AA230+AB230+AC230),$AA230+$AB230))</f>
        <v>#N/A</v>
      </c>
      <c r="AF230" s="7"/>
      <c r="AG230" s="7"/>
      <c r="AH230" s="7"/>
      <c r="AI230" s="7"/>
      <c r="AJ230" s="7"/>
      <c r="AK230" s="7"/>
      <c r="AL230" s="7"/>
      <c r="AM230" s="7"/>
      <c r="AN230" s="7"/>
      <c r="AO230" s="7"/>
      <c r="AP230" s="7"/>
      <c r="AQ230" s="7"/>
      <c r="AR230" s="7"/>
      <c r="AS230" s="7"/>
      <c r="AT230" s="7"/>
      <c r="AU230" s="7"/>
      <c r="AV230" s="7"/>
      <c r="AW230" s="7"/>
      <c r="AY230" s="7"/>
      <c r="AZ230" s="7"/>
      <c r="BA230" s="7"/>
      <c r="BB230" s="7"/>
    </row>
    <row r="231" spans="2:54" x14ac:dyDescent="0.2">
      <c r="B231" s="174"/>
      <c r="C231" s="176"/>
      <c r="F231" s="5">
        <v>0</v>
      </c>
      <c r="G231" s="192">
        <v>0</v>
      </c>
      <c r="H231" s="192">
        <v>0</v>
      </c>
      <c r="I231" s="5">
        <v>0</v>
      </c>
      <c r="J231" s="192">
        <v>0</v>
      </c>
      <c r="K231" s="192">
        <v>0</v>
      </c>
      <c r="L231" s="5">
        <v>0</v>
      </c>
      <c r="M231" s="5">
        <v>0</v>
      </c>
      <c r="N231" s="4" t="e">
        <f t="shared" si="21"/>
        <v>#N/A</v>
      </c>
      <c r="O231" s="4" t="e">
        <f>IF(ROUND(10.499-(((N231-VLOOKUP($C231,Lookups!$A$55:$D$64,3))/(VLOOKUP($C231,Lookups!$A$55:$D$64,4))*VLOOKUP($C231,Lookups!$C$2:$D$11,2))),0)&lt;1,1,IF(ROUND(10.499-(((N231-VLOOKUP($C231,Lookups!$A$55:$D$64,3))/(VLOOKUP($C231,Lookups!$A$55:$D$64,4))*VLOOKUP($C231,Lookups!$C$2:$D$11,2))),0)&lt;11,ROUND(10.499-(((N231-VLOOKUP($C231,Lookups!$A$55:$D$64,3))/(VLOOKUP($C231,Lookups!$A$55:$D$64,4))*VLOOKUP($C231,Lookups!$C$2:$D$11,2))),0),10))</f>
        <v>#N/A</v>
      </c>
      <c r="P231" s="13" t="str">
        <f>IF((SUM(F231:M231)=0),"J",VLOOKUP(O231,Lookups!$A$1:$B$11,2))</f>
        <v>J</v>
      </c>
      <c r="Q231" s="8" t="e">
        <f>VLOOKUP(C231,Lookups!$A$136:$C$144,3)</f>
        <v>#N/A</v>
      </c>
      <c r="R231" s="8" t="e">
        <f>VLOOKUP(C231,Lookups!$A$136:$C$144,2)</f>
        <v>#N/A</v>
      </c>
      <c r="S231" s="4" t="str">
        <f t="shared" si="22"/>
        <v>No</v>
      </c>
      <c r="T231" s="125">
        <f t="shared" si="23"/>
        <v>0</v>
      </c>
      <c r="U231" s="125">
        <f t="shared" si="24"/>
        <v>0</v>
      </c>
      <c r="V231" s="4" t="e">
        <f>IF($Q231&lt;&gt;3,VLOOKUP(F231,'Points Table A'!B$3:$F$33,5),VLOOKUP(F231,'Points Table A'!H$3:$L$33,5))</f>
        <v>#N/A</v>
      </c>
      <c r="W231" s="4" t="e">
        <f>IF($Q231&lt;&gt;3,VLOOKUP(G231,'Points Table A'!C$3:$F$33,4),VLOOKUP(G231,'Points Table A'!I$3:$L$33,4))</f>
        <v>#N/A</v>
      </c>
      <c r="X231" s="4" t="e">
        <f>IF($Q231&lt;&gt;3,VLOOKUP(H231,'Points Table A'!D$3:$F$28,3),VLOOKUP(H231,'Points Table A'!J$3:$L$33,3))</f>
        <v>#N/A</v>
      </c>
      <c r="Y231" s="4" t="e">
        <f>IF($Q231&lt;&gt;3,VLOOKUP(I231,'Points Table A'!E$3:$F$33,2),VLOOKUP(I231,'Points Table A'!K$3:$L$33,2))</f>
        <v>#N/A</v>
      </c>
      <c r="Z231" s="4" t="e">
        <f t="shared" si="25"/>
        <v>#N/A</v>
      </c>
      <c r="AA231" s="4">
        <f>IF($S231=Lookups!$B$113,VLOOKUP(L231,'Points Table C'!A$3:$E$11,5),VLOOKUP(U231,'Points Table C'!B$3:$E$11,4))</f>
        <v>0</v>
      </c>
      <c r="AB231" s="4" t="e">
        <f>IF($Q231=1,0,VLOOKUP($J231,'Points Table C'!$C$3:$E$18,3))</f>
        <v>#N/A</v>
      </c>
      <c r="AC231" s="4">
        <f>VLOOKUP($K231,'Points Table C'!$D$3:$E$18,2)</f>
        <v>0</v>
      </c>
      <c r="AD231" s="4" t="e">
        <f>IF($Z231&lt;Lookups!$C$106,($AA231+AB231+AC231),IF($AA231&gt;=Lookups!$C$120,($AA231+AB231+AC231),$AA231+$AB231))</f>
        <v>#N/A</v>
      </c>
      <c r="AF231" s="7"/>
      <c r="AG231" s="7"/>
      <c r="AH231" s="7"/>
      <c r="AI231" s="7"/>
      <c r="AJ231" s="7"/>
      <c r="AK231" s="7"/>
      <c r="AL231" s="7"/>
      <c r="AM231" s="7"/>
      <c r="AN231" s="7"/>
      <c r="AO231" s="7"/>
      <c r="AP231" s="7"/>
      <c r="AQ231" s="7"/>
      <c r="AR231" s="7"/>
      <c r="AS231" s="7"/>
      <c r="AT231" s="7"/>
      <c r="AU231" s="7"/>
      <c r="AV231" s="7"/>
      <c r="AW231" s="7"/>
      <c r="AY231" s="7"/>
      <c r="AZ231" s="7"/>
      <c r="BA231" s="7"/>
      <c r="BB231" s="7"/>
    </row>
    <row r="232" spans="2:54" x14ac:dyDescent="0.2">
      <c r="B232" s="174"/>
      <c r="C232" s="176"/>
      <c r="F232" s="5">
        <v>0</v>
      </c>
      <c r="G232" s="192">
        <v>0</v>
      </c>
      <c r="H232" s="192">
        <v>0</v>
      </c>
      <c r="I232" s="5">
        <v>0</v>
      </c>
      <c r="J232" s="192">
        <v>0</v>
      </c>
      <c r="K232" s="192">
        <v>0</v>
      </c>
      <c r="L232" s="5">
        <v>0</v>
      </c>
      <c r="M232" s="5">
        <v>0</v>
      </c>
      <c r="N232" s="4" t="e">
        <f t="shared" si="21"/>
        <v>#N/A</v>
      </c>
      <c r="O232" s="4" t="e">
        <f>IF(ROUND(10.499-(((N232-VLOOKUP($C232,Lookups!$A$55:$D$64,3))/(VLOOKUP($C232,Lookups!$A$55:$D$64,4))*VLOOKUP($C232,Lookups!$C$2:$D$11,2))),0)&lt;1,1,IF(ROUND(10.499-(((N232-VLOOKUP($C232,Lookups!$A$55:$D$64,3))/(VLOOKUP($C232,Lookups!$A$55:$D$64,4))*VLOOKUP($C232,Lookups!$C$2:$D$11,2))),0)&lt;11,ROUND(10.499-(((N232-VLOOKUP($C232,Lookups!$A$55:$D$64,3))/(VLOOKUP($C232,Lookups!$A$55:$D$64,4))*VLOOKUP($C232,Lookups!$C$2:$D$11,2))),0),10))</f>
        <v>#N/A</v>
      </c>
      <c r="P232" s="13" t="str">
        <f>IF((SUM(F232:M232)=0),"J",VLOOKUP(O232,Lookups!$A$1:$B$11,2))</f>
        <v>J</v>
      </c>
      <c r="Q232" s="8" t="e">
        <f>VLOOKUP(C232,Lookups!$A$136:$C$144,3)</f>
        <v>#N/A</v>
      </c>
      <c r="R232" s="8" t="e">
        <f>VLOOKUP(C232,Lookups!$A$136:$C$144,2)</f>
        <v>#N/A</v>
      </c>
      <c r="S232" s="4" t="str">
        <f t="shared" si="22"/>
        <v>No</v>
      </c>
      <c r="T232" s="125">
        <f t="shared" si="23"/>
        <v>0</v>
      </c>
      <c r="U232" s="125">
        <f t="shared" si="24"/>
        <v>0</v>
      </c>
      <c r="V232" s="4" t="e">
        <f>IF($Q232&lt;&gt;3,VLOOKUP(F232,'Points Table A'!B$3:$F$33,5),VLOOKUP(F232,'Points Table A'!H$3:$L$33,5))</f>
        <v>#N/A</v>
      </c>
      <c r="W232" s="4" t="e">
        <f>IF($Q232&lt;&gt;3,VLOOKUP(G232,'Points Table A'!C$3:$F$33,4),VLOOKUP(G232,'Points Table A'!I$3:$L$33,4))</f>
        <v>#N/A</v>
      </c>
      <c r="X232" s="4" t="e">
        <f>IF($Q232&lt;&gt;3,VLOOKUP(H232,'Points Table A'!D$3:$F$28,3),VLOOKUP(H232,'Points Table A'!J$3:$L$33,3))</f>
        <v>#N/A</v>
      </c>
      <c r="Y232" s="4" t="e">
        <f>IF($Q232&lt;&gt;3,VLOOKUP(I232,'Points Table A'!E$3:$F$33,2),VLOOKUP(I232,'Points Table A'!K$3:$L$33,2))</f>
        <v>#N/A</v>
      </c>
      <c r="Z232" s="4" t="e">
        <f t="shared" si="25"/>
        <v>#N/A</v>
      </c>
      <c r="AA232" s="4">
        <f>IF($S232=Lookups!$B$113,VLOOKUP(L232,'Points Table C'!A$3:$E$11,5),VLOOKUP(U232,'Points Table C'!B$3:$E$11,4))</f>
        <v>0</v>
      </c>
      <c r="AB232" s="4" t="e">
        <f>IF($Q232=1,0,VLOOKUP($J232,'Points Table C'!$C$3:$E$18,3))</f>
        <v>#N/A</v>
      </c>
      <c r="AC232" s="4">
        <f>VLOOKUP($K232,'Points Table C'!$D$3:$E$18,2)</f>
        <v>0</v>
      </c>
      <c r="AD232" s="4" t="e">
        <f>IF($Z232&lt;Lookups!$C$106,($AA232+AB232+AC232),IF($AA232&gt;=Lookups!$C$120,($AA232+AB232+AC232),$AA232+$AB232))</f>
        <v>#N/A</v>
      </c>
      <c r="AF232" s="7"/>
      <c r="AG232" s="7"/>
      <c r="AH232" s="7"/>
      <c r="AI232" s="7"/>
      <c r="AJ232" s="7"/>
      <c r="AK232" s="7"/>
      <c r="AL232" s="7"/>
      <c r="AM232" s="7"/>
      <c r="AN232" s="7"/>
      <c r="AO232" s="7"/>
      <c r="AP232" s="7"/>
      <c r="AQ232" s="7"/>
      <c r="AR232" s="7"/>
      <c r="AS232" s="7"/>
      <c r="AT232" s="7"/>
      <c r="AU232" s="7"/>
      <c r="AV232" s="7"/>
      <c r="AW232" s="7"/>
      <c r="AY232" s="7"/>
      <c r="AZ232" s="7"/>
      <c r="BA232" s="7"/>
      <c r="BB232" s="7"/>
    </row>
    <row r="233" spans="2:54" x14ac:dyDescent="0.2">
      <c r="B233" s="174"/>
      <c r="C233" s="176"/>
      <c r="F233" s="5">
        <v>0</v>
      </c>
      <c r="G233" s="192">
        <v>0</v>
      </c>
      <c r="H233" s="192">
        <v>0</v>
      </c>
      <c r="I233" s="5">
        <v>0</v>
      </c>
      <c r="J233" s="192">
        <v>0</v>
      </c>
      <c r="K233" s="192">
        <v>0</v>
      </c>
      <c r="L233" s="5">
        <v>0</v>
      </c>
      <c r="M233" s="5">
        <v>0</v>
      </c>
      <c r="N233" s="4" t="e">
        <f t="shared" si="21"/>
        <v>#N/A</v>
      </c>
      <c r="O233" s="4" t="e">
        <f>IF(ROUND(10.499-(((N233-VLOOKUP($C233,Lookups!$A$55:$D$64,3))/(VLOOKUP($C233,Lookups!$A$55:$D$64,4))*VLOOKUP($C233,Lookups!$C$2:$D$11,2))),0)&lt;1,1,IF(ROUND(10.499-(((N233-VLOOKUP($C233,Lookups!$A$55:$D$64,3))/(VLOOKUP($C233,Lookups!$A$55:$D$64,4))*VLOOKUP($C233,Lookups!$C$2:$D$11,2))),0)&lt;11,ROUND(10.499-(((N233-VLOOKUP($C233,Lookups!$A$55:$D$64,3))/(VLOOKUP($C233,Lookups!$A$55:$D$64,4))*VLOOKUP($C233,Lookups!$C$2:$D$11,2))),0),10))</f>
        <v>#N/A</v>
      </c>
      <c r="P233" s="13" t="str">
        <f>IF((SUM(F233:M233)=0),"J",VLOOKUP(O233,Lookups!$A$1:$B$11,2))</f>
        <v>J</v>
      </c>
      <c r="Q233" s="8" t="e">
        <f>VLOOKUP(C233,Lookups!$A$136:$C$144,3)</f>
        <v>#N/A</v>
      </c>
      <c r="R233" s="8" t="e">
        <f>VLOOKUP(C233,Lookups!$A$136:$C$144,2)</f>
        <v>#N/A</v>
      </c>
      <c r="S233" s="4" t="str">
        <f t="shared" si="22"/>
        <v>No</v>
      </c>
      <c r="T233" s="125">
        <f t="shared" si="23"/>
        <v>0</v>
      </c>
      <c r="U233" s="125">
        <f t="shared" si="24"/>
        <v>0</v>
      </c>
      <c r="V233" s="4" t="e">
        <f>IF($Q233&lt;&gt;3,VLOOKUP(F233,'Points Table A'!B$3:$F$33,5),VLOOKUP(F233,'Points Table A'!H$3:$L$33,5))</f>
        <v>#N/A</v>
      </c>
      <c r="W233" s="4" t="e">
        <f>IF($Q233&lt;&gt;3,VLOOKUP(G233,'Points Table A'!C$3:$F$33,4),VLOOKUP(G233,'Points Table A'!I$3:$L$33,4))</f>
        <v>#N/A</v>
      </c>
      <c r="X233" s="4" t="e">
        <f>IF($Q233&lt;&gt;3,VLOOKUP(H233,'Points Table A'!D$3:$F$28,3),VLOOKUP(H233,'Points Table A'!J$3:$L$33,3))</f>
        <v>#N/A</v>
      </c>
      <c r="Y233" s="4" t="e">
        <f>IF($Q233&lt;&gt;3,VLOOKUP(I233,'Points Table A'!E$3:$F$33,2),VLOOKUP(I233,'Points Table A'!K$3:$L$33,2))</f>
        <v>#N/A</v>
      </c>
      <c r="Z233" s="4" t="e">
        <f t="shared" si="25"/>
        <v>#N/A</v>
      </c>
      <c r="AA233" s="4">
        <f>IF($S233=Lookups!$B$113,VLOOKUP(L233,'Points Table C'!A$3:$E$11,5),VLOOKUP(U233,'Points Table C'!B$3:$E$11,4))</f>
        <v>0</v>
      </c>
      <c r="AB233" s="4" t="e">
        <f>IF($Q233=1,0,VLOOKUP($J233,'Points Table C'!$C$3:$E$18,3))</f>
        <v>#N/A</v>
      </c>
      <c r="AC233" s="4">
        <f>VLOOKUP($K233,'Points Table C'!$D$3:$E$18,2)</f>
        <v>0</v>
      </c>
      <c r="AD233" s="4" t="e">
        <f>IF($Z233&lt;Lookups!$C$106,($AA233+AB233+AC233),IF($AA233&gt;=Lookups!$C$120,($AA233+AB233+AC233),$AA233+$AB233))</f>
        <v>#N/A</v>
      </c>
      <c r="AF233" s="7"/>
      <c r="AG233" s="7"/>
      <c r="AH233" s="7"/>
      <c r="AI233" s="7"/>
      <c r="AJ233" s="7"/>
      <c r="AK233" s="7"/>
      <c r="AL233" s="7"/>
      <c r="AM233" s="7"/>
      <c r="AN233" s="7"/>
      <c r="AO233" s="7"/>
      <c r="AP233" s="7"/>
      <c r="AQ233" s="7"/>
      <c r="AR233" s="7"/>
      <c r="AS233" s="7"/>
      <c r="AT233" s="7"/>
      <c r="AU233" s="7"/>
      <c r="AV233" s="7"/>
      <c r="AW233" s="7"/>
      <c r="AY233" s="7"/>
      <c r="AZ233" s="7"/>
      <c r="BA233" s="7"/>
      <c r="BB233" s="7"/>
    </row>
    <row r="234" spans="2:54" x14ac:dyDescent="0.2">
      <c r="B234" s="174"/>
      <c r="C234" s="176"/>
      <c r="F234" s="5">
        <v>0</v>
      </c>
      <c r="G234" s="192">
        <v>0</v>
      </c>
      <c r="H234" s="192">
        <v>0</v>
      </c>
      <c r="I234" s="5">
        <v>0</v>
      </c>
      <c r="J234" s="192">
        <v>0</v>
      </c>
      <c r="K234" s="192">
        <v>0</v>
      </c>
      <c r="L234" s="5">
        <v>0</v>
      </c>
      <c r="M234" s="5">
        <v>0</v>
      </c>
      <c r="N234" s="4" t="e">
        <f t="shared" si="21"/>
        <v>#N/A</v>
      </c>
      <c r="O234" s="4" t="e">
        <f>IF(ROUND(10.499-(((N234-VLOOKUP($C234,Lookups!$A$55:$D$64,3))/(VLOOKUP($C234,Lookups!$A$55:$D$64,4))*VLOOKUP($C234,Lookups!$C$2:$D$11,2))),0)&lt;1,1,IF(ROUND(10.499-(((N234-VLOOKUP($C234,Lookups!$A$55:$D$64,3))/(VLOOKUP($C234,Lookups!$A$55:$D$64,4))*VLOOKUP($C234,Lookups!$C$2:$D$11,2))),0)&lt;11,ROUND(10.499-(((N234-VLOOKUP($C234,Lookups!$A$55:$D$64,3))/(VLOOKUP($C234,Lookups!$A$55:$D$64,4))*VLOOKUP($C234,Lookups!$C$2:$D$11,2))),0),10))</f>
        <v>#N/A</v>
      </c>
      <c r="P234" s="13" t="str">
        <f>IF((SUM(F234:M234)=0),"J",VLOOKUP(O234,Lookups!$A$1:$B$11,2))</f>
        <v>J</v>
      </c>
      <c r="Q234" s="8" t="e">
        <f>VLOOKUP(C234,Lookups!$A$136:$C$144,3)</f>
        <v>#N/A</v>
      </c>
      <c r="R234" s="8" t="e">
        <f>VLOOKUP(C234,Lookups!$A$136:$C$144,2)</f>
        <v>#N/A</v>
      </c>
      <c r="S234" s="4" t="str">
        <f t="shared" si="22"/>
        <v>No</v>
      </c>
      <c r="T234" s="125">
        <f t="shared" si="23"/>
        <v>0</v>
      </c>
      <c r="U234" s="125">
        <f t="shared" si="24"/>
        <v>0</v>
      </c>
      <c r="V234" s="4" t="e">
        <f>IF($Q234&lt;&gt;3,VLOOKUP(F234,'Points Table A'!B$3:$F$33,5),VLOOKUP(F234,'Points Table A'!H$3:$L$33,5))</f>
        <v>#N/A</v>
      </c>
      <c r="W234" s="4" t="e">
        <f>IF($Q234&lt;&gt;3,VLOOKUP(G234,'Points Table A'!C$3:$F$33,4),VLOOKUP(G234,'Points Table A'!I$3:$L$33,4))</f>
        <v>#N/A</v>
      </c>
      <c r="X234" s="4" t="e">
        <f>IF($Q234&lt;&gt;3,VLOOKUP(H234,'Points Table A'!D$3:$F$28,3),VLOOKUP(H234,'Points Table A'!J$3:$L$33,3))</f>
        <v>#N/A</v>
      </c>
      <c r="Y234" s="4" t="e">
        <f>IF($Q234&lt;&gt;3,VLOOKUP(I234,'Points Table A'!E$3:$F$33,2),VLOOKUP(I234,'Points Table A'!K$3:$L$33,2))</f>
        <v>#N/A</v>
      </c>
      <c r="Z234" s="4" t="e">
        <f t="shared" si="25"/>
        <v>#N/A</v>
      </c>
      <c r="AA234" s="4">
        <f>IF($S234=Lookups!$B$113,VLOOKUP(L234,'Points Table C'!A$3:$E$11,5),VLOOKUP(U234,'Points Table C'!B$3:$E$11,4))</f>
        <v>0</v>
      </c>
      <c r="AB234" s="4" t="e">
        <f>IF($Q234=1,0,VLOOKUP($J234,'Points Table C'!$C$3:$E$18,3))</f>
        <v>#N/A</v>
      </c>
      <c r="AC234" s="4">
        <f>VLOOKUP($K234,'Points Table C'!$D$3:$E$18,2)</f>
        <v>0</v>
      </c>
      <c r="AD234" s="4" t="e">
        <f>IF($Z234&lt;Lookups!$C$106,($AA234+AB234+AC234),IF($AA234&gt;=Lookups!$C$120,($AA234+AB234+AC234),$AA234+$AB234))</f>
        <v>#N/A</v>
      </c>
      <c r="AF234" s="7"/>
      <c r="AG234" s="7"/>
      <c r="AH234" s="7"/>
      <c r="AI234" s="7"/>
      <c r="AJ234" s="7"/>
      <c r="AK234" s="7"/>
      <c r="AL234" s="7"/>
      <c r="AM234" s="7"/>
      <c r="AN234" s="7"/>
      <c r="AO234" s="7"/>
      <c r="AP234" s="7"/>
      <c r="AQ234" s="7"/>
      <c r="AR234" s="7"/>
      <c r="AS234" s="7"/>
      <c r="AT234" s="7"/>
      <c r="AU234" s="7"/>
      <c r="AV234" s="7"/>
      <c r="AW234" s="7"/>
      <c r="AY234" s="7"/>
      <c r="AZ234" s="7"/>
      <c r="BA234" s="7"/>
      <c r="BB234" s="7"/>
    </row>
    <row r="235" spans="2:54" x14ac:dyDescent="0.2">
      <c r="B235" s="174"/>
      <c r="C235" s="176"/>
      <c r="F235" s="5">
        <v>0</v>
      </c>
      <c r="G235" s="192">
        <v>0</v>
      </c>
      <c r="H235" s="192">
        <v>0</v>
      </c>
      <c r="I235" s="5">
        <v>0</v>
      </c>
      <c r="J235" s="192">
        <v>0</v>
      </c>
      <c r="K235" s="192">
        <v>0</v>
      </c>
      <c r="L235" s="5">
        <v>0</v>
      </c>
      <c r="M235" s="5">
        <v>0</v>
      </c>
      <c r="N235" s="4" t="e">
        <f t="shared" si="21"/>
        <v>#N/A</v>
      </c>
      <c r="O235" s="4" t="e">
        <f>IF(ROUND(10.499-(((N235-VLOOKUP($C235,Lookups!$A$55:$D$64,3))/(VLOOKUP($C235,Lookups!$A$55:$D$64,4))*VLOOKUP($C235,Lookups!$C$2:$D$11,2))),0)&lt;1,1,IF(ROUND(10.499-(((N235-VLOOKUP($C235,Lookups!$A$55:$D$64,3))/(VLOOKUP($C235,Lookups!$A$55:$D$64,4))*VLOOKUP($C235,Lookups!$C$2:$D$11,2))),0)&lt;11,ROUND(10.499-(((N235-VLOOKUP($C235,Lookups!$A$55:$D$64,3))/(VLOOKUP($C235,Lookups!$A$55:$D$64,4))*VLOOKUP($C235,Lookups!$C$2:$D$11,2))),0),10))</f>
        <v>#N/A</v>
      </c>
      <c r="P235" s="13" t="str">
        <f>IF((SUM(F235:M235)=0),"J",VLOOKUP(O235,Lookups!$A$1:$B$11,2))</f>
        <v>J</v>
      </c>
      <c r="Q235" s="8" t="e">
        <f>VLOOKUP(C235,Lookups!$A$136:$C$144,3)</f>
        <v>#N/A</v>
      </c>
      <c r="R235" s="8" t="e">
        <f>VLOOKUP(C235,Lookups!$A$136:$C$144,2)</f>
        <v>#N/A</v>
      </c>
      <c r="S235" s="4" t="str">
        <f t="shared" si="22"/>
        <v>No</v>
      </c>
      <c r="T235" s="125">
        <f t="shared" si="23"/>
        <v>0</v>
      </c>
      <c r="U235" s="125">
        <f t="shared" si="24"/>
        <v>0</v>
      </c>
      <c r="V235" s="4" t="e">
        <f>IF($Q235&lt;&gt;3,VLOOKUP(F235,'Points Table A'!B$3:$F$33,5),VLOOKUP(F235,'Points Table A'!H$3:$L$33,5))</f>
        <v>#N/A</v>
      </c>
      <c r="W235" s="4" t="e">
        <f>IF($Q235&lt;&gt;3,VLOOKUP(G235,'Points Table A'!C$3:$F$33,4),VLOOKUP(G235,'Points Table A'!I$3:$L$33,4))</f>
        <v>#N/A</v>
      </c>
      <c r="X235" s="4" t="e">
        <f>IF($Q235&lt;&gt;3,VLOOKUP(H235,'Points Table A'!D$3:$F$28,3),VLOOKUP(H235,'Points Table A'!J$3:$L$33,3))</f>
        <v>#N/A</v>
      </c>
      <c r="Y235" s="4" t="e">
        <f>IF($Q235&lt;&gt;3,VLOOKUP(I235,'Points Table A'!E$3:$F$33,2),VLOOKUP(I235,'Points Table A'!K$3:$L$33,2))</f>
        <v>#N/A</v>
      </c>
      <c r="Z235" s="4" t="e">
        <f t="shared" si="25"/>
        <v>#N/A</v>
      </c>
      <c r="AA235" s="4">
        <f>IF($S235=Lookups!$B$113,VLOOKUP(L235,'Points Table C'!A$3:$E$11,5),VLOOKUP(U235,'Points Table C'!B$3:$E$11,4))</f>
        <v>0</v>
      </c>
      <c r="AB235" s="4" t="e">
        <f>IF($Q235=1,0,VLOOKUP($J235,'Points Table C'!$C$3:$E$18,3))</f>
        <v>#N/A</v>
      </c>
      <c r="AC235" s="4">
        <f>VLOOKUP($K235,'Points Table C'!$D$3:$E$18,2)</f>
        <v>0</v>
      </c>
      <c r="AD235" s="4" t="e">
        <f>IF($Z235&lt;Lookups!$C$106,($AA235+AB235+AC235),IF($AA235&gt;=Lookups!$C$120,($AA235+AB235+AC235),$AA235+$AB235))</f>
        <v>#N/A</v>
      </c>
      <c r="AF235" s="7"/>
      <c r="AG235" s="7"/>
      <c r="AH235" s="7"/>
      <c r="AI235" s="7"/>
      <c r="AJ235" s="7"/>
      <c r="AK235" s="7"/>
      <c r="AL235" s="7"/>
      <c r="AM235" s="7"/>
      <c r="AN235" s="7"/>
      <c r="AO235" s="7"/>
      <c r="AP235" s="7"/>
      <c r="AQ235" s="7"/>
      <c r="AR235" s="7"/>
      <c r="AS235" s="7"/>
      <c r="AT235" s="7"/>
      <c r="AU235" s="7"/>
      <c r="AV235" s="7"/>
      <c r="AW235" s="7"/>
      <c r="AY235" s="7"/>
      <c r="AZ235" s="7"/>
      <c r="BA235" s="7"/>
      <c r="BB235" s="7"/>
    </row>
    <row r="236" spans="2:54" x14ac:dyDescent="0.2">
      <c r="B236" s="174"/>
      <c r="C236" s="176"/>
      <c r="F236" s="5">
        <v>0</v>
      </c>
      <c r="G236" s="192">
        <v>0</v>
      </c>
      <c r="H236" s="192">
        <v>0</v>
      </c>
      <c r="I236" s="5">
        <v>0</v>
      </c>
      <c r="J236" s="192">
        <v>0</v>
      </c>
      <c r="K236" s="192">
        <v>0</v>
      </c>
      <c r="L236" s="5">
        <v>0</v>
      </c>
      <c r="M236" s="5">
        <v>0</v>
      </c>
      <c r="N236" s="4" t="e">
        <f t="shared" si="21"/>
        <v>#N/A</v>
      </c>
      <c r="O236" s="4" t="e">
        <f>IF(ROUND(10.499-(((N236-VLOOKUP($C236,Lookups!$A$55:$D$64,3))/(VLOOKUP($C236,Lookups!$A$55:$D$64,4))*VLOOKUP($C236,Lookups!$C$2:$D$11,2))),0)&lt;1,1,IF(ROUND(10.499-(((N236-VLOOKUP($C236,Lookups!$A$55:$D$64,3))/(VLOOKUP($C236,Lookups!$A$55:$D$64,4))*VLOOKUP($C236,Lookups!$C$2:$D$11,2))),0)&lt;11,ROUND(10.499-(((N236-VLOOKUP($C236,Lookups!$A$55:$D$64,3))/(VLOOKUP($C236,Lookups!$A$55:$D$64,4))*VLOOKUP($C236,Lookups!$C$2:$D$11,2))),0),10))</f>
        <v>#N/A</v>
      </c>
      <c r="P236" s="13" t="str">
        <f>IF((SUM(F236:M236)=0),"J",VLOOKUP(O236,Lookups!$A$1:$B$11,2))</f>
        <v>J</v>
      </c>
      <c r="Q236" s="8" t="e">
        <f>VLOOKUP(C236,Lookups!$A$136:$C$144,3)</f>
        <v>#N/A</v>
      </c>
      <c r="R236" s="8" t="e">
        <f>VLOOKUP(C236,Lookups!$A$136:$C$144,2)</f>
        <v>#N/A</v>
      </c>
      <c r="S236" s="4" t="str">
        <f t="shared" si="22"/>
        <v>No</v>
      </c>
      <c r="T236" s="125">
        <f t="shared" si="23"/>
        <v>0</v>
      </c>
      <c r="U236" s="125">
        <f t="shared" si="24"/>
        <v>0</v>
      </c>
      <c r="V236" s="4" t="e">
        <f>IF($Q236&lt;&gt;3,VLOOKUP(F236,'Points Table A'!B$3:$F$33,5),VLOOKUP(F236,'Points Table A'!H$3:$L$33,5))</f>
        <v>#N/A</v>
      </c>
      <c r="W236" s="4" t="e">
        <f>IF($Q236&lt;&gt;3,VLOOKUP(G236,'Points Table A'!C$3:$F$33,4),VLOOKUP(G236,'Points Table A'!I$3:$L$33,4))</f>
        <v>#N/A</v>
      </c>
      <c r="X236" s="4" t="e">
        <f>IF($Q236&lt;&gt;3,VLOOKUP(H236,'Points Table A'!D$3:$F$28,3),VLOOKUP(H236,'Points Table A'!J$3:$L$33,3))</f>
        <v>#N/A</v>
      </c>
      <c r="Y236" s="4" t="e">
        <f>IF($Q236&lt;&gt;3,VLOOKUP(I236,'Points Table A'!E$3:$F$33,2),VLOOKUP(I236,'Points Table A'!K$3:$L$33,2))</f>
        <v>#N/A</v>
      </c>
      <c r="Z236" s="4" t="e">
        <f t="shared" si="25"/>
        <v>#N/A</v>
      </c>
      <c r="AA236" s="4">
        <f>IF($S236=Lookups!$B$113,VLOOKUP(L236,'Points Table C'!A$3:$E$11,5),VLOOKUP(U236,'Points Table C'!B$3:$E$11,4))</f>
        <v>0</v>
      </c>
      <c r="AB236" s="4" t="e">
        <f>IF($Q236=1,0,VLOOKUP($J236,'Points Table C'!$C$3:$E$18,3))</f>
        <v>#N/A</v>
      </c>
      <c r="AC236" s="4">
        <f>VLOOKUP($K236,'Points Table C'!$D$3:$E$18,2)</f>
        <v>0</v>
      </c>
      <c r="AD236" s="4" t="e">
        <f>IF($Z236&lt;Lookups!$C$106,($AA236+AB236+AC236),IF($AA236&gt;=Lookups!$C$120,($AA236+AB236+AC236),$AA236+$AB236))</f>
        <v>#N/A</v>
      </c>
      <c r="AF236" s="7"/>
      <c r="AG236" s="7"/>
      <c r="AH236" s="7"/>
      <c r="AI236" s="7"/>
      <c r="AJ236" s="7"/>
      <c r="AK236" s="7"/>
      <c r="AL236" s="7"/>
      <c r="AM236" s="7"/>
      <c r="AN236" s="7"/>
      <c r="AO236" s="7"/>
      <c r="AP236" s="7"/>
      <c r="AQ236" s="7"/>
      <c r="AR236" s="7"/>
      <c r="AS236" s="7"/>
      <c r="AT236" s="7"/>
      <c r="AU236" s="7"/>
      <c r="AV236" s="7"/>
      <c r="AW236" s="7"/>
      <c r="AY236" s="7"/>
      <c r="AZ236" s="7"/>
      <c r="BA236" s="7"/>
      <c r="BB236" s="7"/>
    </row>
    <row r="237" spans="2:54" x14ac:dyDescent="0.2">
      <c r="B237" s="174"/>
      <c r="C237" s="176"/>
      <c r="F237" s="5">
        <v>0</v>
      </c>
      <c r="G237" s="192">
        <v>0</v>
      </c>
      <c r="H237" s="192">
        <v>0</v>
      </c>
      <c r="I237" s="5">
        <v>0</v>
      </c>
      <c r="J237" s="192">
        <v>0</v>
      </c>
      <c r="K237" s="192">
        <v>0</v>
      </c>
      <c r="L237" s="5">
        <v>0</v>
      </c>
      <c r="M237" s="5">
        <v>0</v>
      </c>
      <c r="N237" s="4" t="e">
        <f t="shared" si="21"/>
        <v>#N/A</v>
      </c>
      <c r="O237" s="4" t="e">
        <f>IF(ROUND(10.499-(((N237-VLOOKUP($C237,Lookups!$A$55:$D$64,3))/(VLOOKUP($C237,Lookups!$A$55:$D$64,4))*VLOOKUP($C237,Lookups!$C$2:$D$11,2))),0)&lt;1,1,IF(ROUND(10.499-(((N237-VLOOKUP($C237,Lookups!$A$55:$D$64,3))/(VLOOKUP($C237,Lookups!$A$55:$D$64,4))*VLOOKUP($C237,Lookups!$C$2:$D$11,2))),0)&lt;11,ROUND(10.499-(((N237-VLOOKUP($C237,Lookups!$A$55:$D$64,3))/(VLOOKUP($C237,Lookups!$A$55:$D$64,4))*VLOOKUP($C237,Lookups!$C$2:$D$11,2))),0),10))</f>
        <v>#N/A</v>
      </c>
      <c r="P237" s="13" t="str">
        <f>IF((SUM(F237:M237)=0),"J",VLOOKUP(O237,Lookups!$A$1:$B$11,2))</f>
        <v>J</v>
      </c>
      <c r="Q237" s="8" t="e">
        <f>VLOOKUP(C237,Lookups!$A$136:$C$144,3)</f>
        <v>#N/A</v>
      </c>
      <c r="R237" s="8" t="e">
        <f>VLOOKUP(C237,Lookups!$A$136:$C$144,2)</f>
        <v>#N/A</v>
      </c>
      <c r="S237" s="4" t="str">
        <f t="shared" si="22"/>
        <v>No</v>
      </c>
      <c r="T237" s="125">
        <f t="shared" si="23"/>
        <v>0</v>
      </c>
      <c r="U237" s="125">
        <f t="shared" si="24"/>
        <v>0</v>
      </c>
      <c r="V237" s="4" t="e">
        <f>IF($Q237&lt;&gt;3,VLOOKUP(F237,'Points Table A'!B$3:$F$33,5),VLOOKUP(F237,'Points Table A'!H$3:$L$33,5))</f>
        <v>#N/A</v>
      </c>
      <c r="W237" s="4" t="e">
        <f>IF($Q237&lt;&gt;3,VLOOKUP(G237,'Points Table A'!C$3:$F$33,4),VLOOKUP(G237,'Points Table A'!I$3:$L$33,4))</f>
        <v>#N/A</v>
      </c>
      <c r="X237" s="4" t="e">
        <f>IF($Q237&lt;&gt;3,VLOOKUP(H237,'Points Table A'!D$3:$F$28,3),VLOOKUP(H237,'Points Table A'!J$3:$L$33,3))</f>
        <v>#N/A</v>
      </c>
      <c r="Y237" s="4" t="e">
        <f>IF($Q237&lt;&gt;3,VLOOKUP(I237,'Points Table A'!E$3:$F$33,2),VLOOKUP(I237,'Points Table A'!K$3:$L$33,2))</f>
        <v>#N/A</v>
      </c>
      <c r="Z237" s="4" t="e">
        <f t="shared" si="25"/>
        <v>#N/A</v>
      </c>
      <c r="AA237" s="4">
        <f>IF($S237=Lookups!$B$113,VLOOKUP(L237,'Points Table C'!A$3:$E$11,5),VLOOKUP(U237,'Points Table C'!B$3:$E$11,4))</f>
        <v>0</v>
      </c>
      <c r="AB237" s="4" t="e">
        <f>IF($Q237=1,0,VLOOKUP($J237,'Points Table C'!$C$3:$E$18,3))</f>
        <v>#N/A</v>
      </c>
      <c r="AC237" s="4">
        <f>VLOOKUP($K237,'Points Table C'!$D$3:$E$18,2)</f>
        <v>0</v>
      </c>
      <c r="AD237" s="4" t="e">
        <f>IF($Z237&lt;Lookups!$C$106,($AA237+AB237+AC237),IF($AA237&gt;=Lookups!$C$120,($AA237+AB237+AC237),$AA237+$AB237))</f>
        <v>#N/A</v>
      </c>
      <c r="AF237" s="7"/>
      <c r="AG237" s="7"/>
      <c r="AH237" s="7"/>
      <c r="AI237" s="7"/>
      <c r="AJ237" s="7"/>
      <c r="AK237" s="7"/>
      <c r="AL237" s="7"/>
      <c r="AM237" s="7"/>
      <c r="AN237" s="7"/>
      <c r="AO237" s="7"/>
      <c r="AP237" s="7"/>
      <c r="AQ237" s="7"/>
      <c r="AR237" s="7"/>
      <c r="AS237" s="7"/>
      <c r="AT237" s="7"/>
      <c r="AU237" s="7"/>
      <c r="AV237" s="7"/>
      <c r="AW237" s="7"/>
      <c r="AY237" s="7"/>
      <c r="AZ237" s="7"/>
      <c r="BA237" s="7"/>
      <c r="BB237" s="7"/>
    </row>
    <row r="238" spans="2:54" x14ac:dyDescent="0.2">
      <c r="B238" s="174"/>
      <c r="C238" s="176"/>
      <c r="F238" s="5">
        <v>0</v>
      </c>
      <c r="G238" s="192">
        <v>0</v>
      </c>
      <c r="H238" s="192">
        <v>0</v>
      </c>
      <c r="I238" s="5">
        <v>0</v>
      </c>
      <c r="J238" s="192">
        <v>0</v>
      </c>
      <c r="K238" s="192">
        <v>0</v>
      </c>
      <c r="L238" s="5">
        <v>0</v>
      </c>
      <c r="M238" s="5">
        <v>0</v>
      </c>
      <c r="N238" s="4" t="e">
        <f t="shared" si="21"/>
        <v>#N/A</v>
      </c>
      <c r="O238" s="4" t="e">
        <f>IF(ROUND(10.499-(((N238-VLOOKUP($C238,Lookups!$A$55:$D$64,3))/(VLOOKUP($C238,Lookups!$A$55:$D$64,4))*VLOOKUP($C238,Lookups!$C$2:$D$11,2))),0)&lt;1,1,IF(ROUND(10.499-(((N238-VLOOKUP($C238,Lookups!$A$55:$D$64,3))/(VLOOKUP($C238,Lookups!$A$55:$D$64,4))*VLOOKUP($C238,Lookups!$C$2:$D$11,2))),0)&lt;11,ROUND(10.499-(((N238-VLOOKUP($C238,Lookups!$A$55:$D$64,3))/(VLOOKUP($C238,Lookups!$A$55:$D$64,4))*VLOOKUP($C238,Lookups!$C$2:$D$11,2))),0),10))</f>
        <v>#N/A</v>
      </c>
      <c r="P238" s="13" t="str">
        <f>IF((SUM(F238:M238)=0),"J",VLOOKUP(O238,Lookups!$A$1:$B$11,2))</f>
        <v>J</v>
      </c>
      <c r="Q238" s="8" t="e">
        <f>VLOOKUP(C238,Lookups!$A$136:$C$144,3)</f>
        <v>#N/A</v>
      </c>
      <c r="R238" s="8" t="e">
        <f>VLOOKUP(C238,Lookups!$A$136:$C$144,2)</f>
        <v>#N/A</v>
      </c>
      <c r="S238" s="4" t="str">
        <f t="shared" si="22"/>
        <v>No</v>
      </c>
      <c r="T238" s="125">
        <f t="shared" si="23"/>
        <v>0</v>
      </c>
      <c r="U238" s="125">
        <f t="shared" si="24"/>
        <v>0</v>
      </c>
      <c r="V238" s="4" t="e">
        <f>IF($Q238&lt;&gt;3,VLOOKUP(F238,'Points Table A'!B$3:$F$33,5),VLOOKUP(F238,'Points Table A'!H$3:$L$33,5))</f>
        <v>#N/A</v>
      </c>
      <c r="W238" s="4" t="e">
        <f>IF($Q238&lt;&gt;3,VLOOKUP(G238,'Points Table A'!C$3:$F$33,4),VLOOKUP(G238,'Points Table A'!I$3:$L$33,4))</f>
        <v>#N/A</v>
      </c>
      <c r="X238" s="4" t="e">
        <f>IF($Q238&lt;&gt;3,VLOOKUP(H238,'Points Table A'!D$3:$F$28,3),VLOOKUP(H238,'Points Table A'!J$3:$L$33,3))</f>
        <v>#N/A</v>
      </c>
      <c r="Y238" s="4" t="e">
        <f>IF($Q238&lt;&gt;3,VLOOKUP(I238,'Points Table A'!E$3:$F$33,2),VLOOKUP(I238,'Points Table A'!K$3:$L$33,2))</f>
        <v>#N/A</v>
      </c>
      <c r="Z238" s="4" t="e">
        <f t="shared" si="25"/>
        <v>#N/A</v>
      </c>
      <c r="AA238" s="4">
        <f>IF($S238=Lookups!$B$113,VLOOKUP(L238,'Points Table C'!A$3:$E$11,5),VLOOKUP(U238,'Points Table C'!B$3:$E$11,4))</f>
        <v>0</v>
      </c>
      <c r="AB238" s="4" t="e">
        <f>IF($Q238=1,0,VLOOKUP($J238,'Points Table C'!$C$3:$E$18,3))</f>
        <v>#N/A</v>
      </c>
      <c r="AC238" s="4">
        <f>VLOOKUP($K238,'Points Table C'!$D$3:$E$18,2)</f>
        <v>0</v>
      </c>
      <c r="AD238" s="4" t="e">
        <f>IF($Z238&lt;Lookups!$C$106,($AA238+AB238+AC238),IF($AA238&gt;=Lookups!$C$120,($AA238+AB238+AC238),$AA238+$AB238))</f>
        <v>#N/A</v>
      </c>
      <c r="AF238" s="7"/>
      <c r="AG238" s="7"/>
      <c r="AH238" s="7"/>
      <c r="AI238" s="7"/>
      <c r="AJ238" s="7"/>
      <c r="AK238" s="7"/>
      <c r="AL238" s="7"/>
      <c r="AM238" s="7"/>
      <c r="AN238" s="7"/>
      <c r="AO238" s="7"/>
      <c r="AP238" s="7"/>
      <c r="AQ238" s="7"/>
      <c r="AR238" s="7"/>
      <c r="AS238" s="7"/>
      <c r="AT238" s="7"/>
      <c r="AU238" s="7"/>
      <c r="AV238" s="7"/>
      <c r="AW238" s="7"/>
      <c r="AY238" s="7"/>
      <c r="AZ238" s="7"/>
      <c r="BA238" s="7"/>
      <c r="BB238" s="7"/>
    </row>
    <row r="239" spans="2:54" x14ac:dyDescent="0.2">
      <c r="B239" s="174"/>
      <c r="C239" s="176"/>
      <c r="F239" s="5">
        <v>0</v>
      </c>
      <c r="G239" s="192">
        <v>0</v>
      </c>
      <c r="H239" s="192">
        <v>0</v>
      </c>
      <c r="I239" s="5">
        <v>0</v>
      </c>
      <c r="J239" s="192">
        <v>0</v>
      </c>
      <c r="K239" s="192">
        <v>0</v>
      </c>
      <c r="L239" s="5">
        <v>0</v>
      </c>
      <c r="M239" s="5">
        <v>0</v>
      </c>
      <c r="N239" s="4" t="e">
        <f t="shared" si="21"/>
        <v>#N/A</v>
      </c>
      <c r="O239" s="4" t="e">
        <f>IF(ROUND(10.499-(((N239-VLOOKUP($C239,Lookups!$A$55:$D$64,3))/(VLOOKUP($C239,Lookups!$A$55:$D$64,4))*VLOOKUP($C239,Lookups!$C$2:$D$11,2))),0)&lt;1,1,IF(ROUND(10.499-(((N239-VLOOKUP($C239,Lookups!$A$55:$D$64,3))/(VLOOKUP($C239,Lookups!$A$55:$D$64,4))*VLOOKUP($C239,Lookups!$C$2:$D$11,2))),0)&lt;11,ROUND(10.499-(((N239-VLOOKUP($C239,Lookups!$A$55:$D$64,3))/(VLOOKUP($C239,Lookups!$A$55:$D$64,4))*VLOOKUP($C239,Lookups!$C$2:$D$11,2))),0),10))</f>
        <v>#N/A</v>
      </c>
      <c r="P239" s="13" t="str">
        <f>IF((SUM(F239:M239)=0),"J",VLOOKUP(O239,Lookups!$A$1:$B$11,2))</f>
        <v>J</v>
      </c>
      <c r="Q239" s="8" t="e">
        <f>VLOOKUP(C239,Lookups!$A$136:$C$144,3)</f>
        <v>#N/A</v>
      </c>
      <c r="R239" s="8" t="e">
        <f>VLOOKUP(C239,Lookups!$A$136:$C$144,2)</f>
        <v>#N/A</v>
      </c>
      <c r="S239" s="4" t="str">
        <f t="shared" si="22"/>
        <v>No</v>
      </c>
      <c r="T239" s="125">
        <f t="shared" si="23"/>
        <v>0</v>
      </c>
      <c r="U239" s="125">
        <f t="shared" si="24"/>
        <v>0</v>
      </c>
      <c r="V239" s="4" t="e">
        <f>IF($Q239&lt;&gt;3,VLOOKUP(F239,'Points Table A'!B$3:$F$33,5),VLOOKUP(F239,'Points Table A'!H$3:$L$33,5))</f>
        <v>#N/A</v>
      </c>
      <c r="W239" s="4" t="e">
        <f>IF($Q239&lt;&gt;3,VLOOKUP(G239,'Points Table A'!C$3:$F$33,4),VLOOKUP(G239,'Points Table A'!I$3:$L$33,4))</f>
        <v>#N/A</v>
      </c>
      <c r="X239" s="4" t="e">
        <f>IF($Q239&lt;&gt;3,VLOOKUP(H239,'Points Table A'!D$3:$F$28,3),VLOOKUP(H239,'Points Table A'!J$3:$L$33,3))</f>
        <v>#N/A</v>
      </c>
      <c r="Y239" s="4" t="e">
        <f>IF($Q239&lt;&gt;3,VLOOKUP(I239,'Points Table A'!E$3:$F$33,2),VLOOKUP(I239,'Points Table A'!K$3:$L$33,2))</f>
        <v>#N/A</v>
      </c>
      <c r="Z239" s="4" t="e">
        <f t="shared" si="25"/>
        <v>#N/A</v>
      </c>
      <c r="AA239" s="4">
        <f>IF($S239=Lookups!$B$113,VLOOKUP(L239,'Points Table C'!A$3:$E$11,5),VLOOKUP(U239,'Points Table C'!B$3:$E$11,4))</f>
        <v>0</v>
      </c>
      <c r="AB239" s="4" t="e">
        <f>IF($Q239=1,0,VLOOKUP($J239,'Points Table C'!$C$3:$E$18,3))</f>
        <v>#N/A</v>
      </c>
      <c r="AC239" s="4">
        <f>VLOOKUP($K239,'Points Table C'!$D$3:$E$18,2)</f>
        <v>0</v>
      </c>
      <c r="AD239" s="4" t="e">
        <f>IF($Z239&lt;Lookups!$C$106,($AA239+AB239+AC239),IF($AA239&gt;=Lookups!$C$120,($AA239+AB239+AC239),$AA239+$AB239))</f>
        <v>#N/A</v>
      </c>
      <c r="AF239" s="7"/>
      <c r="AG239" s="7"/>
      <c r="AH239" s="7"/>
      <c r="AI239" s="7"/>
      <c r="AJ239" s="7"/>
      <c r="AK239" s="7"/>
      <c r="AL239" s="7"/>
      <c r="AM239" s="7"/>
      <c r="AN239" s="7"/>
      <c r="AO239" s="7"/>
      <c r="AP239" s="7"/>
      <c r="AQ239" s="7"/>
      <c r="AR239" s="7"/>
      <c r="AS239" s="7"/>
      <c r="AT239" s="7"/>
      <c r="AU239" s="7"/>
      <c r="AV239" s="7"/>
      <c r="AW239" s="7"/>
      <c r="AY239" s="7"/>
      <c r="AZ239" s="7"/>
      <c r="BA239" s="7"/>
      <c r="BB239" s="7"/>
    </row>
    <row r="240" spans="2:54" x14ac:dyDescent="0.2">
      <c r="B240" s="174"/>
      <c r="C240" s="176"/>
      <c r="F240" s="5">
        <v>0</v>
      </c>
      <c r="G240" s="192">
        <v>0</v>
      </c>
      <c r="H240" s="192">
        <v>0</v>
      </c>
      <c r="I240" s="5">
        <v>0</v>
      </c>
      <c r="J240" s="192">
        <v>0</v>
      </c>
      <c r="K240" s="192">
        <v>0</v>
      </c>
      <c r="L240" s="5">
        <v>0</v>
      </c>
      <c r="M240" s="5">
        <v>0</v>
      </c>
      <c r="N240" s="4" t="e">
        <f t="shared" si="21"/>
        <v>#N/A</v>
      </c>
      <c r="O240" s="4" t="e">
        <f>IF(ROUND(10.499-(((N240-VLOOKUP($C240,Lookups!$A$55:$D$64,3))/(VLOOKUP($C240,Lookups!$A$55:$D$64,4))*VLOOKUP($C240,Lookups!$C$2:$D$11,2))),0)&lt;1,1,IF(ROUND(10.499-(((N240-VLOOKUP($C240,Lookups!$A$55:$D$64,3))/(VLOOKUP($C240,Lookups!$A$55:$D$64,4))*VLOOKUP($C240,Lookups!$C$2:$D$11,2))),0)&lt;11,ROUND(10.499-(((N240-VLOOKUP($C240,Lookups!$A$55:$D$64,3))/(VLOOKUP($C240,Lookups!$A$55:$D$64,4))*VLOOKUP($C240,Lookups!$C$2:$D$11,2))),0),10))</f>
        <v>#N/A</v>
      </c>
      <c r="P240" s="13" t="str">
        <f>IF((SUM(F240:M240)=0),"J",VLOOKUP(O240,Lookups!$A$1:$B$11,2))</f>
        <v>J</v>
      </c>
      <c r="Q240" s="8" t="e">
        <f>VLOOKUP(C240,Lookups!$A$136:$C$144,3)</f>
        <v>#N/A</v>
      </c>
      <c r="R240" s="8" t="e">
        <f>VLOOKUP(C240,Lookups!$A$136:$C$144,2)</f>
        <v>#N/A</v>
      </c>
      <c r="S240" s="4" t="str">
        <f t="shared" si="22"/>
        <v>No</v>
      </c>
      <c r="T240" s="125">
        <f t="shared" si="23"/>
        <v>0</v>
      </c>
      <c r="U240" s="125">
        <f t="shared" si="24"/>
        <v>0</v>
      </c>
      <c r="V240" s="4" t="e">
        <f>IF($Q240&lt;&gt;3,VLOOKUP(F240,'Points Table A'!B$3:$F$33,5),VLOOKUP(F240,'Points Table A'!H$3:$L$33,5))</f>
        <v>#N/A</v>
      </c>
      <c r="W240" s="4" t="e">
        <f>IF($Q240&lt;&gt;3,VLOOKUP(G240,'Points Table A'!C$3:$F$33,4),VLOOKUP(G240,'Points Table A'!I$3:$L$33,4))</f>
        <v>#N/A</v>
      </c>
      <c r="X240" s="4" t="e">
        <f>IF($Q240&lt;&gt;3,VLOOKUP(H240,'Points Table A'!D$3:$F$28,3),VLOOKUP(H240,'Points Table A'!J$3:$L$33,3))</f>
        <v>#N/A</v>
      </c>
      <c r="Y240" s="4" t="e">
        <f>IF($Q240&lt;&gt;3,VLOOKUP(I240,'Points Table A'!E$3:$F$33,2),VLOOKUP(I240,'Points Table A'!K$3:$L$33,2))</f>
        <v>#N/A</v>
      </c>
      <c r="Z240" s="4" t="e">
        <f t="shared" si="25"/>
        <v>#N/A</v>
      </c>
      <c r="AA240" s="4">
        <f>IF($S240=Lookups!$B$113,VLOOKUP(L240,'Points Table C'!A$3:$E$11,5),VLOOKUP(U240,'Points Table C'!B$3:$E$11,4))</f>
        <v>0</v>
      </c>
      <c r="AB240" s="4" t="e">
        <f>IF($Q240=1,0,VLOOKUP($J240,'Points Table C'!$C$3:$E$18,3))</f>
        <v>#N/A</v>
      </c>
      <c r="AC240" s="4">
        <f>VLOOKUP($K240,'Points Table C'!$D$3:$E$18,2)</f>
        <v>0</v>
      </c>
      <c r="AD240" s="4" t="e">
        <f>IF($Z240&lt;Lookups!$C$106,($AA240+AB240+AC240),IF($AA240&gt;=Lookups!$C$120,($AA240+AB240+AC240),$AA240+$AB240))</f>
        <v>#N/A</v>
      </c>
      <c r="AF240" s="7"/>
      <c r="AG240" s="7"/>
      <c r="AH240" s="7"/>
      <c r="AI240" s="7"/>
      <c r="AJ240" s="7"/>
      <c r="AK240" s="7"/>
      <c r="AL240" s="7"/>
      <c r="AM240" s="7"/>
      <c r="AN240" s="7"/>
      <c r="AO240" s="7"/>
      <c r="AP240" s="7"/>
      <c r="AQ240" s="7"/>
      <c r="AR240" s="7"/>
      <c r="AS240" s="7"/>
      <c r="AT240" s="7"/>
      <c r="AU240" s="7"/>
      <c r="AV240" s="7"/>
      <c r="AW240" s="7"/>
      <c r="AY240" s="7"/>
      <c r="AZ240" s="7"/>
      <c r="BA240" s="7"/>
      <c r="BB240" s="7"/>
    </row>
    <row r="241" spans="2:54" x14ac:dyDescent="0.2">
      <c r="B241" s="174"/>
      <c r="C241" s="176"/>
      <c r="F241" s="5">
        <v>0</v>
      </c>
      <c r="G241" s="192">
        <v>0</v>
      </c>
      <c r="H241" s="192">
        <v>0</v>
      </c>
      <c r="I241" s="5">
        <v>0</v>
      </c>
      <c r="J241" s="192">
        <v>0</v>
      </c>
      <c r="K241" s="192">
        <v>0</v>
      </c>
      <c r="L241" s="5">
        <v>0</v>
      </c>
      <c r="M241" s="5">
        <v>0</v>
      </c>
      <c r="N241" s="4" t="e">
        <f t="shared" si="21"/>
        <v>#N/A</v>
      </c>
      <c r="O241" s="4" t="e">
        <f>IF(ROUND(10.499-(((N241-VLOOKUP($C241,Lookups!$A$55:$D$64,3))/(VLOOKUP($C241,Lookups!$A$55:$D$64,4))*VLOOKUP($C241,Lookups!$C$2:$D$11,2))),0)&lt;1,1,IF(ROUND(10.499-(((N241-VLOOKUP($C241,Lookups!$A$55:$D$64,3))/(VLOOKUP($C241,Lookups!$A$55:$D$64,4))*VLOOKUP($C241,Lookups!$C$2:$D$11,2))),0)&lt;11,ROUND(10.499-(((N241-VLOOKUP($C241,Lookups!$A$55:$D$64,3))/(VLOOKUP($C241,Lookups!$A$55:$D$64,4))*VLOOKUP($C241,Lookups!$C$2:$D$11,2))),0),10))</f>
        <v>#N/A</v>
      </c>
      <c r="P241" s="13" t="str">
        <f>IF((SUM(F241:M241)=0),"J",VLOOKUP(O241,Lookups!$A$1:$B$11,2))</f>
        <v>J</v>
      </c>
      <c r="Q241" s="8" t="e">
        <f>VLOOKUP(C241,Lookups!$A$136:$C$144,3)</f>
        <v>#N/A</v>
      </c>
      <c r="R241" s="8" t="e">
        <f>VLOOKUP(C241,Lookups!$A$136:$C$144,2)</f>
        <v>#N/A</v>
      </c>
      <c r="S241" s="4" t="str">
        <f t="shared" si="22"/>
        <v>No</v>
      </c>
      <c r="T241" s="125">
        <f t="shared" si="23"/>
        <v>0</v>
      </c>
      <c r="U241" s="125">
        <f t="shared" si="24"/>
        <v>0</v>
      </c>
      <c r="V241" s="4" t="e">
        <f>IF($Q241&lt;&gt;3,VLOOKUP(F241,'Points Table A'!B$3:$F$33,5),VLOOKUP(F241,'Points Table A'!H$3:$L$33,5))</f>
        <v>#N/A</v>
      </c>
      <c r="W241" s="4" t="e">
        <f>IF($Q241&lt;&gt;3,VLOOKUP(G241,'Points Table A'!C$3:$F$33,4),VLOOKUP(G241,'Points Table A'!I$3:$L$33,4))</f>
        <v>#N/A</v>
      </c>
      <c r="X241" s="4" t="e">
        <f>IF($Q241&lt;&gt;3,VLOOKUP(H241,'Points Table A'!D$3:$F$28,3),VLOOKUP(H241,'Points Table A'!J$3:$L$33,3))</f>
        <v>#N/A</v>
      </c>
      <c r="Y241" s="4" t="e">
        <f>IF($Q241&lt;&gt;3,VLOOKUP(I241,'Points Table A'!E$3:$F$33,2),VLOOKUP(I241,'Points Table A'!K$3:$L$33,2))</f>
        <v>#N/A</v>
      </c>
      <c r="Z241" s="4" t="e">
        <f t="shared" si="25"/>
        <v>#N/A</v>
      </c>
      <c r="AA241" s="4">
        <f>IF($S241=Lookups!$B$113,VLOOKUP(L241,'Points Table C'!A$3:$E$11,5),VLOOKUP(U241,'Points Table C'!B$3:$E$11,4))</f>
        <v>0</v>
      </c>
      <c r="AB241" s="4" t="e">
        <f>IF($Q241=1,0,VLOOKUP($J241,'Points Table C'!$C$3:$E$18,3))</f>
        <v>#N/A</v>
      </c>
      <c r="AC241" s="4">
        <f>VLOOKUP($K241,'Points Table C'!$D$3:$E$18,2)</f>
        <v>0</v>
      </c>
      <c r="AD241" s="4" t="e">
        <f>IF($Z241&lt;Lookups!$C$106,($AA241+AB241+AC241),IF($AA241&gt;=Lookups!$C$120,($AA241+AB241+AC241),$AA241+$AB241))</f>
        <v>#N/A</v>
      </c>
      <c r="AF241" s="7"/>
      <c r="AG241" s="7"/>
      <c r="AH241" s="7"/>
      <c r="AI241" s="7"/>
      <c r="AJ241" s="7"/>
      <c r="AK241" s="7"/>
      <c r="AL241" s="7"/>
      <c r="AM241" s="7"/>
      <c r="AN241" s="7"/>
      <c r="AO241" s="7"/>
      <c r="AP241" s="7"/>
      <c r="AQ241" s="7"/>
      <c r="AR241" s="7"/>
      <c r="AS241" s="7"/>
      <c r="AT241" s="7"/>
      <c r="AU241" s="7"/>
      <c r="AV241" s="7"/>
      <c r="AW241" s="7"/>
      <c r="AY241" s="7"/>
      <c r="AZ241" s="7"/>
      <c r="BA241" s="7"/>
      <c r="BB241" s="7"/>
    </row>
    <row r="242" spans="2:54" x14ac:dyDescent="0.2">
      <c r="B242" s="174"/>
      <c r="C242" s="176"/>
      <c r="F242" s="5">
        <v>0</v>
      </c>
      <c r="G242" s="192">
        <v>0</v>
      </c>
      <c r="H242" s="192">
        <v>0</v>
      </c>
      <c r="I242" s="5">
        <v>0</v>
      </c>
      <c r="J242" s="192">
        <v>0</v>
      </c>
      <c r="K242" s="192">
        <v>0</v>
      </c>
      <c r="L242" s="5">
        <v>0</v>
      </c>
      <c r="M242" s="5">
        <v>0</v>
      </c>
      <c r="N242" s="4" t="e">
        <f t="shared" si="21"/>
        <v>#N/A</v>
      </c>
      <c r="O242" s="4" t="e">
        <f>IF(ROUND(10.499-(((N242-VLOOKUP($C242,Lookups!$A$55:$D$64,3))/(VLOOKUP($C242,Lookups!$A$55:$D$64,4))*VLOOKUP($C242,Lookups!$C$2:$D$11,2))),0)&lt;1,1,IF(ROUND(10.499-(((N242-VLOOKUP($C242,Lookups!$A$55:$D$64,3))/(VLOOKUP($C242,Lookups!$A$55:$D$64,4))*VLOOKUP($C242,Lookups!$C$2:$D$11,2))),0)&lt;11,ROUND(10.499-(((N242-VLOOKUP($C242,Lookups!$A$55:$D$64,3))/(VLOOKUP($C242,Lookups!$A$55:$D$64,4))*VLOOKUP($C242,Lookups!$C$2:$D$11,2))),0),10))</f>
        <v>#N/A</v>
      </c>
      <c r="P242" s="13" t="str">
        <f>IF((SUM(F242:M242)=0),"J",VLOOKUP(O242,Lookups!$A$1:$B$11,2))</f>
        <v>J</v>
      </c>
      <c r="Q242" s="8" t="e">
        <f>VLOOKUP(C242,Lookups!$A$136:$C$144,3)</f>
        <v>#N/A</v>
      </c>
      <c r="R242" s="8" t="e">
        <f>VLOOKUP(C242,Lookups!$A$136:$C$144,2)</f>
        <v>#N/A</v>
      </c>
      <c r="S242" s="4" t="str">
        <f t="shared" si="22"/>
        <v>No</v>
      </c>
      <c r="T242" s="125">
        <f t="shared" si="23"/>
        <v>0</v>
      </c>
      <c r="U242" s="125">
        <f t="shared" si="24"/>
        <v>0</v>
      </c>
      <c r="V242" s="4" t="e">
        <f>IF($Q242&lt;&gt;3,VLOOKUP(F242,'Points Table A'!B$3:$F$33,5),VLOOKUP(F242,'Points Table A'!H$3:$L$33,5))</f>
        <v>#N/A</v>
      </c>
      <c r="W242" s="4" t="e">
        <f>IF($Q242&lt;&gt;3,VLOOKUP(G242,'Points Table A'!C$3:$F$33,4),VLOOKUP(G242,'Points Table A'!I$3:$L$33,4))</f>
        <v>#N/A</v>
      </c>
      <c r="X242" s="4" t="e">
        <f>IF($Q242&lt;&gt;3,VLOOKUP(H242,'Points Table A'!D$3:$F$28,3),VLOOKUP(H242,'Points Table A'!J$3:$L$33,3))</f>
        <v>#N/A</v>
      </c>
      <c r="Y242" s="4" t="e">
        <f>IF($Q242&lt;&gt;3,VLOOKUP(I242,'Points Table A'!E$3:$F$33,2),VLOOKUP(I242,'Points Table A'!K$3:$L$33,2))</f>
        <v>#N/A</v>
      </c>
      <c r="Z242" s="4" t="e">
        <f t="shared" si="25"/>
        <v>#N/A</v>
      </c>
      <c r="AA242" s="4">
        <f>IF($S242=Lookups!$B$113,VLOOKUP(L242,'Points Table C'!A$3:$E$11,5),VLOOKUP(U242,'Points Table C'!B$3:$E$11,4))</f>
        <v>0</v>
      </c>
      <c r="AB242" s="4" t="e">
        <f>IF($Q242=1,0,VLOOKUP($J242,'Points Table C'!$C$3:$E$18,3))</f>
        <v>#N/A</v>
      </c>
      <c r="AC242" s="4">
        <f>VLOOKUP($K242,'Points Table C'!$D$3:$E$18,2)</f>
        <v>0</v>
      </c>
      <c r="AD242" s="4" t="e">
        <f>IF($Z242&lt;Lookups!$C$106,($AA242+AB242+AC242),IF($AA242&gt;=Lookups!$C$120,($AA242+AB242+AC242),$AA242+$AB242))</f>
        <v>#N/A</v>
      </c>
      <c r="AF242" s="7"/>
      <c r="AG242" s="7"/>
      <c r="AH242" s="7"/>
      <c r="AI242" s="7"/>
      <c r="AJ242" s="7"/>
      <c r="AK242" s="7"/>
      <c r="AL242" s="7"/>
      <c r="AM242" s="7"/>
      <c r="AN242" s="7"/>
      <c r="AO242" s="7"/>
      <c r="AP242" s="7"/>
      <c r="AQ242" s="7"/>
      <c r="AR242" s="7"/>
      <c r="AS242" s="7"/>
      <c r="AT242" s="7"/>
      <c r="AU242" s="7"/>
      <c r="AV242" s="7"/>
      <c r="AW242" s="7"/>
      <c r="AY242" s="7"/>
      <c r="AZ242" s="7"/>
      <c r="BA242" s="7"/>
      <c r="BB242" s="7"/>
    </row>
    <row r="243" spans="2:54" x14ac:dyDescent="0.2">
      <c r="B243" s="174"/>
      <c r="C243" s="176"/>
      <c r="F243" s="5">
        <v>0</v>
      </c>
      <c r="G243" s="192">
        <v>0</v>
      </c>
      <c r="H243" s="192">
        <v>0</v>
      </c>
      <c r="I243" s="5">
        <v>0</v>
      </c>
      <c r="J243" s="192">
        <v>0</v>
      </c>
      <c r="K243" s="192">
        <v>0</v>
      </c>
      <c r="L243" s="5">
        <v>0</v>
      </c>
      <c r="M243" s="5">
        <v>0</v>
      </c>
      <c r="N243" s="4" t="e">
        <f t="shared" si="21"/>
        <v>#N/A</v>
      </c>
      <c r="O243" s="4" t="e">
        <f>IF(ROUND(10.499-(((N243-VLOOKUP($C243,Lookups!$A$55:$D$64,3))/(VLOOKUP($C243,Lookups!$A$55:$D$64,4))*VLOOKUP($C243,Lookups!$C$2:$D$11,2))),0)&lt;1,1,IF(ROUND(10.499-(((N243-VLOOKUP($C243,Lookups!$A$55:$D$64,3))/(VLOOKUP($C243,Lookups!$A$55:$D$64,4))*VLOOKUP($C243,Lookups!$C$2:$D$11,2))),0)&lt;11,ROUND(10.499-(((N243-VLOOKUP($C243,Lookups!$A$55:$D$64,3))/(VLOOKUP($C243,Lookups!$A$55:$D$64,4))*VLOOKUP($C243,Lookups!$C$2:$D$11,2))),0),10))</f>
        <v>#N/A</v>
      </c>
      <c r="P243" s="13" t="str">
        <f>IF((SUM(F243:M243)=0),"J",VLOOKUP(O243,Lookups!$A$1:$B$11,2))</f>
        <v>J</v>
      </c>
      <c r="Q243" s="8" t="e">
        <f>VLOOKUP(C243,Lookups!$A$136:$C$144,3)</f>
        <v>#N/A</v>
      </c>
      <c r="R243" s="8" t="e">
        <f>VLOOKUP(C243,Lookups!$A$136:$C$144,2)</f>
        <v>#N/A</v>
      </c>
      <c r="S243" s="4" t="str">
        <f t="shared" si="22"/>
        <v>No</v>
      </c>
      <c r="T243" s="125">
        <f t="shared" si="23"/>
        <v>0</v>
      </c>
      <c r="U243" s="125">
        <f t="shared" si="24"/>
        <v>0</v>
      </c>
      <c r="V243" s="4" t="e">
        <f>IF($Q243&lt;&gt;3,VLOOKUP(F243,'Points Table A'!B$3:$F$33,5),VLOOKUP(F243,'Points Table A'!H$3:$L$33,5))</f>
        <v>#N/A</v>
      </c>
      <c r="W243" s="4" t="e">
        <f>IF($Q243&lt;&gt;3,VLOOKUP(G243,'Points Table A'!C$3:$F$33,4),VLOOKUP(G243,'Points Table A'!I$3:$L$33,4))</f>
        <v>#N/A</v>
      </c>
      <c r="X243" s="4" t="e">
        <f>IF($Q243&lt;&gt;3,VLOOKUP(H243,'Points Table A'!D$3:$F$28,3),VLOOKUP(H243,'Points Table A'!J$3:$L$33,3))</f>
        <v>#N/A</v>
      </c>
      <c r="Y243" s="4" t="e">
        <f>IF($Q243&lt;&gt;3,VLOOKUP(I243,'Points Table A'!E$3:$F$33,2),VLOOKUP(I243,'Points Table A'!K$3:$L$33,2))</f>
        <v>#N/A</v>
      </c>
      <c r="Z243" s="4" t="e">
        <f t="shared" si="25"/>
        <v>#N/A</v>
      </c>
      <c r="AA243" s="4">
        <f>IF($S243=Lookups!$B$113,VLOOKUP(L243,'Points Table C'!A$3:$E$11,5),VLOOKUP(U243,'Points Table C'!B$3:$E$11,4))</f>
        <v>0</v>
      </c>
      <c r="AB243" s="4" t="e">
        <f>IF($Q243=1,0,VLOOKUP($J243,'Points Table C'!$C$3:$E$18,3))</f>
        <v>#N/A</v>
      </c>
      <c r="AC243" s="4">
        <f>VLOOKUP($K243,'Points Table C'!$D$3:$E$18,2)</f>
        <v>0</v>
      </c>
      <c r="AD243" s="4" t="e">
        <f>IF($Z243&lt;Lookups!$C$106,($AA243+AB243+AC243),IF($AA243&gt;=Lookups!$C$120,($AA243+AB243+AC243),$AA243+$AB243))</f>
        <v>#N/A</v>
      </c>
      <c r="AF243" s="7"/>
      <c r="AG243" s="7"/>
      <c r="AH243" s="7"/>
      <c r="AI243" s="7"/>
      <c r="AJ243" s="7"/>
      <c r="AK243" s="7"/>
      <c r="AL243" s="7"/>
      <c r="AM243" s="7"/>
      <c r="AN243" s="7"/>
      <c r="AO243" s="7"/>
      <c r="AP243" s="7"/>
      <c r="AQ243" s="7"/>
      <c r="AR243" s="7"/>
      <c r="AS243" s="7"/>
      <c r="AT243" s="7"/>
      <c r="AU243" s="7"/>
      <c r="AV243" s="7"/>
      <c r="AW243" s="7"/>
      <c r="AY243" s="7"/>
      <c r="AZ243" s="7"/>
      <c r="BA243" s="7"/>
      <c r="BB243" s="7"/>
    </row>
    <row r="244" spans="2:54" x14ac:dyDescent="0.2">
      <c r="B244" s="174"/>
      <c r="C244" s="176"/>
      <c r="F244" s="5">
        <v>0</v>
      </c>
      <c r="G244" s="192">
        <v>0</v>
      </c>
      <c r="H244" s="192">
        <v>0</v>
      </c>
      <c r="I244" s="5">
        <v>0</v>
      </c>
      <c r="J244" s="192">
        <v>0</v>
      </c>
      <c r="K244" s="192">
        <v>0</v>
      </c>
      <c r="L244" s="5">
        <v>0</v>
      </c>
      <c r="M244" s="5">
        <v>0</v>
      </c>
      <c r="N244" s="4" t="e">
        <f t="shared" si="21"/>
        <v>#N/A</v>
      </c>
      <c r="O244" s="4" t="e">
        <f>IF(ROUND(10.499-(((N244-VLOOKUP($C244,Lookups!$A$55:$D$64,3))/(VLOOKUP($C244,Lookups!$A$55:$D$64,4))*VLOOKUP($C244,Lookups!$C$2:$D$11,2))),0)&lt;1,1,IF(ROUND(10.499-(((N244-VLOOKUP($C244,Lookups!$A$55:$D$64,3))/(VLOOKUP($C244,Lookups!$A$55:$D$64,4))*VLOOKUP($C244,Lookups!$C$2:$D$11,2))),0)&lt;11,ROUND(10.499-(((N244-VLOOKUP($C244,Lookups!$A$55:$D$64,3))/(VLOOKUP($C244,Lookups!$A$55:$D$64,4))*VLOOKUP($C244,Lookups!$C$2:$D$11,2))),0),10))</f>
        <v>#N/A</v>
      </c>
      <c r="P244" s="13" t="str">
        <f>IF((SUM(F244:M244)=0),"J",VLOOKUP(O244,Lookups!$A$1:$B$11,2))</f>
        <v>J</v>
      </c>
      <c r="Q244" s="8" t="e">
        <f>VLOOKUP(C244,Lookups!$A$136:$C$144,3)</f>
        <v>#N/A</v>
      </c>
      <c r="R244" s="8" t="e">
        <f>VLOOKUP(C244,Lookups!$A$136:$C$144,2)</f>
        <v>#N/A</v>
      </c>
      <c r="S244" s="4" t="str">
        <f t="shared" si="22"/>
        <v>No</v>
      </c>
      <c r="T244" s="125">
        <f t="shared" si="23"/>
        <v>0</v>
      </c>
      <c r="U244" s="125">
        <f t="shared" si="24"/>
        <v>0</v>
      </c>
      <c r="V244" s="4" t="e">
        <f>IF($Q244&lt;&gt;3,VLOOKUP(F244,'Points Table A'!B$3:$F$33,5),VLOOKUP(F244,'Points Table A'!H$3:$L$33,5))</f>
        <v>#N/A</v>
      </c>
      <c r="W244" s="4" t="e">
        <f>IF($Q244&lt;&gt;3,VLOOKUP(G244,'Points Table A'!C$3:$F$33,4),VLOOKUP(G244,'Points Table A'!I$3:$L$33,4))</f>
        <v>#N/A</v>
      </c>
      <c r="X244" s="4" t="e">
        <f>IF($Q244&lt;&gt;3,VLOOKUP(H244,'Points Table A'!D$3:$F$28,3),VLOOKUP(H244,'Points Table A'!J$3:$L$33,3))</f>
        <v>#N/A</v>
      </c>
      <c r="Y244" s="4" t="e">
        <f>IF($Q244&lt;&gt;3,VLOOKUP(I244,'Points Table A'!E$3:$F$33,2),VLOOKUP(I244,'Points Table A'!K$3:$L$33,2))</f>
        <v>#N/A</v>
      </c>
      <c r="Z244" s="4" t="e">
        <f t="shared" si="25"/>
        <v>#N/A</v>
      </c>
      <c r="AA244" s="4">
        <f>IF($S244=Lookups!$B$113,VLOOKUP(L244,'Points Table C'!A$3:$E$11,5),VLOOKUP(U244,'Points Table C'!B$3:$E$11,4))</f>
        <v>0</v>
      </c>
      <c r="AB244" s="4" t="e">
        <f>IF($Q244=1,0,VLOOKUP($J244,'Points Table C'!$C$3:$E$18,3))</f>
        <v>#N/A</v>
      </c>
      <c r="AC244" s="4">
        <f>VLOOKUP($K244,'Points Table C'!$D$3:$E$18,2)</f>
        <v>0</v>
      </c>
      <c r="AD244" s="4" t="e">
        <f>IF($Z244&lt;Lookups!$C$106,($AA244+AB244+AC244),IF($AA244&gt;=Lookups!$C$120,($AA244+AB244+AC244),$AA244+$AB244))</f>
        <v>#N/A</v>
      </c>
      <c r="AF244" s="7"/>
      <c r="AG244" s="7"/>
      <c r="AH244" s="7"/>
      <c r="AI244" s="7"/>
      <c r="AJ244" s="7"/>
      <c r="AK244" s="7"/>
      <c r="AL244" s="7"/>
      <c r="AM244" s="7"/>
      <c r="AN244" s="7"/>
      <c r="AO244" s="7"/>
      <c r="AP244" s="7"/>
      <c r="AQ244" s="7"/>
      <c r="AR244" s="7"/>
      <c r="AS244" s="7"/>
      <c r="AT244" s="7"/>
      <c r="AU244" s="7"/>
      <c r="AV244" s="7"/>
      <c r="AW244" s="7"/>
      <c r="AY244" s="7"/>
      <c r="AZ244" s="7"/>
      <c r="BA244" s="7"/>
      <c r="BB244" s="7"/>
    </row>
    <row r="245" spans="2:54" x14ac:dyDescent="0.2">
      <c r="B245" s="174"/>
      <c r="C245" s="176"/>
      <c r="F245" s="5">
        <v>0</v>
      </c>
      <c r="G245" s="192">
        <v>0</v>
      </c>
      <c r="H245" s="192">
        <v>0</v>
      </c>
      <c r="I245" s="5">
        <v>0</v>
      </c>
      <c r="J245" s="192">
        <v>0</v>
      </c>
      <c r="K245" s="192">
        <v>0</v>
      </c>
      <c r="L245" s="5">
        <v>0</v>
      </c>
      <c r="M245" s="5">
        <v>0</v>
      </c>
      <c r="N245" s="4" t="e">
        <f t="shared" si="21"/>
        <v>#N/A</v>
      </c>
      <c r="O245" s="4" t="e">
        <f>IF(ROUND(10.499-(((N245-VLOOKUP($C245,Lookups!$A$55:$D$64,3))/(VLOOKUP($C245,Lookups!$A$55:$D$64,4))*VLOOKUP($C245,Lookups!$C$2:$D$11,2))),0)&lt;1,1,IF(ROUND(10.499-(((N245-VLOOKUP($C245,Lookups!$A$55:$D$64,3))/(VLOOKUP($C245,Lookups!$A$55:$D$64,4))*VLOOKUP($C245,Lookups!$C$2:$D$11,2))),0)&lt;11,ROUND(10.499-(((N245-VLOOKUP($C245,Lookups!$A$55:$D$64,3))/(VLOOKUP($C245,Lookups!$A$55:$D$64,4))*VLOOKUP($C245,Lookups!$C$2:$D$11,2))),0),10))</f>
        <v>#N/A</v>
      </c>
      <c r="P245" s="13" t="str">
        <f>IF((SUM(F245:M245)=0),"J",VLOOKUP(O245,Lookups!$A$1:$B$11,2))</f>
        <v>J</v>
      </c>
      <c r="Q245" s="8" t="e">
        <f>VLOOKUP(C245,Lookups!$A$136:$C$144,3)</f>
        <v>#N/A</v>
      </c>
      <c r="R245" s="8" t="e">
        <f>VLOOKUP(C245,Lookups!$A$136:$C$144,2)</f>
        <v>#N/A</v>
      </c>
      <c r="S245" s="4" t="str">
        <f t="shared" si="22"/>
        <v>No</v>
      </c>
      <c r="T245" s="125">
        <f t="shared" si="23"/>
        <v>0</v>
      </c>
      <c r="U245" s="125">
        <f t="shared" si="24"/>
        <v>0</v>
      </c>
      <c r="V245" s="4" t="e">
        <f>IF($Q245&lt;&gt;3,VLOOKUP(F245,'Points Table A'!B$3:$F$33,5),VLOOKUP(F245,'Points Table A'!H$3:$L$33,5))</f>
        <v>#N/A</v>
      </c>
      <c r="W245" s="4" t="e">
        <f>IF($Q245&lt;&gt;3,VLOOKUP(G245,'Points Table A'!C$3:$F$33,4),VLOOKUP(G245,'Points Table A'!I$3:$L$33,4))</f>
        <v>#N/A</v>
      </c>
      <c r="X245" s="4" t="e">
        <f>IF($Q245&lt;&gt;3,VLOOKUP(H245,'Points Table A'!D$3:$F$28,3),VLOOKUP(H245,'Points Table A'!J$3:$L$33,3))</f>
        <v>#N/A</v>
      </c>
      <c r="Y245" s="4" t="e">
        <f>IF($Q245&lt;&gt;3,VLOOKUP(I245,'Points Table A'!E$3:$F$33,2),VLOOKUP(I245,'Points Table A'!K$3:$L$33,2))</f>
        <v>#N/A</v>
      </c>
      <c r="Z245" s="4" t="e">
        <f t="shared" si="25"/>
        <v>#N/A</v>
      </c>
      <c r="AA245" s="4">
        <f>IF($S245=Lookups!$B$113,VLOOKUP(L245,'Points Table C'!A$3:$E$11,5),VLOOKUP(U245,'Points Table C'!B$3:$E$11,4))</f>
        <v>0</v>
      </c>
      <c r="AB245" s="4" t="e">
        <f>IF($Q245=1,0,VLOOKUP($J245,'Points Table C'!$C$3:$E$18,3))</f>
        <v>#N/A</v>
      </c>
      <c r="AC245" s="4">
        <f>VLOOKUP($K245,'Points Table C'!$D$3:$E$18,2)</f>
        <v>0</v>
      </c>
      <c r="AD245" s="4" t="e">
        <f>IF($Z245&lt;Lookups!$C$106,($AA245+AB245+AC245),IF($AA245&gt;=Lookups!$C$120,($AA245+AB245+AC245),$AA245+$AB245))</f>
        <v>#N/A</v>
      </c>
      <c r="AF245" s="7"/>
      <c r="AG245" s="7"/>
      <c r="AH245" s="7"/>
      <c r="AI245" s="7"/>
      <c r="AJ245" s="7"/>
      <c r="AK245" s="7"/>
      <c r="AL245" s="7"/>
      <c r="AM245" s="7"/>
      <c r="AN245" s="7"/>
      <c r="AO245" s="7"/>
      <c r="AP245" s="7"/>
      <c r="AQ245" s="7"/>
      <c r="AR245" s="7"/>
      <c r="AS245" s="7"/>
      <c r="AT245" s="7"/>
      <c r="AU245" s="7"/>
      <c r="AV245" s="7"/>
      <c r="AW245" s="7"/>
      <c r="AY245" s="7"/>
      <c r="AZ245" s="7"/>
      <c r="BA245" s="7"/>
      <c r="BB245" s="7"/>
    </row>
    <row r="246" spans="2:54" x14ac:dyDescent="0.2">
      <c r="B246" s="174"/>
      <c r="C246" s="176"/>
      <c r="F246" s="5">
        <v>0</v>
      </c>
      <c r="G246" s="192">
        <v>0</v>
      </c>
      <c r="H246" s="192">
        <v>0</v>
      </c>
      <c r="I246" s="5">
        <v>0</v>
      </c>
      <c r="J246" s="192">
        <v>0</v>
      </c>
      <c r="K246" s="192">
        <v>0</v>
      </c>
      <c r="L246" s="5">
        <v>0</v>
      </c>
      <c r="M246" s="5">
        <v>0</v>
      </c>
      <c r="N246" s="4" t="e">
        <f t="shared" si="21"/>
        <v>#N/A</v>
      </c>
      <c r="O246" s="4" t="e">
        <f>IF(ROUND(10.499-(((N246-VLOOKUP($C246,Lookups!$A$55:$D$64,3))/(VLOOKUP($C246,Lookups!$A$55:$D$64,4))*VLOOKUP($C246,Lookups!$C$2:$D$11,2))),0)&lt;1,1,IF(ROUND(10.499-(((N246-VLOOKUP($C246,Lookups!$A$55:$D$64,3))/(VLOOKUP($C246,Lookups!$A$55:$D$64,4))*VLOOKUP($C246,Lookups!$C$2:$D$11,2))),0)&lt;11,ROUND(10.499-(((N246-VLOOKUP($C246,Lookups!$A$55:$D$64,3))/(VLOOKUP($C246,Lookups!$A$55:$D$64,4))*VLOOKUP($C246,Lookups!$C$2:$D$11,2))),0),10))</f>
        <v>#N/A</v>
      </c>
      <c r="P246" s="13" t="str">
        <f>IF((SUM(F246:M246)=0),"J",VLOOKUP(O246,Lookups!$A$1:$B$11,2))</f>
        <v>J</v>
      </c>
      <c r="Q246" s="8" t="e">
        <f>VLOOKUP(C246,Lookups!$A$136:$C$144,3)</f>
        <v>#N/A</v>
      </c>
      <c r="R246" s="8" t="e">
        <f>VLOOKUP(C246,Lookups!$A$136:$C$144,2)</f>
        <v>#N/A</v>
      </c>
      <c r="S246" s="4" t="str">
        <f t="shared" si="22"/>
        <v>No</v>
      </c>
      <c r="T246" s="125">
        <f t="shared" si="23"/>
        <v>0</v>
      </c>
      <c r="U246" s="125">
        <f t="shared" si="24"/>
        <v>0</v>
      </c>
      <c r="V246" s="4" t="e">
        <f>IF($Q246&lt;&gt;3,VLOOKUP(F246,'Points Table A'!B$3:$F$33,5),VLOOKUP(F246,'Points Table A'!H$3:$L$33,5))</f>
        <v>#N/A</v>
      </c>
      <c r="W246" s="4" t="e">
        <f>IF($Q246&lt;&gt;3,VLOOKUP(G246,'Points Table A'!C$3:$F$33,4),VLOOKUP(G246,'Points Table A'!I$3:$L$33,4))</f>
        <v>#N/A</v>
      </c>
      <c r="X246" s="4" t="e">
        <f>IF($Q246&lt;&gt;3,VLOOKUP(H246,'Points Table A'!D$3:$F$28,3),VLOOKUP(H246,'Points Table A'!J$3:$L$33,3))</f>
        <v>#N/A</v>
      </c>
      <c r="Y246" s="4" t="e">
        <f>IF($Q246&lt;&gt;3,VLOOKUP(I246,'Points Table A'!E$3:$F$33,2),VLOOKUP(I246,'Points Table A'!K$3:$L$33,2))</f>
        <v>#N/A</v>
      </c>
      <c r="Z246" s="4" t="e">
        <f t="shared" si="25"/>
        <v>#N/A</v>
      </c>
      <c r="AA246" s="4">
        <f>IF($S246=Lookups!$B$113,VLOOKUP(L246,'Points Table C'!A$3:$E$11,5),VLOOKUP(U246,'Points Table C'!B$3:$E$11,4))</f>
        <v>0</v>
      </c>
      <c r="AB246" s="4" t="e">
        <f>IF($Q246=1,0,VLOOKUP($J246,'Points Table C'!$C$3:$E$18,3))</f>
        <v>#N/A</v>
      </c>
      <c r="AC246" s="4">
        <f>VLOOKUP($K246,'Points Table C'!$D$3:$E$18,2)</f>
        <v>0</v>
      </c>
      <c r="AD246" s="4" t="e">
        <f>IF($Z246&lt;Lookups!$C$106,($AA246+AB246+AC246),IF($AA246&gt;=Lookups!$C$120,($AA246+AB246+AC246),$AA246+$AB246))</f>
        <v>#N/A</v>
      </c>
      <c r="AF246" s="7"/>
      <c r="AG246" s="7"/>
      <c r="AH246" s="7"/>
      <c r="AI246" s="7"/>
      <c r="AJ246" s="7"/>
      <c r="AK246" s="7"/>
      <c r="AL246" s="7"/>
      <c r="AM246" s="7"/>
      <c r="AN246" s="7"/>
      <c r="AO246" s="7"/>
      <c r="AP246" s="7"/>
      <c r="AQ246" s="7"/>
      <c r="AR246" s="7"/>
      <c r="AS246" s="7"/>
      <c r="AT246" s="7"/>
      <c r="AU246" s="7"/>
      <c r="AV246" s="7"/>
      <c r="AW246" s="7"/>
      <c r="AY246" s="7"/>
      <c r="AZ246" s="7"/>
      <c r="BA246" s="7"/>
      <c r="BB246" s="7"/>
    </row>
    <row r="247" spans="2:54" x14ac:dyDescent="0.2">
      <c r="B247" s="174"/>
      <c r="C247" s="176"/>
      <c r="F247" s="5">
        <v>0</v>
      </c>
      <c r="G247" s="192">
        <v>0</v>
      </c>
      <c r="H247" s="192">
        <v>0</v>
      </c>
      <c r="I247" s="5">
        <v>0</v>
      </c>
      <c r="J247" s="192">
        <v>0</v>
      </c>
      <c r="K247" s="192">
        <v>0</v>
      </c>
      <c r="L247" s="5">
        <v>0</v>
      </c>
      <c r="M247" s="5">
        <v>0</v>
      </c>
      <c r="N247" s="4" t="e">
        <f t="shared" si="21"/>
        <v>#N/A</v>
      </c>
      <c r="O247" s="4" t="e">
        <f>IF(ROUND(10.499-(((N247-VLOOKUP($C247,Lookups!$A$55:$D$64,3))/(VLOOKUP($C247,Lookups!$A$55:$D$64,4))*VLOOKUP($C247,Lookups!$C$2:$D$11,2))),0)&lt;1,1,IF(ROUND(10.499-(((N247-VLOOKUP($C247,Lookups!$A$55:$D$64,3))/(VLOOKUP($C247,Lookups!$A$55:$D$64,4))*VLOOKUP($C247,Lookups!$C$2:$D$11,2))),0)&lt;11,ROUND(10.499-(((N247-VLOOKUP($C247,Lookups!$A$55:$D$64,3))/(VLOOKUP($C247,Lookups!$A$55:$D$64,4))*VLOOKUP($C247,Lookups!$C$2:$D$11,2))),0),10))</f>
        <v>#N/A</v>
      </c>
      <c r="P247" s="13" t="str">
        <f>IF((SUM(F247:M247)=0),"J",VLOOKUP(O247,Lookups!$A$1:$B$11,2))</f>
        <v>J</v>
      </c>
      <c r="Q247" s="8" t="e">
        <f>VLOOKUP(C247,Lookups!$A$136:$C$144,3)</f>
        <v>#N/A</v>
      </c>
      <c r="R247" s="8" t="e">
        <f>VLOOKUP(C247,Lookups!$A$136:$C$144,2)</f>
        <v>#N/A</v>
      </c>
      <c r="S247" s="4" t="str">
        <f t="shared" si="22"/>
        <v>No</v>
      </c>
      <c r="T247" s="125">
        <f t="shared" si="23"/>
        <v>0</v>
      </c>
      <c r="U247" s="125">
        <f t="shared" si="24"/>
        <v>0</v>
      </c>
      <c r="V247" s="4" t="e">
        <f>IF($Q247&lt;&gt;3,VLOOKUP(F247,'Points Table A'!B$3:$F$33,5),VLOOKUP(F247,'Points Table A'!H$3:$L$33,5))</f>
        <v>#N/A</v>
      </c>
      <c r="W247" s="4" t="e">
        <f>IF($Q247&lt;&gt;3,VLOOKUP(G247,'Points Table A'!C$3:$F$33,4),VLOOKUP(G247,'Points Table A'!I$3:$L$33,4))</f>
        <v>#N/A</v>
      </c>
      <c r="X247" s="4" t="e">
        <f>IF($Q247&lt;&gt;3,VLOOKUP(H247,'Points Table A'!D$3:$F$28,3),VLOOKUP(H247,'Points Table A'!J$3:$L$33,3))</f>
        <v>#N/A</v>
      </c>
      <c r="Y247" s="4" t="e">
        <f>IF($Q247&lt;&gt;3,VLOOKUP(I247,'Points Table A'!E$3:$F$33,2),VLOOKUP(I247,'Points Table A'!K$3:$L$33,2))</f>
        <v>#N/A</v>
      </c>
      <c r="Z247" s="4" t="e">
        <f t="shared" si="25"/>
        <v>#N/A</v>
      </c>
      <c r="AA247" s="4">
        <f>IF($S247=Lookups!$B$113,VLOOKUP(L247,'Points Table C'!A$3:$E$11,5),VLOOKUP(U247,'Points Table C'!B$3:$E$11,4))</f>
        <v>0</v>
      </c>
      <c r="AB247" s="4" t="e">
        <f>IF($Q247=1,0,VLOOKUP($J247,'Points Table C'!$C$3:$E$18,3))</f>
        <v>#N/A</v>
      </c>
      <c r="AC247" s="4">
        <f>VLOOKUP($K247,'Points Table C'!$D$3:$E$18,2)</f>
        <v>0</v>
      </c>
      <c r="AD247" s="4" t="e">
        <f>IF($Z247&lt;Lookups!$C$106,($AA247+AB247+AC247),IF($AA247&gt;=Lookups!$C$120,($AA247+AB247+AC247),$AA247+$AB247))</f>
        <v>#N/A</v>
      </c>
      <c r="AF247" s="7"/>
      <c r="AG247" s="7"/>
      <c r="AH247" s="7"/>
      <c r="AI247" s="7"/>
      <c r="AJ247" s="7"/>
      <c r="AK247" s="7"/>
      <c r="AL247" s="7"/>
      <c r="AM247" s="7"/>
      <c r="AN247" s="7"/>
      <c r="AO247" s="7"/>
      <c r="AP247" s="7"/>
      <c r="AQ247" s="7"/>
      <c r="AR247" s="7"/>
      <c r="AS247" s="7"/>
      <c r="AT247" s="7"/>
      <c r="AU247" s="7"/>
      <c r="AV247" s="7"/>
      <c r="AW247" s="7"/>
      <c r="AY247" s="7"/>
      <c r="AZ247" s="7"/>
      <c r="BA247" s="7"/>
      <c r="BB247" s="7"/>
    </row>
    <row r="248" spans="2:54" x14ac:dyDescent="0.2">
      <c r="B248" s="174"/>
      <c r="C248" s="176"/>
      <c r="F248" s="5">
        <v>0</v>
      </c>
      <c r="G248" s="192">
        <v>0</v>
      </c>
      <c r="H248" s="192">
        <v>0</v>
      </c>
      <c r="I248" s="5">
        <v>0</v>
      </c>
      <c r="J248" s="192">
        <v>0</v>
      </c>
      <c r="K248" s="192">
        <v>0</v>
      </c>
      <c r="L248" s="5">
        <v>0</v>
      </c>
      <c r="M248" s="5">
        <v>0</v>
      </c>
      <c r="N248" s="4" t="e">
        <f t="shared" si="21"/>
        <v>#N/A</v>
      </c>
      <c r="O248" s="4" t="e">
        <f>IF(ROUND(10.499-(((N248-VLOOKUP($C248,Lookups!$A$55:$D$64,3))/(VLOOKUP($C248,Lookups!$A$55:$D$64,4))*VLOOKUP($C248,Lookups!$C$2:$D$11,2))),0)&lt;1,1,IF(ROUND(10.499-(((N248-VLOOKUP($C248,Lookups!$A$55:$D$64,3))/(VLOOKUP($C248,Lookups!$A$55:$D$64,4))*VLOOKUP($C248,Lookups!$C$2:$D$11,2))),0)&lt;11,ROUND(10.499-(((N248-VLOOKUP($C248,Lookups!$A$55:$D$64,3))/(VLOOKUP($C248,Lookups!$A$55:$D$64,4))*VLOOKUP($C248,Lookups!$C$2:$D$11,2))),0),10))</f>
        <v>#N/A</v>
      </c>
      <c r="P248" s="13" t="str">
        <f>IF((SUM(F248:M248)=0),"J",VLOOKUP(O248,Lookups!$A$1:$B$11,2))</f>
        <v>J</v>
      </c>
      <c r="Q248" s="8" t="e">
        <f>VLOOKUP(C248,Lookups!$A$136:$C$144,3)</f>
        <v>#N/A</v>
      </c>
      <c r="R248" s="8" t="e">
        <f>VLOOKUP(C248,Lookups!$A$136:$C$144,2)</f>
        <v>#N/A</v>
      </c>
      <c r="S248" s="4" t="str">
        <f t="shared" si="22"/>
        <v>No</v>
      </c>
      <c r="T248" s="125">
        <f t="shared" si="23"/>
        <v>0</v>
      </c>
      <c r="U248" s="125">
        <f t="shared" si="24"/>
        <v>0</v>
      </c>
      <c r="V248" s="4" t="e">
        <f>IF($Q248&lt;&gt;3,VLOOKUP(F248,'Points Table A'!B$3:$F$33,5),VLOOKUP(F248,'Points Table A'!H$3:$L$33,5))</f>
        <v>#N/A</v>
      </c>
      <c r="W248" s="4" t="e">
        <f>IF($Q248&lt;&gt;3,VLOOKUP(G248,'Points Table A'!C$3:$F$33,4),VLOOKUP(G248,'Points Table A'!I$3:$L$33,4))</f>
        <v>#N/A</v>
      </c>
      <c r="X248" s="4" t="e">
        <f>IF($Q248&lt;&gt;3,VLOOKUP(H248,'Points Table A'!D$3:$F$28,3),VLOOKUP(H248,'Points Table A'!J$3:$L$33,3))</f>
        <v>#N/A</v>
      </c>
      <c r="Y248" s="4" t="e">
        <f>IF($Q248&lt;&gt;3,VLOOKUP(I248,'Points Table A'!E$3:$F$33,2),VLOOKUP(I248,'Points Table A'!K$3:$L$33,2))</f>
        <v>#N/A</v>
      </c>
      <c r="Z248" s="4" t="e">
        <f t="shared" si="25"/>
        <v>#N/A</v>
      </c>
      <c r="AA248" s="4">
        <f>IF($S248=Lookups!$B$113,VLOOKUP(L248,'Points Table C'!A$3:$E$11,5),VLOOKUP(U248,'Points Table C'!B$3:$E$11,4))</f>
        <v>0</v>
      </c>
      <c r="AB248" s="4" t="e">
        <f>IF($Q248=1,0,VLOOKUP($J248,'Points Table C'!$C$3:$E$18,3))</f>
        <v>#N/A</v>
      </c>
      <c r="AC248" s="4">
        <f>VLOOKUP($K248,'Points Table C'!$D$3:$E$18,2)</f>
        <v>0</v>
      </c>
      <c r="AD248" s="4" t="e">
        <f>IF($Z248&lt;Lookups!$C$106,($AA248+AB248+AC248),IF($AA248&gt;=Lookups!$C$120,($AA248+AB248+AC248),$AA248+$AB248))</f>
        <v>#N/A</v>
      </c>
      <c r="AF248" s="7"/>
      <c r="AG248" s="7"/>
      <c r="AH248" s="7"/>
      <c r="AI248" s="7"/>
      <c r="AJ248" s="7"/>
      <c r="AK248" s="7"/>
      <c r="AL248" s="7"/>
      <c r="AM248" s="7"/>
      <c r="AN248" s="7"/>
      <c r="AO248" s="7"/>
      <c r="AP248" s="7"/>
      <c r="AQ248" s="7"/>
      <c r="AR248" s="7"/>
      <c r="AS248" s="7"/>
      <c r="AT248" s="7"/>
      <c r="AU248" s="7"/>
      <c r="AV248" s="7"/>
      <c r="AW248" s="7"/>
      <c r="AY248" s="7"/>
      <c r="AZ248" s="7"/>
      <c r="BA248" s="7"/>
      <c r="BB248" s="7"/>
    </row>
    <row r="249" spans="2:54" x14ac:dyDescent="0.2">
      <c r="B249" s="174"/>
      <c r="C249" s="176"/>
      <c r="F249" s="5">
        <v>0</v>
      </c>
      <c r="G249" s="192">
        <v>0</v>
      </c>
      <c r="H249" s="192">
        <v>0</v>
      </c>
      <c r="I249" s="5">
        <v>0</v>
      </c>
      <c r="J249" s="192">
        <v>0</v>
      </c>
      <c r="K249" s="192">
        <v>0</v>
      </c>
      <c r="L249" s="5">
        <v>0</v>
      </c>
      <c r="M249" s="5">
        <v>0</v>
      </c>
      <c r="N249" s="4" t="e">
        <f t="shared" ref="N249:N312" si="26">$Z249-$AD249</f>
        <v>#N/A</v>
      </c>
      <c r="O249" s="4" t="e">
        <f>IF(ROUND(10.499-(((N249-VLOOKUP($C249,Lookups!$A$55:$D$64,3))/(VLOOKUP($C249,Lookups!$A$55:$D$64,4))*VLOOKUP($C249,Lookups!$C$2:$D$11,2))),0)&lt;1,1,IF(ROUND(10.499-(((N249-VLOOKUP($C249,Lookups!$A$55:$D$64,3))/(VLOOKUP($C249,Lookups!$A$55:$D$64,4))*VLOOKUP($C249,Lookups!$C$2:$D$11,2))),0)&lt;11,ROUND(10.499-(((N249-VLOOKUP($C249,Lookups!$A$55:$D$64,3))/(VLOOKUP($C249,Lookups!$A$55:$D$64,4))*VLOOKUP($C249,Lookups!$C$2:$D$11,2))),0),10))</f>
        <v>#N/A</v>
      </c>
      <c r="P249" s="13" t="str">
        <f>IF((SUM(F249:M249)=0),"J",VLOOKUP(O249,Lookups!$A$1:$B$11,2))</f>
        <v>J</v>
      </c>
      <c r="Q249" s="8" t="e">
        <f>VLOOKUP(C249,Lookups!$A$136:$C$144,3)</f>
        <v>#N/A</v>
      </c>
      <c r="R249" s="8" t="e">
        <f>VLOOKUP(C249,Lookups!$A$136:$C$144,2)</f>
        <v>#N/A</v>
      </c>
      <c r="S249" s="4" t="str">
        <f t="shared" si="22"/>
        <v>No</v>
      </c>
      <c r="T249" s="125">
        <f t="shared" si="23"/>
        <v>0</v>
      </c>
      <c r="U249" s="125">
        <f t="shared" si="24"/>
        <v>0</v>
      </c>
      <c r="V249" s="4" t="e">
        <f>IF($Q249&lt;&gt;3,VLOOKUP(F249,'Points Table A'!B$3:$F$33,5),VLOOKUP(F249,'Points Table A'!H$3:$L$33,5))</f>
        <v>#N/A</v>
      </c>
      <c r="W249" s="4" t="e">
        <f>IF($Q249&lt;&gt;3,VLOOKUP(G249,'Points Table A'!C$3:$F$33,4),VLOOKUP(G249,'Points Table A'!I$3:$L$33,4))</f>
        <v>#N/A</v>
      </c>
      <c r="X249" s="4" t="e">
        <f>IF($Q249&lt;&gt;3,VLOOKUP(H249,'Points Table A'!D$3:$F$28,3),VLOOKUP(H249,'Points Table A'!J$3:$L$33,3))</f>
        <v>#N/A</v>
      </c>
      <c r="Y249" s="4" t="e">
        <f>IF($Q249&lt;&gt;3,VLOOKUP(I249,'Points Table A'!E$3:$F$33,2),VLOOKUP(I249,'Points Table A'!K$3:$L$33,2))</f>
        <v>#N/A</v>
      </c>
      <c r="Z249" s="4" t="e">
        <f t="shared" si="25"/>
        <v>#N/A</v>
      </c>
      <c r="AA249" s="4">
        <f>IF($S249=Lookups!$B$113,VLOOKUP(L249,'Points Table C'!A$3:$E$11,5),VLOOKUP(U249,'Points Table C'!B$3:$E$11,4))</f>
        <v>0</v>
      </c>
      <c r="AB249" s="4" t="e">
        <f>IF($Q249=1,0,VLOOKUP($J249,'Points Table C'!$C$3:$E$18,3))</f>
        <v>#N/A</v>
      </c>
      <c r="AC249" s="4">
        <f>VLOOKUP($K249,'Points Table C'!$D$3:$E$18,2)</f>
        <v>0</v>
      </c>
      <c r="AD249" s="4" t="e">
        <f>IF($Z249&lt;Lookups!$C$106,($AA249+AB249+AC249),IF($AA249&gt;=Lookups!$C$120,($AA249+AB249+AC249),$AA249+$AB249))</f>
        <v>#N/A</v>
      </c>
      <c r="AF249" s="7"/>
      <c r="AG249" s="7"/>
      <c r="AH249" s="7"/>
      <c r="AI249" s="7"/>
      <c r="AJ249" s="7"/>
      <c r="AK249" s="7"/>
      <c r="AL249" s="7"/>
      <c r="AM249" s="7"/>
      <c r="AN249" s="7"/>
      <c r="AO249" s="7"/>
      <c r="AP249" s="7"/>
      <c r="AQ249" s="7"/>
      <c r="AR249" s="7"/>
      <c r="AS249" s="7"/>
      <c r="AT249" s="7"/>
      <c r="AU249" s="7"/>
      <c r="AV249" s="7"/>
      <c r="AW249" s="7"/>
      <c r="AY249" s="7"/>
      <c r="AZ249" s="7"/>
      <c r="BA249" s="7"/>
      <c r="BB249" s="7"/>
    </row>
    <row r="250" spans="2:54" x14ac:dyDescent="0.2">
      <c r="B250" s="174"/>
      <c r="C250" s="176"/>
      <c r="F250" s="5">
        <v>0</v>
      </c>
      <c r="G250" s="192">
        <v>0</v>
      </c>
      <c r="H250" s="192">
        <v>0</v>
      </c>
      <c r="I250" s="5">
        <v>0</v>
      </c>
      <c r="J250" s="192">
        <v>0</v>
      </c>
      <c r="K250" s="192">
        <v>0</v>
      </c>
      <c r="L250" s="5">
        <v>0</v>
      </c>
      <c r="M250" s="5">
        <v>0</v>
      </c>
      <c r="N250" s="4" t="e">
        <f t="shared" si="26"/>
        <v>#N/A</v>
      </c>
      <c r="O250" s="4" t="e">
        <f>IF(ROUND(10.499-(((N250-VLOOKUP($C250,Lookups!$A$55:$D$64,3))/(VLOOKUP($C250,Lookups!$A$55:$D$64,4))*VLOOKUP($C250,Lookups!$C$2:$D$11,2))),0)&lt;1,1,IF(ROUND(10.499-(((N250-VLOOKUP($C250,Lookups!$A$55:$D$64,3))/(VLOOKUP($C250,Lookups!$A$55:$D$64,4))*VLOOKUP($C250,Lookups!$C$2:$D$11,2))),0)&lt;11,ROUND(10.499-(((N250-VLOOKUP($C250,Lookups!$A$55:$D$64,3))/(VLOOKUP($C250,Lookups!$A$55:$D$64,4))*VLOOKUP($C250,Lookups!$C$2:$D$11,2))),0),10))</f>
        <v>#N/A</v>
      </c>
      <c r="P250" s="13" t="str">
        <f>IF((SUM(F250:M250)=0),"J",VLOOKUP(O250,Lookups!$A$1:$B$11,2))</f>
        <v>J</v>
      </c>
      <c r="Q250" s="8" t="e">
        <f>VLOOKUP(C250,Lookups!$A$136:$C$144,3)</f>
        <v>#N/A</v>
      </c>
      <c r="R250" s="8" t="e">
        <f>VLOOKUP(C250,Lookups!$A$136:$C$144,2)</f>
        <v>#N/A</v>
      </c>
      <c r="S250" s="4" t="str">
        <f t="shared" si="22"/>
        <v>No</v>
      </c>
      <c r="T250" s="125">
        <f t="shared" si="23"/>
        <v>0</v>
      </c>
      <c r="U250" s="125">
        <f t="shared" si="24"/>
        <v>0</v>
      </c>
      <c r="V250" s="4" t="e">
        <f>IF($Q250&lt;&gt;3,VLOOKUP(F250,'Points Table A'!B$3:$F$33,5),VLOOKUP(F250,'Points Table A'!H$3:$L$33,5))</f>
        <v>#N/A</v>
      </c>
      <c r="W250" s="4" t="e">
        <f>IF($Q250&lt;&gt;3,VLOOKUP(G250,'Points Table A'!C$3:$F$33,4),VLOOKUP(G250,'Points Table A'!I$3:$L$33,4))</f>
        <v>#N/A</v>
      </c>
      <c r="X250" s="4" t="e">
        <f>IF($Q250&lt;&gt;3,VLOOKUP(H250,'Points Table A'!D$3:$F$28,3),VLOOKUP(H250,'Points Table A'!J$3:$L$33,3))</f>
        <v>#N/A</v>
      </c>
      <c r="Y250" s="4" t="e">
        <f>IF($Q250&lt;&gt;3,VLOOKUP(I250,'Points Table A'!E$3:$F$33,2),VLOOKUP(I250,'Points Table A'!K$3:$L$33,2))</f>
        <v>#N/A</v>
      </c>
      <c r="Z250" s="4" t="e">
        <f t="shared" si="25"/>
        <v>#N/A</v>
      </c>
      <c r="AA250" s="4">
        <f>IF($S250=Lookups!$B$113,VLOOKUP(L250,'Points Table C'!A$3:$E$11,5),VLOOKUP(U250,'Points Table C'!B$3:$E$11,4))</f>
        <v>0</v>
      </c>
      <c r="AB250" s="4" t="e">
        <f>IF($Q250=1,0,VLOOKUP($J250,'Points Table C'!$C$3:$E$18,3))</f>
        <v>#N/A</v>
      </c>
      <c r="AC250" s="4">
        <f>VLOOKUP($K250,'Points Table C'!$D$3:$E$18,2)</f>
        <v>0</v>
      </c>
      <c r="AD250" s="4" t="e">
        <f>IF($Z250&lt;Lookups!$C$106,($AA250+AB250+AC250),IF($AA250&gt;=Lookups!$C$120,($AA250+AB250+AC250),$AA250+$AB250))</f>
        <v>#N/A</v>
      </c>
      <c r="AF250" s="7"/>
      <c r="AG250" s="7"/>
      <c r="AH250" s="7"/>
      <c r="AI250" s="7"/>
      <c r="AJ250" s="7"/>
      <c r="AK250" s="7"/>
      <c r="AL250" s="7"/>
      <c r="AM250" s="7"/>
      <c r="AN250" s="7"/>
      <c r="AO250" s="7"/>
      <c r="AP250" s="7"/>
      <c r="AQ250" s="7"/>
      <c r="AR250" s="7"/>
      <c r="AS250" s="7"/>
      <c r="AT250" s="7"/>
      <c r="AU250" s="7"/>
      <c r="AV250" s="7"/>
      <c r="AW250" s="7"/>
      <c r="AY250" s="7"/>
      <c r="AZ250" s="7"/>
      <c r="BA250" s="7"/>
      <c r="BB250" s="7"/>
    </row>
    <row r="251" spans="2:54" x14ac:dyDescent="0.2">
      <c r="B251" s="174"/>
      <c r="C251" s="176"/>
      <c r="F251" s="5">
        <v>0</v>
      </c>
      <c r="G251" s="192">
        <v>0</v>
      </c>
      <c r="H251" s="192">
        <v>0</v>
      </c>
      <c r="I251" s="5">
        <v>0</v>
      </c>
      <c r="J251" s="192">
        <v>0</v>
      </c>
      <c r="K251" s="192">
        <v>0</v>
      </c>
      <c r="L251" s="5">
        <v>0</v>
      </c>
      <c r="M251" s="5">
        <v>0</v>
      </c>
      <c r="N251" s="4" t="e">
        <f t="shared" si="26"/>
        <v>#N/A</v>
      </c>
      <c r="O251" s="4" t="e">
        <f>IF(ROUND(10.499-(((N251-VLOOKUP($C251,Lookups!$A$55:$D$64,3))/(VLOOKUP($C251,Lookups!$A$55:$D$64,4))*VLOOKUP($C251,Lookups!$C$2:$D$11,2))),0)&lt;1,1,IF(ROUND(10.499-(((N251-VLOOKUP($C251,Lookups!$A$55:$D$64,3))/(VLOOKUP($C251,Lookups!$A$55:$D$64,4))*VLOOKUP($C251,Lookups!$C$2:$D$11,2))),0)&lt;11,ROUND(10.499-(((N251-VLOOKUP($C251,Lookups!$A$55:$D$64,3))/(VLOOKUP($C251,Lookups!$A$55:$D$64,4))*VLOOKUP($C251,Lookups!$C$2:$D$11,2))),0),10))</f>
        <v>#N/A</v>
      </c>
      <c r="P251" s="13" t="str">
        <f>IF((SUM(F251:M251)=0),"J",VLOOKUP(O251,Lookups!$A$1:$B$11,2))</f>
        <v>J</v>
      </c>
      <c r="Q251" s="8" t="e">
        <f>VLOOKUP(C251,Lookups!$A$136:$C$144,3)</f>
        <v>#N/A</v>
      </c>
      <c r="R251" s="8" t="e">
        <f>VLOOKUP(C251,Lookups!$A$136:$C$144,2)</f>
        <v>#N/A</v>
      </c>
      <c r="S251" s="4" t="str">
        <f t="shared" si="22"/>
        <v>No</v>
      </c>
      <c r="T251" s="125">
        <f t="shared" si="23"/>
        <v>0</v>
      </c>
      <c r="U251" s="125">
        <f t="shared" si="24"/>
        <v>0</v>
      </c>
      <c r="V251" s="4" t="e">
        <f>IF($Q251&lt;&gt;3,VLOOKUP(F251,'Points Table A'!B$3:$F$33,5),VLOOKUP(F251,'Points Table A'!H$3:$L$33,5))</f>
        <v>#N/A</v>
      </c>
      <c r="W251" s="4" t="e">
        <f>IF($Q251&lt;&gt;3,VLOOKUP(G251,'Points Table A'!C$3:$F$33,4),VLOOKUP(G251,'Points Table A'!I$3:$L$33,4))</f>
        <v>#N/A</v>
      </c>
      <c r="X251" s="4" t="e">
        <f>IF($Q251&lt;&gt;3,VLOOKUP(H251,'Points Table A'!D$3:$F$28,3),VLOOKUP(H251,'Points Table A'!J$3:$L$33,3))</f>
        <v>#N/A</v>
      </c>
      <c r="Y251" s="4" t="e">
        <f>IF($Q251&lt;&gt;3,VLOOKUP(I251,'Points Table A'!E$3:$F$33,2),VLOOKUP(I251,'Points Table A'!K$3:$L$33,2))</f>
        <v>#N/A</v>
      </c>
      <c r="Z251" s="4" t="e">
        <f t="shared" si="25"/>
        <v>#N/A</v>
      </c>
      <c r="AA251" s="4">
        <f>IF($S251=Lookups!$B$113,VLOOKUP(L251,'Points Table C'!A$3:$E$11,5),VLOOKUP(U251,'Points Table C'!B$3:$E$11,4))</f>
        <v>0</v>
      </c>
      <c r="AB251" s="4" t="e">
        <f>IF($Q251=1,0,VLOOKUP($J251,'Points Table C'!$C$3:$E$18,3))</f>
        <v>#N/A</v>
      </c>
      <c r="AC251" s="4">
        <f>VLOOKUP($K251,'Points Table C'!$D$3:$E$18,2)</f>
        <v>0</v>
      </c>
      <c r="AD251" s="4" t="e">
        <f>IF($Z251&lt;Lookups!$C$106,($AA251+AB251+AC251),IF($AA251&gt;=Lookups!$C$120,($AA251+AB251+AC251),$AA251+$AB251))</f>
        <v>#N/A</v>
      </c>
      <c r="AF251" s="7"/>
      <c r="AG251" s="7"/>
      <c r="AH251" s="7"/>
      <c r="AI251" s="7"/>
      <c r="AJ251" s="7"/>
      <c r="AK251" s="7"/>
      <c r="AL251" s="7"/>
      <c r="AM251" s="7"/>
      <c r="AN251" s="7"/>
      <c r="AO251" s="7"/>
      <c r="AP251" s="7"/>
      <c r="AQ251" s="7"/>
      <c r="AR251" s="7"/>
      <c r="AS251" s="7"/>
      <c r="AT251" s="7"/>
      <c r="AU251" s="7"/>
      <c r="AV251" s="7"/>
      <c r="AW251" s="7"/>
      <c r="AY251" s="7"/>
      <c r="AZ251" s="7"/>
      <c r="BA251" s="7"/>
      <c r="BB251" s="7"/>
    </row>
    <row r="252" spans="2:54" x14ac:dyDescent="0.2">
      <c r="B252" s="174"/>
      <c r="C252" s="176"/>
      <c r="F252" s="5">
        <v>0</v>
      </c>
      <c r="G252" s="192">
        <v>0</v>
      </c>
      <c r="H252" s="192">
        <v>0</v>
      </c>
      <c r="I252" s="5">
        <v>0</v>
      </c>
      <c r="J252" s="192">
        <v>0</v>
      </c>
      <c r="K252" s="192">
        <v>0</v>
      </c>
      <c r="L252" s="5">
        <v>0</v>
      </c>
      <c r="M252" s="5">
        <v>0</v>
      </c>
      <c r="N252" s="4" t="e">
        <f t="shared" si="26"/>
        <v>#N/A</v>
      </c>
      <c r="O252" s="4" t="e">
        <f>IF(ROUND(10.499-(((N252-VLOOKUP($C252,Lookups!$A$55:$D$64,3))/(VLOOKUP($C252,Lookups!$A$55:$D$64,4))*VLOOKUP($C252,Lookups!$C$2:$D$11,2))),0)&lt;1,1,IF(ROUND(10.499-(((N252-VLOOKUP($C252,Lookups!$A$55:$D$64,3))/(VLOOKUP($C252,Lookups!$A$55:$D$64,4))*VLOOKUP($C252,Lookups!$C$2:$D$11,2))),0)&lt;11,ROUND(10.499-(((N252-VLOOKUP($C252,Lookups!$A$55:$D$64,3))/(VLOOKUP($C252,Lookups!$A$55:$D$64,4))*VLOOKUP($C252,Lookups!$C$2:$D$11,2))),0),10))</f>
        <v>#N/A</v>
      </c>
      <c r="P252" s="13" t="str">
        <f>IF((SUM(F252:M252)=0),"J",VLOOKUP(O252,Lookups!$A$1:$B$11,2))</f>
        <v>J</v>
      </c>
      <c r="Q252" s="8" t="e">
        <f>VLOOKUP(C252,Lookups!$A$136:$C$144,3)</f>
        <v>#N/A</v>
      </c>
      <c r="R252" s="8" t="e">
        <f>VLOOKUP(C252,Lookups!$A$136:$C$144,2)</f>
        <v>#N/A</v>
      </c>
      <c r="S252" s="4" t="str">
        <f t="shared" si="22"/>
        <v>No</v>
      </c>
      <c r="T252" s="125">
        <f t="shared" si="23"/>
        <v>0</v>
      </c>
      <c r="U252" s="125">
        <f t="shared" si="24"/>
        <v>0</v>
      </c>
      <c r="V252" s="4" t="e">
        <f>IF($Q252&lt;&gt;3,VLOOKUP(F252,'Points Table A'!B$3:$F$33,5),VLOOKUP(F252,'Points Table A'!H$3:$L$33,5))</f>
        <v>#N/A</v>
      </c>
      <c r="W252" s="4" t="e">
        <f>IF($Q252&lt;&gt;3,VLOOKUP(G252,'Points Table A'!C$3:$F$33,4),VLOOKUP(G252,'Points Table A'!I$3:$L$33,4))</f>
        <v>#N/A</v>
      </c>
      <c r="X252" s="4" t="e">
        <f>IF($Q252&lt;&gt;3,VLOOKUP(H252,'Points Table A'!D$3:$F$28,3),VLOOKUP(H252,'Points Table A'!J$3:$L$33,3))</f>
        <v>#N/A</v>
      </c>
      <c r="Y252" s="4" t="e">
        <f>IF($Q252&lt;&gt;3,VLOOKUP(I252,'Points Table A'!E$3:$F$33,2),VLOOKUP(I252,'Points Table A'!K$3:$L$33,2))</f>
        <v>#N/A</v>
      </c>
      <c r="Z252" s="4" t="e">
        <f t="shared" si="25"/>
        <v>#N/A</v>
      </c>
      <c r="AA252" s="4">
        <f>IF($S252=Lookups!$B$113,VLOOKUP(L252,'Points Table C'!A$3:$E$11,5),VLOOKUP(U252,'Points Table C'!B$3:$E$11,4))</f>
        <v>0</v>
      </c>
      <c r="AB252" s="4" t="e">
        <f>IF($Q252=1,0,VLOOKUP($J252,'Points Table C'!$C$3:$E$18,3))</f>
        <v>#N/A</v>
      </c>
      <c r="AC252" s="4">
        <f>VLOOKUP($K252,'Points Table C'!$D$3:$E$18,2)</f>
        <v>0</v>
      </c>
      <c r="AD252" s="4" t="e">
        <f>IF($Z252&lt;Lookups!$C$106,($AA252+AB252+AC252),IF($AA252&gt;=Lookups!$C$120,($AA252+AB252+AC252),$AA252+$AB252))</f>
        <v>#N/A</v>
      </c>
      <c r="AF252" s="7"/>
      <c r="AG252" s="7"/>
      <c r="AH252" s="7"/>
      <c r="AI252" s="7"/>
      <c r="AJ252" s="7"/>
      <c r="AK252" s="7"/>
      <c r="AL252" s="7"/>
      <c r="AM252" s="7"/>
      <c r="AN252" s="7"/>
      <c r="AO252" s="7"/>
      <c r="AP252" s="7"/>
      <c r="AQ252" s="7"/>
      <c r="AR252" s="7"/>
      <c r="AS252" s="7"/>
      <c r="AT252" s="7"/>
      <c r="AU252" s="7"/>
      <c r="AV252" s="7"/>
      <c r="AW252" s="7"/>
      <c r="AY252" s="7"/>
      <c r="AZ252" s="7"/>
      <c r="BA252" s="7"/>
      <c r="BB252" s="7"/>
    </row>
    <row r="253" spans="2:54" x14ac:dyDescent="0.2">
      <c r="B253" s="174"/>
      <c r="C253" s="176"/>
      <c r="F253" s="5">
        <v>0</v>
      </c>
      <c r="G253" s="192">
        <v>0</v>
      </c>
      <c r="H253" s="192">
        <v>0</v>
      </c>
      <c r="I253" s="5">
        <v>0</v>
      </c>
      <c r="J253" s="192">
        <v>0</v>
      </c>
      <c r="K253" s="192">
        <v>0</v>
      </c>
      <c r="L253" s="5">
        <v>0</v>
      </c>
      <c r="M253" s="5">
        <v>0</v>
      </c>
      <c r="N253" s="4" t="e">
        <f t="shared" si="26"/>
        <v>#N/A</v>
      </c>
      <c r="O253" s="4" t="e">
        <f>IF(ROUND(10.499-(((N253-VLOOKUP($C253,Lookups!$A$55:$D$64,3))/(VLOOKUP($C253,Lookups!$A$55:$D$64,4))*VLOOKUP($C253,Lookups!$C$2:$D$11,2))),0)&lt;1,1,IF(ROUND(10.499-(((N253-VLOOKUP($C253,Lookups!$A$55:$D$64,3))/(VLOOKUP($C253,Lookups!$A$55:$D$64,4))*VLOOKUP($C253,Lookups!$C$2:$D$11,2))),0)&lt;11,ROUND(10.499-(((N253-VLOOKUP($C253,Lookups!$A$55:$D$64,3))/(VLOOKUP($C253,Lookups!$A$55:$D$64,4))*VLOOKUP($C253,Lookups!$C$2:$D$11,2))),0),10))</f>
        <v>#N/A</v>
      </c>
      <c r="P253" s="13" t="str">
        <f>IF((SUM(F253:M253)=0),"J",VLOOKUP(O253,Lookups!$A$1:$B$11,2))</f>
        <v>J</v>
      </c>
      <c r="Q253" s="8" t="e">
        <f>VLOOKUP(C253,Lookups!$A$136:$C$144,3)</f>
        <v>#N/A</v>
      </c>
      <c r="R253" s="8" t="e">
        <f>VLOOKUP(C253,Lookups!$A$136:$C$144,2)</f>
        <v>#N/A</v>
      </c>
      <c r="S253" s="4" t="str">
        <f t="shared" si="22"/>
        <v>No</v>
      </c>
      <c r="T253" s="125">
        <f t="shared" si="23"/>
        <v>0</v>
      </c>
      <c r="U253" s="125">
        <f t="shared" si="24"/>
        <v>0</v>
      </c>
      <c r="V253" s="4" t="e">
        <f>IF($Q253&lt;&gt;3,VLOOKUP(F253,'Points Table A'!B$3:$F$33,5),VLOOKUP(F253,'Points Table A'!H$3:$L$33,5))</f>
        <v>#N/A</v>
      </c>
      <c r="W253" s="4" t="e">
        <f>IF($Q253&lt;&gt;3,VLOOKUP(G253,'Points Table A'!C$3:$F$33,4),VLOOKUP(G253,'Points Table A'!I$3:$L$33,4))</f>
        <v>#N/A</v>
      </c>
      <c r="X253" s="4" t="e">
        <f>IF($Q253&lt;&gt;3,VLOOKUP(H253,'Points Table A'!D$3:$F$28,3),VLOOKUP(H253,'Points Table A'!J$3:$L$33,3))</f>
        <v>#N/A</v>
      </c>
      <c r="Y253" s="4" t="e">
        <f>IF($Q253&lt;&gt;3,VLOOKUP(I253,'Points Table A'!E$3:$F$33,2),VLOOKUP(I253,'Points Table A'!K$3:$L$33,2))</f>
        <v>#N/A</v>
      </c>
      <c r="Z253" s="4" t="e">
        <f t="shared" si="25"/>
        <v>#N/A</v>
      </c>
      <c r="AA253" s="4">
        <f>IF($S253=Lookups!$B$113,VLOOKUP(L253,'Points Table C'!A$3:$E$11,5),VLOOKUP(U253,'Points Table C'!B$3:$E$11,4))</f>
        <v>0</v>
      </c>
      <c r="AB253" s="4" t="e">
        <f>IF($Q253=1,0,VLOOKUP($J253,'Points Table C'!$C$3:$E$18,3))</f>
        <v>#N/A</v>
      </c>
      <c r="AC253" s="4">
        <f>VLOOKUP($K253,'Points Table C'!$D$3:$E$18,2)</f>
        <v>0</v>
      </c>
      <c r="AD253" s="4" t="e">
        <f>IF($Z253&lt;Lookups!$C$106,($AA253+AB253+AC253),IF($AA253&gt;=Lookups!$C$120,($AA253+AB253+AC253),$AA253+$AB253))</f>
        <v>#N/A</v>
      </c>
      <c r="AF253" s="7"/>
      <c r="AG253" s="7"/>
      <c r="AH253" s="7"/>
      <c r="AI253" s="7"/>
      <c r="AJ253" s="7"/>
      <c r="AK253" s="7"/>
      <c r="AL253" s="7"/>
      <c r="AM253" s="7"/>
      <c r="AN253" s="7"/>
      <c r="AO253" s="7"/>
      <c r="AP253" s="7"/>
      <c r="AQ253" s="7"/>
      <c r="AR253" s="7"/>
      <c r="AS253" s="7"/>
      <c r="AT253" s="7"/>
      <c r="AU253" s="7"/>
      <c r="AV253" s="7"/>
      <c r="AW253" s="7"/>
      <c r="AY253" s="7"/>
      <c r="AZ253" s="7"/>
      <c r="BA253" s="7"/>
      <c r="BB253" s="7"/>
    </row>
    <row r="254" spans="2:54" x14ac:dyDescent="0.2">
      <c r="B254" s="174"/>
      <c r="C254" s="176"/>
      <c r="F254" s="5">
        <v>0</v>
      </c>
      <c r="G254" s="192">
        <v>0</v>
      </c>
      <c r="H254" s="192">
        <v>0</v>
      </c>
      <c r="I254" s="5">
        <v>0</v>
      </c>
      <c r="J254" s="192">
        <v>0</v>
      </c>
      <c r="K254" s="192">
        <v>0</v>
      </c>
      <c r="L254" s="5">
        <v>0</v>
      </c>
      <c r="M254" s="5">
        <v>0</v>
      </c>
      <c r="N254" s="4" t="e">
        <f t="shared" si="26"/>
        <v>#N/A</v>
      </c>
      <c r="O254" s="4" t="e">
        <f>IF(ROUND(10.499-(((N254-VLOOKUP($C254,Lookups!$A$55:$D$64,3))/(VLOOKUP($C254,Lookups!$A$55:$D$64,4))*VLOOKUP($C254,Lookups!$C$2:$D$11,2))),0)&lt;1,1,IF(ROUND(10.499-(((N254-VLOOKUP($C254,Lookups!$A$55:$D$64,3))/(VLOOKUP($C254,Lookups!$A$55:$D$64,4))*VLOOKUP($C254,Lookups!$C$2:$D$11,2))),0)&lt;11,ROUND(10.499-(((N254-VLOOKUP($C254,Lookups!$A$55:$D$64,3))/(VLOOKUP($C254,Lookups!$A$55:$D$64,4))*VLOOKUP($C254,Lookups!$C$2:$D$11,2))),0),10))</f>
        <v>#N/A</v>
      </c>
      <c r="P254" s="13" t="str">
        <f>IF((SUM(F254:M254)=0),"J",VLOOKUP(O254,Lookups!$A$1:$B$11,2))</f>
        <v>J</v>
      </c>
      <c r="Q254" s="8" t="e">
        <f>VLOOKUP(C254,Lookups!$A$136:$C$144,3)</f>
        <v>#N/A</v>
      </c>
      <c r="R254" s="8" t="e">
        <f>VLOOKUP(C254,Lookups!$A$136:$C$144,2)</f>
        <v>#N/A</v>
      </c>
      <c r="S254" s="4" t="str">
        <f t="shared" si="22"/>
        <v>No</v>
      </c>
      <c r="T254" s="125">
        <f t="shared" si="23"/>
        <v>0</v>
      </c>
      <c r="U254" s="125">
        <f t="shared" si="24"/>
        <v>0</v>
      </c>
      <c r="V254" s="4" t="e">
        <f>IF($Q254&lt;&gt;3,VLOOKUP(F254,'Points Table A'!B$3:$F$33,5),VLOOKUP(F254,'Points Table A'!H$3:$L$33,5))</f>
        <v>#N/A</v>
      </c>
      <c r="W254" s="4" t="e">
        <f>IF($Q254&lt;&gt;3,VLOOKUP(G254,'Points Table A'!C$3:$F$33,4),VLOOKUP(G254,'Points Table A'!I$3:$L$33,4))</f>
        <v>#N/A</v>
      </c>
      <c r="X254" s="4" t="e">
        <f>IF($Q254&lt;&gt;3,VLOOKUP(H254,'Points Table A'!D$3:$F$28,3),VLOOKUP(H254,'Points Table A'!J$3:$L$33,3))</f>
        <v>#N/A</v>
      </c>
      <c r="Y254" s="4" t="e">
        <f>IF($Q254&lt;&gt;3,VLOOKUP(I254,'Points Table A'!E$3:$F$33,2),VLOOKUP(I254,'Points Table A'!K$3:$L$33,2))</f>
        <v>#N/A</v>
      </c>
      <c r="Z254" s="4" t="e">
        <f t="shared" si="25"/>
        <v>#N/A</v>
      </c>
      <c r="AA254" s="4">
        <f>IF($S254=Lookups!$B$113,VLOOKUP(L254,'Points Table C'!A$3:$E$11,5),VLOOKUP(U254,'Points Table C'!B$3:$E$11,4))</f>
        <v>0</v>
      </c>
      <c r="AB254" s="4" t="e">
        <f>IF($Q254=1,0,VLOOKUP($J254,'Points Table C'!$C$3:$E$18,3))</f>
        <v>#N/A</v>
      </c>
      <c r="AC254" s="4">
        <f>VLOOKUP($K254,'Points Table C'!$D$3:$E$18,2)</f>
        <v>0</v>
      </c>
      <c r="AD254" s="4" t="e">
        <f>IF($Z254&lt;Lookups!$C$106,($AA254+AB254+AC254),IF($AA254&gt;=Lookups!$C$120,($AA254+AB254+AC254),$AA254+$AB254))</f>
        <v>#N/A</v>
      </c>
      <c r="AF254" s="7"/>
      <c r="AG254" s="7"/>
      <c r="AH254" s="7"/>
      <c r="AI254" s="7"/>
      <c r="AJ254" s="7"/>
      <c r="AK254" s="7"/>
      <c r="AL254" s="7"/>
      <c r="AM254" s="7"/>
      <c r="AN254" s="7"/>
      <c r="AO254" s="7"/>
      <c r="AP254" s="7"/>
      <c r="AQ254" s="7"/>
      <c r="AR254" s="7"/>
      <c r="AS254" s="7"/>
      <c r="AT254" s="7"/>
      <c r="AU254" s="7"/>
      <c r="AV254" s="7"/>
      <c r="AW254" s="7"/>
      <c r="AY254" s="7"/>
      <c r="AZ254" s="7"/>
      <c r="BA254" s="7"/>
      <c r="BB254" s="7"/>
    </row>
    <row r="255" spans="2:54" x14ac:dyDescent="0.2">
      <c r="B255" s="174"/>
      <c r="C255" s="176"/>
      <c r="F255" s="5">
        <v>0</v>
      </c>
      <c r="G255" s="192">
        <v>0</v>
      </c>
      <c r="H255" s="192">
        <v>0</v>
      </c>
      <c r="I255" s="5">
        <v>0</v>
      </c>
      <c r="J255" s="192">
        <v>0</v>
      </c>
      <c r="K255" s="192">
        <v>0</v>
      </c>
      <c r="L255" s="5">
        <v>0</v>
      </c>
      <c r="M255" s="5">
        <v>0</v>
      </c>
      <c r="N255" s="4" t="e">
        <f t="shared" si="26"/>
        <v>#N/A</v>
      </c>
      <c r="O255" s="4" t="e">
        <f>IF(ROUND(10.499-(((N255-VLOOKUP($C255,Lookups!$A$55:$D$64,3))/(VLOOKUP($C255,Lookups!$A$55:$D$64,4))*VLOOKUP($C255,Lookups!$C$2:$D$11,2))),0)&lt;1,1,IF(ROUND(10.499-(((N255-VLOOKUP($C255,Lookups!$A$55:$D$64,3))/(VLOOKUP($C255,Lookups!$A$55:$D$64,4))*VLOOKUP($C255,Lookups!$C$2:$D$11,2))),0)&lt;11,ROUND(10.499-(((N255-VLOOKUP($C255,Lookups!$A$55:$D$64,3))/(VLOOKUP($C255,Lookups!$A$55:$D$64,4))*VLOOKUP($C255,Lookups!$C$2:$D$11,2))),0),10))</f>
        <v>#N/A</v>
      </c>
      <c r="P255" s="13" t="str">
        <f>IF((SUM(F255:M255)=0),"J",VLOOKUP(O255,Lookups!$A$1:$B$11,2))</f>
        <v>J</v>
      </c>
      <c r="Q255" s="8" t="e">
        <f>VLOOKUP(C255,Lookups!$A$136:$C$144,3)</f>
        <v>#N/A</v>
      </c>
      <c r="R255" s="8" t="e">
        <f>VLOOKUP(C255,Lookups!$A$136:$C$144,2)</f>
        <v>#N/A</v>
      </c>
      <c r="S255" s="4" t="str">
        <f t="shared" si="22"/>
        <v>No</v>
      </c>
      <c r="T255" s="125">
        <f t="shared" si="23"/>
        <v>0</v>
      </c>
      <c r="U255" s="125">
        <f t="shared" si="24"/>
        <v>0</v>
      </c>
      <c r="V255" s="4" t="e">
        <f>IF($Q255&lt;&gt;3,VLOOKUP(F255,'Points Table A'!B$3:$F$33,5),VLOOKUP(F255,'Points Table A'!H$3:$L$33,5))</f>
        <v>#N/A</v>
      </c>
      <c r="W255" s="4" t="e">
        <f>IF($Q255&lt;&gt;3,VLOOKUP(G255,'Points Table A'!C$3:$F$33,4),VLOOKUP(G255,'Points Table A'!I$3:$L$33,4))</f>
        <v>#N/A</v>
      </c>
      <c r="X255" s="4" t="e">
        <f>IF($Q255&lt;&gt;3,VLOOKUP(H255,'Points Table A'!D$3:$F$28,3),VLOOKUP(H255,'Points Table A'!J$3:$L$33,3))</f>
        <v>#N/A</v>
      </c>
      <c r="Y255" s="4" t="e">
        <f>IF($Q255&lt;&gt;3,VLOOKUP(I255,'Points Table A'!E$3:$F$33,2),VLOOKUP(I255,'Points Table A'!K$3:$L$33,2))</f>
        <v>#N/A</v>
      </c>
      <c r="Z255" s="4" t="e">
        <f t="shared" si="25"/>
        <v>#N/A</v>
      </c>
      <c r="AA255" s="4">
        <f>IF($S255=Lookups!$B$113,VLOOKUP(L255,'Points Table C'!A$3:$E$11,5),VLOOKUP(U255,'Points Table C'!B$3:$E$11,4))</f>
        <v>0</v>
      </c>
      <c r="AB255" s="4" t="e">
        <f>IF($Q255=1,0,VLOOKUP($J255,'Points Table C'!$C$3:$E$18,3))</f>
        <v>#N/A</v>
      </c>
      <c r="AC255" s="4">
        <f>VLOOKUP($K255,'Points Table C'!$D$3:$E$18,2)</f>
        <v>0</v>
      </c>
      <c r="AD255" s="4" t="e">
        <f>IF($Z255&lt;Lookups!$C$106,($AA255+AB255+AC255),IF($AA255&gt;=Lookups!$C$120,($AA255+AB255+AC255),$AA255+$AB255))</f>
        <v>#N/A</v>
      </c>
      <c r="AF255" s="7"/>
      <c r="AG255" s="7"/>
      <c r="AH255" s="7"/>
      <c r="AI255" s="7"/>
      <c r="AJ255" s="7"/>
      <c r="AK255" s="7"/>
      <c r="AL255" s="7"/>
      <c r="AM255" s="7"/>
      <c r="AN255" s="7"/>
      <c r="AO255" s="7"/>
      <c r="AP255" s="7"/>
      <c r="AQ255" s="7"/>
      <c r="AR255" s="7"/>
      <c r="AS255" s="7"/>
      <c r="AT255" s="7"/>
      <c r="AU255" s="7"/>
      <c r="AV255" s="7"/>
      <c r="AW255" s="7"/>
      <c r="AY255" s="7"/>
      <c r="AZ255" s="7"/>
      <c r="BA255" s="7"/>
      <c r="BB255" s="7"/>
    </row>
    <row r="256" spans="2:54" x14ac:dyDescent="0.2">
      <c r="B256" s="174"/>
      <c r="C256" s="176"/>
      <c r="F256" s="5">
        <v>0</v>
      </c>
      <c r="G256" s="192">
        <v>0</v>
      </c>
      <c r="H256" s="192">
        <v>0</v>
      </c>
      <c r="I256" s="5">
        <v>0</v>
      </c>
      <c r="J256" s="192">
        <v>0</v>
      </c>
      <c r="K256" s="192">
        <v>0</v>
      </c>
      <c r="L256" s="5">
        <v>0</v>
      </c>
      <c r="M256" s="5">
        <v>0</v>
      </c>
      <c r="N256" s="4" t="e">
        <f t="shared" si="26"/>
        <v>#N/A</v>
      </c>
      <c r="O256" s="4" t="e">
        <f>IF(ROUND(10.499-(((N256-VLOOKUP($C256,Lookups!$A$55:$D$64,3))/(VLOOKUP($C256,Lookups!$A$55:$D$64,4))*VLOOKUP($C256,Lookups!$C$2:$D$11,2))),0)&lt;1,1,IF(ROUND(10.499-(((N256-VLOOKUP($C256,Lookups!$A$55:$D$64,3))/(VLOOKUP($C256,Lookups!$A$55:$D$64,4))*VLOOKUP($C256,Lookups!$C$2:$D$11,2))),0)&lt;11,ROUND(10.499-(((N256-VLOOKUP($C256,Lookups!$A$55:$D$64,3))/(VLOOKUP($C256,Lookups!$A$55:$D$64,4))*VLOOKUP($C256,Lookups!$C$2:$D$11,2))),0),10))</f>
        <v>#N/A</v>
      </c>
      <c r="P256" s="13" t="str">
        <f>IF((SUM(F256:M256)=0),"J",VLOOKUP(O256,Lookups!$A$1:$B$11,2))</f>
        <v>J</v>
      </c>
      <c r="Q256" s="8" t="e">
        <f>VLOOKUP(C256,Lookups!$A$136:$C$144,3)</f>
        <v>#N/A</v>
      </c>
      <c r="R256" s="8" t="e">
        <f>VLOOKUP(C256,Lookups!$A$136:$C$144,2)</f>
        <v>#N/A</v>
      </c>
      <c r="S256" s="4" t="str">
        <f t="shared" si="22"/>
        <v>No</v>
      </c>
      <c r="T256" s="125">
        <f t="shared" si="23"/>
        <v>0</v>
      </c>
      <c r="U256" s="125">
        <f t="shared" si="24"/>
        <v>0</v>
      </c>
      <c r="V256" s="4" t="e">
        <f>IF($Q256&lt;&gt;3,VLOOKUP(F256,'Points Table A'!B$3:$F$33,5),VLOOKUP(F256,'Points Table A'!H$3:$L$33,5))</f>
        <v>#N/A</v>
      </c>
      <c r="W256" s="4" t="e">
        <f>IF($Q256&lt;&gt;3,VLOOKUP(G256,'Points Table A'!C$3:$F$33,4),VLOOKUP(G256,'Points Table A'!I$3:$L$33,4))</f>
        <v>#N/A</v>
      </c>
      <c r="X256" s="4" t="e">
        <f>IF($Q256&lt;&gt;3,VLOOKUP(H256,'Points Table A'!D$3:$F$28,3),VLOOKUP(H256,'Points Table A'!J$3:$L$33,3))</f>
        <v>#N/A</v>
      </c>
      <c r="Y256" s="4" t="e">
        <f>IF($Q256&lt;&gt;3,VLOOKUP(I256,'Points Table A'!E$3:$F$33,2),VLOOKUP(I256,'Points Table A'!K$3:$L$33,2))</f>
        <v>#N/A</v>
      </c>
      <c r="Z256" s="4" t="e">
        <f t="shared" si="25"/>
        <v>#N/A</v>
      </c>
      <c r="AA256" s="4">
        <f>IF($S256=Lookups!$B$113,VLOOKUP(L256,'Points Table C'!A$3:$E$11,5),VLOOKUP(U256,'Points Table C'!B$3:$E$11,4))</f>
        <v>0</v>
      </c>
      <c r="AB256" s="4" t="e">
        <f>IF($Q256=1,0,VLOOKUP($J256,'Points Table C'!$C$3:$E$18,3))</f>
        <v>#N/A</v>
      </c>
      <c r="AC256" s="4">
        <f>VLOOKUP($K256,'Points Table C'!$D$3:$E$18,2)</f>
        <v>0</v>
      </c>
      <c r="AD256" s="4" t="e">
        <f>IF($Z256&lt;Lookups!$C$106,($AA256+AB256+AC256),IF($AA256&gt;=Lookups!$C$120,($AA256+AB256+AC256),$AA256+$AB256))</f>
        <v>#N/A</v>
      </c>
      <c r="AF256" s="7"/>
      <c r="AG256" s="7"/>
      <c r="AH256" s="7"/>
      <c r="AI256" s="7"/>
      <c r="AJ256" s="7"/>
      <c r="AK256" s="7"/>
      <c r="AL256" s="7"/>
      <c r="AM256" s="7"/>
      <c r="AN256" s="7"/>
      <c r="AO256" s="7"/>
      <c r="AP256" s="7"/>
      <c r="AQ256" s="7"/>
      <c r="AR256" s="7"/>
      <c r="AS256" s="7"/>
      <c r="AT256" s="7"/>
      <c r="AU256" s="7"/>
      <c r="AV256" s="7"/>
      <c r="AW256" s="7"/>
      <c r="AY256" s="7"/>
      <c r="AZ256" s="7"/>
      <c r="BA256" s="7"/>
      <c r="BB256" s="7"/>
    </row>
    <row r="257" spans="2:54" x14ac:dyDescent="0.2">
      <c r="B257" s="174"/>
      <c r="C257" s="176"/>
      <c r="F257" s="5">
        <v>0</v>
      </c>
      <c r="G257" s="192">
        <v>0</v>
      </c>
      <c r="H257" s="192">
        <v>0</v>
      </c>
      <c r="I257" s="5">
        <v>0</v>
      </c>
      <c r="J257" s="192">
        <v>0</v>
      </c>
      <c r="K257" s="192">
        <v>0</v>
      </c>
      <c r="L257" s="5">
        <v>0</v>
      </c>
      <c r="M257" s="5">
        <v>0</v>
      </c>
      <c r="N257" s="4" t="e">
        <f t="shared" si="26"/>
        <v>#N/A</v>
      </c>
      <c r="O257" s="4" t="e">
        <f>IF(ROUND(10.499-(((N257-VLOOKUP($C257,Lookups!$A$55:$D$64,3))/(VLOOKUP($C257,Lookups!$A$55:$D$64,4))*VLOOKUP($C257,Lookups!$C$2:$D$11,2))),0)&lt;1,1,IF(ROUND(10.499-(((N257-VLOOKUP($C257,Lookups!$A$55:$D$64,3))/(VLOOKUP($C257,Lookups!$A$55:$D$64,4))*VLOOKUP($C257,Lookups!$C$2:$D$11,2))),0)&lt;11,ROUND(10.499-(((N257-VLOOKUP($C257,Lookups!$A$55:$D$64,3))/(VLOOKUP($C257,Lookups!$A$55:$D$64,4))*VLOOKUP($C257,Lookups!$C$2:$D$11,2))),0),10))</f>
        <v>#N/A</v>
      </c>
      <c r="P257" s="13" t="str">
        <f>IF((SUM(F257:M257)=0),"J",VLOOKUP(O257,Lookups!$A$1:$B$11,2))</f>
        <v>J</v>
      </c>
      <c r="Q257" s="8" t="e">
        <f>VLOOKUP(C257,Lookups!$A$136:$C$144,3)</f>
        <v>#N/A</v>
      </c>
      <c r="R257" s="8" t="e">
        <f>VLOOKUP(C257,Lookups!$A$136:$C$144,2)</f>
        <v>#N/A</v>
      </c>
      <c r="S257" s="4" t="str">
        <f t="shared" si="22"/>
        <v>No</v>
      </c>
      <c r="T257" s="125">
        <f t="shared" si="23"/>
        <v>0</v>
      </c>
      <c r="U257" s="125">
        <f t="shared" si="24"/>
        <v>0</v>
      </c>
      <c r="V257" s="4" t="e">
        <f>IF($Q257&lt;&gt;3,VLOOKUP(F257,'Points Table A'!B$3:$F$33,5),VLOOKUP(F257,'Points Table A'!H$3:$L$33,5))</f>
        <v>#N/A</v>
      </c>
      <c r="W257" s="4" t="e">
        <f>IF($Q257&lt;&gt;3,VLOOKUP(G257,'Points Table A'!C$3:$F$33,4),VLOOKUP(G257,'Points Table A'!I$3:$L$33,4))</f>
        <v>#N/A</v>
      </c>
      <c r="X257" s="4" t="e">
        <f>IF($Q257&lt;&gt;3,VLOOKUP(H257,'Points Table A'!D$3:$F$28,3),VLOOKUP(H257,'Points Table A'!J$3:$L$33,3))</f>
        <v>#N/A</v>
      </c>
      <c r="Y257" s="4" t="e">
        <f>IF($Q257&lt;&gt;3,VLOOKUP(I257,'Points Table A'!E$3:$F$33,2),VLOOKUP(I257,'Points Table A'!K$3:$L$33,2))</f>
        <v>#N/A</v>
      </c>
      <c r="Z257" s="4" t="e">
        <f t="shared" si="25"/>
        <v>#N/A</v>
      </c>
      <c r="AA257" s="4">
        <f>IF($S257=Lookups!$B$113,VLOOKUP(L257,'Points Table C'!A$3:$E$11,5),VLOOKUP(U257,'Points Table C'!B$3:$E$11,4))</f>
        <v>0</v>
      </c>
      <c r="AB257" s="4" t="e">
        <f>IF($Q257=1,0,VLOOKUP($J257,'Points Table C'!$C$3:$E$18,3))</f>
        <v>#N/A</v>
      </c>
      <c r="AC257" s="4">
        <f>VLOOKUP($K257,'Points Table C'!$D$3:$E$18,2)</f>
        <v>0</v>
      </c>
      <c r="AD257" s="4" t="e">
        <f>IF($Z257&lt;Lookups!$C$106,($AA257+AB257+AC257),IF($AA257&gt;=Lookups!$C$120,($AA257+AB257+AC257),$AA257+$AB257))</f>
        <v>#N/A</v>
      </c>
      <c r="AF257" s="7"/>
      <c r="AG257" s="7"/>
      <c r="AH257" s="7"/>
      <c r="AI257" s="7"/>
      <c r="AJ257" s="7"/>
      <c r="AK257" s="7"/>
      <c r="AL257" s="7"/>
      <c r="AM257" s="7"/>
      <c r="AN257" s="7"/>
      <c r="AO257" s="7"/>
      <c r="AP257" s="7"/>
      <c r="AQ257" s="7"/>
      <c r="AR257" s="7"/>
      <c r="AS257" s="7"/>
      <c r="AT257" s="7"/>
      <c r="AU257" s="7"/>
      <c r="AV257" s="7"/>
      <c r="AW257" s="7"/>
      <c r="AY257" s="7"/>
      <c r="AZ257" s="7"/>
      <c r="BA257" s="7"/>
      <c r="BB257" s="7"/>
    </row>
    <row r="258" spans="2:54" x14ac:dyDescent="0.2">
      <c r="B258" s="174"/>
      <c r="C258" s="176"/>
      <c r="F258" s="5">
        <v>0</v>
      </c>
      <c r="G258" s="192">
        <v>0</v>
      </c>
      <c r="H258" s="192">
        <v>0</v>
      </c>
      <c r="I258" s="5">
        <v>0</v>
      </c>
      <c r="J258" s="192">
        <v>0</v>
      </c>
      <c r="K258" s="192">
        <v>0</v>
      </c>
      <c r="L258" s="5">
        <v>0</v>
      </c>
      <c r="M258" s="5">
        <v>0</v>
      </c>
      <c r="N258" s="4" t="e">
        <f t="shared" si="26"/>
        <v>#N/A</v>
      </c>
      <c r="O258" s="4" t="e">
        <f>IF(ROUND(10.499-(((N258-VLOOKUP($C258,Lookups!$A$55:$D$64,3))/(VLOOKUP($C258,Lookups!$A$55:$D$64,4))*VLOOKUP($C258,Lookups!$C$2:$D$11,2))),0)&lt;1,1,IF(ROUND(10.499-(((N258-VLOOKUP($C258,Lookups!$A$55:$D$64,3))/(VLOOKUP($C258,Lookups!$A$55:$D$64,4))*VLOOKUP($C258,Lookups!$C$2:$D$11,2))),0)&lt;11,ROUND(10.499-(((N258-VLOOKUP($C258,Lookups!$A$55:$D$64,3))/(VLOOKUP($C258,Lookups!$A$55:$D$64,4))*VLOOKUP($C258,Lookups!$C$2:$D$11,2))),0),10))</f>
        <v>#N/A</v>
      </c>
      <c r="P258" s="13" t="str">
        <f>IF((SUM(F258:M258)=0),"J",VLOOKUP(O258,Lookups!$A$1:$B$11,2))</f>
        <v>J</v>
      </c>
      <c r="Q258" s="8" t="e">
        <f>VLOOKUP(C258,Lookups!$A$136:$C$144,3)</f>
        <v>#N/A</v>
      </c>
      <c r="R258" s="8" t="e">
        <f>VLOOKUP(C258,Lookups!$A$136:$C$144,2)</f>
        <v>#N/A</v>
      </c>
      <c r="S258" s="4" t="str">
        <f t="shared" si="22"/>
        <v>No</v>
      </c>
      <c r="T258" s="125">
        <f t="shared" si="23"/>
        <v>0</v>
      </c>
      <c r="U258" s="125">
        <f t="shared" si="24"/>
        <v>0</v>
      </c>
      <c r="V258" s="4" t="e">
        <f>IF($Q258&lt;&gt;3,VLOOKUP(F258,'Points Table A'!B$3:$F$33,5),VLOOKUP(F258,'Points Table A'!H$3:$L$33,5))</f>
        <v>#N/A</v>
      </c>
      <c r="W258" s="4" t="e">
        <f>IF($Q258&lt;&gt;3,VLOOKUP(G258,'Points Table A'!C$3:$F$33,4),VLOOKUP(G258,'Points Table A'!I$3:$L$33,4))</f>
        <v>#N/A</v>
      </c>
      <c r="X258" s="4" t="e">
        <f>IF($Q258&lt;&gt;3,VLOOKUP(H258,'Points Table A'!D$3:$F$28,3),VLOOKUP(H258,'Points Table A'!J$3:$L$33,3))</f>
        <v>#N/A</v>
      </c>
      <c r="Y258" s="4" t="e">
        <f>IF($Q258&lt;&gt;3,VLOOKUP(I258,'Points Table A'!E$3:$F$33,2),VLOOKUP(I258,'Points Table A'!K$3:$L$33,2))</f>
        <v>#N/A</v>
      </c>
      <c r="Z258" s="4" t="e">
        <f t="shared" si="25"/>
        <v>#N/A</v>
      </c>
      <c r="AA258" s="4">
        <f>IF($S258=Lookups!$B$113,VLOOKUP(L258,'Points Table C'!A$3:$E$11,5),VLOOKUP(U258,'Points Table C'!B$3:$E$11,4))</f>
        <v>0</v>
      </c>
      <c r="AB258" s="4" t="e">
        <f>IF($Q258=1,0,VLOOKUP($J258,'Points Table C'!$C$3:$E$18,3))</f>
        <v>#N/A</v>
      </c>
      <c r="AC258" s="4">
        <f>VLOOKUP($K258,'Points Table C'!$D$3:$E$18,2)</f>
        <v>0</v>
      </c>
      <c r="AD258" s="4" t="e">
        <f>IF($Z258&lt;Lookups!$C$106,($AA258+AB258+AC258),IF($AA258&gt;=Lookups!$C$120,($AA258+AB258+AC258),$AA258+$AB258))</f>
        <v>#N/A</v>
      </c>
      <c r="AF258" s="7"/>
      <c r="AG258" s="7"/>
      <c r="AH258" s="7"/>
      <c r="AI258" s="7"/>
      <c r="AJ258" s="7"/>
      <c r="AK258" s="7"/>
      <c r="AL258" s="7"/>
      <c r="AM258" s="7"/>
      <c r="AN258" s="7"/>
      <c r="AO258" s="7"/>
      <c r="AP258" s="7"/>
      <c r="AQ258" s="7"/>
      <c r="AR258" s="7"/>
      <c r="AS258" s="7"/>
      <c r="AT258" s="7"/>
      <c r="AU258" s="7"/>
      <c r="AV258" s="7"/>
      <c r="AW258" s="7"/>
      <c r="AY258" s="7"/>
      <c r="AZ258" s="7"/>
      <c r="BA258" s="7"/>
      <c r="BB258" s="7"/>
    </row>
    <row r="259" spans="2:54" x14ac:dyDescent="0.2">
      <c r="B259" s="174"/>
      <c r="C259" s="176"/>
      <c r="F259" s="5">
        <v>0</v>
      </c>
      <c r="G259" s="192">
        <v>0</v>
      </c>
      <c r="H259" s="192">
        <v>0</v>
      </c>
      <c r="I259" s="5">
        <v>0</v>
      </c>
      <c r="J259" s="192">
        <v>0</v>
      </c>
      <c r="K259" s="192">
        <v>0</v>
      </c>
      <c r="L259" s="5">
        <v>0</v>
      </c>
      <c r="M259" s="5">
        <v>0</v>
      </c>
      <c r="N259" s="4" t="e">
        <f t="shared" si="26"/>
        <v>#N/A</v>
      </c>
      <c r="O259" s="4" t="e">
        <f>IF(ROUND(10.499-(((N259-VLOOKUP($C259,Lookups!$A$55:$D$64,3))/(VLOOKUP($C259,Lookups!$A$55:$D$64,4))*VLOOKUP($C259,Lookups!$C$2:$D$11,2))),0)&lt;1,1,IF(ROUND(10.499-(((N259-VLOOKUP($C259,Lookups!$A$55:$D$64,3))/(VLOOKUP($C259,Lookups!$A$55:$D$64,4))*VLOOKUP($C259,Lookups!$C$2:$D$11,2))),0)&lt;11,ROUND(10.499-(((N259-VLOOKUP($C259,Lookups!$A$55:$D$64,3))/(VLOOKUP($C259,Lookups!$A$55:$D$64,4))*VLOOKUP($C259,Lookups!$C$2:$D$11,2))),0),10))</f>
        <v>#N/A</v>
      </c>
      <c r="P259" s="13" t="str">
        <f>IF((SUM(F259:M259)=0),"J",VLOOKUP(O259,Lookups!$A$1:$B$11,2))</f>
        <v>J</v>
      </c>
      <c r="Q259" s="8" t="e">
        <f>VLOOKUP(C259,Lookups!$A$136:$C$144,3)</f>
        <v>#N/A</v>
      </c>
      <c r="R259" s="8" t="e">
        <f>VLOOKUP(C259,Lookups!$A$136:$C$144,2)</f>
        <v>#N/A</v>
      </c>
      <c r="S259" s="4" t="str">
        <f t="shared" si="22"/>
        <v>No</v>
      </c>
      <c r="T259" s="125">
        <f t="shared" si="23"/>
        <v>0</v>
      </c>
      <c r="U259" s="125">
        <f t="shared" si="24"/>
        <v>0</v>
      </c>
      <c r="V259" s="4" t="e">
        <f>IF($Q259&lt;&gt;3,VLOOKUP(F259,'Points Table A'!B$3:$F$33,5),VLOOKUP(F259,'Points Table A'!H$3:$L$33,5))</f>
        <v>#N/A</v>
      </c>
      <c r="W259" s="4" t="e">
        <f>IF($Q259&lt;&gt;3,VLOOKUP(G259,'Points Table A'!C$3:$F$33,4),VLOOKUP(G259,'Points Table A'!I$3:$L$33,4))</f>
        <v>#N/A</v>
      </c>
      <c r="X259" s="4" t="e">
        <f>IF($Q259&lt;&gt;3,VLOOKUP(H259,'Points Table A'!D$3:$F$28,3),VLOOKUP(H259,'Points Table A'!J$3:$L$33,3))</f>
        <v>#N/A</v>
      </c>
      <c r="Y259" s="4" t="e">
        <f>IF($Q259&lt;&gt;3,VLOOKUP(I259,'Points Table A'!E$3:$F$33,2),VLOOKUP(I259,'Points Table A'!K$3:$L$33,2))</f>
        <v>#N/A</v>
      </c>
      <c r="Z259" s="4" t="e">
        <f t="shared" si="25"/>
        <v>#N/A</v>
      </c>
      <c r="AA259" s="4">
        <f>IF($S259=Lookups!$B$113,VLOOKUP(L259,'Points Table C'!A$3:$E$11,5),VLOOKUP(U259,'Points Table C'!B$3:$E$11,4))</f>
        <v>0</v>
      </c>
      <c r="AB259" s="4" t="e">
        <f>IF($Q259=1,0,VLOOKUP($J259,'Points Table C'!$C$3:$E$18,3))</f>
        <v>#N/A</v>
      </c>
      <c r="AC259" s="4">
        <f>VLOOKUP($K259,'Points Table C'!$D$3:$E$18,2)</f>
        <v>0</v>
      </c>
      <c r="AD259" s="4" t="e">
        <f>IF($Z259&lt;Lookups!$C$106,($AA259+AB259+AC259),IF($AA259&gt;=Lookups!$C$120,($AA259+AB259+AC259),$AA259+$AB259))</f>
        <v>#N/A</v>
      </c>
      <c r="AF259" s="7"/>
      <c r="AG259" s="7"/>
      <c r="AH259" s="7"/>
      <c r="AI259" s="7"/>
      <c r="AJ259" s="7"/>
      <c r="AK259" s="7"/>
      <c r="AL259" s="7"/>
      <c r="AM259" s="7"/>
      <c r="AN259" s="7"/>
      <c r="AO259" s="7"/>
      <c r="AP259" s="7"/>
      <c r="AQ259" s="7"/>
      <c r="AR259" s="7"/>
      <c r="AS259" s="7"/>
      <c r="AT259" s="7"/>
      <c r="AU259" s="7"/>
      <c r="AV259" s="7"/>
      <c r="AW259" s="7"/>
      <c r="AY259" s="7"/>
      <c r="AZ259" s="7"/>
      <c r="BA259" s="7"/>
      <c r="BB259" s="7"/>
    </row>
    <row r="260" spans="2:54" x14ac:dyDescent="0.2">
      <c r="B260" s="174"/>
      <c r="C260" s="176"/>
      <c r="F260" s="5">
        <v>0</v>
      </c>
      <c r="G260" s="192">
        <v>0</v>
      </c>
      <c r="H260" s="192">
        <v>0</v>
      </c>
      <c r="I260" s="5">
        <v>0</v>
      </c>
      <c r="J260" s="192">
        <v>0</v>
      </c>
      <c r="K260" s="192">
        <v>0</v>
      </c>
      <c r="L260" s="5">
        <v>0</v>
      </c>
      <c r="M260" s="5">
        <v>0</v>
      </c>
      <c r="N260" s="4" t="e">
        <f t="shared" si="26"/>
        <v>#N/A</v>
      </c>
      <c r="O260" s="4" t="e">
        <f>IF(ROUND(10.499-(((N260-VLOOKUP($C260,Lookups!$A$55:$D$64,3))/(VLOOKUP($C260,Lookups!$A$55:$D$64,4))*VLOOKUP($C260,Lookups!$C$2:$D$11,2))),0)&lt;1,1,IF(ROUND(10.499-(((N260-VLOOKUP($C260,Lookups!$A$55:$D$64,3))/(VLOOKUP($C260,Lookups!$A$55:$D$64,4))*VLOOKUP($C260,Lookups!$C$2:$D$11,2))),0)&lt;11,ROUND(10.499-(((N260-VLOOKUP($C260,Lookups!$A$55:$D$64,3))/(VLOOKUP($C260,Lookups!$A$55:$D$64,4))*VLOOKUP($C260,Lookups!$C$2:$D$11,2))),0),10))</f>
        <v>#N/A</v>
      </c>
      <c r="P260" s="13" t="str">
        <f>IF((SUM(F260:M260)=0),"J",VLOOKUP(O260,Lookups!$A$1:$B$11,2))</f>
        <v>J</v>
      </c>
      <c r="Q260" s="8" t="e">
        <f>VLOOKUP(C260,Lookups!$A$136:$C$144,3)</f>
        <v>#N/A</v>
      </c>
      <c r="R260" s="8" t="e">
        <f>VLOOKUP(C260,Lookups!$A$136:$C$144,2)</f>
        <v>#N/A</v>
      </c>
      <c r="S260" s="4" t="str">
        <f t="shared" si="22"/>
        <v>No</v>
      </c>
      <c r="T260" s="125">
        <f t="shared" si="23"/>
        <v>0</v>
      </c>
      <c r="U260" s="125">
        <f t="shared" si="24"/>
        <v>0</v>
      </c>
      <c r="V260" s="4" t="e">
        <f>IF($Q260&lt;&gt;3,VLOOKUP(F260,'Points Table A'!B$3:$F$33,5),VLOOKUP(F260,'Points Table A'!H$3:$L$33,5))</f>
        <v>#N/A</v>
      </c>
      <c r="W260" s="4" t="e">
        <f>IF($Q260&lt;&gt;3,VLOOKUP(G260,'Points Table A'!C$3:$F$33,4),VLOOKUP(G260,'Points Table A'!I$3:$L$33,4))</f>
        <v>#N/A</v>
      </c>
      <c r="X260" s="4" t="e">
        <f>IF($Q260&lt;&gt;3,VLOOKUP(H260,'Points Table A'!D$3:$F$28,3),VLOOKUP(H260,'Points Table A'!J$3:$L$33,3))</f>
        <v>#N/A</v>
      </c>
      <c r="Y260" s="4" t="e">
        <f>IF($Q260&lt;&gt;3,VLOOKUP(I260,'Points Table A'!E$3:$F$33,2),VLOOKUP(I260,'Points Table A'!K$3:$L$33,2))</f>
        <v>#N/A</v>
      </c>
      <c r="Z260" s="4" t="e">
        <f t="shared" si="25"/>
        <v>#N/A</v>
      </c>
      <c r="AA260" s="4">
        <f>IF($S260=Lookups!$B$113,VLOOKUP(L260,'Points Table C'!A$3:$E$11,5),VLOOKUP(U260,'Points Table C'!B$3:$E$11,4))</f>
        <v>0</v>
      </c>
      <c r="AB260" s="4" t="e">
        <f>IF($Q260=1,0,VLOOKUP($J260,'Points Table C'!$C$3:$E$18,3))</f>
        <v>#N/A</v>
      </c>
      <c r="AC260" s="4">
        <f>VLOOKUP($K260,'Points Table C'!$D$3:$E$18,2)</f>
        <v>0</v>
      </c>
      <c r="AD260" s="4" t="e">
        <f>IF($Z260&lt;Lookups!$C$106,($AA260+AB260+AC260),IF($AA260&gt;=Lookups!$C$120,($AA260+AB260+AC260),$AA260+$AB260))</f>
        <v>#N/A</v>
      </c>
      <c r="AF260" s="7"/>
      <c r="AG260" s="7"/>
      <c r="AH260" s="7"/>
      <c r="AI260" s="7"/>
      <c r="AJ260" s="7"/>
      <c r="AK260" s="7"/>
      <c r="AL260" s="7"/>
      <c r="AM260" s="7"/>
      <c r="AN260" s="7"/>
      <c r="AO260" s="7"/>
      <c r="AP260" s="7"/>
      <c r="AQ260" s="7"/>
      <c r="AR260" s="7"/>
      <c r="AS260" s="7"/>
      <c r="AT260" s="7"/>
      <c r="AU260" s="7"/>
      <c r="AV260" s="7"/>
      <c r="AW260" s="7"/>
      <c r="AY260" s="7"/>
      <c r="AZ260" s="7"/>
      <c r="BA260" s="7"/>
      <c r="BB260" s="7"/>
    </row>
    <row r="261" spans="2:54" x14ac:dyDescent="0.2">
      <c r="B261" s="174"/>
      <c r="C261" s="176"/>
      <c r="F261" s="5">
        <v>0</v>
      </c>
      <c r="G261" s="192">
        <v>0</v>
      </c>
      <c r="H261" s="192">
        <v>0</v>
      </c>
      <c r="I261" s="5">
        <v>0</v>
      </c>
      <c r="J261" s="192">
        <v>0</v>
      </c>
      <c r="K261" s="192">
        <v>0</v>
      </c>
      <c r="L261" s="5">
        <v>0</v>
      </c>
      <c r="M261" s="5">
        <v>0</v>
      </c>
      <c r="N261" s="4" t="e">
        <f t="shared" si="26"/>
        <v>#N/A</v>
      </c>
      <c r="O261" s="4" t="e">
        <f>IF(ROUND(10.499-(((N261-VLOOKUP($C261,Lookups!$A$55:$D$64,3))/(VLOOKUP($C261,Lookups!$A$55:$D$64,4))*VLOOKUP($C261,Lookups!$C$2:$D$11,2))),0)&lt;1,1,IF(ROUND(10.499-(((N261-VLOOKUP($C261,Lookups!$A$55:$D$64,3))/(VLOOKUP($C261,Lookups!$A$55:$D$64,4))*VLOOKUP($C261,Lookups!$C$2:$D$11,2))),0)&lt;11,ROUND(10.499-(((N261-VLOOKUP($C261,Lookups!$A$55:$D$64,3))/(VLOOKUP($C261,Lookups!$A$55:$D$64,4))*VLOOKUP($C261,Lookups!$C$2:$D$11,2))),0),10))</f>
        <v>#N/A</v>
      </c>
      <c r="P261" s="13" t="str">
        <f>IF((SUM(F261:M261)=0),"J",VLOOKUP(O261,Lookups!$A$1:$B$11,2))</f>
        <v>J</v>
      </c>
      <c r="Q261" s="8" t="e">
        <f>VLOOKUP(C261,Lookups!$A$136:$C$144,3)</f>
        <v>#N/A</v>
      </c>
      <c r="R261" s="8" t="e">
        <f>VLOOKUP(C261,Lookups!$A$136:$C$144,2)</f>
        <v>#N/A</v>
      </c>
      <c r="S261" s="4" t="str">
        <f t="shared" si="22"/>
        <v>No</v>
      </c>
      <c r="T261" s="125">
        <f t="shared" si="23"/>
        <v>0</v>
      </c>
      <c r="U261" s="125">
        <f t="shared" si="24"/>
        <v>0</v>
      </c>
      <c r="V261" s="4" t="e">
        <f>IF($Q261&lt;&gt;3,VLOOKUP(F261,'Points Table A'!B$3:$F$33,5),VLOOKUP(F261,'Points Table A'!H$3:$L$33,5))</f>
        <v>#N/A</v>
      </c>
      <c r="W261" s="4" t="e">
        <f>IF($Q261&lt;&gt;3,VLOOKUP(G261,'Points Table A'!C$3:$F$33,4),VLOOKUP(G261,'Points Table A'!I$3:$L$33,4))</f>
        <v>#N/A</v>
      </c>
      <c r="X261" s="4" t="e">
        <f>IF($Q261&lt;&gt;3,VLOOKUP(H261,'Points Table A'!D$3:$F$28,3),VLOOKUP(H261,'Points Table A'!J$3:$L$33,3))</f>
        <v>#N/A</v>
      </c>
      <c r="Y261" s="4" t="e">
        <f>IF($Q261&lt;&gt;3,VLOOKUP(I261,'Points Table A'!E$3:$F$33,2),VLOOKUP(I261,'Points Table A'!K$3:$L$33,2))</f>
        <v>#N/A</v>
      </c>
      <c r="Z261" s="4" t="e">
        <f t="shared" si="25"/>
        <v>#N/A</v>
      </c>
      <c r="AA261" s="4">
        <f>IF($S261=Lookups!$B$113,VLOOKUP(L261,'Points Table C'!A$3:$E$11,5),VLOOKUP(U261,'Points Table C'!B$3:$E$11,4))</f>
        <v>0</v>
      </c>
      <c r="AB261" s="4" t="e">
        <f>IF($Q261=1,0,VLOOKUP($J261,'Points Table C'!$C$3:$E$18,3))</f>
        <v>#N/A</v>
      </c>
      <c r="AC261" s="4">
        <f>VLOOKUP($K261,'Points Table C'!$D$3:$E$18,2)</f>
        <v>0</v>
      </c>
      <c r="AD261" s="4" t="e">
        <f>IF($Z261&lt;Lookups!$C$106,($AA261+AB261+AC261),IF($AA261&gt;=Lookups!$C$120,($AA261+AB261+AC261),$AA261+$AB261))</f>
        <v>#N/A</v>
      </c>
      <c r="AF261" s="7"/>
      <c r="AG261" s="7"/>
      <c r="AH261" s="7"/>
      <c r="AI261" s="7"/>
      <c r="AJ261" s="7"/>
      <c r="AK261" s="7"/>
      <c r="AL261" s="7"/>
      <c r="AM261" s="7"/>
      <c r="AN261" s="7"/>
      <c r="AO261" s="7"/>
      <c r="AP261" s="7"/>
      <c r="AQ261" s="7"/>
      <c r="AR261" s="7"/>
      <c r="AS261" s="7"/>
      <c r="AT261" s="7"/>
      <c r="AU261" s="7"/>
      <c r="AV261" s="7"/>
      <c r="AW261" s="7"/>
      <c r="AY261" s="7"/>
      <c r="AZ261" s="7"/>
      <c r="BA261" s="7"/>
      <c r="BB261" s="7"/>
    </row>
    <row r="262" spans="2:54" x14ac:dyDescent="0.2">
      <c r="B262" s="174"/>
      <c r="C262" s="176"/>
      <c r="F262" s="5">
        <v>0</v>
      </c>
      <c r="G262" s="192">
        <v>0</v>
      </c>
      <c r="H262" s="192">
        <v>0</v>
      </c>
      <c r="I262" s="5">
        <v>0</v>
      </c>
      <c r="J262" s="192">
        <v>0</v>
      </c>
      <c r="K262" s="192">
        <v>0</v>
      </c>
      <c r="L262" s="5">
        <v>0</v>
      </c>
      <c r="M262" s="5">
        <v>0</v>
      </c>
      <c r="N262" s="4" t="e">
        <f t="shared" si="26"/>
        <v>#N/A</v>
      </c>
      <c r="O262" s="4" t="e">
        <f>IF(ROUND(10.499-(((N262-VLOOKUP($C262,Lookups!$A$55:$D$64,3))/(VLOOKUP($C262,Lookups!$A$55:$D$64,4))*VLOOKUP($C262,Lookups!$C$2:$D$11,2))),0)&lt;1,1,IF(ROUND(10.499-(((N262-VLOOKUP($C262,Lookups!$A$55:$D$64,3))/(VLOOKUP($C262,Lookups!$A$55:$D$64,4))*VLOOKUP($C262,Lookups!$C$2:$D$11,2))),0)&lt;11,ROUND(10.499-(((N262-VLOOKUP($C262,Lookups!$A$55:$D$64,3))/(VLOOKUP($C262,Lookups!$A$55:$D$64,4))*VLOOKUP($C262,Lookups!$C$2:$D$11,2))),0),10))</f>
        <v>#N/A</v>
      </c>
      <c r="P262" s="13" t="str">
        <f>IF((SUM(F262:M262)=0),"J",VLOOKUP(O262,Lookups!$A$1:$B$11,2))</f>
        <v>J</v>
      </c>
      <c r="Q262" s="8" t="e">
        <f>VLOOKUP(C262,Lookups!$A$136:$C$144,3)</f>
        <v>#N/A</v>
      </c>
      <c r="R262" s="8" t="e">
        <f>VLOOKUP(C262,Lookups!$A$136:$C$144,2)</f>
        <v>#N/A</v>
      </c>
      <c r="S262" s="4" t="str">
        <f t="shared" si="22"/>
        <v>No</v>
      </c>
      <c r="T262" s="125">
        <f t="shared" si="23"/>
        <v>0</v>
      </c>
      <c r="U262" s="125">
        <f t="shared" si="24"/>
        <v>0</v>
      </c>
      <c r="V262" s="4" t="e">
        <f>IF($Q262&lt;&gt;3,VLOOKUP(F262,'Points Table A'!B$3:$F$33,5),VLOOKUP(F262,'Points Table A'!H$3:$L$33,5))</f>
        <v>#N/A</v>
      </c>
      <c r="W262" s="4" t="e">
        <f>IF($Q262&lt;&gt;3,VLOOKUP(G262,'Points Table A'!C$3:$F$33,4),VLOOKUP(G262,'Points Table A'!I$3:$L$33,4))</f>
        <v>#N/A</v>
      </c>
      <c r="X262" s="4" t="e">
        <f>IF($Q262&lt;&gt;3,VLOOKUP(H262,'Points Table A'!D$3:$F$28,3),VLOOKUP(H262,'Points Table A'!J$3:$L$33,3))</f>
        <v>#N/A</v>
      </c>
      <c r="Y262" s="4" t="e">
        <f>IF($Q262&lt;&gt;3,VLOOKUP(I262,'Points Table A'!E$3:$F$33,2),VLOOKUP(I262,'Points Table A'!K$3:$L$33,2))</f>
        <v>#N/A</v>
      </c>
      <c r="Z262" s="4" t="e">
        <f t="shared" si="25"/>
        <v>#N/A</v>
      </c>
      <c r="AA262" s="4">
        <f>IF($S262=Lookups!$B$113,VLOOKUP(L262,'Points Table C'!A$3:$E$11,5),VLOOKUP(U262,'Points Table C'!B$3:$E$11,4))</f>
        <v>0</v>
      </c>
      <c r="AB262" s="4" t="e">
        <f>IF($Q262=1,0,VLOOKUP($J262,'Points Table C'!$C$3:$E$18,3))</f>
        <v>#N/A</v>
      </c>
      <c r="AC262" s="4">
        <f>VLOOKUP($K262,'Points Table C'!$D$3:$E$18,2)</f>
        <v>0</v>
      </c>
      <c r="AD262" s="4" t="e">
        <f>IF($Z262&lt;Lookups!$C$106,($AA262+AB262+AC262),IF($AA262&gt;=Lookups!$C$120,($AA262+AB262+AC262),$AA262+$AB262))</f>
        <v>#N/A</v>
      </c>
      <c r="AF262" s="7"/>
      <c r="AG262" s="7"/>
      <c r="AH262" s="7"/>
      <c r="AI262" s="7"/>
      <c r="AJ262" s="7"/>
      <c r="AK262" s="7"/>
      <c r="AL262" s="7"/>
      <c r="AM262" s="7"/>
      <c r="AN262" s="7"/>
      <c r="AO262" s="7"/>
      <c r="AP262" s="7"/>
      <c r="AQ262" s="7"/>
      <c r="AR262" s="7"/>
      <c r="AS262" s="7"/>
      <c r="AT262" s="7"/>
      <c r="AU262" s="7"/>
      <c r="AV262" s="7"/>
      <c r="AW262" s="7"/>
      <c r="AY262" s="7"/>
      <c r="AZ262" s="7"/>
      <c r="BA262" s="7"/>
      <c r="BB262" s="7"/>
    </row>
    <row r="263" spans="2:54" x14ac:dyDescent="0.2">
      <c r="B263" s="174"/>
      <c r="C263" s="176"/>
      <c r="F263" s="5">
        <v>0</v>
      </c>
      <c r="G263" s="192">
        <v>0</v>
      </c>
      <c r="H263" s="192">
        <v>0</v>
      </c>
      <c r="I263" s="5">
        <v>0</v>
      </c>
      <c r="J263" s="192">
        <v>0</v>
      </c>
      <c r="K263" s="192">
        <v>0</v>
      </c>
      <c r="L263" s="5">
        <v>0</v>
      </c>
      <c r="M263" s="5">
        <v>0</v>
      </c>
      <c r="N263" s="4" t="e">
        <f t="shared" si="26"/>
        <v>#N/A</v>
      </c>
      <c r="O263" s="4" t="e">
        <f>IF(ROUND(10.499-(((N263-VLOOKUP($C263,Lookups!$A$55:$D$64,3))/(VLOOKUP($C263,Lookups!$A$55:$D$64,4))*VLOOKUP($C263,Lookups!$C$2:$D$11,2))),0)&lt;1,1,IF(ROUND(10.499-(((N263-VLOOKUP($C263,Lookups!$A$55:$D$64,3))/(VLOOKUP($C263,Lookups!$A$55:$D$64,4))*VLOOKUP($C263,Lookups!$C$2:$D$11,2))),0)&lt;11,ROUND(10.499-(((N263-VLOOKUP($C263,Lookups!$A$55:$D$64,3))/(VLOOKUP($C263,Lookups!$A$55:$D$64,4))*VLOOKUP($C263,Lookups!$C$2:$D$11,2))),0),10))</f>
        <v>#N/A</v>
      </c>
      <c r="P263" s="13" t="str">
        <f>IF((SUM(F263:M263)=0),"J",VLOOKUP(O263,Lookups!$A$1:$B$11,2))</f>
        <v>J</v>
      </c>
      <c r="Q263" s="8" t="e">
        <f>VLOOKUP(C263,Lookups!$A$136:$C$144,3)</f>
        <v>#N/A</v>
      </c>
      <c r="R263" s="8" t="e">
        <f>VLOOKUP(C263,Lookups!$A$136:$C$144,2)</f>
        <v>#N/A</v>
      </c>
      <c r="S263" s="4" t="str">
        <f t="shared" si="22"/>
        <v>No</v>
      </c>
      <c r="T263" s="125">
        <f t="shared" si="23"/>
        <v>0</v>
      </c>
      <c r="U263" s="125">
        <f t="shared" si="24"/>
        <v>0</v>
      </c>
      <c r="V263" s="4" t="e">
        <f>IF($Q263&lt;&gt;3,VLOOKUP(F263,'Points Table A'!B$3:$F$33,5),VLOOKUP(F263,'Points Table A'!H$3:$L$33,5))</f>
        <v>#N/A</v>
      </c>
      <c r="W263" s="4" t="e">
        <f>IF($Q263&lt;&gt;3,VLOOKUP(G263,'Points Table A'!C$3:$F$33,4),VLOOKUP(G263,'Points Table A'!I$3:$L$33,4))</f>
        <v>#N/A</v>
      </c>
      <c r="X263" s="4" t="e">
        <f>IF($Q263&lt;&gt;3,VLOOKUP(H263,'Points Table A'!D$3:$F$28,3),VLOOKUP(H263,'Points Table A'!J$3:$L$33,3))</f>
        <v>#N/A</v>
      </c>
      <c r="Y263" s="4" t="e">
        <f>IF($Q263&lt;&gt;3,VLOOKUP(I263,'Points Table A'!E$3:$F$33,2),VLOOKUP(I263,'Points Table A'!K$3:$L$33,2))</f>
        <v>#N/A</v>
      </c>
      <c r="Z263" s="4" t="e">
        <f t="shared" si="25"/>
        <v>#N/A</v>
      </c>
      <c r="AA263" s="4">
        <f>IF($S263=Lookups!$B$113,VLOOKUP(L263,'Points Table C'!A$3:$E$11,5),VLOOKUP(U263,'Points Table C'!B$3:$E$11,4))</f>
        <v>0</v>
      </c>
      <c r="AB263" s="4" t="e">
        <f>IF($Q263=1,0,VLOOKUP($J263,'Points Table C'!$C$3:$E$18,3))</f>
        <v>#N/A</v>
      </c>
      <c r="AC263" s="4">
        <f>VLOOKUP($K263,'Points Table C'!$D$3:$E$18,2)</f>
        <v>0</v>
      </c>
      <c r="AD263" s="4" t="e">
        <f>IF($Z263&lt;Lookups!$C$106,($AA263+AB263+AC263),IF($AA263&gt;=Lookups!$C$120,($AA263+AB263+AC263),$AA263+$AB263))</f>
        <v>#N/A</v>
      </c>
      <c r="AF263" s="7"/>
      <c r="AG263" s="7"/>
      <c r="AH263" s="7"/>
      <c r="AI263" s="7"/>
      <c r="AJ263" s="7"/>
      <c r="AK263" s="7"/>
      <c r="AL263" s="7"/>
      <c r="AM263" s="7"/>
      <c r="AN263" s="7"/>
      <c r="AO263" s="7"/>
      <c r="AP263" s="7"/>
      <c r="AQ263" s="7"/>
      <c r="AR263" s="7"/>
      <c r="AS263" s="7"/>
      <c r="AT263" s="7"/>
      <c r="AU263" s="7"/>
      <c r="AV263" s="7"/>
      <c r="AW263" s="7"/>
      <c r="AY263" s="7"/>
      <c r="AZ263" s="7"/>
      <c r="BA263" s="7"/>
      <c r="BB263" s="7"/>
    </row>
    <row r="264" spans="2:54" x14ac:dyDescent="0.2">
      <c r="B264" s="174"/>
      <c r="C264" s="176"/>
      <c r="F264" s="5">
        <v>0</v>
      </c>
      <c r="G264" s="192">
        <v>0</v>
      </c>
      <c r="H264" s="192">
        <v>0</v>
      </c>
      <c r="I264" s="5">
        <v>0</v>
      </c>
      <c r="J264" s="192">
        <v>0</v>
      </c>
      <c r="K264" s="192">
        <v>0</v>
      </c>
      <c r="L264" s="5">
        <v>0</v>
      </c>
      <c r="M264" s="5">
        <v>0</v>
      </c>
      <c r="N264" s="4" t="e">
        <f t="shared" si="26"/>
        <v>#N/A</v>
      </c>
      <c r="O264" s="4" t="e">
        <f>IF(ROUND(10.499-(((N264-VLOOKUP($C264,Lookups!$A$55:$D$64,3))/(VLOOKUP($C264,Lookups!$A$55:$D$64,4))*VLOOKUP($C264,Lookups!$C$2:$D$11,2))),0)&lt;1,1,IF(ROUND(10.499-(((N264-VLOOKUP($C264,Lookups!$A$55:$D$64,3))/(VLOOKUP($C264,Lookups!$A$55:$D$64,4))*VLOOKUP($C264,Lookups!$C$2:$D$11,2))),0)&lt;11,ROUND(10.499-(((N264-VLOOKUP($C264,Lookups!$A$55:$D$64,3))/(VLOOKUP($C264,Lookups!$A$55:$D$64,4))*VLOOKUP($C264,Lookups!$C$2:$D$11,2))),0),10))</f>
        <v>#N/A</v>
      </c>
      <c r="P264" s="13" t="str">
        <f>IF((SUM(F264:M264)=0),"J",VLOOKUP(O264,Lookups!$A$1:$B$11,2))</f>
        <v>J</v>
      </c>
      <c r="Q264" s="8" t="e">
        <f>VLOOKUP(C264,Lookups!$A$136:$C$144,3)</f>
        <v>#N/A</v>
      </c>
      <c r="R264" s="8" t="e">
        <f>VLOOKUP(C264,Lookups!$A$136:$C$144,2)</f>
        <v>#N/A</v>
      </c>
      <c r="S264" s="4" t="str">
        <f t="shared" si="22"/>
        <v>No</v>
      </c>
      <c r="T264" s="125">
        <f t="shared" si="23"/>
        <v>0</v>
      </c>
      <c r="U264" s="125">
        <f t="shared" si="24"/>
        <v>0</v>
      </c>
      <c r="V264" s="4" t="e">
        <f>IF($Q264&lt;&gt;3,VLOOKUP(F264,'Points Table A'!B$3:$F$33,5),VLOOKUP(F264,'Points Table A'!H$3:$L$33,5))</f>
        <v>#N/A</v>
      </c>
      <c r="W264" s="4" t="e">
        <f>IF($Q264&lt;&gt;3,VLOOKUP(G264,'Points Table A'!C$3:$F$33,4),VLOOKUP(G264,'Points Table A'!I$3:$L$33,4))</f>
        <v>#N/A</v>
      </c>
      <c r="X264" s="4" t="e">
        <f>IF($Q264&lt;&gt;3,VLOOKUP(H264,'Points Table A'!D$3:$F$28,3),VLOOKUP(H264,'Points Table A'!J$3:$L$33,3))</f>
        <v>#N/A</v>
      </c>
      <c r="Y264" s="4" t="e">
        <f>IF($Q264&lt;&gt;3,VLOOKUP(I264,'Points Table A'!E$3:$F$33,2),VLOOKUP(I264,'Points Table A'!K$3:$L$33,2))</f>
        <v>#N/A</v>
      </c>
      <c r="Z264" s="4" t="e">
        <f t="shared" si="25"/>
        <v>#N/A</v>
      </c>
      <c r="AA264" s="4">
        <f>IF($S264=Lookups!$B$113,VLOOKUP(L264,'Points Table C'!A$3:$E$11,5),VLOOKUP(U264,'Points Table C'!B$3:$E$11,4))</f>
        <v>0</v>
      </c>
      <c r="AB264" s="4" t="e">
        <f>IF($Q264=1,0,VLOOKUP($J264,'Points Table C'!$C$3:$E$18,3))</f>
        <v>#N/A</v>
      </c>
      <c r="AC264" s="4">
        <f>VLOOKUP($K264,'Points Table C'!$D$3:$E$18,2)</f>
        <v>0</v>
      </c>
      <c r="AD264" s="4" t="e">
        <f>IF($Z264&lt;Lookups!$C$106,($AA264+AB264+AC264),IF($AA264&gt;=Lookups!$C$120,($AA264+AB264+AC264),$AA264+$AB264))</f>
        <v>#N/A</v>
      </c>
      <c r="AF264" s="7"/>
      <c r="AG264" s="7"/>
      <c r="AH264" s="7"/>
      <c r="AI264" s="7"/>
      <c r="AJ264" s="7"/>
      <c r="AK264" s="7"/>
      <c r="AL264" s="7"/>
      <c r="AM264" s="7"/>
      <c r="AN264" s="7"/>
      <c r="AO264" s="7"/>
      <c r="AP264" s="7"/>
      <c r="AQ264" s="7"/>
      <c r="AR264" s="7"/>
      <c r="AS264" s="7"/>
      <c r="AT264" s="7"/>
      <c r="AU264" s="7"/>
      <c r="AV264" s="7"/>
      <c r="AW264" s="7"/>
      <c r="AY264" s="7"/>
      <c r="AZ264" s="7"/>
      <c r="BA264" s="7"/>
      <c r="BB264" s="7"/>
    </row>
    <row r="265" spans="2:54" x14ac:dyDescent="0.2">
      <c r="B265" s="174"/>
      <c r="C265" s="176"/>
      <c r="F265" s="5">
        <v>0</v>
      </c>
      <c r="G265" s="192">
        <v>0</v>
      </c>
      <c r="H265" s="192">
        <v>0</v>
      </c>
      <c r="I265" s="5">
        <v>0</v>
      </c>
      <c r="J265" s="192">
        <v>0</v>
      </c>
      <c r="K265" s="192">
        <v>0</v>
      </c>
      <c r="L265" s="5">
        <v>0</v>
      </c>
      <c r="M265" s="5">
        <v>0</v>
      </c>
      <c r="N265" s="4" t="e">
        <f t="shared" si="26"/>
        <v>#N/A</v>
      </c>
      <c r="O265" s="4" t="e">
        <f>IF(ROUND(10.499-(((N265-VLOOKUP($C265,Lookups!$A$55:$D$64,3))/(VLOOKUP($C265,Lookups!$A$55:$D$64,4))*VLOOKUP($C265,Lookups!$C$2:$D$11,2))),0)&lt;1,1,IF(ROUND(10.499-(((N265-VLOOKUP($C265,Lookups!$A$55:$D$64,3))/(VLOOKUP($C265,Lookups!$A$55:$D$64,4))*VLOOKUP($C265,Lookups!$C$2:$D$11,2))),0)&lt;11,ROUND(10.499-(((N265-VLOOKUP($C265,Lookups!$A$55:$D$64,3))/(VLOOKUP($C265,Lookups!$A$55:$D$64,4))*VLOOKUP($C265,Lookups!$C$2:$D$11,2))),0),10))</f>
        <v>#N/A</v>
      </c>
      <c r="P265" s="13" t="str">
        <f>IF((SUM(F265:M265)=0),"J",VLOOKUP(O265,Lookups!$A$1:$B$11,2))</f>
        <v>J</v>
      </c>
      <c r="Q265" s="8" t="e">
        <f>VLOOKUP(C265,Lookups!$A$136:$C$144,3)</f>
        <v>#N/A</v>
      </c>
      <c r="R265" s="8" t="e">
        <f>VLOOKUP(C265,Lookups!$A$136:$C$144,2)</f>
        <v>#N/A</v>
      </c>
      <c r="S265" s="4" t="str">
        <f t="shared" si="22"/>
        <v>No</v>
      </c>
      <c r="T265" s="125">
        <f t="shared" si="23"/>
        <v>0</v>
      </c>
      <c r="U265" s="125">
        <f t="shared" si="24"/>
        <v>0</v>
      </c>
      <c r="V265" s="4" t="e">
        <f>IF($Q265&lt;&gt;3,VLOOKUP(F265,'Points Table A'!B$3:$F$33,5),VLOOKUP(F265,'Points Table A'!H$3:$L$33,5))</f>
        <v>#N/A</v>
      </c>
      <c r="W265" s="4" t="e">
        <f>IF($Q265&lt;&gt;3,VLOOKUP(G265,'Points Table A'!C$3:$F$33,4),VLOOKUP(G265,'Points Table A'!I$3:$L$33,4))</f>
        <v>#N/A</v>
      </c>
      <c r="X265" s="4" t="e">
        <f>IF($Q265&lt;&gt;3,VLOOKUP(H265,'Points Table A'!D$3:$F$28,3),VLOOKUP(H265,'Points Table A'!J$3:$L$33,3))</f>
        <v>#N/A</v>
      </c>
      <c r="Y265" s="4" t="e">
        <f>IF($Q265&lt;&gt;3,VLOOKUP(I265,'Points Table A'!E$3:$F$33,2),VLOOKUP(I265,'Points Table A'!K$3:$L$33,2))</f>
        <v>#N/A</v>
      </c>
      <c r="Z265" s="4" t="e">
        <f t="shared" si="25"/>
        <v>#N/A</v>
      </c>
      <c r="AA265" s="4">
        <f>IF($S265=Lookups!$B$113,VLOOKUP(L265,'Points Table C'!A$3:$E$11,5),VLOOKUP(U265,'Points Table C'!B$3:$E$11,4))</f>
        <v>0</v>
      </c>
      <c r="AB265" s="4" t="e">
        <f>IF($Q265=1,0,VLOOKUP($J265,'Points Table C'!$C$3:$E$18,3))</f>
        <v>#N/A</v>
      </c>
      <c r="AC265" s="4">
        <f>VLOOKUP($K265,'Points Table C'!$D$3:$E$18,2)</f>
        <v>0</v>
      </c>
      <c r="AD265" s="4" t="e">
        <f>IF($Z265&lt;Lookups!$C$106,($AA265+AB265+AC265),IF($AA265&gt;=Lookups!$C$120,($AA265+AB265+AC265),$AA265+$AB265))</f>
        <v>#N/A</v>
      </c>
      <c r="AF265" s="7"/>
      <c r="AG265" s="7"/>
      <c r="AH265" s="7"/>
      <c r="AI265" s="7"/>
      <c r="AJ265" s="7"/>
      <c r="AK265" s="7"/>
      <c r="AL265" s="7"/>
      <c r="AM265" s="7"/>
      <c r="AN265" s="7"/>
      <c r="AO265" s="7"/>
      <c r="AP265" s="7"/>
      <c r="AQ265" s="7"/>
      <c r="AR265" s="7"/>
      <c r="AS265" s="7"/>
      <c r="AT265" s="7"/>
      <c r="AU265" s="7"/>
      <c r="AV265" s="7"/>
      <c r="AW265" s="7"/>
      <c r="AY265" s="7"/>
      <c r="AZ265" s="7"/>
      <c r="BA265" s="7"/>
      <c r="BB265" s="7"/>
    </row>
    <row r="266" spans="2:54" x14ac:dyDescent="0.2">
      <c r="B266" s="174"/>
      <c r="C266" s="176"/>
      <c r="F266" s="5">
        <v>0</v>
      </c>
      <c r="G266" s="192">
        <v>0</v>
      </c>
      <c r="H266" s="192">
        <v>0</v>
      </c>
      <c r="I266" s="5">
        <v>0</v>
      </c>
      <c r="J266" s="192">
        <v>0</v>
      </c>
      <c r="K266" s="192">
        <v>0</v>
      </c>
      <c r="L266" s="5">
        <v>0</v>
      </c>
      <c r="M266" s="5">
        <v>0</v>
      </c>
      <c r="N266" s="4" t="e">
        <f t="shared" si="26"/>
        <v>#N/A</v>
      </c>
      <c r="O266" s="4" t="e">
        <f>IF(ROUND(10.499-(((N266-VLOOKUP($C266,Lookups!$A$55:$D$64,3))/(VLOOKUP($C266,Lookups!$A$55:$D$64,4))*VLOOKUP($C266,Lookups!$C$2:$D$11,2))),0)&lt;1,1,IF(ROUND(10.499-(((N266-VLOOKUP($C266,Lookups!$A$55:$D$64,3))/(VLOOKUP($C266,Lookups!$A$55:$D$64,4))*VLOOKUP($C266,Lookups!$C$2:$D$11,2))),0)&lt;11,ROUND(10.499-(((N266-VLOOKUP($C266,Lookups!$A$55:$D$64,3))/(VLOOKUP($C266,Lookups!$A$55:$D$64,4))*VLOOKUP($C266,Lookups!$C$2:$D$11,2))),0),10))</f>
        <v>#N/A</v>
      </c>
      <c r="P266" s="13" t="str">
        <f>IF((SUM(F266:M266)=0),"J",VLOOKUP(O266,Lookups!$A$1:$B$11,2))</f>
        <v>J</v>
      </c>
      <c r="Q266" s="8" t="e">
        <f>VLOOKUP(C266,Lookups!$A$136:$C$144,3)</f>
        <v>#N/A</v>
      </c>
      <c r="R266" s="8" t="e">
        <f>VLOOKUP(C266,Lookups!$A$136:$C$144,2)</f>
        <v>#N/A</v>
      </c>
      <c r="S266" s="4" t="str">
        <f t="shared" si="22"/>
        <v>No</v>
      </c>
      <c r="T266" s="125">
        <f t="shared" si="23"/>
        <v>0</v>
      </c>
      <c r="U266" s="125">
        <f t="shared" si="24"/>
        <v>0</v>
      </c>
      <c r="V266" s="4" t="e">
        <f>IF($Q266&lt;&gt;3,VLOOKUP(F266,'Points Table A'!B$3:$F$33,5),VLOOKUP(F266,'Points Table A'!H$3:$L$33,5))</f>
        <v>#N/A</v>
      </c>
      <c r="W266" s="4" t="e">
        <f>IF($Q266&lt;&gt;3,VLOOKUP(G266,'Points Table A'!C$3:$F$33,4),VLOOKUP(G266,'Points Table A'!I$3:$L$33,4))</f>
        <v>#N/A</v>
      </c>
      <c r="X266" s="4" t="e">
        <f>IF($Q266&lt;&gt;3,VLOOKUP(H266,'Points Table A'!D$3:$F$28,3),VLOOKUP(H266,'Points Table A'!J$3:$L$33,3))</f>
        <v>#N/A</v>
      </c>
      <c r="Y266" s="4" t="e">
        <f>IF($Q266&lt;&gt;3,VLOOKUP(I266,'Points Table A'!E$3:$F$33,2),VLOOKUP(I266,'Points Table A'!K$3:$L$33,2))</f>
        <v>#N/A</v>
      </c>
      <c r="Z266" s="4" t="e">
        <f t="shared" si="25"/>
        <v>#N/A</v>
      </c>
      <c r="AA266" s="4">
        <f>IF($S266=Lookups!$B$113,VLOOKUP(L266,'Points Table C'!A$3:$E$11,5),VLOOKUP(U266,'Points Table C'!B$3:$E$11,4))</f>
        <v>0</v>
      </c>
      <c r="AB266" s="4" t="e">
        <f>IF($Q266=1,0,VLOOKUP($J266,'Points Table C'!$C$3:$E$18,3))</f>
        <v>#N/A</v>
      </c>
      <c r="AC266" s="4">
        <f>VLOOKUP($K266,'Points Table C'!$D$3:$E$18,2)</f>
        <v>0</v>
      </c>
      <c r="AD266" s="4" t="e">
        <f>IF($Z266&lt;Lookups!$C$106,($AA266+AB266+AC266),IF($AA266&gt;=Lookups!$C$120,($AA266+AB266+AC266),$AA266+$AB266))</f>
        <v>#N/A</v>
      </c>
      <c r="AF266" s="7"/>
      <c r="AG266" s="7"/>
      <c r="AH266" s="7"/>
      <c r="AI266" s="7"/>
      <c r="AJ266" s="7"/>
      <c r="AK266" s="7"/>
      <c r="AL266" s="7"/>
      <c r="AM266" s="7"/>
      <c r="AN266" s="7"/>
      <c r="AO266" s="7"/>
      <c r="AP266" s="7"/>
      <c r="AQ266" s="7"/>
      <c r="AR266" s="7"/>
      <c r="AS266" s="7"/>
      <c r="AT266" s="7"/>
      <c r="AU266" s="7"/>
      <c r="AV266" s="7"/>
      <c r="AW266" s="7"/>
      <c r="AY266" s="7"/>
      <c r="AZ266" s="7"/>
      <c r="BA266" s="7"/>
      <c r="BB266" s="7"/>
    </row>
    <row r="267" spans="2:54" x14ac:dyDescent="0.2">
      <c r="B267" s="174"/>
      <c r="C267" s="176"/>
      <c r="F267" s="5">
        <v>0</v>
      </c>
      <c r="G267" s="192">
        <v>0</v>
      </c>
      <c r="H267" s="192">
        <v>0</v>
      </c>
      <c r="I267" s="5">
        <v>0</v>
      </c>
      <c r="J267" s="192">
        <v>0</v>
      </c>
      <c r="K267" s="192">
        <v>0</v>
      </c>
      <c r="L267" s="5">
        <v>0</v>
      </c>
      <c r="M267" s="5">
        <v>0</v>
      </c>
      <c r="N267" s="4" t="e">
        <f t="shared" si="26"/>
        <v>#N/A</v>
      </c>
      <c r="O267" s="4" t="e">
        <f>IF(ROUND(10.499-(((N267-VLOOKUP($C267,Lookups!$A$55:$D$64,3))/(VLOOKUP($C267,Lookups!$A$55:$D$64,4))*VLOOKUP($C267,Lookups!$C$2:$D$11,2))),0)&lt;1,1,IF(ROUND(10.499-(((N267-VLOOKUP($C267,Lookups!$A$55:$D$64,3))/(VLOOKUP($C267,Lookups!$A$55:$D$64,4))*VLOOKUP($C267,Lookups!$C$2:$D$11,2))),0)&lt;11,ROUND(10.499-(((N267-VLOOKUP($C267,Lookups!$A$55:$D$64,3))/(VLOOKUP($C267,Lookups!$A$55:$D$64,4))*VLOOKUP($C267,Lookups!$C$2:$D$11,2))),0),10))</f>
        <v>#N/A</v>
      </c>
      <c r="P267" s="13" t="str">
        <f>IF((SUM(F267:M267)=0),"J",VLOOKUP(O267,Lookups!$A$1:$B$11,2))</f>
        <v>J</v>
      </c>
      <c r="Q267" s="8" t="e">
        <f>VLOOKUP(C267,Lookups!$A$136:$C$144,3)</f>
        <v>#N/A</v>
      </c>
      <c r="R267" s="8" t="e">
        <f>VLOOKUP(C267,Lookups!$A$136:$C$144,2)</f>
        <v>#N/A</v>
      </c>
      <c r="S267" s="4" t="str">
        <f t="shared" si="22"/>
        <v>No</v>
      </c>
      <c r="T267" s="125">
        <f t="shared" si="23"/>
        <v>0</v>
      </c>
      <c r="U267" s="125">
        <f t="shared" si="24"/>
        <v>0</v>
      </c>
      <c r="V267" s="4" t="e">
        <f>IF($Q267&lt;&gt;3,VLOOKUP(F267,'Points Table A'!B$3:$F$33,5),VLOOKUP(F267,'Points Table A'!H$3:$L$33,5))</f>
        <v>#N/A</v>
      </c>
      <c r="W267" s="4" t="e">
        <f>IF($Q267&lt;&gt;3,VLOOKUP(G267,'Points Table A'!C$3:$F$33,4),VLOOKUP(G267,'Points Table A'!I$3:$L$33,4))</f>
        <v>#N/A</v>
      </c>
      <c r="X267" s="4" t="e">
        <f>IF($Q267&lt;&gt;3,VLOOKUP(H267,'Points Table A'!D$3:$F$28,3),VLOOKUP(H267,'Points Table A'!J$3:$L$33,3))</f>
        <v>#N/A</v>
      </c>
      <c r="Y267" s="4" t="e">
        <f>IF($Q267&lt;&gt;3,VLOOKUP(I267,'Points Table A'!E$3:$F$33,2),VLOOKUP(I267,'Points Table A'!K$3:$L$33,2))</f>
        <v>#N/A</v>
      </c>
      <c r="Z267" s="4" t="e">
        <f t="shared" si="25"/>
        <v>#N/A</v>
      </c>
      <c r="AA267" s="4">
        <f>IF($S267=Lookups!$B$113,VLOOKUP(L267,'Points Table C'!A$3:$E$11,5),VLOOKUP(U267,'Points Table C'!B$3:$E$11,4))</f>
        <v>0</v>
      </c>
      <c r="AB267" s="4" t="e">
        <f>IF($Q267=1,0,VLOOKUP($J267,'Points Table C'!$C$3:$E$18,3))</f>
        <v>#N/A</v>
      </c>
      <c r="AC267" s="4">
        <f>VLOOKUP($K267,'Points Table C'!$D$3:$E$18,2)</f>
        <v>0</v>
      </c>
      <c r="AD267" s="4" t="e">
        <f>IF($Z267&lt;Lookups!$C$106,($AA267+AB267+AC267),IF($AA267&gt;=Lookups!$C$120,($AA267+AB267+AC267),$AA267+$AB267))</f>
        <v>#N/A</v>
      </c>
      <c r="AF267" s="7"/>
      <c r="AG267" s="7"/>
      <c r="AH267" s="7"/>
      <c r="AI267" s="7"/>
      <c r="AJ267" s="7"/>
      <c r="AK267" s="7"/>
      <c r="AL267" s="7"/>
      <c r="AM267" s="7"/>
      <c r="AN267" s="7"/>
      <c r="AO267" s="7"/>
      <c r="AP267" s="7"/>
      <c r="AQ267" s="7"/>
      <c r="AR267" s="7"/>
      <c r="AS267" s="7"/>
      <c r="AT267" s="7"/>
      <c r="AU267" s="7"/>
      <c r="AV267" s="7"/>
      <c r="AW267" s="7"/>
      <c r="AY267" s="7"/>
      <c r="AZ267" s="7"/>
      <c r="BA267" s="7"/>
      <c r="BB267" s="7"/>
    </row>
    <row r="268" spans="2:54" x14ac:dyDescent="0.2">
      <c r="B268" s="174"/>
      <c r="C268" s="176"/>
      <c r="F268" s="5">
        <v>0</v>
      </c>
      <c r="G268" s="192">
        <v>0</v>
      </c>
      <c r="H268" s="192">
        <v>0</v>
      </c>
      <c r="I268" s="5">
        <v>0</v>
      </c>
      <c r="J268" s="192">
        <v>0</v>
      </c>
      <c r="K268" s="192">
        <v>0</v>
      </c>
      <c r="L268" s="5">
        <v>0</v>
      </c>
      <c r="M268" s="5">
        <v>0</v>
      </c>
      <c r="N268" s="4" t="e">
        <f t="shared" si="26"/>
        <v>#N/A</v>
      </c>
      <c r="O268" s="4" t="e">
        <f>IF(ROUND(10.499-(((N268-VLOOKUP($C268,Lookups!$A$55:$D$64,3))/(VLOOKUP($C268,Lookups!$A$55:$D$64,4))*VLOOKUP($C268,Lookups!$C$2:$D$11,2))),0)&lt;1,1,IF(ROUND(10.499-(((N268-VLOOKUP($C268,Lookups!$A$55:$D$64,3))/(VLOOKUP($C268,Lookups!$A$55:$D$64,4))*VLOOKUP($C268,Lookups!$C$2:$D$11,2))),0)&lt;11,ROUND(10.499-(((N268-VLOOKUP($C268,Lookups!$A$55:$D$64,3))/(VLOOKUP($C268,Lookups!$A$55:$D$64,4))*VLOOKUP($C268,Lookups!$C$2:$D$11,2))),0),10))</f>
        <v>#N/A</v>
      </c>
      <c r="P268" s="13" t="str">
        <f>IF((SUM(F268:M268)=0),"J",VLOOKUP(O268,Lookups!$A$1:$B$11,2))</f>
        <v>J</v>
      </c>
      <c r="Q268" s="8" t="e">
        <f>VLOOKUP(C268,Lookups!$A$136:$C$144,3)</f>
        <v>#N/A</v>
      </c>
      <c r="R268" s="8" t="e">
        <f>VLOOKUP(C268,Lookups!$A$136:$C$144,2)</f>
        <v>#N/A</v>
      </c>
      <c r="S268" s="4" t="str">
        <f t="shared" si="22"/>
        <v>No</v>
      </c>
      <c r="T268" s="125">
        <f t="shared" si="23"/>
        <v>0</v>
      </c>
      <c r="U268" s="125">
        <f t="shared" si="24"/>
        <v>0</v>
      </c>
      <c r="V268" s="4" t="e">
        <f>IF($Q268&lt;&gt;3,VLOOKUP(F268,'Points Table A'!B$3:$F$33,5),VLOOKUP(F268,'Points Table A'!H$3:$L$33,5))</f>
        <v>#N/A</v>
      </c>
      <c r="W268" s="4" t="e">
        <f>IF($Q268&lt;&gt;3,VLOOKUP(G268,'Points Table A'!C$3:$F$33,4),VLOOKUP(G268,'Points Table A'!I$3:$L$33,4))</f>
        <v>#N/A</v>
      </c>
      <c r="X268" s="4" t="e">
        <f>IF($Q268&lt;&gt;3,VLOOKUP(H268,'Points Table A'!D$3:$F$28,3),VLOOKUP(H268,'Points Table A'!J$3:$L$33,3))</f>
        <v>#N/A</v>
      </c>
      <c r="Y268" s="4" t="e">
        <f>IF($Q268&lt;&gt;3,VLOOKUP(I268,'Points Table A'!E$3:$F$33,2),VLOOKUP(I268,'Points Table A'!K$3:$L$33,2))</f>
        <v>#N/A</v>
      </c>
      <c r="Z268" s="4" t="e">
        <f t="shared" si="25"/>
        <v>#N/A</v>
      </c>
      <c r="AA268" s="4">
        <f>IF($S268=Lookups!$B$113,VLOOKUP(L268,'Points Table C'!A$3:$E$11,5),VLOOKUP(U268,'Points Table C'!B$3:$E$11,4))</f>
        <v>0</v>
      </c>
      <c r="AB268" s="4" t="e">
        <f>IF($Q268=1,0,VLOOKUP($J268,'Points Table C'!$C$3:$E$18,3))</f>
        <v>#N/A</v>
      </c>
      <c r="AC268" s="4">
        <f>VLOOKUP($K268,'Points Table C'!$D$3:$E$18,2)</f>
        <v>0</v>
      </c>
      <c r="AD268" s="4" t="e">
        <f>IF($Z268&lt;Lookups!$C$106,($AA268+AB268+AC268),IF($AA268&gt;=Lookups!$C$120,($AA268+AB268+AC268),$AA268+$AB268))</f>
        <v>#N/A</v>
      </c>
      <c r="AF268" s="7"/>
      <c r="AG268" s="7"/>
      <c r="AH268" s="7"/>
      <c r="AI268" s="7"/>
      <c r="AJ268" s="7"/>
      <c r="AK268" s="7"/>
      <c r="AL268" s="7"/>
      <c r="AM268" s="7"/>
      <c r="AN268" s="7"/>
      <c r="AO268" s="7"/>
      <c r="AP268" s="7"/>
      <c r="AQ268" s="7"/>
      <c r="AR268" s="7"/>
      <c r="AS268" s="7"/>
      <c r="AT268" s="7"/>
      <c r="AU268" s="7"/>
      <c r="AV268" s="7"/>
      <c r="AW268" s="7"/>
      <c r="AY268" s="7"/>
      <c r="AZ268" s="7"/>
      <c r="BA268" s="7"/>
      <c r="BB268" s="7"/>
    </row>
    <row r="269" spans="2:54" x14ac:dyDescent="0.2">
      <c r="B269" s="174"/>
      <c r="C269" s="176"/>
      <c r="F269" s="5">
        <v>0</v>
      </c>
      <c r="G269" s="192">
        <v>0</v>
      </c>
      <c r="H269" s="192">
        <v>0</v>
      </c>
      <c r="I269" s="5">
        <v>0</v>
      </c>
      <c r="J269" s="192">
        <v>0</v>
      </c>
      <c r="K269" s="192">
        <v>0</v>
      </c>
      <c r="L269" s="5">
        <v>0</v>
      </c>
      <c r="M269" s="5">
        <v>0</v>
      </c>
      <c r="N269" s="4" t="e">
        <f t="shared" si="26"/>
        <v>#N/A</v>
      </c>
      <c r="O269" s="4" t="e">
        <f>IF(ROUND(10.499-(((N269-VLOOKUP($C269,Lookups!$A$55:$D$64,3))/(VLOOKUP($C269,Lookups!$A$55:$D$64,4))*VLOOKUP($C269,Lookups!$C$2:$D$11,2))),0)&lt;1,1,IF(ROUND(10.499-(((N269-VLOOKUP($C269,Lookups!$A$55:$D$64,3))/(VLOOKUP($C269,Lookups!$A$55:$D$64,4))*VLOOKUP($C269,Lookups!$C$2:$D$11,2))),0)&lt;11,ROUND(10.499-(((N269-VLOOKUP($C269,Lookups!$A$55:$D$64,3))/(VLOOKUP($C269,Lookups!$A$55:$D$64,4))*VLOOKUP($C269,Lookups!$C$2:$D$11,2))),0),10))</f>
        <v>#N/A</v>
      </c>
      <c r="P269" s="13" t="str">
        <f>IF((SUM(F269:M269)=0),"J",VLOOKUP(O269,Lookups!$A$1:$B$11,2))</f>
        <v>J</v>
      </c>
      <c r="Q269" s="8" t="e">
        <f>VLOOKUP(C269,Lookups!$A$136:$C$144,3)</f>
        <v>#N/A</v>
      </c>
      <c r="R269" s="8" t="e">
        <f>VLOOKUP(C269,Lookups!$A$136:$C$144,2)</f>
        <v>#N/A</v>
      </c>
      <c r="S269" s="4" t="str">
        <f t="shared" si="22"/>
        <v>No</v>
      </c>
      <c r="T269" s="125">
        <f t="shared" si="23"/>
        <v>0</v>
      </c>
      <c r="U269" s="125">
        <f t="shared" si="24"/>
        <v>0</v>
      </c>
      <c r="V269" s="4" t="e">
        <f>IF($Q269&lt;&gt;3,VLOOKUP(F269,'Points Table A'!B$3:$F$33,5),VLOOKUP(F269,'Points Table A'!H$3:$L$33,5))</f>
        <v>#N/A</v>
      </c>
      <c r="W269" s="4" t="e">
        <f>IF($Q269&lt;&gt;3,VLOOKUP(G269,'Points Table A'!C$3:$F$33,4),VLOOKUP(G269,'Points Table A'!I$3:$L$33,4))</f>
        <v>#N/A</v>
      </c>
      <c r="X269" s="4" t="e">
        <f>IF($Q269&lt;&gt;3,VLOOKUP(H269,'Points Table A'!D$3:$F$28,3),VLOOKUP(H269,'Points Table A'!J$3:$L$33,3))</f>
        <v>#N/A</v>
      </c>
      <c r="Y269" s="4" t="e">
        <f>IF($Q269&lt;&gt;3,VLOOKUP(I269,'Points Table A'!E$3:$F$33,2),VLOOKUP(I269,'Points Table A'!K$3:$L$33,2))</f>
        <v>#N/A</v>
      </c>
      <c r="Z269" s="4" t="e">
        <f t="shared" si="25"/>
        <v>#N/A</v>
      </c>
      <c r="AA269" s="4">
        <f>IF($S269=Lookups!$B$113,VLOOKUP(L269,'Points Table C'!A$3:$E$11,5),VLOOKUP(U269,'Points Table C'!B$3:$E$11,4))</f>
        <v>0</v>
      </c>
      <c r="AB269" s="4" t="e">
        <f>IF($Q269=1,0,VLOOKUP($J269,'Points Table C'!$C$3:$E$18,3))</f>
        <v>#N/A</v>
      </c>
      <c r="AC269" s="4">
        <f>VLOOKUP($K269,'Points Table C'!$D$3:$E$18,2)</f>
        <v>0</v>
      </c>
      <c r="AD269" s="4" t="e">
        <f>IF($Z269&lt;Lookups!$C$106,($AA269+AB269+AC269),IF($AA269&gt;=Lookups!$C$120,($AA269+AB269+AC269),$AA269+$AB269))</f>
        <v>#N/A</v>
      </c>
      <c r="AF269" s="7"/>
      <c r="AG269" s="7"/>
      <c r="AH269" s="7"/>
      <c r="AI269" s="7"/>
      <c r="AJ269" s="7"/>
      <c r="AK269" s="7"/>
      <c r="AL269" s="7"/>
      <c r="AM269" s="7"/>
      <c r="AN269" s="7"/>
      <c r="AO269" s="7"/>
      <c r="AP269" s="7"/>
      <c r="AQ269" s="7"/>
      <c r="AR269" s="7"/>
      <c r="AS269" s="7"/>
      <c r="AT269" s="7"/>
      <c r="AU269" s="7"/>
      <c r="AV269" s="7"/>
      <c r="AW269" s="7"/>
      <c r="AY269" s="7"/>
      <c r="AZ269" s="7"/>
      <c r="BA269" s="7"/>
      <c r="BB269" s="7"/>
    </row>
    <row r="270" spans="2:54" x14ac:dyDescent="0.2">
      <c r="B270" s="174"/>
      <c r="C270" s="176"/>
      <c r="F270" s="5">
        <v>0</v>
      </c>
      <c r="G270" s="192">
        <v>0</v>
      </c>
      <c r="H270" s="192">
        <v>0</v>
      </c>
      <c r="I270" s="5">
        <v>0</v>
      </c>
      <c r="J270" s="192">
        <v>0</v>
      </c>
      <c r="K270" s="192">
        <v>0</v>
      </c>
      <c r="L270" s="5">
        <v>0</v>
      </c>
      <c r="M270" s="5">
        <v>0</v>
      </c>
      <c r="N270" s="4" t="e">
        <f t="shared" si="26"/>
        <v>#N/A</v>
      </c>
      <c r="O270" s="4" t="e">
        <f>IF(ROUND(10.499-(((N270-VLOOKUP($C270,Lookups!$A$55:$D$64,3))/(VLOOKUP($C270,Lookups!$A$55:$D$64,4))*VLOOKUP($C270,Lookups!$C$2:$D$11,2))),0)&lt;1,1,IF(ROUND(10.499-(((N270-VLOOKUP($C270,Lookups!$A$55:$D$64,3))/(VLOOKUP($C270,Lookups!$A$55:$D$64,4))*VLOOKUP($C270,Lookups!$C$2:$D$11,2))),0)&lt;11,ROUND(10.499-(((N270-VLOOKUP($C270,Lookups!$A$55:$D$64,3))/(VLOOKUP($C270,Lookups!$A$55:$D$64,4))*VLOOKUP($C270,Lookups!$C$2:$D$11,2))),0),10))</f>
        <v>#N/A</v>
      </c>
      <c r="P270" s="13" t="str">
        <f>IF((SUM(F270:M270)=0),"J",VLOOKUP(O270,Lookups!$A$1:$B$11,2))</f>
        <v>J</v>
      </c>
      <c r="Q270" s="8" t="e">
        <f>VLOOKUP(C270,Lookups!$A$136:$C$144,3)</f>
        <v>#N/A</v>
      </c>
      <c r="R270" s="8" t="e">
        <f>VLOOKUP(C270,Lookups!$A$136:$C$144,2)</f>
        <v>#N/A</v>
      </c>
      <c r="S270" s="4" t="str">
        <f t="shared" si="22"/>
        <v>No</v>
      </c>
      <c r="T270" s="125">
        <f t="shared" si="23"/>
        <v>0</v>
      </c>
      <c r="U270" s="125">
        <f t="shared" si="24"/>
        <v>0</v>
      </c>
      <c r="V270" s="4" t="e">
        <f>IF($Q270&lt;&gt;3,VLOOKUP(F270,'Points Table A'!B$3:$F$33,5),VLOOKUP(F270,'Points Table A'!H$3:$L$33,5))</f>
        <v>#N/A</v>
      </c>
      <c r="W270" s="4" t="e">
        <f>IF($Q270&lt;&gt;3,VLOOKUP(G270,'Points Table A'!C$3:$F$33,4),VLOOKUP(G270,'Points Table A'!I$3:$L$33,4))</f>
        <v>#N/A</v>
      </c>
      <c r="X270" s="4" t="e">
        <f>IF($Q270&lt;&gt;3,VLOOKUP(H270,'Points Table A'!D$3:$F$28,3),VLOOKUP(H270,'Points Table A'!J$3:$L$33,3))</f>
        <v>#N/A</v>
      </c>
      <c r="Y270" s="4" t="e">
        <f>IF($Q270&lt;&gt;3,VLOOKUP(I270,'Points Table A'!E$3:$F$33,2),VLOOKUP(I270,'Points Table A'!K$3:$L$33,2))</f>
        <v>#N/A</v>
      </c>
      <c r="Z270" s="4" t="e">
        <f t="shared" si="25"/>
        <v>#N/A</v>
      </c>
      <c r="AA270" s="4">
        <f>IF($S270=Lookups!$B$113,VLOOKUP(L270,'Points Table C'!A$3:$E$11,5),VLOOKUP(U270,'Points Table C'!B$3:$E$11,4))</f>
        <v>0</v>
      </c>
      <c r="AB270" s="4" t="e">
        <f>IF($Q270=1,0,VLOOKUP($J270,'Points Table C'!$C$3:$E$18,3))</f>
        <v>#N/A</v>
      </c>
      <c r="AC270" s="4">
        <f>VLOOKUP($K270,'Points Table C'!$D$3:$E$18,2)</f>
        <v>0</v>
      </c>
      <c r="AD270" s="4" t="e">
        <f>IF($Z270&lt;Lookups!$C$106,($AA270+AB270+AC270),IF($AA270&gt;=Lookups!$C$120,($AA270+AB270+AC270),$AA270+$AB270))</f>
        <v>#N/A</v>
      </c>
      <c r="AF270" s="7"/>
      <c r="AG270" s="7"/>
      <c r="AH270" s="7"/>
      <c r="AI270" s="7"/>
      <c r="AJ270" s="7"/>
      <c r="AK270" s="7"/>
      <c r="AL270" s="7"/>
      <c r="AM270" s="7"/>
      <c r="AN270" s="7"/>
      <c r="AO270" s="7"/>
      <c r="AP270" s="7"/>
      <c r="AQ270" s="7"/>
      <c r="AR270" s="7"/>
      <c r="AS270" s="7"/>
      <c r="AT270" s="7"/>
      <c r="AU270" s="7"/>
      <c r="AV270" s="7"/>
      <c r="AW270" s="7"/>
      <c r="AY270" s="7"/>
      <c r="AZ270" s="7"/>
      <c r="BA270" s="7"/>
      <c r="BB270" s="7"/>
    </row>
    <row r="271" spans="2:54" x14ac:dyDescent="0.2">
      <c r="B271" s="174"/>
      <c r="C271" s="176"/>
      <c r="F271" s="5">
        <v>0</v>
      </c>
      <c r="G271" s="192">
        <v>0</v>
      </c>
      <c r="H271" s="192">
        <v>0</v>
      </c>
      <c r="I271" s="5">
        <v>0</v>
      </c>
      <c r="J271" s="192">
        <v>0</v>
      </c>
      <c r="K271" s="192">
        <v>0</v>
      </c>
      <c r="L271" s="5">
        <v>0</v>
      </c>
      <c r="M271" s="5">
        <v>0</v>
      </c>
      <c r="N271" s="4" t="e">
        <f t="shared" si="26"/>
        <v>#N/A</v>
      </c>
      <c r="O271" s="4" t="e">
        <f>IF(ROUND(10.499-(((N271-VLOOKUP($C271,Lookups!$A$55:$D$64,3))/(VLOOKUP($C271,Lookups!$A$55:$D$64,4))*VLOOKUP($C271,Lookups!$C$2:$D$11,2))),0)&lt;1,1,IF(ROUND(10.499-(((N271-VLOOKUP($C271,Lookups!$A$55:$D$64,3))/(VLOOKUP($C271,Lookups!$A$55:$D$64,4))*VLOOKUP($C271,Lookups!$C$2:$D$11,2))),0)&lt;11,ROUND(10.499-(((N271-VLOOKUP($C271,Lookups!$A$55:$D$64,3))/(VLOOKUP($C271,Lookups!$A$55:$D$64,4))*VLOOKUP($C271,Lookups!$C$2:$D$11,2))),0),10))</f>
        <v>#N/A</v>
      </c>
      <c r="P271" s="13" t="str">
        <f>IF((SUM(F271:M271)=0),"J",VLOOKUP(O271,Lookups!$A$1:$B$11,2))</f>
        <v>J</v>
      </c>
      <c r="Q271" s="8" t="e">
        <f>VLOOKUP(C271,Lookups!$A$136:$C$144,3)</f>
        <v>#N/A</v>
      </c>
      <c r="R271" s="8" t="e">
        <f>VLOOKUP(C271,Lookups!$A$136:$C$144,2)</f>
        <v>#N/A</v>
      </c>
      <c r="S271" s="4" t="str">
        <f t="shared" ref="S271:S334" si="27">IF(AND(L271&gt;0,M271=0),"Yes","No")</f>
        <v>No</v>
      </c>
      <c r="T271" s="125">
        <f t="shared" ref="T271:T334" si="28">L271+M271</f>
        <v>0</v>
      </c>
      <c r="U271" s="125">
        <f t="shared" ref="U271:U334" si="29">ROUND(100*(M271+2*L271)/(M271+2*L271+(100-L271-M271)),2)</f>
        <v>0</v>
      </c>
      <c r="V271" s="4" t="e">
        <f>IF($Q271&lt;&gt;3,VLOOKUP(F271,'Points Table A'!B$3:$F$33,5),VLOOKUP(F271,'Points Table A'!H$3:$L$33,5))</f>
        <v>#N/A</v>
      </c>
      <c r="W271" s="4" t="e">
        <f>IF($Q271&lt;&gt;3,VLOOKUP(G271,'Points Table A'!C$3:$F$33,4),VLOOKUP(G271,'Points Table A'!I$3:$L$33,4))</f>
        <v>#N/A</v>
      </c>
      <c r="X271" s="4" t="e">
        <f>IF($Q271&lt;&gt;3,VLOOKUP(H271,'Points Table A'!D$3:$F$28,3),VLOOKUP(H271,'Points Table A'!J$3:$L$33,3))</f>
        <v>#N/A</v>
      </c>
      <c r="Y271" s="4" t="e">
        <f>IF($Q271&lt;&gt;3,VLOOKUP(I271,'Points Table A'!E$3:$F$33,2),VLOOKUP(I271,'Points Table A'!K$3:$L$33,2))</f>
        <v>#N/A</v>
      </c>
      <c r="Z271" s="4" t="e">
        <f t="shared" ref="Z271:Z334" si="30">SUM(V271:Y271)</f>
        <v>#N/A</v>
      </c>
      <c r="AA271" s="4">
        <f>IF($S271=Lookups!$B$113,VLOOKUP(L271,'Points Table C'!A$3:$E$11,5),VLOOKUP(U271,'Points Table C'!B$3:$E$11,4))</f>
        <v>0</v>
      </c>
      <c r="AB271" s="4" t="e">
        <f>IF($Q271=1,0,VLOOKUP($J271,'Points Table C'!$C$3:$E$18,3))</f>
        <v>#N/A</v>
      </c>
      <c r="AC271" s="4">
        <f>VLOOKUP($K271,'Points Table C'!$D$3:$E$18,2)</f>
        <v>0</v>
      </c>
      <c r="AD271" s="4" t="e">
        <f>IF($Z271&lt;Lookups!$C$106,($AA271+AB271+AC271),IF($AA271&gt;=Lookups!$C$120,($AA271+AB271+AC271),$AA271+$AB271))</f>
        <v>#N/A</v>
      </c>
      <c r="AF271" s="7"/>
      <c r="AG271" s="7"/>
      <c r="AH271" s="7"/>
      <c r="AI271" s="7"/>
      <c r="AJ271" s="7"/>
      <c r="AK271" s="7"/>
      <c r="AL271" s="7"/>
      <c r="AM271" s="7"/>
      <c r="AN271" s="7"/>
      <c r="AO271" s="7"/>
      <c r="AP271" s="7"/>
      <c r="AQ271" s="7"/>
      <c r="AR271" s="7"/>
      <c r="AS271" s="7"/>
      <c r="AT271" s="7"/>
      <c r="AU271" s="7"/>
      <c r="AV271" s="7"/>
      <c r="AW271" s="7"/>
      <c r="AY271" s="7"/>
      <c r="AZ271" s="7"/>
      <c r="BA271" s="7"/>
      <c r="BB271" s="7"/>
    </row>
    <row r="272" spans="2:54" x14ac:dyDescent="0.2">
      <c r="B272" s="174"/>
      <c r="C272" s="176"/>
      <c r="F272" s="5">
        <v>0</v>
      </c>
      <c r="G272" s="192">
        <v>0</v>
      </c>
      <c r="H272" s="192">
        <v>0</v>
      </c>
      <c r="I272" s="5">
        <v>0</v>
      </c>
      <c r="J272" s="192">
        <v>0</v>
      </c>
      <c r="K272" s="192">
        <v>0</v>
      </c>
      <c r="L272" s="5">
        <v>0</v>
      </c>
      <c r="M272" s="5">
        <v>0</v>
      </c>
      <c r="N272" s="4" t="e">
        <f t="shared" si="26"/>
        <v>#N/A</v>
      </c>
      <c r="O272" s="4" t="e">
        <f>IF(ROUND(10.499-(((N272-VLOOKUP($C272,Lookups!$A$55:$D$64,3))/(VLOOKUP($C272,Lookups!$A$55:$D$64,4))*VLOOKUP($C272,Lookups!$C$2:$D$11,2))),0)&lt;1,1,IF(ROUND(10.499-(((N272-VLOOKUP($C272,Lookups!$A$55:$D$64,3))/(VLOOKUP($C272,Lookups!$A$55:$D$64,4))*VLOOKUP($C272,Lookups!$C$2:$D$11,2))),0)&lt;11,ROUND(10.499-(((N272-VLOOKUP($C272,Lookups!$A$55:$D$64,3))/(VLOOKUP($C272,Lookups!$A$55:$D$64,4))*VLOOKUP($C272,Lookups!$C$2:$D$11,2))),0),10))</f>
        <v>#N/A</v>
      </c>
      <c r="P272" s="13" t="str">
        <f>IF((SUM(F272:M272)=0),"J",VLOOKUP(O272,Lookups!$A$1:$B$11,2))</f>
        <v>J</v>
      </c>
      <c r="Q272" s="8" t="e">
        <f>VLOOKUP(C272,Lookups!$A$136:$C$144,3)</f>
        <v>#N/A</v>
      </c>
      <c r="R272" s="8" t="e">
        <f>VLOOKUP(C272,Lookups!$A$136:$C$144,2)</f>
        <v>#N/A</v>
      </c>
      <c r="S272" s="4" t="str">
        <f t="shared" si="27"/>
        <v>No</v>
      </c>
      <c r="T272" s="125">
        <f t="shared" si="28"/>
        <v>0</v>
      </c>
      <c r="U272" s="125">
        <f t="shared" si="29"/>
        <v>0</v>
      </c>
      <c r="V272" s="4" t="e">
        <f>IF($Q272&lt;&gt;3,VLOOKUP(F272,'Points Table A'!B$3:$F$33,5),VLOOKUP(F272,'Points Table A'!H$3:$L$33,5))</f>
        <v>#N/A</v>
      </c>
      <c r="W272" s="4" t="e">
        <f>IF($Q272&lt;&gt;3,VLOOKUP(G272,'Points Table A'!C$3:$F$33,4),VLOOKUP(G272,'Points Table A'!I$3:$L$33,4))</f>
        <v>#N/A</v>
      </c>
      <c r="X272" s="4" t="e">
        <f>IF($Q272&lt;&gt;3,VLOOKUP(H272,'Points Table A'!D$3:$F$28,3),VLOOKUP(H272,'Points Table A'!J$3:$L$33,3))</f>
        <v>#N/A</v>
      </c>
      <c r="Y272" s="4" t="e">
        <f>IF($Q272&lt;&gt;3,VLOOKUP(I272,'Points Table A'!E$3:$F$33,2),VLOOKUP(I272,'Points Table A'!K$3:$L$33,2))</f>
        <v>#N/A</v>
      </c>
      <c r="Z272" s="4" t="e">
        <f t="shared" si="30"/>
        <v>#N/A</v>
      </c>
      <c r="AA272" s="4">
        <f>IF($S272=Lookups!$B$113,VLOOKUP(L272,'Points Table C'!A$3:$E$11,5),VLOOKUP(U272,'Points Table C'!B$3:$E$11,4))</f>
        <v>0</v>
      </c>
      <c r="AB272" s="4" t="e">
        <f>IF($Q272=1,0,VLOOKUP($J272,'Points Table C'!$C$3:$E$18,3))</f>
        <v>#N/A</v>
      </c>
      <c r="AC272" s="4">
        <f>VLOOKUP($K272,'Points Table C'!$D$3:$E$18,2)</f>
        <v>0</v>
      </c>
      <c r="AD272" s="4" t="e">
        <f>IF($Z272&lt;Lookups!$C$106,($AA272+AB272+AC272),IF($AA272&gt;=Lookups!$C$120,($AA272+AB272+AC272),$AA272+$AB272))</f>
        <v>#N/A</v>
      </c>
      <c r="AF272" s="7"/>
      <c r="AG272" s="7"/>
      <c r="AH272" s="7"/>
      <c r="AI272" s="7"/>
      <c r="AJ272" s="7"/>
      <c r="AK272" s="7"/>
      <c r="AL272" s="7"/>
      <c r="AM272" s="7"/>
      <c r="AN272" s="7"/>
      <c r="AO272" s="7"/>
      <c r="AP272" s="7"/>
      <c r="AQ272" s="7"/>
      <c r="AR272" s="7"/>
      <c r="AS272" s="7"/>
      <c r="AT272" s="7"/>
      <c r="AU272" s="7"/>
      <c r="AV272" s="7"/>
      <c r="AW272" s="7"/>
      <c r="AY272" s="7"/>
      <c r="AZ272" s="7"/>
      <c r="BA272" s="7"/>
      <c r="BB272" s="7"/>
    </row>
    <row r="273" spans="2:54" x14ac:dyDescent="0.2">
      <c r="B273" s="174"/>
      <c r="C273" s="176"/>
      <c r="F273" s="5">
        <v>0</v>
      </c>
      <c r="G273" s="192">
        <v>0</v>
      </c>
      <c r="H273" s="192">
        <v>0</v>
      </c>
      <c r="I273" s="5">
        <v>0</v>
      </c>
      <c r="J273" s="192">
        <v>0</v>
      </c>
      <c r="K273" s="192">
        <v>0</v>
      </c>
      <c r="L273" s="5">
        <v>0</v>
      </c>
      <c r="M273" s="5">
        <v>0</v>
      </c>
      <c r="N273" s="4" t="e">
        <f t="shared" si="26"/>
        <v>#N/A</v>
      </c>
      <c r="O273" s="4" t="e">
        <f>IF(ROUND(10.499-(((N273-VLOOKUP($C273,Lookups!$A$55:$D$64,3))/(VLOOKUP($C273,Lookups!$A$55:$D$64,4))*VLOOKUP($C273,Lookups!$C$2:$D$11,2))),0)&lt;1,1,IF(ROUND(10.499-(((N273-VLOOKUP($C273,Lookups!$A$55:$D$64,3))/(VLOOKUP($C273,Lookups!$A$55:$D$64,4))*VLOOKUP($C273,Lookups!$C$2:$D$11,2))),0)&lt;11,ROUND(10.499-(((N273-VLOOKUP($C273,Lookups!$A$55:$D$64,3))/(VLOOKUP($C273,Lookups!$A$55:$D$64,4))*VLOOKUP($C273,Lookups!$C$2:$D$11,2))),0),10))</f>
        <v>#N/A</v>
      </c>
      <c r="P273" s="13" t="str">
        <f>IF((SUM(F273:M273)=0),"J",VLOOKUP(O273,Lookups!$A$1:$B$11,2))</f>
        <v>J</v>
      </c>
      <c r="Q273" s="8" t="e">
        <f>VLOOKUP(C273,Lookups!$A$136:$C$144,3)</f>
        <v>#N/A</v>
      </c>
      <c r="R273" s="8" t="e">
        <f>VLOOKUP(C273,Lookups!$A$136:$C$144,2)</f>
        <v>#N/A</v>
      </c>
      <c r="S273" s="4" t="str">
        <f t="shared" si="27"/>
        <v>No</v>
      </c>
      <c r="T273" s="125">
        <f t="shared" si="28"/>
        <v>0</v>
      </c>
      <c r="U273" s="125">
        <f t="shared" si="29"/>
        <v>0</v>
      </c>
      <c r="V273" s="4" t="e">
        <f>IF($Q273&lt;&gt;3,VLOOKUP(F273,'Points Table A'!B$3:$F$33,5),VLOOKUP(F273,'Points Table A'!H$3:$L$33,5))</f>
        <v>#N/A</v>
      </c>
      <c r="W273" s="4" t="e">
        <f>IF($Q273&lt;&gt;3,VLOOKUP(G273,'Points Table A'!C$3:$F$33,4),VLOOKUP(G273,'Points Table A'!I$3:$L$33,4))</f>
        <v>#N/A</v>
      </c>
      <c r="X273" s="4" t="e">
        <f>IF($Q273&lt;&gt;3,VLOOKUP(H273,'Points Table A'!D$3:$F$28,3),VLOOKUP(H273,'Points Table A'!J$3:$L$33,3))</f>
        <v>#N/A</v>
      </c>
      <c r="Y273" s="4" t="e">
        <f>IF($Q273&lt;&gt;3,VLOOKUP(I273,'Points Table A'!E$3:$F$33,2),VLOOKUP(I273,'Points Table A'!K$3:$L$33,2))</f>
        <v>#N/A</v>
      </c>
      <c r="Z273" s="4" t="e">
        <f t="shared" si="30"/>
        <v>#N/A</v>
      </c>
      <c r="AA273" s="4">
        <f>IF($S273=Lookups!$B$113,VLOOKUP(L273,'Points Table C'!A$3:$E$11,5),VLOOKUP(U273,'Points Table C'!B$3:$E$11,4))</f>
        <v>0</v>
      </c>
      <c r="AB273" s="4" t="e">
        <f>IF($Q273=1,0,VLOOKUP($J273,'Points Table C'!$C$3:$E$18,3))</f>
        <v>#N/A</v>
      </c>
      <c r="AC273" s="4">
        <f>VLOOKUP($K273,'Points Table C'!$D$3:$E$18,2)</f>
        <v>0</v>
      </c>
      <c r="AD273" s="4" t="e">
        <f>IF($Z273&lt;Lookups!$C$106,($AA273+AB273+AC273),IF($AA273&gt;=Lookups!$C$120,($AA273+AB273+AC273),$AA273+$AB273))</f>
        <v>#N/A</v>
      </c>
      <c r="AF273" s="7"/>
      <c r="AG273" s="7"/>
      <c r="AH273" s="7"/>
      <c r="AI273" s="7"/>
      <c r="AJ273" s="7"/>
      <c r="AK273" s="7"/>
      <c r="AL273" s="7"/>
      <c r="AM273" s="7"/>
      <c r="AN273" s="7"/>
      <c r="AO273" s="7"/>
      <c r="AP273" s="7"/>
      <c r="AQ273" s="7"/>
      <c r="AR273" s="7"/>
      <c r="AS273" s="7"/>
      <c r="AT273" s="7"/>
      <c r="AU273" s="7"/>
      <c r="AV273" s="7"/>
      <c r="AW273" s="7"/>
      <c r="AY273" s="7"/>
      <c r="AZ273" s="7"/>
      <c r="BA273" s="7"/>
      <c r="BB273" s="7"/>
    </row>
    <row r="274" spans="2:54" x14ac:dyDescent="0.2">
      <c r="B274" s="174"/>
      <c r="C274" s="176"/>
      <c r="F274" s="5">
        <v>0</v>
      </c>
      <c r="G274" s="192">
        <v>0</v>
      </c>
      <c r="H274" s="192">
        <v>0</v>
      </c>
      <c r="I274" s="5">
        <v>0</v>
      </c>
      <c r="J274" s="192">
        <v>0</v>
      </c>
      <c r="K274" s="192">
        <v>0</v>
      </c>
      <c r="L274" s="5">
        <v>0</v>
      </c>
      <c r="M274" s="5">
        <v>0</v>
      </c>
      <c r="N274" s="4" t="e">
        <f t="shared" si="26"/>
        <v>#N/A</v>
      </c>
      <c r="O274" s="4" t="e">
        <f>IF(ROUND(10.499-(((N274-VLOOKUP($C274,Lookups!$A$55:$D$64,3))/(VLOOKUP($C274,Lookups!$A$55:$D$64,4))*VLOOKUP($C274,Lookups!$C$2:$D$11,2))),0)&lt;1,1,IF(ROUND(10.499-(((N274-VLOOKUP($C274,Lookups!$A$55:$D$64,3))/(VLOOKUP($C274,Lookups!$A$55:$D$64,4))*VLOOKUP($C274,Lookups!$C$2:$D$11,2))),0)&lt;11,ROUND(10.499-(((N274-VLOOKUP($C274,Lookups!$A$55:$D$64,3))/(VLOOKUP($C274,Lookups!$A$55:$D$64,4))*VLOOKUP($C274,Lookups!$C$2:$D$11,2))),0),10))</f>
        <v>#N/A</v>
      </c>
      <c r="P274" s="13" t="str">
        <f>IF((SUM(F274:M274)=0),"J",VLOOKUP(O274,Lookups!$A$1:$B$11,2))</f>
        <v>J</v>
      </c>
      <c r="Q274" s="8" t="e">
        <f>VLOOKUP(C274,Lookups!$A$136:$C$144,3)</f>
        <v>#N/A</v>
      </c>
      <c r="R274" s="8" t="e">
        <f>VLOOKUP(C274,Lookups!$A$136:$C$144,2)</f>
        <v>#N/A</v>
      </c>
      <c r="S274" s="4" t="str">
        <f t="shared" si="27"/>
        <v>No</v>
      </c>
      <c r="T274" s="125">
        <f t="shared" si="28"/>
        <v>0</v>
      </c>
      <c r="U274" s="125">
        <f t="shared" si="29"/>
        <v>0</v>
      </c>
      <c r="V274" s="4" t="e">
        <f>IF($Q274&lt;&gt;3,VLOOKUP(F274,'Points Table A'!B$3:$F$33,5),VLOOKUP(F274,'Points Table A'!H$3:$L$33,5))</f>
        <v>#N/A</v>
      </c>
      <c r="W274" s="4" t="e">
        <f>IF($Q274&lt;&gt;3,VLOOKUP(G274,'Points Table A'!C$3:$F$33,4),VLOOKUP(G274,'Points Table A'!I$3:$L$33,4))</f>
        <v>#N/A</v>
      </c>
      <c r="X274" s="4" t="e">
        <f>IF($Q274&lt;&gt;3,VLOOKUP(H274,'Points Table A'!D$3:$F$28,3),VLOOKUP(H274,'Points Table A'!J$3:$L$33,3))</f>
        <v>#N/A</v>
      </c>
      <c r="Y274" s="4" t="e">
        <f>IF($Q274&lt;&gt;3,VLOOKUP(I274,'Points Table A'!E$3:$F$33,2),VLOOKUP(I274,'Points Table A'!K$3:$L$33,2))</f>
        <v>#N/A</v>
      </c>
      <c r="Z274" s="4" t="e">
        <f t="shared" si="30"/>
        <v>#N/A</v>
      </c>
      <c r="AA274" s="4">
        <f>IF($S274=Lookups!$B$113,VLOOKUP(L274,'Points Table C'!A$3:$E$11,5),VLOOKUP(U274,'Points Table C'!B$3:$E$11,4))</f>
        <v>0</v>
      </c>
      <c r="AB274" s="4" t="e">
        <f>IF($Q274=1,0,VLOOKUP($J274,'Points Table C'!$C$3:$E$18,3))</f>
        <v>#N/A</v>
      </c>
      <c r="AC274" s="4">
        <f>VLOOKUP($K274,'Points Table C'!$D$3:$E$18,2)</f>
        <v>0</v>
      </c>
      <c r="AD274" s="4" t="e">
        <f>IF($Z274&lt;Lookups!$C$106,($AA274+AB274+AC274),IF($AA274&gt;=Lookups!$C$120,($AA274+AB274+AC274),$AA274+$AB274))</f>
        <v>#N/A</v>
      </c>
      <c r="AF274" s="7"/>
      <c r="AG274" s="7"/>
      <c r="AH274" s="7"/>
      <c r="AI274" s="7"/>
      <c r="AJ274" s="7"/>
      <c r="AK274" s="7"/>
      <c r="AL274" s="7"/>
      <c r="AM274" s="7"/>
      <c r="AN274" s="7"/>
      <c r="AO274" s="7"/>
      <c r="AP274" s="7"/>
      <c r="AQ274" s="7"/>
      <c r="AR274" s="7"/>
      <c r="AS274" s="7"/>
      <c r="AT274" s="7"/>
      <c r="AU274" s="7"/>
      <c r="AV274" s="7"/>
      <c r="AW274" s="7"/>
      <c r="AY274" s="7"/>
      <c r="AZ274" s="7"/>
      <c r="BA274" s="7"/>
      <c r="BB274" s="7"/>
    </row>
    <row r="275" spans="2:54" x14ac:dyDescent="0.2">
      <c r="B275" s="174"/>
      <c r="C275" s="176"/>
      <c r="F275" s="5">
        <v>0</v>
      </c>
      <c r="G275" s="192">
        <v>0</v>
      </c>
      <c r="H275" s="192">
        <v>0</v>
      </c>
      <c r="I275" s="5">
        <v>0</v>
      </c>
      <c r="J275" s="192">
        <v>0</v>
      </c>
      <c r="K275" s="192">
        <v>0</v>
      </c>
      <c r="L275" s="5">
        <v>0</v>
      </c>
      <c r="M275" s="5">
        <v>0</v>
      </c>
      <c r="N275" s="4" t="e">
        <f t="shared" si="26"/>
        <v>#N/A</v>
      </c>
      <c r="O275" s="4" t="e">
        <f>IF(ROUND(10.499-(((N275-VLOOKUP($C275,Lookups!$A$55:$D$64,3))/(VLOOKUP($C275,Lookups!$A$55:$D$64,4))*VLOOKUP($C275,Lookups!$C$2:$D$11,2))),0)&lt;1,1,IF(ROUND(10.499-(((N275-VLOOKUP($C275,Lookups!$A$55:$D$64,3))/(VLOOKUP($C275,Lookups!$A$55:$D$64,4))*VLOOKUP($C275,Lookups!$C$2:$D$11,2))),0)&lt;11,ROUND(10.499-(((N275-VLOOKUP($C275,Lookups!$A$55:$D$64,3))/(VLOOKUP($C275,Lookups!$A$55:$D$64,4))*VLOOKUP($C275,Lookups!$C$2:$D$11,2))),0),10))</f>
        <v>#N/A</v>
      </c>
      <c r="P275" s="13" t="str">
        <f>IF((SUM(F275:M275)=0),"J",VLOOKUP(O275,Lookups!$A$1:$B$11,2))</f>
        <v>J</v>
      </c>
      <c r="Q275" s="8" t="e">
        <f>VLOOKUP(C275,Lookups!$A$136:$C$144,3)</f>
        <v>#N/A</v>
      </c>
      <c r="R275" s="8" t="e">
        <f>VLOOKUP(C275,Lookups!$A$136:$C$144,2)</f>
        <v>#N/A</v>
      </c>
      <c r="S275" s="4" t="str">
        <f t="shared" si="27"/>
        <v>No</v>
      </c>
      <c r="T275" s="125">
        <f t="shared" si="28"/>
        <v>0</v>
      </c>
      <c r="U275" s="125">
        <f t="shared" si="29"/>
        <v>0</v>
      </c>
      <c r="V275" s="4" t="e">
        <f>IF($Q275&lt;&gt;3,VLOOKUP(F275,'Points Table A'!B$3:$F$33,5),VLOOKUP(F275,'Points Table A'!H$3:$L$33,5))</f>
        <v>#N/A</v>
      </c>
      <c r="W275" s="4" t="e">
        <f>IF($Q275&lt;&gt;3,VLOOKUP(G275,'Points Table A'!C$3:$F$33,4),VLOOKUP(G275,'Points Table A'!I$3:$L$33,4))</f>
        <v>#N/A</v>
      </c>
      <c r="X275" s="4" t="e">
        <f>IF($Q275&lt;&gt;3,VLOOKUP(H275,'Points Table A'!D$3:$F$28,3),VLOOKUP(H275,'Points Table A'!J$3:$L$33,3))</f>
        <v>#N/A</v>
      </c>
      <c r="Y275" s="4" t="e">
        <f>IF($Q275&lt;&gt;3,VLOOKUP(I275,'Points Table A'!E$3:$F$33,2),VLOOKUP(I275,'Points Table A'!K$3:$L$33,2))</f>
        <v>#N/A</v>
      </c>
      <c r="Z275" s="4" t="e">
        <f t="shared" si="30"/>
        <v>#N/A</v>
      </c>
      <c r="AA275" s="4">
        <f>IF($S275=Lookups!$B$113,VLOOKUP(L275,'Points Table C'!A$3:$E$11,5),VLOOKUP(U275,'Points Table C'!B$3:$E$11,4))</f>
        <v>0</v>
      </c>
      <c r="AB275" s="4" t="e">
        <f>IF($Q275=1,0,VLOOKUP($J275,'Points Table C'!$C$3:$E$18,3))</f>
        <v>#N/A</v>
      </c>
      <c r="AC275" s="4">
        <f>VLOOKUP($K275,'Points Table C'!$D$3:$E$18,2)</f>
        <v>0</v>
      </c>
      <c r="AD275" s="4" t="e">
        <f>IF($Z275&lt;Lookups!$C$106,($AA275+AB275+AC275),IF($AA275&gt;=Lookups!$C$120,($AA275+AB275+AC275),$AA275+$AB275))</f>
        <v>#N/A</v>
      </c>
      <c r="AF275" s="7"/>
      <c r="AG275" s="7"/>
      <c r="AH275" s="7"/>
      <c r="AI275" s="7"/>
      <c r="AJ275" s="7"/>
      <c r="AK275" s="7"/>
      <c r="AL275" s="7"/>
      <c r="AM275" s="7"/>
      <c r="AN275" s="7"/>
      <c r="AO275" s="7"/>
      <c r="AP275" s="7"/>
      <c r="AQ275" s="7"/>
      <c r="AR275" s="7"/>
      <c r="AS275" s="7"/>
      <c r="AT275" s="7"/>
      <c r="AU275" s="7"/>
      <c r="AV275" s="7"/>
      <c r="AW275" s="7"/>
      <c r="AY275" s="7"/>
      <c r="AZ275" s="7"/>
      <c r="BA275" s="7"/>
      <c r="BB275" s="7"/>
    </row>
    <row r="276" spans="2:54" x14ac:dyDescent="0.2">
      <c r="B276" s="174"/>
      <c r="C276" s="176"/>
      <c r="F276" s="5">
        <v>0</v>
      </c>
      <c r="G276" s="192">
        <v>0</v>
      </c>
      <c r="H276" s="192">
        <v>0</v>
      </c>
      <c r="I276" s="5">
        <v>0</v>
      </c>
      <c r="J276" s="192">
        <v>0</v>
      </c>
      <c r="K276" s="192">
        <v>0</v>
      </c>
      <c r="L276" s="5">
        <v>0</v>
      </c>
      <c r="M276" s="5">
        <v>0</v>
      </c>
      <c r="N276" s="4" t="e">
        <f t="shared" si="26"/>
        <v>#N/A</v>
      </c>
      <c r="O276" s="4" t="e">
        <f>IF(ROUND(10.499-(((N276-VLOOKUP($C276,Lookups!$A$55:$D$64,3))/(VLOOKUP($C276,Lookups!$A$55:$D$64,4))*VLOOKUP($C276,Lookups!$C$2:$D$11,2))),0)&lt;1,1,IF(ROUND(10.499-(((N276-VLOOKUP($C276,Lookups!$A$55:$D$64,3))/(VLOOKUP($C276,Lookups!$A$55:$D$64,4))*VLOOKUP($C276,Lookups!$C$2:$D$11,2))),0)&lt;11,ROUND(10.499-(((N276-VLOOKUP($C276,Lookups!$A$55:$D$64,3))/(VLOOKUP($C276,Lookups!$A$55:$D$64,4))*VLOOKUP($C276,Lookups!$C$2:$D$11,2))),0),10))</f>
        <v>#N/A</v>
      </c>
      <c r="P276" s="13" t="str">
        <f>IF((SUM(F276:M276)=0),"J",VLOOKUP(O276,Lookups!$A$1:$B$11,2))</f>
        <v>J</v>
      </c>
      <c r="Q276" s="8" t="e">
        <f>VLOOKUP(C276,Lookups!$A$136:$C$144,3)</f>
        <v>#N/A</v>
      </c>
      <c r="R276" s="8" t="e">
        <f>VLOOKUP(C276,Lookups!$A$136:$C$144,2)</f>
        <v>#N/A</v>
      </c>
      <c r="S276" s="4" t="str">
        <f t="shared" si="27"/>
        <v>No</v>
      </c>
      <c r="T276" s="125">
        <f t="shared" si="28"/>
        <v>0</v>
      </c>
      <c r="U276" s="125">
        <f t="shared" si="29"/>
        <v>0</v>
      </c>
      <c r="V276" s="4" t="e">
        <f>IF($Q276&lt;&gt;3,VLOOKUP(F276,'Points Table A'!B$3:$F$33,5),VLOOKUP(F276,'Points Table A'!H$3:$L$33,5))</f>
        <v>#N/A</v>
      </c>
      <c r="W276" s="4" t="e">
        <f>IF($Q276&lt;&gt;3,VLOOKUP(G276,'Points Table A'!C$3:$F$33,4),VLOOKUP(G276,'Points Table A'!I$3:$L$33,4))</f>
        <v>#N/A</v>
      </c>
      <c r="X276" s="4" t="e">
        <f>IF($Q276&lt;&gt;3,VLOOKUP(H276,'Points Table A'!D$3:$F$28,3),VLOOKUP(H276,'Points Table A'!J$3:$L$33,3))</f>
        <v>#N/A</v>
      </c>
      <c r="Y276" s="4" t="e">
        <f>IF($Q276&lt;&gt;3,VLOOKUP(I276,'Points Table A'!E$3:$F$33,2),VLOOKUP(I276,'Points Table A'!K$3:$L$33,2))</f>
        <v>#N/A</v>
      </c>
      <c r="Z276" s="4" t="e">
        <f t="shared" si="30"/>
        <v>#N/A</v>
      </c>
      <c r="AA276" s="4">
        <f>IF($S276=Lookups!$B$113,VLOOKUP(L276,'Points Table C'!A$3:$E$11,5),VLOOKUP(U276,'Points Table C'!B$3:$E$11,4))</f>
        <v>0</v>
      </c>
      <c r="AB276" s="4" t="e">
        <f>IF($Q276=1,0,VLOOKUP($J276,'Points Table C'!$C$3:$E$18,3))</f>
        <v>#N/A</v>
      </c>
      <c r="AC276" s="4">
        <f>VLOOKUP($K276,'Points Table C'!$D$3:$E$18,2)</f>
        <v>0</v>
      </c>
      <c r="AD276" s="4" t="e">
        <f>IF($Z276&lt;Lookups!$C$106,($AA276+AB276+AC276),IF($AA276&gt;=Lookups!$C$120,($AA276+AB276+AC276),$AA276+$AB276))</f>
        <v>#N/A</v>
      </c>
      <c r="AF276" s="7"/>
      <c r="AG276" s="7"/>
      <c r="AH276" s="7"/>
      <c r="AI276" s="7"/>
      <c r="AJ276" s="7"/>
      <c r="AK276" s="7"/>
      <c r="AL276" s="7"/>
      <c r="AM276" s="7"/>
      <c r="AN276" s="7"/>
      <c r="AO276" s="7"/>
      <c r="AP276" s="7"/>
      <c r="AQ276" s="7"/>
      <c r="AR276" s="7"/>
      <c r="AS276" s="7"/>
      <c r="AT276" s="7"/>
      <c r="AU276" s="7"/>
      <c r="AV276" s="7"/>
      <c r="AW276" s="7"/>
      <c r="AY276" s="7"/>
      <c r="AZ276" s="7"/>
      <c r="BA276" s="7"/>
      <c r="BB276" s="7"/>
    </row>
    <row r="277" spans="2:54" x14ac:dyDescent="0.2">
      <c r="B277" s="174"/>
      <c r="C277" s="176"/>
      <c r="F277" s="5">
        <v>0</v>
      </c>
      <c r="G277" s="192">
        <v>0</v>
      </c>
      <c r="H277" s="192">
        <v>0</v>
      </c>
      <c r="I277" s="5">
        <v>0</v>
      </c>
      <c r="J277" s="192">
        <v>0</v>
      </c>
      <c r="K277" s="192">
        <v>0</v>
      </c>
      <c r="L277" s="5">
        <v>0</v>
      </c>
      <c r="M277" s="5">
        <v>0</v>
      </c>
      <c r="N277" s="4" t="e">
        <f t="shared" si="26"/>
        <v>#N/A</v>
      </c>
      <c r="O277" s="4" t="e">
        <f>IF(ROUND(10.499-(((N277-VLOOKUP($C277,Lookups!$A$55:$D$64,3))/(VLOOKUP($C277,Lookups!$A$55:$D$64,4))*VLOOKUP($C277,Lookups!$C$2:$D$11,2))),0)&lt;1,1,IF(ROUND(10.499-(((N277-VLOOKUP($C277,Lookups!$A$55:$D$64,3))/(VLOOKUP($C277,Lookups!$A$55:$D$64,4))*VLOOKUP($C277,Lookups!$C$2:$D$11,2))),0)&lt;11,ROUND(10.499-(((N277-VLOOKUP($C277,Lookups!$A$55:$D$64,3))/(VLOOKUP($C277,Lookups!$A$55:$D$64,4))*VLOOKUP($C277,Lookups!$C$2:$D$11,2))),0),10))</f>
        <v>#N/A</v>
      </c>
      <c r="P277" s="13" t="str">
        <f>IF((SUM(F277:M277)=0),"J",VLOOKUP(O277,Lookups!$A$1:$B$11,2))</f>
        <v>J</v>
      </c>
      <c r="Q277" s="8" t="e">
        <f>VLOOKUP(C277,Lookups!$A$136:$C$144,3)</f>
        <v>#N/A</v>
      </c>
      <c r="R277" s="8" t="e">
        <f>VLOOKUP(C277,Lookups!$A$136:$C$144,2)</f>
        <v>#N/A</v>
      </c>
      <c r="S277" s="4" t="str">
        <f t="shared" si="27"/>
        <v>No</v>
      </c>
      <c r="T277" s="125">
        <f t="shared" si="28"/>
        <v>0</v>
      </c>
      <c r="U277" s="125">
        <f t="shared" si="29"/>
        <v>0</v>
      </c>
      <c r="V277" s="4" t="e">
        <f>IF($Q277&lt;&gt;3,VLOOKUP(F277,'Points Table A'!B$3:$F$33,5),VLOOKUP(F277,'Points Table A'!H$3:$L$33,5))</f>
        <v>#N/A</v>
      </c>
      <c r="W277" s="4" t="e">
        <f>IF($Q277&lt;&gt;3,VLOOKUP(G277,'Points Table A'!C$3:$F$33,4),VLOOKUP(G277,'Points Table A'!I$3:$L$33,4))</f>
        <v>#N/A</v>
      </c>
      <c r="X277" s="4" t="e">
        <f>IF($Q277&lt;&gt;3,VLOOKUP(H277,'Points Table A'!D$3:$F$28,3),VLOOKUP(H277,'Points Table A'!J$3:$L$33,3))</f>
        <v>#N/A</v>
      </c>
      <c r="Y277" s="4" t="e">
        <f>IF($Q277&lt;&gt;3,VLOOKUP(I277,'Points Table A'!E$3:$F$33,2),VLOOKUP(I277,'Points Table A'!K$3:$L$33,2))</f>
        <v>#N/A</v>
      </c>
      <c r="Z277" s="4" t="e">
        <f t="shared" si="30"/>
        <v>#N/A</v>
      </c>
      <c r="AA277" s="4">
        <f>IF($S277=Lookups!$B$113,VLOOKUP(L277,'Points Table C'!A$3:$E$11,5),VLOOKUP(U277,'Points Table C'!B$3:$E$11,4))</f>
        <v>0</v>
      </c>
      <c r="AB277" s="4" t="e">
        <f>IF($Q277=1,0,VLOOKUP($J277,'Points Table C'!$C$3:$E$18,3))</f>
        <v>#N/A</v>
      </c>
      <c r="AC277" s="4">
        <f>VLOOKUP($K277,'Points Table C'!$D$3:$E$18,2)</f>
        <v>0</v>
      </c>
      <c r="AD277" s="4" t="e">
        <f>IF($Z277&lt;Lookups!$C$106,($AA277+AB277+AC277),IF($AA277&gt;=Lookups!$C$120,($AA277+AB277+AC277),$AA277+$AB277))</f>
        <v>#N/A</v>
      </c>
      <c r="AF277" s="7"/>
      <c r="AG277" s="7"/>
      <c r="AH277" s="7"/>
      <c r="AI277" s="7"/>
      <c r="AJ277" s="7"/>
      <c r="AK277" s="7"/>
      <c r="AL277" s="7"/>
      <c r="AM277" s="7"/>
      <c r="AN277" s="7"/>
      <c r="AO277" s="7"/>
      <c r="AP277" s="7"/>
      <c r="AQ277" s="7"/>
      <c r="AR277" s="7"/>
      <c r="AS277" s="7"/>
      <c r="AT277" s="7"/>
      <c r="AU277" s="7"/>
      <c r="AV277" s="7"/>
      <c r="AW277" s="7"/>
      <c r="AY277" s="7"/>
      <c r="AZ277" s="7"/>
      <c r="BA277" s="7"/>
      <c r="BB277" s="7"/>
    </row>
    <row r="278" spans="2:54" x14ac:dyDescent="0.2">
      <c r="B278" s="174"/>
      <c r="C278" s="176"/>
      <c r="F278" s="5">
        <v>0</v>
      </c>
      <c r="G278" s="192">
        <v>0</v>
      </c>
      <c r="H278" s="192">
        <v>0</v>
      </c>
      <c r="I278" s="5">
        <v>0</v>
      </c>
      <c r="J278" s="192">
        <v>0</v>
      </c>
      <c r="K278" s="192">
        <v>0</v>
      </c>
      <c r="L278" s="5">
        <v>0</v>
      </c>
      <c r="M278" s="5">
        <v>0</v>
      </c>
      <c r="N278" s="4" t="e">
        <f t="shared" si="26"/>
        <v>#N/A</v>
      </c>
      <c r="O278" s="4" t="e">
        <f>IF(ROUND(10.499-(((N278-VLOOKUP($C278,Lookups!$A$55:$D$64,3))/(VLOOKUP($C278,Lookups!$A$55:$D$64,4))*VLOOKUP($C278,Lookups!$C$2:$D$11,2))),0)&lt;1,1,IF(ROUND(10.499-(((N278-VLOOKUP($C278,Lookups!$A$55:$D$64,3))/(VLOOKUP($C278,Lookups!$A$55:$D$64,4))*VLOOKUP($C278,Lookups!$C$2:$D$11,2))),0)&lt;11,ROUND(10.499-(((N278-VLOOKUP($C278,Lookups!$A$55:$D$64,3))/(VLOOKUP($C278,Lookups!$A$55:$D$64,4))*VLOOKUP($C278,Lookups!$C$2:$D$11,2))),0),10))</f>
        <v>#N/A</v>
      </c>
      <c r="P278" s="13" t="str">
        <f>IF((SUM(F278:M278)=0),"J",VLOOKUP(O278,Lookups!$A$1:$B$11,2))</f>
        <v>J</v>
      </c>
      <c r="Q278" s="8" t="e">
        <f>VLOOKUP(C278,Lookups!$A$136:$C$144,3)</f>
        <v>#N/A</v>
      </c>
      <c r="R278" s="8" t="e">
        <f>VLOOKUP(C278,Lookups!$A$136:$C$144,2)</f>
        <v>#N/A</v>
      </c>
      <c r="S278" s="4" t="str">
        <f t="shared" si="27"/>
        <v>No</v>
      </c>
      <c r="T278" s="125">
        <f t="shared" si="28"/>
        <v>0</v>
      </c>
      <c r="U278" s="125">
        <f t="shared" si="29"/>
        <v>0</v>
      </c>
      <c r="V278" s="4" t="e">
        <f>IF($Q278&lt;&gt;3,VLOOKUP(F278,'Points Table A'!B$3:$F$33,5),VLOOKUP(F278,'Points Table A'!H$3:$L$33,5))</f>
        <v>#N/A</v>
      </c>
      <c r="W278" s="4" t="e">
        <f>IF($Q278&lt;&gt;3,VLOOKUP(G278,'Points Table A'!C$3:$F$33,4),VLOOKUP(G278,'Points Table A'!I$3:$L$33,4))</f>
        <v>#N/A</v>
      </c>
      <c r="X278" s="4" t="e">
        <f>IF($Q278&lt;&gt;3,VLOOKUP(H278,'Points Table A'!D$3:$F$28,3),VLOOKUP(H278,'Points Table A'!J$3:$L$33,3))</f>
        <v>#N/A</v>
      </c>
      <c r="Y278" s="4" t="e">
        <f>IF($Q278&lt;&gt;3,VLOOKUP(I278,'Points Table A'!E$3:$F$33,2),VLOOKUP(I278,'Points Table A'!K$3:$L$33,2))</f>
        <v>#N/A</v>
      </c>
      <c r="Z278" s="4" t="e">
        <f t="shared" si="30"/>
        <v>#N/A</v>
      </c>
      <c r="AA278" s="4">
        <f>IF($S278=Lookups!$B$113,VLOOKUP(L278,'Points Table C'!A$3:$E$11,5),VLOOKUP(U278,'Points Table C'!B$3:$E$11,4))</f>
        <v>0</v>
      </c>
      <c r="AB278" s="4" t="e">
        <f>IF($Q278=1,0,VLOOKUP($J278,'Points Table C'!$C$3:$E$18,3))</f>
        <v>#N/A</v>
      </c>
      <c r="AC278" s="4">
        <f>VLOOKUP($K278,'Points Table C'!$D$3:$E$18,2)</f>
        <v>0</v>
      </c>
      <c r="AD278" s="4" t="e">
        <f>IF($Z278&lt;Lookups!$C$106,($AA278+AB278+AC278),IF($AA278&gt;=Lookups!$C$120,($AA278+AB278+AC278),$AA278+$AB278))</f>
        <v>#N/A</v>
      </c>
      <c r="AF278" s="7"/>
      <c r="AG278" s="7"/>
      <c r="AH278" s="7"/>
      <c r="AI278" s="7"/>
      <c r="AJ278" s="7"/>
      <c r="AK278" s="7"/>
      <c r="AL278" s="7"/>
      <c r="AM278" s="7"/>
      <c r="AN278" s="7"/>
      <c r="AO278" s="7"/>
      <c r="AP278" s="7"/>
      <c r="AQ278" s="7"/>
      <c r="AR278" s="7"/>
      <c r="AS278" s="7"/>
      <c r="AT278" s="7"/>
      <c r="AU278" s="7"/>
      <c r="AV278" s="7"/>
      <c r="AW278" s="7"/>
      <c r="AY278" s="7"/>
      <c r="AZ278" s="7"/>
      <c r="BA278" s="7"/>
      <c r="BB278" s="7"/>
    </row>
    <row r="279" spans="2:54" x14ac:dyDescent="0.2">
      <c r="B279" s="174"/>
      <c r="C279" s="176"/>
      <c r="F279" s="5">
        <v>0</v>
      </c>
      <c r="G279" s="192">
        <v>0</v>
      </c>
      <c r="H279" s="192">
        <v>0</v>
      </c>
      <c r="I279" s="5">
        <v>0</v>
      </c>
      <c r="J279" s="192">
        <v>0</v>
      </c>
      <c r="K279" s="192">
        <v>0</v>
      </c>
      <c r="L279" s="5">
        <v>0</v>
      </c>
      <c r="M279" s="5">
        <v>0</v>
      </c>
      <c r="N279" s="4" t="e">
        <f t="shared" si="26"/>
        <v>#N/A</v>
      </c>
      <c r="O279" s="4" t="e">
        <f>IF(ROUND(10.499-(((N279-VLOOKUP($C279,Lookups!$A$55:$D$64,3))/(VLOOKUP($C279,Lookups!$A$55:$D$64,4))*VLOOKUP($C279,Lookups!$C$2:$D$11,2))),0)&lt;1,1,IF(ROUND(10.499-(((N279-VLOOKUP($C279,Lookups!$A$55:$D$64,3))/(VLOOKUP($C279,Lookups!$A$55:$D$64,4))*VLOOKUP($C279,Lookups!$C$2:$D$11,2))),0)&lt;11,ROUND(10.499-(((N279-VLOOKUP($C279,Lookups!$A$55:$D$64,3))/(VLOOKUP($C279,Lookups!$A$55:$D$64,4))*VLOOKUP($C279,Lookups!$C$2:$D$11,2))),0),10))</f>
        <v>#N/A</v>
      </c>
      <c r="P279" s="13" t="str">
        <f>IF((SUM(F279:M279)=0),"J",VLOOKUP(O279,Lookups!$A$1:$B$11,2))</f>
        <v>J</v>
      </c>
      <c r="Q279" s="8" t="e">
        <f>VLOOKUP(C279,Lookups!$A$136:$C$144,3)</f>
        <v>#N/A</v>
      </c>
      <c r="R279" s="8" t="e">
        <f>VLOOKUP(C279,Lookups!$A$136:$C$144,2)</f>
        <v>#N/A</v>
      </c>
      <c r="S279" s="4" t="str">
        <f t="shared" si="27"/>
        <v>No</v>
      </c>
      <c r="T279" s="125">
        <f t="shared" si="28"/>
        <v>0</v>
      </c>
      <c r="U279" s="125">
        <f t="shared" si="29"/>
        <v>0</v>
      </c>
      <c r="V279" s="4" t="e">
        <f>IF($Q279&lt;&gt;3,VLOOKUP(F279,'Points Table A'!B$3:$F$33,5),VLOOKUP(F279,'Points Table A'!H$3:$L$33,5))</f>
        <v>#N/A</v>
      </c>
      <c r="W279" s="4" t="e">
        <f>IF($Q279&lt;&gt;3,VLOOKUP(G279,'Points Table A'!C$3:$F$33,4),VLOOKUP(G279,'Points Table A'!I$3:$L$33,4))</f>
        <v>#N/A</v>
      </c>
      <c r="X279" s="4" t="e">
        <f>IF($Q279&lt;&gt;3,VLOOKUP(H279,'Points Table A'!D$3:$F$28,3),VLOOKUP(H279,'Points Table A'!J$3:$L$33,3))</f>
        <v>#N/A</v>
      </c>
      <c r="Y279" s="4" t="e">
        <f>IF($Q279&lt;&gt;3,VLOOKUP(I279,'Points Table A'!E$3:$F$33,2),VLOOKUP(I279,'Points Table A'!K$3:$L$33,2))</f>
        <v>#N/A</v>
      </c>
      <c r="Z279" s="4" t="e">
        <f t="shared" si="30"/>
        <v>#N/A</v>
      </c>
      <c r="AA279" s="4">
        <f>IF($S279=Lookups!$B$113,VLOOKUP(L279,'Points Table C'!A$3:$E$11,5),VLOOKUP(U279,'Points Table C'!B$3:$E$11,4))</f>
        <v>0</v>
      </c>
      <c r="AB279" s="4" t="e">
        <f>IF($Q279=1,0,VLOOKUP($J279,'Points Table C'!$C$3:$E$18,3))</f>
        <v>#N/A</v>
      </c>
      <c r="AC279" s="4">
        <f>VLOOKUP($K279,'Points Table C'!$D$3:$E$18,2)</f>
        <v>0</v>
      </c>
      <c r="AD279" s="4" t="e">
        <f>IF($Z279&lt;Lookups!$C$106,($AA279+AB279+AC279),IF($AA279&gt;=Lookups!$C$120,($AA279+AB279+AC279),$AA279+$AB279))</f>
        <v>#N/A</v>
      </c>
      <c r="AF279" s="7"/>
      <c r="AG279" s="7"/>
      <c r="AH279" s="7"/>
      <c r="AI279" s="7"/>
      <c r="AJ279" s="7"/>
      <c r="AK279" s="7"/>
      <c r="AL279" s="7"/>
      <c r="AM279" s="7"/>
      <c r="AN279" s="7"/>
      <c r="AO279" s="7"/>
      <c r="AP279" s="7"/>
      <c r="AQ279" s="7"/>
      <c r="AR279" s="7"/>
      <c r="AS279" s="7"/>
      <c r="AT279" s="7"/>
      <c r="AU279" s="7"/>
      <c r="AV279" s="7"/>
      <c r="AW279" s="7"/>
      <c r="AY279" s="7"/>
      <c r="AZ279" s="7"/>
      <c r="BA279" s="7"/>
      <c r="BB279" s="7"/>
    </row>
    <row r="280" spans="2:54" x14ac:dyDescent="0.2">
      <c r="B280" s="174"/>
      <c r="C280" s="176"/>
      <c r="F280" s="5">
        <v>0</v>
      </c>
      <c r="G280" s="192">
        <v>0</v>
      </c>
      <c r="H280" s="192">
        <v>0</v>
      </c>
      <c r="I280" s="5">
        <v>0</v>
      </c>
      <c r="J280" s="192">
        <v>0</v>
      </c>
      <c r="K280" s="192">
        <v>0</v>
      </c>
      <c r="L280" s="5">
        <v>0</v>
      </c>
      <c r="M280" s="5">
        <v>0</v>
      </c>
      <c r="N280" s="4" t="e">
        <f t="shared" si="26"/>
        <v>#N/A</v>
      </c>
      <c r="O280" s="4" t="e">
        <f>IF(ROUND(10.499-(((N280-VLOOKUP($C280,Lookups!$A$55:$D$64,3))/(VLOOKUP($C280,Lookups!$A$55:$D$64,4))*VLOOKUP($C280,Lookups!$C$2:$D$11,2))),0)&lt;1,1,IF(ROUND(10.499-(((N280-VLOOKUP($C280,Lookups!$A$55:$D$64,3))/(VLOOKUP($C280,Lookups!$A$55:$D$64,4))*VLOOKUP($C280,Lookups!$C$2:$D$11,2))),0)&lt;11,ROUND(10.499-(((N280-VLOOKUP($C280,Lookups!$A$55:$D$64,3))/(VLOOKUP($C280,Lookups!$A$55:$D$64,4))*VLOOKUP($C280,Lookups!$C$2:$D$11,2))),0),10))</f>
        <v>#N/A</v>
      </c>
      <c r="P280" s="13" t="str">
        <f>IF((SUM(F280:M280)=0),"J",VLOOKUP(O280,Lookups!$A$1:$B$11,2))</f>
        <v>J</v>
      </c>
      <c r="Q280" s="8" t="e">
        <f>VLOOKUP(C280,Lookups!$A$136:$C$144,3)</f>
        <v>#N/A</v>
      </c>
      <c r="R280" s="8" t="e">
        <f>VLOOKUP(C280,Lookups!$A$136:$C$144,2)</f>
        <v>#N/A</v>
      </c>
      <c r="S280" s="4" t="str">
        <f t="shared" si="27"/>
        <v>No</v>
      </c>
      <c r="T280" s="125">
        <f t="shared" si="28"/>
        <v>0</v>
      </c>
      <c r="U280" s="125">
        <f t="shared" si="29"/>
        <v>0</v>
      </c>
      <c r="V280" s="4" t="e">
        <f>IF($Q280&lt;&gt;3,VLOOKUP(F280,'Points Table A'!B$3:$F$33,5),VLOOKUP(F280,'Points Table A'!H$3:$L$33,5))</f>
        <v>#N/A</v>
      </c>
      <c r="W280" s="4" t="e">
        <f>IF($Q280&lt;&gt;3,VLOOKUP(G280,'Points Table A'!C$3:$F$33,4),VLOOKUP(G280,'Points Table A'!I$3:$L$33,4))</f>
        <v>#N/A</v>
      </c>
      <c r="X280" s="4" t="e">
        <f>IF($Q280&lt;&gt;3,VLOOKUP(H280,'Points Table A'!D$3:$F$28,3),VLOOKUP(H280,'Points Table A'!J$3:$L$33,3))</f>
        <v>#N/A</v>
      </c>
      <c r="Y280" s="4" t="e">
        <f>IF($Q280&lt;&gt;3,VLOOKUP(I280,'Points Table A'!E$3:$F$33,2),VLOOKUP(I280,'Points Table A'!K$3:$L$33,2))</f>
        <v>#N/A</v>
      </c>
      <c r="Z280" s="4" t="e">
        <f t="shared" si="30"/>
        <v>#N/A</v>
      </c>
      <c r="AA280" s="4">
        <f>IF($S280=Lookups!$B$113,VLOOKUP(L280,'Points Table C'!A$3:$E$11,5),VLOOKUP(U280,'Points Table C'!B$3:$E$11,4))</f>
        <v>0</v>
      </c>
      <c r="AB280" s="4" t="e">
        <f>IF($Q280=1,0,VLOOKUP($J280,'Points Table C'!$C$3:$E$18,3))</f>
        <v>#N/A</v>
      </c>
      <c r="AC280" s="4">
        <f>VLOOKUP($K280,'Points Table C'!$D$3:$E$18,2)</f>
        <v>0</v>
      </c>
      <c r="AD280" s="4" t="e">
        <f>IF($Z280&lt;Lookups!$C$106,($AA280+AB280+AC280),IF($AA280&gt;=Lookups!$C$120,($AA280+AB280+AC280),$AA280+$AB280))</f>
        <v>#N/A</v>
      </c>
      <c r="AF280" s="7"/>
      <c r="AG280" s="7"/>
      <c r="AH280" s="7"/>
      <c r="AI280" s="7"/>
      <c r="AJ280" s="7"/>
      <c r="AK280" s="7"/>
      <c r="AL280" s="7"/>
      <c r="AM280" s="7"/>
      <c r="AN280" s="7"/>
      <c r="AO280" s="7"/>
      <c r="AP280" s="7"/>
      <c r="AQ280" s="7"/>
      <c r="AR280" s="7"/>
      <c r="AS280" s="7"/>
      <c r="AT280" s="7"/>
      <c r="AU280" s="7"/>
      <c r="AV280" s="7"/>
      <c r="AW280" s="7"/>
      <c r="AY280" s="7"/>
      <c r="AZ280" s="7"/>
      <c r="BA280" s="7"/>
      <c r="BB280" s="7"/>
    </row>
    <row r="281" spans="2:54" x14ac:dyDescent="0.2">
      <c r="B281" s="174"/>
      <c r="C281" s="176"/>
      <c r="F281" s="5">
        <v>0</v>
      </c>
      <c r="G281" s="192">
        <v>0</v>
      </c>
      <c r="H281" s="192">
        <v>0</v>
      </c>
      <c r="I281" s="5">
        <v>0</v>
      </c>
      <c r="J281" s="192">
        <v>0</v>
      </c>
      <c r="K281" s="192">
        <v>0</v>
      </c>
      <c r="L281" s="5">
        <v>0</v>
      </c>
      <c r="M281" s="5">
        <v>0</v>
      </c>
      <c r="N281" s="4" t="e">
        <f t="shared" si="26"/>
        <v>#N/A</v>
      </c>
      <c r="O281" s="4" t="e">
        <f>IF(ROUND(10.499-(((N281-VLOOKUP($C281,Lookups!$A$55:$D$64,3))/(VLOOKUP($C281,Lookups!$A$55:$D$64,4))*VLOOKUP($C281,Lookups!$C$2:$D$11,2))),0)&lt;1,1,IF(ROUND(10.499-(((N281-VLOOKUP($C281,Lookups!$A$55:$D$64,3))/(VLOOKUP($C281,Lookups!$A$55:$D$64,4))*VLOOKUP($C281,Lookups!$C$2:$D$11,2))),0)&lt;11,ROUND(10.499-(((N281-VLOOKUP($C281,Lookups!$A$55:$D$64,3))/(VLOOKUP($C281,Lookups!$A$55:$D$64,4))*VLOOKUP($C281,Lookups!$C$2:$D$11,2))),0),10))</f>
        <v>#N/A</v>
      </c>
      <c r="P281" s="13" t="str">
        <f>IF((SUM(F281:M281)=0),"J",VLOOKUP(O281,Lookups!$A$1:$B$11,2))</f>
        <v>J</v>
      </c>
      <c r="Q281" s="8" t="e">
        <f>VLOOKUP(C281,Lookups!$A$136:$C$144,3)</f>
        <v>#N/A</v>
      </c>
      <c r="R281" s="8" t="e">
        <f>VLOOKUP(C281,Lookups!$A$136:$C$144,2)</f>
        <v>#N/A</v>
      </c>
      <c r="S281" s="4" t="str">
        <f t="shared" si="27"/>
        <v>No</v>
      </c>
      <c r="T281" s="125">
        <f t="shared" si="28"/>
        <v>0</v>
      </c>
      <c r="U281" s="125">
        <f t="shared" si="29"/>
        <v>0</v>
      </c>
      <c r="V281" s="4" t="e">
        <f>IF($Q281&lt;&gt;3,VLOOKUP(F281,'Points Table A'!B$3:$F$33,5),VLOOKUP(F281,'Points Table A'!H$3:$L$33,5))</f>
        <v>#N/A</v>
      </c>
      <c r="W281" s="4" t="e">
        <f>IF($Q281&lt;&gt;3,VLOOKUP(G281,'Points Table A'!C$3:$F$33,4),VLOOKUP(G281,'Points Table A'!I$3:$L$33,4))</f>
        <v>#N/A</v>
      </c>
      <c r="X281" s="4" t="e">
        <f>IF($Q281&lt;&gt;3,VLOOKUP(H281,'Points Table A'!D$3:$F$28,3),VLOOKUP(H281,'Points Table A'!J$3:$L$33,3))</f>
        <v>#N/A</v>
      </c>
      <c r="Y281" s="4" t="e">
        <f>IF($Q281&lt;&gt;3,VLOOKUP(I281,'Points Table A'!E$3:$F$33,2),VLOOKUP(I281,'Points Table A'!K$3:$L$33,2))</f>
        <v>#N/A</v>
      </c>
      <c r="Z281" s="4" t="e">
        <f t="shared" si="30"/>
        <v>#N/A</v>
      </c>
      <c r="AA281" s="4">
        <f>IF($S281=Lookups!$B$113,VLOOKUP(L281,'Points Table C'!A$3:$E$11,5),VLOOKUP(U281,'Points Table C'!B$3:$E$11,4))</f>
        <v>0</v>
      </c>
      <c r="AB281" s="4" t="e">
        <f>IF($Q281=1,0,VLOOKUP($J281,'Points Table C'!$C$3:$E$18,3))</f>
        <v>#N/A</v>
      </c>
      <c r="AC281" s="4">
        <f>VLOOKUP($K281,'Points Table C'!$D$3:$E$18,2)</f>
        <v>0</v>
      </c>
      <c r="AD281" s="4" t="e">
        <f>IF($Z281&lt;Lookups!$C$106,($AA281+AB281+AC281),IF($AA281&gt;=Lookups!$C$120,($AA281+AB281+AC281),$AA281+$AB281))</f>
        <v>#N/A</v>
      </c>
      <c r="AF281" s="7"/>
      <c r="AG281" s="7"/>
      <c r="AH281" s="7"/>
      <c r="AI281" s="7"/>
      <c r="AJ281" s="7"/>
      <c r="AK281" s="7"/>
      <c r="AL281" s="7"/>
      <c r="AM281" s="7"/>
      <c r="AN281" s="7"/>
      <c r="AO281" s="7"/>
      <c r="AP281" s="7"/>
      <c r="AQ281" s="7"/>
      <c r="AR281" s="7"/>
      <c r="AS281" s="7"/>
      <c r="AT281" s="7"/>
      <c r="AU281" s="7"/>
      <c r="AV281" s="7"/>
      <c r="AW281" s="7"/>
      <c r="AY281" s="7"/>
      <c r="AZ281" s="7"/>
      <c r="BA281" s="7"/>
      <c r="BB281" s="7"/>
    </row>
    <row r="282" spans="2:54" x14ac:dyDescent="0.2">
      <c r="B282" s="174"/>
      <c r="C282" s="176"/>
      <c r="F282" s="5">
        <v>0</v>
      </c>
      <c r="G282" s="192">
        <v>0</v>
      </c>
      <c r="H282" s="192">
        <v>0</v>
      </c>
      <c r="I282" s="5">
        <v>0</v>
      </c>
      <c r="J282" s="192">
        <v>0</v>
      </c>
      <c r="K282" s="192">
        <v>0</v>
      </c>
      <c r="L282" s="5">
        <v>0</v>
      </c>
      <c r="M282" s="5">
        <v>0</v>
      </c>
      <c r="N282" s="4" t="e">
        <f t="shared" si="26"/>
        <v>#N/A</v>
      </c>
      <c r="O282" s="4" t="e">
        <f>IF(ROUND(10.499-(((N282-VLOOKUP($C282,Lookups!$A$55:$D$64,3))/(VLOOKUP($C282,Lookups!$A$55:$D$64,4))*VLOOKUP($C282,Lookups!$C$2:$D$11,2))),0)&lt;1,1,IF(ROUND(10.499-(((N282-VLOOKUP($C282,Lookups!$A$55:$D$64,3))/(VLOOKUP($C282,Lookups!$A$55:$D$64,4))*VLOOKUP($C282,Lookups!$C$2:$D$11,2))),0)&lt;11,ROUND(10.499-(((N282-VLOOKUP($C282,Lookups!$A$55:$D$64,3))/(VLOOKUP($C282,Lookups!$A$55:$D$64,4))*VLOOKUP($C282,Lookups!$C$2:$D$11,2))),0),10))</f>
        <v>#N/A</v>
      </c>
      <c r="P282" s="13" t="str">
        <f>IF((SUM(F282:M282)=0),"J",VLOOKUP(O282,Lookups!$A$1:$B$11,2))</f>
        <v>J</v>
      </c>
      <c r="Q282" s="8" t="e">
        <f>VLOOKUP(C282,Lookups!$A$136:$C$144,3)</f>
        <v>#N/A</v>
      </c>
      <c r="R282" s="8" t="e">
        <f>VLOOKUP(C282,Lookups!$A$136:$C$144,2)</f>
        <v>#N/A</v>
      </c>
      <c r="S282" s="4" t="str">
        <f t="shared" si="27"/>
        <v>No</v>
      </c>
      <c r="T282" s="125">
        <f t="shared" si="28"/>
        <v>0</v>
      </c>
      <c r="U282" s="125">
        <f t="shared" si="29"/>
        <v>0</v>
      </c>
      <c r="V282" s="4" t="e">
        <f>IF($Q282&lt;&gt;3,VLOOKUP(F282,'Points Table A'!B$3:$F$33,5),VLOOKUP(F282,'Points Table A'!H$3:$L$33,5))</f>
        <v>#N/A</v>
      </c>
      <c r="W282" s="4" t="e">
        <f>IF($Q282&lt;&gt;3,VLOOKUP(G282,'Points Table A'!C$3:$F$33,4),VLOOKUP(G282,'Points Table A'!I$3:$L$33,4))</f>
        <v>#N/A</v>
      </c>
      <c r="X282" s="4" t="e">
        <f>IF($Q282&lt;&gt;3,VLOOKUP(H282,'Points Table A'!D$3:$F$28,3),VLOOKUP(H282,'Points Table A'!J$3:$L$33,3))</f>
        <v>#N/A</v>
      </c>
      <c r="Y282" s="4" t="e">
        <f>IF($Q282&lt;&gt;3,VLOOKUP(I282,'Points Table A'!E$3:$F$33,2),VLOOKUP(I282,'Points Table A'!K$3:$L$33,2))</f>
        <v>#N/A</v>
      </c>
      <c r="Z282" s="4" t="e">
        <f t="shared" si="30"/>
        <v>#N/A</v>
      </c>
      <c r="AA282" s="4">
        <f>IF($S282=Lookups!$B$113,VLOOKUP(L282,'Points Table C'!A$3:$E$11,5),VLOOKUP(U282,'Points Table C'!B$3:$E$11,4))</f>
        <v>0</v>
      </c>
      <c r="AB282" s="4" t="e">
        <f>IF($Q282=1,0,VLOOKUP($J282,'Points Table C'!$C$3:$E$18,3))</f>
        <v>#N/A</v>
      </c>
      <c r="AC282" s="4">
        <f>VLOOKUP($K282,'Points Table C'!$D$3:$E$18,2)</f>
        <v>0</v>
      </c>
      <c r="AD282" s="4" t="e">
        <f>IF($Z282&lt;Lookups!$C$106,($AA282+AB282+AC282),IF($AA282&gt;=Lookups!$C$120,($AA282+AB282+AC282),$AA282+$AB282))</f>
        <v>#N/A</v>
      </c>
      <c r="AF282" s="7"/>
      <c r="AG282" s="7"/>
      <c r="AH282" s="7"/>
      <c r="AI282" s="7"/>
      <c r="AJ282" s="7"/>
      <c r="AK282" s="7"/>
      <c r="AL282" s="7"/>
      <c r="AM282" s="7"/>
      <c r="AN282" s="7"/>
      <c r="AO282" s="7"/>
      <c r="AP282" s="7"/>
      <c r="AQ282" s="7"/>
      <c r="AR282" s="7"/>
      <c r="AS282" s="7"/>
      <c r="AT282" s="7"/>
      <c r="AU282" s="7"/>
      <c r="AV282" s="7"/>
      <c r="AW282" s="7"/>
      <c r="AY282" s="7"/>
      <c r="AZ282" s="7"/>
      <c r="BA282" s="7"/>
      <c r="BB282" s="7"/>
    </row>
    <row r="283" spans="2:54" x14ac:dyDescent="0.2">
      <c r="B283" s="174"/>
      <c r="C283" s="176"/>
      <c r="F283" s="5">
        <v>0</v>
      </c>
      <c r="G283" s="192">
        <v>0</v>
      </c>
      <c r="H283" s="192">
        <v>0</v>
      </c>
      <c r="I283" s="5">
        <v>0</v>
      </c>
      <c r="J283" s="192">
        <v>0</v>
      </c>
      <c r="K283" s="192">
        <v>0</v>
      </c>
      <c r="L283" s="5">
        <v>0</v>
      </c>
      <c r="M283" s="5">
        <v>0</v>
      </c>
      <c r="N283" s="4" t="e">
        <f t="shared" si="26"/>
        <v>#N/A</v>
      </c>
      <c r="O283" s="4" t="e">
        <f>IF(ROUND(10.499-(((N283-VLOOKUP($C283,Lookups!$A$55:$D$64,3))/(VLOOKUP($C283,Lookups!$A$55:$D$64,4))*VLOOKUP($C283,Lookups!$C$2:$D$11,2))),0)&lt;1,1,IF(ROUND(10.499-(((N283-VLOOKUP($C283,Lookups!$A$55:$D$64,3))/(VLOOKUP($C283,Lookups!$A$55:$D$64,4))*VLOOKUP($C283,Lookups!$C$2:$D$11,2))),0)&lt;11,ROUND(10.499-(((N283-VLOOKUP($C283,Lookups!$A$55:$D$64,3))/(VLOOKUP($C283,Lookups!$A$55:$D$64,4))*VLOOKUP($C283,Lookups!$C$2:$D$11,2))),0),10))</f>
        <v>#N/A</v>
      </c>
      <c r="P283" s="13" t="str">
        <f>IF((SUM(F283:M283)=0),"J",VLOOKUP(O283,Lookups!$A$1:$B$11,2))</f>
        <v>J</v>
      </c>
      <c r="Q283" s="8" t="e">
        <f>VLOOKUP(C283,Lookups!$A$136:$C$144,3)</f>
        <v>#N/A</v>
      </c>
      <c r="R283" s="8" t="e">
        <f>VLOOKUP(C283,Lookups!$A$136:$C$144,2)</f>
        <v>#N/A</v>
      </c>
      <c r="S283" s="4" t="str">
        <f t="shared" si="27"/>
        <v>No</v>
      </c>
      <c r="T283" s="125">
        <f t="shared" si="28"/>
        <v>0</v>
      </c>
      <c r="U283" s="125">
        <f t="shared" si="29"/>
        <v>0</v>
      </c>
      <c r="V283" s="4" t="e">
        <f>IF($Q283&lt;&gt;3,VLOOKUP(F283,'Points Table A'!B$3:$F$33,5),VLOOKUP(F283,'Points Table A'!H$3:$L$33,5))</f>
        <v>#N/A</v>
      </c>
      <c r="W283" s="4" t="e">
        <f>IF($Q283&lt;&gt;3,VLOOKUP(G283,'Points Table A'!C$3:$F$33,4),VLOOKUP(G283,'Points Table A'!I$3:$L$33,4))</f>
        <v>#N/A</v>
      </c>
      <c r="X283" s="4" t="e">
        <f>IF($Q283&lt;&gt;3,VLOOKUP(H283,'Points Table A'!D$3:$F$28,3),VLOOKUP(H283,'Points Table A'!J$3:$L$33,3))</f>
        <v>#N/A</v>
      </c>
      <c r="Y283" s="4" t="e">
        <f>IF($Q283&lt;&gt;3,VLOOKUP(I283,'Points Table A'!E$3:$F$33,2),VLOOKUP(I283,'Points Table A'!K$3:$L$33,2))</f>
        <v>#N/A</v>
      </c>
      <c r="Z283" s="4" t="e">
        <f t="shared" si="30"/>
        <v>#N/A</v>
      </c>
      <c r="AA283" s="4">
        <f>IF($S283=Lookups!$B$113,VLOOKUP(L283,'Points Table C'!A$3:$E$11,5),VLOOKUP(U283,'Points Table C'!B$3:$E$11,4))</f>
        <v>0</v>
      </c>
      <c r="AB283" s="4" t="e">
        <f>IF($Q283=1,0,VLOOKUP($J283,'Points Table C'!$C$3:$E$18,3))</f>
        <v>#N/A</v>
      </c>
      <c r="AC283" s="4">
        <f>VLOOKUP($K283,'Points Table C'!$D$3:$E$18,2)</f>
        <v>0</v>
      </c>
      <c r="AD283" s="4" t="e">
        <f>IF($Z283&lt;Lookups!$C$106,($AA283+AB283+AC283),IF($AA283&gt;=Lookups!$C$120,($AA283+AB283+AC283),$AA283+$AB283))</f>
        <v>#N/A</v>
      </c>
      <c r="AF283" s="7"/>
      <c r="AG283" s="7"/>
      <c r="AH283" s="7"/>
      <c r="AI283" s="7"/>
      <c r="AJ283" s="7"/>
      <c r="AK283" s="7"/>
      <c r="AL283" s="7"/>
      <c r="AM283" s="7"/>
      <c r="AN283" s="7"/>
      <c r="AO283" s="7"/>
      <c r="AP283" s="7"/>
      <c r="AQ283" s="7"/>
      <c r="AR283" s="7"/>
      <c r="AS283" s="7"/>
      <c r="AT283" s="7"/>
      <c r="AU283" s="7"/>
      <c r="AV283" s="7"/>
      <c r="AW283" s="7"/>
      <c r="AY283" s="7"/>
      <c r="AZ283" s="7"/>
      <c r="BA283" s="7"/>
      <c r="BB283" s="7"/>
    </row>
    <row r="284" spans="2:54" x14ac:dyDescent="0.2">
      <c r="B284" s="174"/>
      <c r="C284" s="176"/>
      <c r="F284" s="5">
        <v>0</v>
      </c>
      <c r="G284" s="192">
        <v>0</v>
      </c>
      <c r="H284" s="192">
        <v>0</v>
      </c>
      <c r="I284" s="5">
        <v>0</v>
      </c>
      <c r="J284" s="192">
        <v>0</v>
      </c>
      <c r="K284" s="192">
        <v>0</v>
      </c>
      <c r="L284" s="5">
        <v>0</v>
      </c>
      <c r="M284" s="5">
        <v>0</v>
      </c>
      <c r="N284" s="4" t="e">
        <f t="shared" si="26"/>
        <v>#N/A</v>
      </c>
      <c r="O284" s="4" t="e">
        <f>IF(ROUND(10.499-(((N284-VLOOKUP($C284,Lookups!$A$55:$D$64,3))/(VLOOKUP($C284,Lookups!$A$55:$D$64,4))*VLOOKUP($C284,Lookups!$C$2:$D$11,2))),0)&lt;1,1,IF(ROUND(10.499-(((N284-VLOOKUP($C284,Lookups!$A$55:$D$64,3))/(VLOOKUP($C284,Lookups!$A$55:$D$64,4))*VLOOKUP($C284,Lookups!$C$2:$D$11,2))),0)&lt;11,ROUND(10.499-(((N284-VLOOKUP($C284,Lookups!$A$55:$D$64,3))/(VLOOKUP($C284,Lookups!$A$55:$D$64,4))*VLOOKUP($C284,Lookups!$C$2:$D$11,2))),0),10))</f>
        <v>#N/A</v>
      </c>
      <c r="P284" s="13" t="str">
        <f>IF((SUM(F284:M284)=0),"J",VLOOKUP(O284,Lookups!$A$1:$B$11,2))</f>
        <v>J</v>
      </c>
      <c r="Q284" s="8" t="e">
        <f>VLOOKUP(C284,Lookups!$A$136:$C$144,3)</f>
        <v>#N/A</v>
      </c>
      <c r="R284" s="8" t="e">
        <f>VLOOKUP(C284,Lookups!$A$136:$C$144,2)</f>
        <v>#N/A</v>
      </c>
      <c r="S284" s="4" t="str">
        <f t="shared" si="27"/>
        <v>No</v>
      </c>
      <c r="T284" s="125">
        <f t="shared" si="28"/>
        <v>0</v>
      </c>
      <c r="U284" s="125">
        <f t="shared" si="29"/>
        <v>0</v>
      </c>
      <c r="V284" s="4" t="e">
        <f>IF($Q284&lt;&gt;3,VLOOKUP(F284,'Points Table A'!B$3:$F$33,5),VLOOKUP(F284,'Points Table A'!H$3:$L$33,5))</f>
        <v>#N/A</v>
      </c>
      <c r="W284" s="4" t="e">
        <f>IF($Q284&lt;&gt;3,VLOOKUP(G284,'Points Table A'!C$3:$F$33,4),VLOOKUP(G284,'Points Table A'!I$3:$L$33,4))</f>
        <v>#N/A</v>
      </c>
      <c r="X284" s="4" t="e">
        <f>IF($Q284&lt;&gt;3,VLOOKUP(H284,'Points Table A'!D$3:$F$28,3),VLOOKUP(H284,'Points Table A'!J$3:$L$33,3))</f>
        <v>#N/A</v>
      </c>
      <c r="Y284" s="4" t="e">
        <f>IF($Q284&lt;&gt;3,VLOOKUP(I284,'Points Table A'!E$3:$F$33,2),VLOOKUP(I284,'Points Table A'!K$3:$L$33,2))</f>
        <v>#N/A</v>
      </c>
      <c r="Z284" s="4" t="e">
        <f t="shared" si="30"/>
        <v>#N/A</v>
      </c>
      <c r="AA284" s="4">
        <f>IF($S284=Lookups!$B$113,VLOOKUP(L284,'Points Table C'!A$3:$E$11,5),VLOOKUP(U284,'Points Table C'!B$3:$E$11,4))</f>
        <v>0</v>
      </c>
      <c r="AB284" s="4" t="e">
        <f>IF($Q284=1,0,VLOOKUP($J284,'Points Table C'!$C$3:$E$18,3))</f>
        <v>#N/A</v>
      </c>
      <c r="AC284" s="4">
        <f>VLOOKUP($K284,'Points Table C'!$D$3:$E$18,2)</f>
        <v>0</v>
      </c>
      <c r="AD284" s="4" t="e">
        <f>IF($Z284&lt;Lookups!$C$106,($AA284+AB284+AC284),IF($AA284&gt;=Lookups!$C$120,($AA284+AB284+AC284),$AA284+$AB284))</f>
        <v>#N/A</v>
      </c>
      <c r="AF284" s="7"/>
      <c r="AG284" s="7"/>
      <c r="AH284" s="7"/>
      <c r="AI284" s="7"/>
      <c r="AJ284" s="7"/>
      <c r="AK284" s="7"/>
      <c r="AL284" s="7"/>
      <c r="AM284" s="7"/>
      <c r="AN284" s="7"/>
      <c r="AO284" s="7"/>
      <c r="AP284" s="7"/>
      <c r="AQ284" s="7"/>
      <c r="AR284" s="7"/>
      <c r="AS284" s="7"/>
      <c r="AT284" s="7"/>
      <c r="AU284" s="7"/>
      <c r="AV284" s="7"/>
      <c r="AW284" s="7"/>
      <c r="AY284" s="7"/>
      <c r="AZ284" s="7"/>
      <c r="BA284" s="7"/>
      <c r="BB284" s="7"/>
    </row>
    <row r="285" spans="2:54" x14ac:dyDescent="0.2">
      <c r="B285" s="174"/>
      <c r="C285" s="176"/>
      <c r="F285" s="5">
        <v>0</v>
      </c>
      <c r="G285" s="192">
        <v>0</v>
      </c>
      <c r="H285" s="192">
        <v>0</v>
      </c>
      <c r="I285" s="5">
        <v>0</v>
      </c>
      <c r="J285" s="192">
        <v>0</v>
      </c>
      <c r="K285" s="192">
        <v>0</v>
      </c>
      <c r="L285" s="5">
        <v>0</v>
      </c>
      <c r="M285" s="5">
        <v>0</v>
      </c>
      <c r="N285" s="4" t="e">
        <f t="shared" si="26"/>
        <v>#N/A</v>
      </c>
      <c r="O285" s="4" t="e">
        <f>IF(ROUND(10.499-(((N285-VLOOKUP($C285,Lookups!$A$55:$D$64,3))/(VLOOKUP($C285,Lookups!$A$55:$D$64,4))*VLOOKUP($C285,Lookups!$C$2:$D$11,2))),0)&lt;1,1,IF(ROUND(10.499-(((N285-VLOOKUP($C285,Lookups!$A$55:$D$64,3))/(VLOOKUP($C285,Lookups!$A$55:$D$64,4))*VLOOKUP($C285,Lookups!$C$2:$D$11,2))),0)&lt;11,ROUND(10.499-(((N285-VLOOKUP($C285,Lookups!$A$55:$D$64,3))/(VLOOKUP($C285,Lookups!$A$55:$D$64,4))*VLOOKUP($C285,Lookups!$C$2:$D$11,2))),0),10))</f>
        <v>#N/A</v>
      </c>
      <c r="P285" s="13" t="str">
        <f>IF((SUM(F285:M285)=0),"J",VLOOKUP(O285,Lookups!$A$1:$B$11,2))</f>
        <v>J</v>
      </c>
      <c r="Q285" s="8" t="e">
        <f>VLOOKUP(C285,Lookups!$A$136:$C$144,3)</f>
        <v>#N/A</v>
      </c>
      <c r="R285" s="8" t="e">
        <f>VLOOKUP(C285,Lookups!$A$136:$C$144,2)</f>
        <v>#N/A</v>
      </c>
      <c r="S285" s="4" t="str">
        <f t="shared" si="27"/>
        <v>No</v>
      </c>
      <c r="T285" s="125">
        <f t="shared" si="28"/>
        <v>0</v>
      </c>
      <c r="U285" s="125">
        <f t="shared" si="29"/>
        <v>0</v>
      </c>
      <c r="V285" s="4" t="e">
        <f>IF($Q285&lt;&gt;3,VLOOKUP(F285,'Points Table A'!B$3:$F$33,5),VLOOKUP(F285,'Points Table A'!H$3:$L$33,5))</f>
        <v>#N/A</v>
      </c>
      <c r="W285" s="4" t="e">
        <f>IF($Q285&lt;&gt;3,VLOOKUP(G285,'Points Table A'!C$3:$F$33,4),VLOOKUP(G285,'Points Table A'!I$3:$L$33,4))</f>
        <v>#N/A</v>
      </c>
      <c r="X285" s="4" t="e">
        <f>IF($Q285&lt;&gt;3,VLOOKUP(H285,'Points Table A'!D$3:$F$28,3),VLOOKUP(H285,'Points Table A'!J$3:$L$33,3))</f>
        <v>#N/A</v>
      </c>
      <c r="Y285" s="4" t="e">
        <f>IF($Q285&lt;&gt;3,VLOOKUP(I285,'Points Table A'!E$3:$F$33,2),VLOOKUP(I285,'Points Table A'!K$3:$L$33,2))</f>
        <v>#N/A</v>
      </c>
      <c r="Z285" s="4" t="e">
        <f t="shared" si="30"/>
        <v>#N/A</v>
      </c>
      <c r="AA285" s="4">
        <f>IF($S285=Lookups!$B$113,VLOOKUP(L285,'Points Table C'!A$3:$E$11,5),VLOOKUP(U285,'Points Table C'!B$3:$E$11,4))</f>
        <v>0</v>
      </c>
      <c r="AB285" s="4" t="e">
        <f>IF($Q285=1,0,VLOOKUP($J285,'Points Table C'!$C$3:$E$18,3))</f>
        <v>#N/A</v>
      </c>
      <c r="AC285" s="4">
        <f>VLOOKUP($K285,'Points Table C'!$D$3:$E$18,2)</f>
        <v>0</v>
      </c>
      <c r="AD285" s="4" t="e">
        <f>IF($Z285&lt;Lookups!$C$106,($AA285+AB285+AC285),IF($AA285&gt;=Lookups!$C$120,($AA285+AB285+AC285),$AA285+$AB285))</f>
        <v>#N/A</v>
      </c>
      <c r="AF285" s="7"/>
      <c r="AG285" s="7"/>
      <c r="AH285" s="7"/>
      <c r="AI285" s="7"/>
      <c r="AJ285" s="7"/>
      <c r="AK285" s="7"/>
      <c r="AL285" s="7"/>
      <c r="AM285" s="7"/>
      <c r="AN285" s="7"/>
      <c r="AO285" s="7"/>
      <c r="AP285" s="7"/>
      <c r="AQ285" s="7"/>
      <c r="AR285" s="7"/>
      <c r="AS285" s="7"/>
      <c r="AT285" s="7"/>
      <c r="AU285" s="7"/>
      <c r="AV285" s="7"/>
      <c r="AW285" s="7"/>
      <c r="AY285" s="7"/>
      <c r="AZ285" s="7"/>
      <c r="BA285" s="7"/>
      <c r="BB285" s="7"/>
    </row>
    <row r="286" spans="2:54" x14ac:dyDescent="0.2">
      <c r="B286" s="174"/>
      <c r="C286" s="176"/>
      <c r="F286" s="5">
        <v>0</v>
      </c>
      <c r="G286" s="192">
        <v>0</v>
      </c>
      <c r="H286" s="192">
        <v>0</v>
      </c>
      <c r="I286" s="5">
        <v>0</v>
      </c>
      <c r="J286" s="192">
        <v>0</v>
      </c>
      <c r="K286" s="192">
        <v>0</v>
      </c>
      <c r="L286" s="5">
        <v>0</v>
      </c>
      <c r="M286" s="5">
        <v>0</v>
      </c>
      <c r="N286" s="4" t="e">
        <f t="shared" si="26"/>
        <v>#N/A</v>
      </c>
      <c r="O286" s="4" t="e">
        <f>IF(ROUND(10.499-(((N286-VLOOKUP($C286,Lookups!$A$55:$D$64,3))/(VLOOKUP($C286,Lookups!$A$55:$D$64,4))*VLOOKUP($C286,Lookups!$C$2:$D$11,2))),0)&lt;1,1,IF(ROUND(10.499-(((N286-VLOOKUP($C286,Lookups!$A$55:$D$64,3))/(VLOOKUP($C286,Lookups!$A$55:$D$64,4))*VLOOKUP($C286,Lookups!$C$2:$D$11,2))),0)&lt;11,ROUND(10.499-(((N286-VLOOKUP($C286,Lookups!$A$55:$D$64,3))/(VLOOKUP($C286,Lookups!$A$55:$D$64,4))*VLOOKUP($C286,Lookups!$C$2:$D$11,2))),0),10))</f>
        <v>#N/A</v>
      </c>
      <c r="P286" s="13" t="str">
        <f>IF((SUM(F286:M286)=0),"J",VLOOKUP(O286,Lookups!$A$1:$B$11,2))</f>
        <v>J</v>
      </c>
      <c r="Q286" s="8" t="e">
        <f>VLOOKUP(C286,Lookups!$A$136:$C$144,3)</f>
        <v>#N/A</v>
      </c>
      <c r="R286" s="8" t="e">
        <f>VLOOKUP(C286,Lookups!$A$136:$C$144,2)</f>
        <v>#N/A</v>
      </c>
      <c r="S286" s="4" t="str">
        <f t="shared" si="27"/>
        <v>No</v>
      </c>
      <c r="T286" s="125">
        <f t="shared" si="28"/>
        <v>0</v>
      </c>
      <c r="U286" s="125">
        <f t="shared" si="29"/>
        <v>0</v>
      </c>
      <c r="V286" s="4" t="e">
        <f>IF($Q286&lt;&gt;3,VLOOKUP(F286,'Points Table A'!B$3:$F$33,5),VLOOKUP(F286,'Points Table A'!H$3:$L$33,5))</f>
        <v>#N/A</v>
      </c>
      <c r="W286" s="4" t="e">
        <f>IF($Q286&lt;&gt;3,VLOOKUP(G286,'Points Table A'!C$3:$F$33,4),VLOOKUP(G286,'Points Table A'!I$3:$L$33,4))</f>
        <v>#N/A</v>
      </c>
      <c r="X286" s="4" t="e">
        <f>IF($Q286&lt;&gt;3,VLOOKUP(H286,'Points Table A'!D$3:$F$28,3),VLOOKUP(H286,'Points Table A'!J$3:$L$33,3))</f>
        <v>#N/A</v>
      </c>
      <c r="Y286" s="4" t="e">
        <f>IF($Q286&lt;&gt;3,VLOOKUP(I286,'Points Table A'!E$3:$F$33,2),VLOOKUP(I286,'Points Table A'!K$3:$L$33,2))</f>
        <v>#N/A</v>
      </c>
      <c r="Z286" s="4" t="e">
        <f t="shared" si="30"/>
        <v>#N/A</v>
      </c>
      <c r="AA286" s="4">
        <f>IF($S286=Lookups!$B$113,VLOOKUP(L286,'Points Table C'!A$3:$E$11,5),VLOOKUP(U286,'Points Table C'!B$3:$E$11,4))</f>
        <v>0</v>
      </c>
      <c r="AB286" s="4" t="e">
        <f>IF($Q286=1,0,VLOOKUP($J286,'Points Table C'!$C$3:$E$18,3))</f>
        <v>#N/A</v>
      </c>
      <c r="AC286" s="4">
        <f>VLOOKUP($K286,'Points Table C'!$D$3:$E$18,2)</f>
        <v>0</v>
      </c>
      <c r="AD286" s="4" t="e">
        <f>IF($Z286&lt;Lookups!$C$106,($AA286+AB286+AC286),IF($AA286&gt;=Lookups!$C$120,($AA286+AB286+AC286),$AA286+$AB286))</f>
        <v>#N/A</v>
      </c>
      <c r="AF286" s="7"/>
      <c r="AG286" s="7"/>
      <c r="AH286" s="7"/>
      <c r="AI286" s="7"/>
      <c r="AJ286" s="7"/>
      <c r="AK286" s="7"/>
      <c r="AL286" s="7"/>
      <c r="AM286" s="7"/>
      <c r="AN286" s="7"/>
      <c r="AO286" s="7"/>
      <c r="AP286" s="7"/>
      <c r="AQ286" s="7"/>
      <c r="AR286" s="7"/>
      <c r="AS286" s="7"/>
      <c r="AT286" s="7"/>
      <c r="AU286" s="7"/>
      <c r="AV286" s="7"/>
      <c r="AW286" s="7"/>
      <c r="AY286" s="7"/>
      <c r="AZ286" s="7"/>
      <c r="BA286" s="7"/>
      <c r="BB286" s="7"/>
    </row>
    <row r="287" spans="2:54" x14ac:dyDescent="0.2">
      <c r="B287" s="174"/>
      <c r="C287" s="176"/>
      <c r="F287" s="5">
        <v>0</v>
      </c>
      <c r="G287" s="192">
        <v>0</v>
      </c>
      <c r="H287" s="192">
        <v>0</v>
      </c>
      <c r="I287" s="5">
        <v>0</v>
      </c>
      <c r="J287" s="192">
        <v>0</v>
      </c>
      <c r="K287" s="192">
        <v>0</v>
      </c>
      <c r="L287" s="5">
        <v>0</v>
      </c>
      <c r="M287" s="5">
        <v>0</v>
      </c>
      <c r="N287" s="4" t="e">
        <f t="shared" si="26"/>
        <v>#N/A</v>
      </c>
      <c r="O287" s="4" t="e">
        <f>IF(ROUND(10.499-(((N287-VLOOKUP($C287,Lookups!$A$55:$D$64,3))/(VLOOKUP($C287,Lookups!$A$55:$D$64,4))*VLOOKUP($C287,Lookups!$C$2:$D$11,2))),0)&lt;1,1,IF(ROUND(10.499-(((N287-VLOOKUP($C287,Lookups!$A$55:$D$64,3))/(VLOOKUP($C287,Lookups!$A$55:$D$64,4))*VLOOKUP($C287,Lookups!$C$2:$D$11,2))),0)&lt;11,ROUND(10.499-(((N287-VLOOKUP($C287,Lookups!$A$55:$D$64,3))/(VLOOKUP($C287,Lookups!$A$55:$D$64,4))*VLOOKUP($C287,Lookups!$C$2:$D$11,2))),0),10))</f>
        <v>#N/A</v>
      </c>
      <c r="P287" s="13" t="str">
        <f>IF((SUM(F287:M287)=0),"J",VLOOKUP(O287,Lookups!$A$1:$B$11,2))</f>
        <v>J</v>
      </c>
      <c r="Q287" s="8" t="e">
        <f>VLOOKUP(C287,Lookups!$A$136:$C$144,3)</f>
        <v>#N/A</v>
      </c>
      <c r="R287" s="8" t="e">
        <f>VLOOKUP(C287,Lookups!$A$136:$C$144,2)</f>
        <v>#N/A</v>
      </c>
      <c r="S287" s="4" t="str">
        <f t="shared" si="27"/>
        <v>No</v>
      </c>
      <c r="T287" s="125">
        <f t="shared" si="28"/>
        <v>0</v>
      </c>
      <c r="U287" s="125">
        <f t="shared" si="29"/>
        <v>0</v>
      </c>
      <c r="V287" s="4" t="e">
        <f>IF($Q287&lt;&gt;3,VLOOKUP(F287,'Points Table A'!B$3:$F$33,5),VLOOKUP(F287,'Points Table A'!H$3:$L$33,5))</f>
        <v>#N/A</v>
      </c>
      <c r="W287" s="4" t="e">
        <f>IF($Q287&lt;&gt;3,VLOOKUP(G287,'Points Table A'!C$3:$F$33,4),VLOOKUP(G287,'Points Table A'!I$3:$L$33,4))</f>
        <v>#N/A</v>
      </c>
      <c r="X287" s="4" t="e">
        <f>IF($Q287&lt;&gt;3,VLOOKUP(H287,'Points Table A'!D$3:$F$28,3),VLOOKUP(H287,'Points Table A'!J$3:$L$33,3))</f>
        <v>#N/A</v>
      </c>
      <c r="Y287" s="4" t="e">
        <f>IF($Q287&lt;&gt;3,VLOOKUP(I287,'Points Table A'!E$3:$F$33,2),VLOOKUP(I287,'Points Table A'!K$3:$L$33,2))</f>
        <v>#N/A</v>
      </c>
      <c r="Z287" s="4" t="e">
        <f t="shared" si="30"/>
        <v>#N/A</v>
      </c>
      <c r="AA287" s="4">
        <f>IF($S287=Lookups!$B$113,VLOOKUP(L287,'Points Table C'!A$3:$E$11,5),VLOOKUP(U287,'Points Table C'!B$3:$E$11,4))</f>
        <v>0</v>
      </c>
      <c r="AB287" s="4" t="e">
        <f>IF($Q287=1,0,VLOOKUP($J287,'Points Table C'!$C$3:$E$18,3))</f>
        <v>#N/A</v>
      </c>
      <c r="AC287" s="4">
        <f>VLOOKUP($K287,'Points Table C'!$D$3:$E$18,2)</f>
        <v>0</v>
      </c>
      <c r="AD287" s="4" t="e">
        <f>IF($Z287&lt;Lookups!$C$106,($AA287+AB287+AC287),IF($AA287&gt;=Lookups!$C$120,($AA287+AB287+AC287),$AA287+$AB287))</f>
        <v>#N/A</v>
      </c>
      <c r="AF287" s="7"/>
      <c r="AG287" s="7"/>
      <c r="AH287" s="7"/>
      <c r="AI287" s="7"/>
      <c r="AJ287" s="7"/>
      <c r="AK287" s="7"/>
      <c r="AL287" s="7"/>
      <c r="AM287" s="7"/>
      <c r="AN287" s="7"/>
      <c r="AO287" s="7"/>
      <c r="AP287" s="7"/>
      <c r="AQ287" s="7"/>
      <c r="AR287" s="7"/>
      <c r="AS287" s="7"/>
      <c r="AT287" s="7"/>
      <c r="AU287" s="7"/>
      <c r="AV287" s="7"/>
      <c r="AW287" s="7"/>
      <c r="AY287" s="7"/>
      <c r="AZ287" s="7"/>
      <c r="BA287" s="7"/>
      <c r="BB287" s="7"/>
    </row>
    <row r="288" spans="2:54" x14ac:dyDescent="0.2">
      <c r="B288" s="174"/>
      <c r="C288" s="176"/>
      <c r="F288" s="5">
        <v>0</v>
      </c>
      <c r="G288" s="192">
        <v>0</v>
      </c>
      <c r="H288" s="192">
        <v>0</v>
      </c>
      <c r="I288" s="5">
        <v>0</v>
      </c>
      <c r="J288" s="192">
        <v>0</v>
      </c>
      <c r="K288" s="192">
        <v>0</v>
      </c>
      <c r="L288" s="5">
        <v>0</v>
      </c>
      <c r="M288" s="5">
        <v>0</v>
      </c>
      <c r="N288" s="4" t="e">
        <f t="shared" si="26"/>
        <v>#N/A</v>
      </c>
      <c r="O288" s="4" t="e">
        <f>IF(ROUND(10.499-(((N288-VLOOKUP($C288,Lookups!$A$55:$D$64,3))/(VLOOKUP($C288,Lookups!$A$55:$D$64,4))*VLOOKUP($C288,Lookups!$C$2:$D$11,2))),0)&lt;1,1,IF(ROUND(10.499-(((N288-VLOOKUP($C288,Lookups!$A$55:$D$64,3))/(VLOOKUP($C288,Lookups!$A$55:$D$64,4))*VLOOKUP($C288,Lookups!$C$2:$D$11,2))),0)&lt;11,ROUND(10.499-(((N288-VLOOKUP($C288,Lookups!$A$55:$D$64,3))/(VLOOKUP($C288,Lookups!$A$55:$D$64,4))*VLOOKUP($C288,Lookups!$C$2:$D$11,2))),0),10))</f>
        <v>#N/A</v>
      </c>
      <c r="P288" s="13" t="str">
        <f>IF((SUM(F288:M288)=0),"J",VLOOKUP(O288,Lookups!$A$1:$B$11,2))</f>
        <v>J</v>
      </c>
      <c r="Q288" s="8" t="e">
        <f>VLOOKUP(C288,Lookups!$A$136:$C$144,3)</f>
        <v>#N/A</v>
      </c>
      <c r="R288" s="8" t="e">
        <f>VLOOKUP(C288,Lookups!$A$136:$C$144,2)</f>
        <v>#N/A</v>
      </c>
      <c r="S288" s="4" t="str">
        <f t="shared" si="27"/>
        <v>No</v>
      </c>
      <c r="T288" s="125">
        <f t="shared" si="28"/>
        <v>0</v>
      </c>
      <c r="U288" s="125">
        <f t="shared" si="29"/>
        <v>0</v>
      </c>
      <c r="V288" s="4" t="e">
        <f>IF($Q288&lt;&gt;3,VLOOKUP(F288,'Points Table A'!B$3:$F$33,5),VLOOKUP(F288,'Points Table A'!H$3:$L$33,5))</f>
        <v>#N/A</v>
      </c>
      <c r="W288" s="4" t="e">
        <f>IF($Q288&lt;&gt;3,VLOOKUP(G288,'Points Table A'!C$3:$F$33,4),VLOOKUP(G288,'Points Table A'!I$3:$L$33,4))</f>
        <v>#N/A</v>
      </c>
      <c r="X288" s="4" t="e">
        <f>IF($Q288&lt;&gt;3,VLOOKUP(H288,'Points Table A'!D$3:$F$28,3),VLOOKUP(H288,'Points Table A'!J$3:$L$33,3))</f>
        <v>#N/A</v>
      </c>
      <c r="Y288" s="4" t="e">
        <f>IF($Q288&lt;&gt;3,VLOOKUP(I288,'Points Table A'!E$3:$F$33,2),VLOOKUP(I288,'Points Table A'!K$3:$L$33,2))</f>
        <v>#N/A</v>
      </c>
      <c r="Z288" s="4" t="e">
        <f t="shared" si="30"/>
        <v>#N/A</v>
      </c>
      <c r="AA288" s="4">
        <f>IF($S288=Lookups!$B$113,VLOOKUP(L288,'Points Table C'!A$3:$E$11,5),VLOOKUP(U288,'Points Table C'!B$3:$E$11,4))</f>
        <v>0</v>
      </c>
      <c r="AB288" s="4" t="e">
        <f>IF($Q288=1,0,VLOOKUP($J288,'Points Table C'!$C$3:$E$18,3))</f>
        <v>#N/A</v>
      </c>
      <c r="AC288" s="4">
        <f>VLOOKUP($K288,'Points Table C'!$D$3:$E$18,2)</f>
        <v>0</v>
      </c>
      <c r="AD288" s="4" t="e">
        <f>IF($Z288&lt;Lookups!$C$106,($AA288+AB288+AC288),IF($AA288&gt;=Lookups!$C$120,($AA288+AB288+AC288),$AA288+$AB288))</f>
        <v>#N/A</v>
      </c>
      <c r="AF288" s="7"/>
      <c r="AG288" s="7"/>
      <c r="AH288" s="7"/>
      <c r="AI288" s="7"/>
      <c r="AJ288" s="7"/>
      <c r="AK288" s="7"/>
      <c r="AL288" s="7"/>
      <c r="AM288" s="7"/>
      <c r="AN288" s="7"/>
      <c r="AO288" s="7"/>
      <c r="AP288" s="7"/>
      <c r="AQ288" s="7"/>
      <c r="AR288" s="7"/>
      <c r="AS288" s="7"/>
      <c r="AT288" s="7"/>
      <c r="AU288" s="7"/>
      <c r="AV288" s="7"/>
      <c r="AW288" s="7"/>
      <c r="AY288" s="7"/>
      <c r="AZ288" s="7"/>
      <c r="BA288" s="7"/>
      <c r="BB288" s="7"/>
    </row>
    <row r="289" spans="2:54" x14ac:dyDescent="0.2">
      <c r="B289" s="174"/>
      <c r="C289" s="176"/>
      <c r="F289" s="5">
        <v>0</v>
      </c>
      <c r="G289" s="192">
        <v>0</v>
      </c>
      <c r="H289" s="192">
        <v>0</v>
      </c>
      <c r="I289" s="5">
        <v>0</v>
      </c>
      <c r="J289" s="192">
        <v>0</v>
      </c>
      <c r="K289" s="192">
        <v>0</v>
      </c>
      <c r="L289" s="5">
        <v>0</v>
      </c>
      <c r="M289" s="5">
        <v>0</v>
      </c>
      <c r="N289" s="4" t="e">
        <f t="shared" si="26"/>
        <v>#N/A</v>
      </c>
      <c r="O289" s="4" t="e">
        <f>IF(ROUND(10.499-(((N289-VLOOKUP($C289,Lookups!$A$55:$D$64,3))/(VLOOKUP($C289,Lookups!$A$55:$D$64,4))*VLOOKUP($C289,Lookups!$C$2:$D$11,2))),0)&lt;1,1,IF(ROUND(10.499-(((N289-VLOOKUP($C289,Lookups!$A$55:$D$64,3))/(VLOOKUP($C289,Lookups!$A$55:$D$64,4))*VLOOKUP($C289,Lookups!$C$2:$D$11,2))),0)&lt;11,ROUND(10.499-(((N289-VLOOKUP($C289,Lookups!$A$55:$D$64,3))/(VLOOKUP($C289,Lookups!$A$55:$D$64,4))*VLOOKUP($C289,Lookups!$C$2:$D$11,2))),0),10))</f>
        <v>#N/A</v>
      </c>
      <c r="P289" s="13" t="str">
        <f>IF((SUM(F289:M289)=0),"J",VLOOKUP(O289,Lookups!$A$1:$B$11,2))</f>
        <v>J</v>
      </c>
      <c r="Q289" s="8" t="e">
        <f>VLOOKUP(C289,Lookups!$A$136:$C$144,3)</f>
        <v>#N/A</v>
      </c>
      <c r="R289" s="8" t="e">
        <f>VLOOKUP(C289,Lookups!$A$136:$C$144,2)</f>
        <v>#N/A</v>
      </c>
      <c r="S289" s="4" t="str">
        <f t="shared" si="27"/>
        <v>No</v>
      </c>
      <c r="T289" s="125">
        <f t="shared" si="28"/>
        <v>0</v>
      </c>
      <c r="U289" s="125">
        <f t="shared" si="29"/>
        <v>0</v>
      </c>
      <c r="V289" s="4" t="e">
        <f>IF($Q289&lt;&gt;3,VLOOKUP(F289,'Points Table A'!B$3:$F$33,5),VLOOKUP(F289,'Points Table A'!H$3:$L$33,5))</f>
        <v>#N/A</v>
      </c>
      <c r="W289" s="4" t="e">
        <f>IF($Q289&lt;&gt;3,VLOOKUP(G289,'Points Table A'!C$3:$F$33,4),VLOOKUP(G289,'Points Table A'!I$3:$L$33,4))</f>
        <v>#N/A</v>
      </c>
      <c r="X289" s="4" t="e">
        <f>IF($Q289&lt;&gt;3,VLOOKUP(H289,'Points Table A'!D$3:$F$28,3),VLOOKUP(H289,'Points Table A'!J$3:$L$33,3))</f>
        <v>#N/A</v>
      </c>
      <c r="Y289" s="4" t="e">
        <f>IF($Q289&lt;&gt;3,VLOOKUP(I289,'Points Table A'!E$3:$F$33,2),VLOOKUP(I289,'Points Table A'!K$3:$L$33,2))</f>
        <v>#N/A</v>
      </c>
      <c r="Z289" s="4" t="e">
        <f t="shared" si="30"/>
        <v>#N/A</v>
      </c>
      <c r="AA289" s="4">
        <f>IF($S289=Lookups!$B$113,VLOOKUP(L289,'Points Table C'!A$3:$E$11,5),VLOOKUP(U289,'Points Table C'!B$3:$E$11,4))</f>
        <v>0</v>
      </c>
      <c r="AB289" s="4" t="e">
        <f>IF($Q289=1,0,VLOOKUP($J289,'Points Table C'!$C$3:$E$18,3))</f>
        <v>#N/A</v>
      </c>
      <c r="AC289" s="4">
        <f>VLOOKUP($K289,'Points Table C'!$D$3:$E$18,2)</f>
        <v>0</v>
      </c>
      <c r="AD289" s="4" t="e">
        <f>IF($Z289&lt;Lookups!$C$106,($AA289+AB289+AC289),IF($AA289&gt;=Lookups!$C$120,($AA289+AB289+AC289),$AA289+$AB289))</f>
        <v>#N/A</v>
      </c>
      <c r="AF289" s="7"/>
      <c r="AG289" s="7"/>
      <c r="AH289" s="7"/>
      <c r="AI289" s="7"/>
      <c r="AJ289" s="7"/>
      <c r="AK289" s="7"/>
      <c r="AL289" s="7"/>
      <c r="AM289" s="7"/>
      <c r="AN289" s="7"/>
      <c r="AO289" s="7"/>
      <c r="AP289" s="7"/>
      <c r="AQ289" s="7"/>
      <c r="AR289" s="7"/>
      <c r="AS289" s="7"/>
      <c r="AT289" s="7"/>
      <c r="AU289" s="7"/>
      <c r="AV289" s="7"/>
      <c r="AW289" s="7"/>
      <c r="AY289" s="7"/>
      <c r="AZ289" s="7"/>
      <c r="BA289" s="7"/>
      <c r="BB289" s="7"/>
    </row>
    <row r="290" spans="2:54" x14ac:dyDescent="0.2">
      <c r="B290" s="174"/>
      <c r="C290" s="176"/>
      <c r="F290" s="5">
        <v>0</v>
      </c>
      <c r="G290" s="192">
        <v>0</v>
      </c>
      <c r="H290" s="192">
        <v>0</v>
      </c>
      <c r="I290" s="5">
        <v>0</v>
      </c>
      <c r="J290" s="192">
        <v>0</v>
      </c>
      <c r="K290" s="192">
        <v>0</v>
      </c>
      <c r="L290" s="5">
        <v>0</v>
      </c>
      <c r="M290" s="5">
        <v>0</v>
      </c>
      <c r="N290" s="4" t="e">
        <f t="shared" si="26"/>
        <v>#N/A</v>
      </c>
      <c r="O290" s="4" t="e">
        <f>IF(ROUND(10.499-(((N290-VLOOKUP($C290,Lookups!$A$55:$D$64,3))/(VLOOKUP($C290,Lookups!$A$55:$D$64,4))*VLOOKUP($C290,Lookups!$C$2:$D$11,2))),0)&lt;1,1,IF(ROUND(10.499-(((N290-VLOOKUP($C290,Lookups!$A$55:$D$64,3))/(VLOOKUP($C290,Lookups!$A$55:$D$64,4))*VLOOKUP($C290,Lookups!$C$2:$D$11,2))),0)&lt;11,ROUND(10.499-(((N290-VLOOKUP($C290,Lookups!$A$55:$D$64,3))/(VLOOKUP($C290,Lookups!$A$55:$D$64,4))*VLOOKUP($C290,Lookups!$C$2:$D$11,2))),0),10))</f>
        <v>#N/A</v>
      </c>
      <c r="P290" s="13" t="str">
        <f>IF((SUM(F290:M290)=0),"J",VLOOKUP(O290,Lookups!$A$1:$B$11,2))</f>
        <v>J</v>
      </c>
      <c r="Q290" s="8" t="e">
        <f>VLOOKUP(C290,Lookups!$A$136:$C$144,3)</f>
        <v>#N/A</v>
      </c>
      <c r="R290" s="8" t="e">
        <f>VLOOKUP(C290,Lookups!$A$136:$C$144,2)</f>
        <v>#N/A</v>
      </c>
      <c r="S290" s="4" t="str">
        <f t="shared" si="27"/>
        <v>No</v>
      </c>
      <c r="T290" s="125">
        <f t="shared" si="28"/>
        <v>0</v>
      </c>
      <c r="U290" s="125">
        <f t="shared" si="29"/>
        <v>0</v>
      </c>
      <c r="V290" s="4" t="e">
        <f>IF($Q290&lt;&gt;3,VLOOKUP(F290,'Points Table A'!B$3:$F$33,5),VLOOKUP(F290,'Points Table A'!H$3:$L$33,5))</f>
        <v>#N/A</v>
      </c>
      <c r="W290" s="4" t="e">
        <f>IF($Q290&lt;&gt;3,VLOOKUP(G290,'Points Table A'!C$3:$F$33,4),VLOOKUP(G290,'Points Table A'!I$3:$L$33,4))</f>
        <v>#N/A</v>
      </c>
      <c r="X290" s="4" t="e">
        <f>IF($Q290&lt;&gt;3,VLOOKUP(H290,'Points Table A'!D$3:$F$28,3),VLOOKUP(H290,'Points Table A'!J$3:$L$33,3))</f>
        <v>#N/A</v>
      </c>
      <c r="Y290" s="4" t="e">
        <f>IF($Q290&lt;&gt;3,VLOOKUP(I290,'Points Table A'!E$3:$F$33,2),VLOOKUP(I290,'Points Table A'!K$3:$L$33,2))</f>
        <v>#N/A</v>
      </c>
      <c r="Z290" s="4" t="e">
        <f t="shared" si="30"/>
        <v>#N/A</v>
      </c>
      <c r="AA290" s="4">
        <f>IF($S290=Lookups!$B$113,VLOOKUP(L290,'Points Table C'!A$3:$E$11,5),VLOOKUP(U290,'Points Table C'!B$3:$E$11,4))</f>
        <v>0</v>
      </c>
      <c r="AB290" s="4" t="e">
        <f>IF($Q290=1,0,VLOOKUP($J290,'Points Table C'!$C$3:$E$18,3))</f>
        <v>#N/A</v>
      </c>
      <c r="AC290" s="4">
        <f>VLOOKUP($K290,'Points Table C'!$D$3:$E$18,2)</f>
        <v>0</v>
      </c>
      <c r="AD290" s="4" t="e">
        <f>IF($Z290&lt;Lookups!$C$106,($AA290+AB290+AC290),IF($AA290&gt;=Lookups!$C$120,($AA290+AB290+AC290),$AA290+$AB290))</f>
        <v>#N/A</v>
      </c>
      <c r="AF290" s="7"/>
      <c r="AG290" s="7"/>
      <c r="AH290" s="7"/>
      <c r="AI290" s="7"/>
      <c r="AJ290" s="7"/>
      <c r="AK290" s="7"/>
      <c r="AL290" s="7"/>
      <c r="AM290" s="7"/>
      <c r="AN290" s="7"/>
      <c r="AO290" s="7"/>
      <c r="AP290" s="7"/>
      <c r="AQ290" s="7"/>
      <c r="AR290" s="7"/>
      <c r="AS290" s="7"/>
      <c r="AT290" s="7"/>
      <c r="AU290" s="7"/>
      <c r="AV290" s="7"/>
      <c r="AW290" s="7"/>
      <c r="AY290" s="7"/>
      <c r="AZ290" s="7"/>
      <c r="BA290" s="7"/>
      <c r="BB290" s="7"/>
    </row>
    <row r="291" spans="2:54" x14ac:dyDescent="0.2">
      <c r="B291" s="174"/>
      <c r="C291" s="176"/>
      <c r="F291" s="5">
        <v>0</v>
      </c>
      <c r="G291" s="192">
        <v>0</v>
      </c>
      <c r="H291" s="192">
        <v>0</v>
      </c>
      <c r="I291" s="5">
        <v>0</v>
      </c>
      <c r="J291" s="192">
        <v>0</v>
      </c>
      <c r="K291" s="192">
        <v>0</v>
      </c>
      <c r="L291" s="5">
        <v>0</v>
      </c>
      <c r="M291" s="5">
        <v>0</v>
      </c>
      <c r="N291" s="4" t="e">
        <f t="shared" si="26"/>
        <v>#N/A</v>
      </c>
      <c r="O291" s="4" t="e">
        <f>IF(ROUND(10.499-(((N291-VLOOKUP($C291,Lookups!$A$55:$D$64,3))/(VLOOKUP($C291,Lookups!$A$55:$D$64,4))*VLOOKUP($C291,Lookups!$C$2:$D$11,2))),0)&lt;1,1,IF(ROUND(10.499-(((N291-VLOOKUP($C291,Lookups!$A$55:$D$64,3))/(VLOOKUP($C291,Lookups!$A$55:$D$64,4))*VLOOKUP($C291,Lookups!$C$2:$D$11,2))),0)&lt;11,ROUND(10.499-(((N291-VLOOKUP($C291,Lookups!$A$55:$D$64,3))/(VLOOKUP($C291,Lookups!$A$55:$D$64,4))*VLOOKUP($C291,Lookups!$C$2:$D$11,2))),0),10))</f>
        <v>#N/A</v>
      </c>
      <c r="P291" s="13" t="str">
        <f>IF((SUM(F291:M291)=0),"J",VLOOKUP(O291,Lookups!$A$1:$B$11,2))</f>
        <v>J</v>
      </c>
      <c r="Q291" s="8" t="e">
        <f>VLOOKUP(C291,Lookups!$A$136:$C$144,3)</f>
        <v>#N/A</v>
      </c>
      <c r="R291" s="8" t="e">
        <f>VLOOKUP(C291,Lookups!$A$136:$C$144,2)</f>
        <v>#N/A</v>
      </c>
      <c r="S291" s="4" t="str">
        <f t="shared" si="27"/>
        <v>No</v>
      </c>
      <c r="T291" s="125">
        <f t="shared" si="28"/>
        <v>0</v>
      </c>
      <c r="U291" s="125">
        <f t="shared" si="29"/>
        <v>0</v>
      </c>
      <c r="V291" s="4" t="e">
        <f>IF($Q291&lt;&gt;3,VLOOKUP(F291,'Points Table A'!B$3:$F$33,5),VLOOKUP(F291,'Points Table A'!H$3:$L$33,5))</f>
        <v>#N/A</v>
      </c>
      <c r="W291" s="4" t="e">
        <f>IF($Q291&lt;&gt;3,VLOOKUP(G291,'Points Table A'!C$3:$F$33,4),VLOOKUP(G291,'Points Table A'!I$3:$L$33,4))</f>
        <v>#N/A</v>
      </c>
      <c r="X291" s="4" t="e">
        <f>IF($Q291&lt;&gt;3,VLOOKUP(H291,'Points Table A'!D$3:$F$28,3),VLOOKUP(H291,'Points Table A'!J$3:$L$33,3))</f>
        <v>#N/A</v>
      </c>
      <c r="Y291" s="4" t="e">
        <f>IF($Q291&lt;&gt;3,VLOOKUP(I291,'Points Table A'!E$3:$F$33,2),VLOOKUP(I291,'Points Table A'!K$3:$L$33,2))</f>
        <v>#N/A</v>
      </c>
      <c r="Z291" s="4" t="e">
        <f t="shared" si="30"/>
        <v>#N/A</v>
      </c>
      <c r="AA291" s="4">
        <f>IF($S291=Lookups!$B$113,VLOOKUP(L291,'Points Table C'!A$3:$E$11,5),VLOOKUP(U291,'Points Table C'!B$3:$E$11,4))</f>
        <v>0</v>
      </c>
      <c r="AB291" s="4" t="e">
        <f>IF($Q291=1,0,VLOOKUP($J291,'Points Table C'!$C$3:$E$18,3))</f>
        <v>#N/A</v>
      </c>
      <c r="AC291" s="4">
        <f>VLOOKUP($K291,'Points Table C'!$D$3:$E$18,2)</f>
        <v>0</v>
      </c>
      <c r="AD291" s="4" t="e">
        <f>IF($Z291&lt;Lookups!$C$106,($AA291+AB291+AC291),IF($AA291&gt;=Lookups!$C$120,($AA291+AB291+AC291),$AA291+$AB291))</f>
        <v>#N/A</v>
      </c>
      <c r="AF291" s="7"/>
      <c r="AG291" s="7"/>
      <c r="AH291" s="7"/>
      <c r="AI291" s="7"/>
      <c r="AJ291" s="7"/>
      <c r="AK291" s="7"/>
      <c r="AL291" s="7"/>
      <c r="AM291" s="7"/>
      <c r="AN291" s="7"/>
      <c r="AO291" s="7"/>
      <c r="AP291" s="7"/>
      <c r="AQ291" s="7"/>
      <c r="AR291" s="7"/>
      <c r="AS291" s="7"/>
      <c r="AT291" s="7"/>
      <c r="AU291" s="7"/>
      <c r="AV291" s="7"/>
      <c r="AW291" s="7"/>
      <c r="AY291" s="7"/>
      <c r="AZ291" s="7"/>
      <c r="BA291" s="7"/>
      <c r="BB291" s="7"/>
    </row>
    <row r="292" spans="2:54" x14ac:dyDescent="0.2">
      <c r="B292" s="174"/>
      <c r="C292" s="176"/>
      <c r="F292" s="5">
        <v>0</v>
      </c>
      <c r="G292" s="192">
        <v>0</v>
      </c>
      <c r="H292" s="192">
        <v>0</v>
      </c>
      <c r="I292" s="5">
        <v>0</v>
      </c>
      <c r="J292" s="192">
        <v>0</v>
      </c>
      <c r="K292" s="192">
        <v>0</v>
      </c>
      <c r="L292" s="5">
        <v>0</v>
      </c>
      <c r="M292" s="5">
        <v>0</v>
      </c>
      <c r="N292" s="4" t="e">
        <f t="shared" si="26"/>
        <v>#N/A</v>
      </c>
      <c r="O292" s="4" t="e">
        <f>IF(ROUND(10.499-(((N292-VLOOKUP($C292,Lookups!$A$55:$D$64,3))/(VLOOKUP($C292,Lookups!$A$55:$D$64,4))*VLOOKUP($C292,Lookups!$C$2:$D$11,2))),0)&lt;1,1,IF(ROUND(10.499-(((N292-VLOOKUP($C292,Lookups!$A$55:$D$64,3))/(VLOOKUP($C292,Lookups!$A$55:$D$64,4))*VLOOKUP($C292,Lookups!$C$2:$D$11,2))),0)&lt;11,ROUND(10.499-(((N292-VLOOKUP($C292,Lookups!$A$55:$D$64,3))/(VLOOKUP($C292,Lookups!$A$55:$D$64,4))*VLOOKUP($C292,Lookups!$C$2:$D$11,2))),0),10))</f>
        <v>#N/A</v>
      </c>
      <c r="P292" s="13" t="str">
        <f>IF((SUM(F292:M292)=0),"J",VLOOKUP(O292,Lookups!$A$1:$B$11,2))</f>
        <v>J</v>
      </c>
      <c r="Q292" s="8" t="e">
        <f>VLOOKUP(C292,Lookups!$A$136:$C$144,3)</f>
        <v>#N/A</v>
      </c>
      <c r="R292" s="8" t="e">
        <f>VLOOKUP(C292,Lookups!$A$136:$C$144,2)</f>
        <v>#N/A</v>
      </c>
      <c r="S292" s="4" t="str">
        <f t="shared" si="27"/>
        <v>No</v>
      </c>
      <c r="T292" s="125">
        <f t="shared" si="28"/>
        <v>0</v>
      </c>
      <c r="U292" s="125">
        <f t="shared" si="29"/>
        <v>0</v>
      </c>
      <c r="V292" s="4" t="e">
        <f>IF($Q292&lt;&gt;3,VLOOKUP(F292,'Points Table A'!B$3:$F$33,5),VLOOKUP(F292,'Points Table A'!H$3:$L$33,5))</f>
        <v>#N/A</v>
      </c>
      <c r="W292" s="4" t="e">
        <f>IF($Q292&lt;&gt;3,VLOOKUP(G292,'Points Table A'!C$3:$F$33,4),VLOOKUP(G292,'Points Table A'!I$3:$L$33,4))</f>
        <v>#N/A</v>
      </c>
      <c r="X292" s="4" t="e">
        <f>IF($Q292&lt;&gt;3,VLOOKUP(H292,'Points Table A'!D$3:$F$28,3),VLOOKUP(H292,'Points Table A'!J$3:$L$33,3))</f>
        <v>#N/A</v>
      </c>
      <c r="Y292" s="4" t="e">
        <f>IF($Q292&lt;&gt;3,VLOOKUP(I292,'Points Table A'!E$3:$F$33,2),VLOOKUP(I292,'Points Table A'!K$3:$L$33,2))</f>
        <v>#N/A</v>
      </c>
      <c r="Z292" s="4" t="e">
        <f t="shared" si="30"/>
        <v>#N/A</v>
      </c>
      <c r="AA292" s="4">
        <f>IF($S292=Lookups!$B$113,VLOOKUP(L292,'Points Table C'!A$3:$E$11,5),VLOOKUP(U292,'Points Table C'!B$3:$E$11,4))</f>
        <v>0</v>
      </c>
      <c r="AB292" s="4" t="e">
        <f>IF($Q292=1,0,VLOOKUP($J292,'Points Table C'!$C$3:$E$18,3))</f>
        <v>#N/A</v>
      </c>
      <c r="AC292" s="4">
        <f>VLOOKUP($K292,'Points Table C'!$D$3:$E$18,2)</f>
        <v>0</v>
      </c>
      <c r="AD292" s="4" t="e">
        <f>IF($Z292&lt;Lookups!$C$106,($AA292+AB292+AC292),IF($AA292&gt;=Lookups!$C$120,($AA292+AB292+AC292),$AA292+$AB292))</f>
        <v>#N/A</v>
      </c>
      <c r="AF292" s="7"/>
      <c r="AG292" s="7"/>
      <c r="AH292" s="7"/>
      <c r="AI292" s="7"/>
      <c r="AJ292" s="7"/>
      <c r="AK292" s="7"/>
      <c r="AL292" s="7"/>
      <c r="AM292" s="7"/>
      <c r="AN292" s="7"/>
      <c r="AO292" s="7"/>
      <c r="AP292" s="7"/>
      <c r="AQ292" s="7"/>
      <c r="AR292" s="7"/>
      <c r="AS292" s="7"/>
      <c r="AT292" s="7"/>
      <c r="AU292" s="7"/>
      <c r="AV292" s="7"/>
      <c r="AW292" s="7"/>
      <c r="AY292" s="7"/>
      <c r="AZ292" s="7"/>
      <c r="BA292" s="7"/>
      <c r="BB292" s="7"/>
    </row>
    <row r="293" spans="2:54" x14ac:dyDescent="0.2">
      <c r="B293" s="174"/>
      <c r="C293" s="176"/>
      <c r="F293" s="5">
        <v>0</v>
      </c>
      <c r="G293" s="192">
        <v>0</v>
      </c>
      <c r="H293" s="192">
        <v>0</v>
      </c>
      <c r="I293" s="5">
        <v>0</v>
      </c>
      <c r="J293" s="192">
        <v>0</v>
      </c>
      <c r="K293" s="192">
        <v>0</v>
      </c>
      <c r="L293" s="5">
        <v>0</v>
      </c>
      <c r="M293" s="5">
        <v>0</v>
      </c>
      <c r="N293" s="4" t="e">
        <f t="shared" si="26"/>
        <v>#N/A</v>
      </c>
      <c r="O293" s="4" t="e">
        <f>IF(ROUND(10.499-(((N293-VLOOKUP($C293,Lookups!$A$55:$D$64,3))/(VLOOKUP($C293,Lookups!$A$55:$D$64,4))*VLOOKUP($C293,Lookups!$C$2:$D$11,2))),0)&lt;1,1,IF(ROUND(10.499-(((N293-VLOOKUP($C293,Lookups!$A$55:$D$64,3))/(VLOOKUP($C293,Lookups!$A$55:$D$64,4))*VLOOKUP($C293,Lookups!$C$2:$D$11,2))),0)&lt;11,ROUND(10.499-(((N293-VLOOKUP($C293,Lookups!$A$55:$D$64,3))/(VLOOKUP($C293,Lookups!$A$55:$D$64,4))*VLOOKUP($C293,Lookups!$C$2:$D$11,2))),0),10))</f>
        <v>#N/A</v>
      </c>
      <c r="P293" s="13" t="str">
        <f>IF((SUM(F293:M293)=0),"J",VLOOKUP(O293,Lookups!$A$1:$B$11,2))</f>
        <v>J</v>
      </c>
      <c r="Q293" s="8" t="e">
        <f>VLOOKUP(C293,Lookups!$A$136:$C$144,3)</f>
        <v>#N/A</v>
      </c>
      <c r="R293" s="8" t="e">
        <f>VLOOKUP(C293,Lookups!$A$136:$C$144,2)</f>
        <v>#N/A</v>
      </c>
      <c r="S293" s="4" t="str">
        <f t="shared" si="27"/>
        <v>No</v>
      </c>
      <c r="T293" s="125">
        <f t="shared" si="28"/>
        <v>0</v>
      </c>
      <c r="U293" s="125">
        <f t="shared" si="29"/>
        <v>0</v>
      </c>
      <c r="V293" s="4" t="e">
        <f>IF($Q293&lt;&gt;3,VLOOKUP(F293,'Points Table A'!B$3:$F$33,5),VLOOKUP(F293,'Points Table A'!H$3:$L$33,5))</f>
        <v>#N/A</v>
      </c>
      <c r="W293" s="4" t="e">
        <f>IF($Q293&lt;&gt;3,VLOOKUP(G293,'Points Table A'!C$3:$F$33,4),VLOOKUP(G293,'Points Table A'!I$3:$L$33,4))</f>
        <v>#N/A</v>
      </c>
      <c r="X293" s="4" t="e">
        <f>IF($Q293&lt;&gt;3,VLOOKUP(H293,'Points Table A'!D$3:$F$28,3),VLOOKUP(H293,'Points Table A'!J$3:$L$33,3))</f>
        <v>#N/A</v>
      </c>
      <c r="Y293" s="4" t="e">
        <f>IF($Q293&lt;&gt;3,VLOOKUP(I293,'Points Table A'!E$3:$F$33,2),VLOOKUP(I293,'Points Table A'!K$3:$L$33,2))</f>
        <v>#N/A</v>
      </c>
      <c r="Z293" s="4" t="e">
        <f t="shared" si="30"/>
        <v>#N/A</v>
      </c>
      <c r="AA293" s="4">
        <f>IF($S293=Lookups!$B$113,VLOOKUP(L293,'Points Table C'!A$3:$E$11,5),VLOOKUP(U293,'Points Table C'!B$3:$E$11,4))</f>
        <v>0</v>
      </c>
      <c r="AB293" s="4" t="e">
        <f>IF($Q293=1,0,VLOOKUP($J293,'Points Table C'!$C$3:$E$18,3))</f>
        <v>#N/A</v>
      </c>
      <c r="AC293" s="4">
        <f>VLOOKUP($K293,'Points Table C'!$D$3:$E$18,2)</f>
        <v>0</v>
      </c>
      <c r="AD293" s="4" t="e">
        <f>IF($Z293&lt;Lookups!$C$106,($AA293+AB293+AC293),IF($AA293&gt;=Lookups!$C$120,($AA293+AB293+AC293),$AA293+$AB293))</f>
        <v>#N/A</v>
      </c>
      <c r="AF293" s="7"/>
      <c r="AG293" s="7"/>
      <c r="AH293" s="7"/>
      <c r="AI293" s="7"/>
      <c r="AJ293" s="7"/>
      <c r="AK293" s="7"/>
      <c r="AL293" s="7"/>
      <c r="AM293" s="7"/>
      <c r="AN293" s="7"/>
      <c r="AO293" s="7"/>
      <c r="AP293" s="7"/>
      <c r="AQ293" s="7"/>
      <c r="AR293" s="7"/>
      <c r="AS293" s="7"/>
      <c r="AT293" s="7"/>
      <c r="AU293" s="7"/>
      <c r="AV293" s="7"/>
      <c r="AW293" s="7"/>
      <c r="AY293" s="7"/>
      <c r="AZ293" s="7"/>
      <c r="BA293" s="7"/>
      <c r="BB293" s="7"/>
    </row>
    <row r="294" spans="2:54" x14ac:dyDescent="0.2">
      <c r="B294" s="174"/>
      <c r="C294" s="176"/>
      <c r="F294" s="5">
        <v>0</v>
      </c>
      <c r="G294" s="192">
        <v>0</v>
      </c>
      <c r="H294" s="192">
        <v>0</v>
      </c>
      <c r="I294" s="5">
        <v>0</v>
      </c>
      <c r="J294" s="192">
        <v>0</v>
      </c>
      <c r="K294" s="192">
        <v>0</v>
      </c>
      <c r="L294" s="5">
        <v>0</v>
      </c>
      <c r="M294" s="5">
        <v>0</v>
      </c>
      <c r="N294" s="4" t="e">
        <f t="shared" si="26"/>
        <v>#N/A</v>
      </c>
      <c r="O294" s="4" t="e">
        <f>IF(ROUND(10.499-(((N294-VLOOKUP($C294,Lookups!$A$55:$D$64,3))/(VLOOKUP($C294,Lookups!$A$55:$D$64,4))*VLOOKUP($C294,Lookups!$C$2:$D$11,2))),0)&lt;1,1,IF(ROUND(10.499-(((N294-VLOOKUP($C294,Lookups!$A$55:$D$64,3))/(VLOOKUP($C294,Lookups!$A$55:$D$64,4))*VLOOKUP($C294,Lookups!$C$2:$D$11,2))),0)&lt;11,ROUND(10.499-(((N294-VLOOKUP($C294,Lookups!$A$55:$D$64,3))/(VLOOKUP($C294,Lookups!$A$55:$D$64,4))*VLOOKUP($C294,Lookups!$C$2:$D$11,2))),0),10))</f>
        <v>#N/A</v>
      </c>
      <c r="P294" s="13" t="str">
        <f>IF((SUM(F294:M294)=0),"J",VLOOKUP(O294,Lookups!$A$1:$B$11,2))</f>
        <v>J</v>
      </c>
      <c r="Q294" s="8" t="e">
        <f>VLOOKUP(C294,Lookups!$A$136:$C$144,3)</f>
        <v>#N/A</v>
      </c>
      <c r="R294" s="8" t="e">
        <f>VLOOKUP(C294,Lookups!$A$136:$C$144,2)</f>
        <v>#N/A</v>
      </c>
      <c r="S294" s="4" t="str">
        <f t="shared" si="27"/>
        <v>No</v>
      </c>
      <c r="T294" s="125">
        <f t="shared" si="28"/>
        <v>0</v>
      </c>
      <c r="U294" s="125">
        <f t="shared" si="29"/>
        <v>0</v>
      </c>
      <c r="V294" s="4" t="e">
        <f>IF($Q294&lt;&gt;3,VLOOKUP(F294,'Points Table A'!B$3:$F$33,5),VLOOKUP(F294,'Points Table A'!H$3:$L$33,5))</f>
        <v>#N/A</v>
      </c>
      <c r="W294" s="4" t="e">
        <f>IF($Q294&lt;&gt;3,VLOOKUP(G294,'Points Table A'!C$3:$F$33,4),VLOOKUP(G294,'Points Table A'!I$3:$L$33,4))</f>
        <v>#N/A</v>
      </c>
      <c r="X294" s="4" t="e">
        <f>IF($Q294&lt;&gt;3,VLOOKUP(H294,'Points Table A'!D$3:$F$28,3),VLOOKUP(H294,'Points Table A'!J$3:$L$33,3))</f>
        <v>#N/A</v>
      </c>
      <c r="Y294" s="4" t="e">
        <f>IF($Q294&lt;&gt;3,VLOOKUP(I294,'Points Table A'!E$3:$F$33,2),VLOOKUP(I294,'Points Table A'!K$3:$L$33,2))</f>
        <v>#N/A</v>
      </c>
      <c r="Z294" s="4" t="e">
        <f t="shared" si="30"/>
        <v>#N/A</v>
      </c>
      <c r="AA294" s="4">
        <f>IF($S294=Lookups!$B$113,VLOOKUP(L294,'Points Table C'!A$3:$E$11,5),VLOOKUP(U294,'Points Table C'!B$3:$E$11,4))</f>
        <v>0</v>
      </c>
      <c r="AB294" s="4" t="e">
        <f>IF($Q294=1,0,VLOOKUP($J294,'Points Table C'!$C$3:$E$18,3))</f>
        <v>#N/A</v>
      </c>
      <c r="AC294" s="4">
        <f>VLOOKUP($K294,'Points Table C'!$D$3:$E$18,2)</f>
        <v>0</v>
      </c>
      <c r="AD294" s="4" t="e">
        <f>IF($Z294&lt;Lookups!$C$106,($AA294+AB294+AC294),IF($AA294&gt;=Lookups!$C$120,($AA294+AB294+AC294),$AA294+$AB294))</f>
        <v>#N/A</v>
      </c>
      <c r="AF294" s="7"/>
      <c r="AG294" s="7"/>
      <c r="AH294" s="7"/>
      <c r="AI294" s="7"/>
      <c r="AJ294" s="7"/>
      <c r="AK294" s="7"/>
      <c r="AL294" s="7"/>
      <c r="AM294" s="7"/>
      <c r="AN294" s="7"/>
      <c r="AO294" s="7"/>
      <c r="AP294" s="7"/>
      <c r="AQ294" s="7"/>
      <c r="AR294" s="7"/>
      <c r="AS294" s="7"/>
      <c r="AT294" s="7"/>
      <c r="AU294" s="7"/>
      <c r="AV294" s="7"/>
      <c r="AW294" s="7"/>
      <c r="AY294" s="7"/>
      <c r="AZ294" s="7"/>
      <c r="BA294" s="7"/>
      <c r="BB294" s="7"/>
    </row>
    <row r="295" spans="2:54" x14ac:dyDescent="0.2">
      <c r="B295" s="174"/>
      <c r="C295" s="176"/>
      <c r="F295" s="5">
        <v>0</v>
      </c>
      <c r="G295" s="192">
        <v>0</v>
      </c>
      <c r="H295" s="192">
        <v>0</v>
      </c>
      <c r="I295" s="5">
        <v>0</v>
      </c>
      <c r="J295" s="192">
        <v>0</v>
      </c>
      <c r="K295" s="192">
        <v>0</v>
      </c>
      <c r="L295" s="5">
        <v>0</v>
      </c>
      <c r="M295" s="5">
        <v>0</v>
      </c>
      <c r="N295" s="4" t="e">
        <f t="shared" si="26"/>
        <v>#N/A</v>
      </c>
      <c r="O295" s="4" t="e">
        <f>IF(ROUND(10.499-(((N295-VLOOKUP($C295,Lookups!$A$55:$D$64,3))/(VLOOKUP($C295,Lookups!$A$55:$D$64,4))*VLOOKUP($C295,Lookups!$C$2:$D$11,2))),0)&lt;1,1,IF(ROUND(10.499-(((N295-VLOOKUP($C295,Lookups!$A$55:$D$64,3))/(VLOOKUP($C295,Lookups!$A$55:$D$64,4))*VLOOKUP($C295,Lookups!$C$2:$D$11,2))),0)&lt;11,ROUND(10.499-(((N295-VLOOKUP($C295,Lookups!$A$55:$D$64,3))/(VLOOKUP($C295,Lookups!$A$55:$D$64,4))*VLOOKUP($C295,Lookups!$C$2:$D$11,2))),0),10))</f>
        <v>#N/A</v>
      </c>
      <c r="P295" s="13" t="str">
        <f>IF((SUM(F295:M295)=0),"J",VLOOKUP(O295,Lookups!$A$1:$B$11,2))</f>
        <v>J</v>
      </c>
      <c r="Q295" s="8" t="e">
        <f>VLOOKUP(C295,Lookups!$A$136:$C$144,3)</f>
        <v>#N/A</v>
      </c>
      <c r="R295" s="8" t="e">
        <f>VLOOKUP(C295,Lookups!$A$136:$C$144,2)</f>
        <v>#N/A</v>
      </c>
      <c r="S295" s="4" t="str">
        <f t="shared" si="27"/>
        <v>No</v>
      </c>
      <c r="T295" s="125">
        <f t="shared" si="28"/>
        <v>0</v>
      </c>
      <c r="U295" s="125">
        <f t="shared" si="29"/>
        <v>0</v>
      </c>
      <c r="V295" s="4" t="e">
        <f>IF($Q295&lt;&gt;3,VLOOKUP(F295,'Points Table A'!B$3:$F$33,5),VLOOKUP(F295,'Points Table A'!H$3:$L$33,5))</f>
        <v>#N/A</v>
      </c>
      <c r="W295" s="4" t="e">
        <f>IF($Q295&lt;&gt;3,VLOOKUP(G295,'Points Table A'!C$3:$F$33,4),VLOOKUP(G295,'Points Table A'!I$3:$L$33,4))</f>
        <v>#N/A</v>
      </c>
      <c r="X295" s="4" t="e">
        <f>IF($Q295&lt;&gt;3,VLOOKUP(H295,'Points Table A'!D$3:$F$28,3),VLOOKUP(H295,'Points Table A'!J$3:$L$33,3))</f>
        <v>#N/A</v>
      </c>
      <c r="Y295" s="4" t="e">
        <f>IF($Q295&lt;&gt;3,VLOOKUP(I295,'Points Table A'!E$3:$F$33,2),VLOOKUP(I295,'Points Table A'!K$3:$L$33,2))</f>
        <v>#N/A</v>
      </c>
      <c r="Z295" s="4" t="e">
        <f t="shared" si="30"/>
        <v>#N/A</v>
      </c>
      <c r="AA295" s="4">
        <f>IF($S295=Lookups!$B$113,VLOOKUP(L295,'Points Table C'!A$3:$E$11,5),VLOOKUP(U295,'Points Table C'!B$3:$E$11,4))</f>
        <v>0</v>
      </c>
      <c r="AB295" s="4" t="e">
        <f>IF($Q295=1,0,VLOOKUP($J295,'Points Table C'!$C$3:$E$18,3))</f>
        <v>#N/A</v>
      </c>
      <c r="AC295" s="4">
        <f>VLOOKUP($K295,'Points Table C'!$D$3:$E$18,2)</f>
        <v>0</v>
      </c>
      <c r="AD295" s="4" t="e">
        <f>IF($Z295&lt;Lookups!$C$106,($AA295+AB295+AC295),IF($AA295&gt;=Lookups!$C$120,($AA295+AB295+AC295),$AA295+$AB295))</f>
        <v>#N/A</v>
      </c>
      <c r="AF295" s="7"/>
      <c r="AG295" s="7"/>
      <c r="AH295" s="7"/>
      <c r="AI295" s="7"/>
      <c r="AJ295" s="7"/>
      <c r="AK295" s="7"/>
      <c r="AL295" s="7"/>
      <c r="AM295" s="7"/>
      <c r="AN295" s="7"/>
      <c r="AO295" s="7"/>
      <c r="AP295" s="7"/>
      <c r="AQ295" s="7"/>
      <c r="AR295" s="7"/>
      <c r="AS295" s="7"/>
      <c r="AT295" s="7"/>
      <c r="AU295" s="7"/>
      <c r="AV295" s="7"/>
      <c r="AW295" s="7"/>
      <c r="AY295" s="7"/>
      <c r="AZ295" s="7"/>
      <c r="BA295" s="7"/>
      <c r="BB295" s="7"/>
    </row>
    <row r="296" spans="2:54" x14ac:dyDescent="0.2">
      <c r="B296" s="174"/>
      <c r="C296" s="176"/>
      <c r="F296" s="5">
        <v>0</v>
      </c>
      <c r="G296" s="192">
        <v>0</v>
      </c>
      <c r="H296" s="192">
        <v>0</v>
      </c>
      <c r="I296" s="5">
        <v>0</v>
      </c>
      <c r="J296" s="192">
        <v>0</v>
      </c>
      <c r="K296" s="192">
        <v>0</v>
      </c>
      <c r="L296" s="5">
        <v>0</v>
      </c>
      <c r="M296" s="5">
        <v>0</v>
      </c>
      <c r="N296" s="4" t="e">
        <f t="shared" si="26"/>
        <v>#N/A</v>
      </c>
      <c r="O296" s="4" t="e">
        <f>IF(ROUND(10.499-(((N296-VLOOKUP($C296,Lookups!$A$55:$D$64,3))/(VLOOKUP($C296,Lookups!$A$55:$D$64,4))*VLOOKUP($C296,Lookups!$C$2:$D$11,2))),0)&lt;1,1,IF(ROUND(10.499-(((N296-VLOOKUP($C296,Lookups!$A$55:$D$64,3))/(VLOOKUP($C296,Lookups!$A$55:$D$64,4))*VLOOKUP($C296,Lookups!$C$2:$D$11,2))),0)&lt;11,ROUND(10.499-(((N296-VLOOKUP($C296,Lookups!$A$55:$D$64,3))/(VLOOKUP($C296,Lookups!$A$55:$D$64,4))*VLOOKUP($C296,Lookups!$C$2:$D$11,2))),0),10))</f>
        <v>#N/A</v>
      </c>
      <c r="P296" s="13" t="str">
        <f>IF((SUM(F296:M296)=0),"J",VLOOKUP(O296,Lookups!$A$1:$B$11,2))</f>
        <v>J</v>
      </c>
      <c r="Q296" s="8" t="e">
        <f>VLOOKUP(C296,Lookups!$A$136:$C$144,3)</f>
        <v>#N/A</v>
      </c>
      <c r="R296" s="8" t="e">
        <f>VLOOKUP(C296,Lookups!$A$136:$C$144,2)</f>
        <v>#N/A</v>
      </c>
      <c r="S296" s="4" t="str">
        <f t="shared" si="27"/>
        <v>No</v>
      </c>
      <c r="T296" s="125">
        <f t="shared" si="28"/>
        <v>0</v>
      </c>
      <c r="U296" s="125">
        <f t="shared" si="29"/>
        <v>0</v>
      </c>
      <c r="V296" s="4" t="e">
        <f>IF($Q296&lt;&gt;3,VLOOKUP(F296,'Points Table A'!B$3:$F$33,5),VLOOKUP(F296,'Points Table A'!H$3:$L$33,5))</f>
        <v>#N/A</v>
      </c>
      <c r="W296" s="4" t="e">
        <f>IF($Q296&lt;&gt;3,VLOOKUP(G296,'Points Table A'!C$3:$F$33,4),VLOOKUP(G296,'Points Table A'!I$3:$L$33,4))</f>
        <v>#N/A</v>
      </c>
      <c r="X296" s="4" t="e">
        <f>IF($Q296&lt;&gt;3,VLOOKUP(H296,'Points Table A'!D$3:$F$28,3),VLOOKUP(H296,'Points Table A'!J$3:$L$33,3))</f>
        <v>#N/A</v>
      </c>
      <c r="Y296" s="4" t="e">
        <f>IF($Q296&lt;&gt;3,VLOOKUP(I296,'Points Table A'!E$3:$F$33,2),VLOOKUP(I296,'Points Table A'!K$3:$L$33,2))</f>
        <v>#N/A</v>
      </c>
      <c r="Z296" s="4" t="e">
        <f t="shared" si="30"/>
        <v>#N/A</v>
      </c>
      <c r="AA296" s="4">
        <f>IF($S296=Lookups!$B$113,VLOOKUP(L296,'Points Table C'!A$3:$E$11,5),VLOOKUP(U296,'Points Table C'!B$3:$E$11,4))</f>
        <v>0</v>
      </c>
      <c r="AB296" s="4" t="e">
        <f>IF($Q296=1,0,VLOOKUP($J296,'Points Table C'!$C$3:$E$18,3))</f>
        <v>#N/A</v>
      </c>
      <c r="AC296" s="4">
        <f>VLOOKUP($K296,'Points Table C'!$D$3:$E$18,2)</f>
        <v>0</v>
      </c>
      <c r="AD296" s="4" t="e">
        <f>IF($Z296&lt;Lookups!$C$106,($AA296+AB296+AC296),IF($AA296&gt;=Lookups!$C$120,($AA296+AB296+AC296),$AA296+$AB296))</f>
        <v>#N/A</v>
      </c>
      <c r="AF296" s="7"/>
      <c r="AG296" s="7"/>
      <c r="AH296" s="7"/>
      <c r="AI296" s="7"/>
      <c r="AJ296" s="7"/>
      <c r="AK296" s="7"/>
      <c r="AL296" s="7"/>
      <c r="AM296" s="7"/>
      <c r="AN296" s="7"/>
      <c r="AO296" s="7"/>
      <c r="AP296" s="7"/>
      <c r="AQ296" s="7"/>
      <c r="AR296" s="7"/>
      <c r="AS296" s="7"/>
      <c r="AT296" s="7"/>
      <c r="AU296" s="7"/>
      <c r="AV296" s="7"/>
      <c r="AW296" s="7"/>
      <c r="AY296" s="7"/>
      <c r="AZ296" s="7"/>
      <c r="BA296" s="7"/>
      <c r="BB296" s="7"/>
    </row>
    <row r="297" spans="2:54" x14ac:dyDescent="0.2">
      <c r="B297" s="174"/>
      <c r="C297" s="176"/>
      <c r="F297" s="5">
        <v>0</v>
      </c>
      <c r="G297" s="192">
        <v>0</v>
      </c>
      <c r="H297" s="192">
        <v>0</v>
      </c>
      <c r="I297" s="5">
        <v>0</v>
      </c>
      <c r="J297" s="192">
        <v>0</v>
      </c>
      <c r="K297" s="192">
        <v>0</v>
      </c>
      <c r="L297" s="5">
        <v>0</v>
      </c>
      <c r="M297" s="5">
        <v>0</v>
      </c>
      <c r="N297" s="4" t="e">
        <f t="shared" si="26"/>
        <v>#N/A</v>
      </c>
      <c r="O297" s="4" t="e">
        <f>IF(ROUND(10.499-(((N297-VLOOKUP($C297,Lookups!$A$55:$D$64,3))/(VLOOKUP($C297,Lookups!$A$55:$D$64,4))*VLOOKUP($C297,Lookups!$C$2:$D$11,2))),0)&lt;1,1,IF(ROUND(10.499-(((N297-VLOOKUP($C297,Lookups!$A$55:$D$64,3))/(VLOOKUP($C297,Lookups!$A$55:$D$64,4))*VLOOKUP($C297,Lookups!$C$2:$D$11,2))),0)&lt;11,ROUND(10.499-(((N297-VLOOKUP($C297,Lookups!$A$55:$D$64,3))/(VLOOKUP($C297,Lookups!$A$55:$D$64,4))*VLOOKUP($C297,Lookups!$C$2:$D$11,2))),0),10))</f>
        <v>#N/A</v>
      </c>
      <c r="P297" s="13" t="str">
        <f>IF((SUM(F297:M297)=0),"J",VLOOKUP(O297,Lookups!$A$1:$B$11,2))</f>
        <v>J</v>
      </c>
      <c r="Q297" s="8" t="e">
        <f>VLOOKUP(C297,Lookups!$A$136:$C$144,3)</f>
        <v>#N/A</v>
      </c>
      <c r="R297" s="8" t="e">
        <f>VLOOKUP(C297,Lookups!$A$136:$C$144,2)</f>
        <v>#N/A</v>
      </c>
      <c r="S297" s="4" t="str">
        <f t="shared" si="27"/>
        <v>No</v>
      </c>
      <c r="T297" s="125">
        <f t="shared" si="28"/>
        <v>0</v>
      </c>
      <c r="U297" s="125">
        <f t="shared" si="29"/>
        <v>0</v>
      </c>
      <c r="V297" s="4" t="e">
        <f>IF($Q297&lt;&gt;3,VLOOKUP(F297,'Points Table A'!B$3:$F$33,5),VLOOKUP(F297,'Points Table A'!H$3:$L$33,5))</f>
        <v>#N/A</v>
      </c>
      <c r="W297" s="4" t="e">
        <f>IF($Q297&lt;&gt;3,VLOOKUP(G297,'Points Table A'!C$3:$F$33,4),VLOOKUP(G297,'Points Table A'!I$3:$L$33,4))</f>
        <v>#N/A</v>
      </c>
      <c r="X297" s="4" t="e">
        <f>IF($Q297&lt;&gt;3,VLOOKUP(H297,'Points Table A'!D$3:$F$28,3),VLOOKUP(H297,'Points Table A'!J$3:$L$33,3))</f>
        <v>#N/A</v>
      </c>
      <c r="Y297" s="4" t="e">
        <f>IF($Q297&lt;&gt;3,VLOOKUP(I297,'Points Table A'!E$3:$F$33,2),VLOOKUP(I297,'Points Table A'!K$3:$L$33,2))</f>
        <v>#N/A</v>
      </c>
      <c r="Z297" s="4" t="e">
        <f t="shared" si="30"/>
        <v>#N/A</v>
      </c>
      <c r="AA297" s="4">
        <f>IF($S297=Lookups!$B$113,VLOOKUP(L297,'Points Table C'!A$3:$E$11,5),VLOOKUP(U297,'Points Table C'!B$3:$E$11,4))</f>
        <v>0</v>
      </c>
      <c r="AB297" s="4" t="e">
        <f>IF($Q297=1,0,VLOOKUP($J297,'Points Table C'!$C$3:$E$18,3))</f>
        <v>#N/A</v>
      </c>
      <c r="AC297" s="4">
        <f>VLOOKUP($K297,'Points Table C'!$D$3:$E$18,2)</f>
        <v>0</v>
      </c>
      <c r="AD297" s="4" t="e">
        <f>IF($Z297&lt;Lookups!$C$106,($AA297+AB297+AC297),IF($AA297&gt;=Lookups!$C$120,($AA297+AB297+AC297),$AA297+$AB297))</f>
        <v>#N/A</v>
      </c>
      <c r="AF297" s="7"/>
      <c r="AG297" s="7"/>
      <c r="AH297" s="7"/>
      <c r="AI297" s="7"/>
      <c r="AJ297" s="7"/>
      <c r="AK297" s="7"/>
      <c r="AL297" s="7"/>
      <c r="AM297" s="7"/>
      <c r="AN297" s="7"/>
      <c r="AO297" s="7"/>
      <c r="AP297" s="7"/>
      <c r="AQ297" s="7"/>
      <c r="AR297" s="7"/>
      <c r="AS297" s="7"/>
      <c r="AT297" s="7"/>
      <c r="AU297" s="7"/>
      <c r="AV297" s="7"/>
      <c r="AW297" s="7"/>
      <c r="AY297" s="7"/>
      <c r="AZ297" s="7"/>
      <c r="BA297" s="7"/>
      <c r="BB297" s="7"/>
    </row>
    <row r="298" spans="2:54" x14ac:dyDescent="0.2">
      <c r="B298" s="174"/>
      <c r="C298" s="176"/>
      <c r="F298" s="5">
        <v>0</v>
      </c>
      <c r="G298" s="192">
        <v>0</v>
      </c>
      <c r="H298" s="192">
        <v>0</v>
      </c>
      <c r="I298" s="5">
        <v>0</v>
      </c>
      <c r="J298" s="192">
        <v>0</v>
      </c>
      <c r="K298" s="192">
        <v>0</v>
      </c>
      <c r="L298" s="5">
        <v>0</v>
      </c>
      <c r="M298" s="5">
        <v>0</v>
      </c>
      <c r="N298" s="4" t="e">
        <f t="shared" si="26"/>
        <v>#N/A</v>
      </c>
      <c r="O298" s="4" t="e">
        <f>IF(ROUND(10.499-(((N298-VLOOKUP($C298,Lookups!$A$55:$D$64,3))/(VLOOKUP($C298,Lookups!$A$55:$D$64,4))*VLOOKUP($C298,Lookups!$C$2:$D$11,2))),0)&lt;1,1,IF(ROUND(10.499-(((N298-VLOOKUP($C298,Lookups!$A$55:$D$64,3))/(VLOOKUP($C298,Lookups!$A$55:$D$64,4))*VLOOKUP($C298,Lookups!$C$2:$D$11,2))),0)&lt;11,ROUND(10.499-(((N298-VLOOKUP($C298,Lookups!$A$55:$D$64,3))/(VLOOKUP($C298,Lookups!$A$55:$D$64,4))*VLOOKUP($C298,Lookups!$C$2:$D$11,2))),0),10))</f>
        <v>#N/A</v>
      </c>
      <c r="P298" s="13" t="str">
        <f>IF((SUM(F298:M298)=0),"J",VLOOKUP(O298,Lookups!$A$1:$B$11,2))</f>
        <v>J</v>
      </c>
      <c r="Q298" s="8" t="e">
        <f>VLOOKUP(C298,Lookups!$A$136:$C$144,3)</f>
        <v>#N/A</v>
      </c>
      <c r="R298" s="8" t="e">
        <f>VLOOKUP(C298,Lookups!$A$136:$C$144,2)</f>
        <v>#N/A</v>
      </c>
      <c r="S298" s="4" t="str">
        <f t="shared" si="27"/>
        <v>No</v>
      </c>
      <c r="T298" s="125">
        <f t="shared" si="28"/>
        <v>0</v>
      </c>
      <c r="U298" s="125">
        <f t="shared" si="29"/>
        <v>0</v>
      </c>
      <c r="V298" s="4" t="e">
        <f>IF($Q298&lt;&gt;3,VLOOKUP(F298,'Points Table A'!B$3:$F$33,5),VLOOKUP(F298,'Points Table A'!H$3:$L$33,5))</f>
        <v>#N/A</v>
      </c>
      <c r="W298" s="4" t="e">
        <f>IF($Q298&lt;&gt;3,VLOOKUP(G298,'Points Table A'!C$3:$F$33,4),VLOOKUP(G298,'Points Table A'!I$3:$L$33,4))</f>
        <v>#N/A</v>
      </c>
      <c r="X298" s="4" t="e">
        <f>IF($Q298&lt;&gt;3,VLOOKUP(H298,'Points Table A'!D$3:$F$28,3),VLOOKUP(H298,'Points Table A'!J$3:$L$33,3))</f>
        <v>#N/A</v>
      </c>
      <c r="Y298" s="4" t="e">
        <f>IF($Q298&lt;&gt;3,VLOOKUP(I298,'Points Table A'!E$3:$F$33,2),VLOOKUP(I298,'Points Table A'!K$3:$L$33,2))</f>
        <v>#N/A</v>
      </c>
      <c r="Z298" s="4" t="e">
        <f t="shared" si="30"/>
        <v>#N/A</v>
      </c>
      <c r="AA298" s="4">
        <f>IF($S298=Lookups!$B$113,VLOOKUP(L298,'Points Table C'!A$3:$E$11,5),VLOOKUP(U298,'Points Table C'!B$3:$E$11,4))</f>
        <v>0</v>
      </c>
      <c r="AB298" s="4" t="e">
        <f>IF($Q298=1,0,VLOOKUP($J298,'Points Table C'!$C$3:$E$18,3))</f>
        <v>#N/A</v>
      </c>
      <c r="AC298" s="4">
        <f>VLOOKUP($K298,'Points Table C'!$D$3:$E$18,2)</f>
        <v>0</v>
      </c>
      <c r="AD298" s="4" t="e">
        <f>IF($Z298&lt;Lookups!$C$106,($AA298+AB298+AC298),IF($AA298&gt;=Lookups!$C$120,($AA298+AB298+AC298),$AA298+$AB298))</f>
        <v>#N/A</v>
      </c>
      <c r="AF298" s="7"/>
      <c r="AG298" s="7"/>
      <c r="AH298" s="7"/>
      <c r="AI298" s="7"/>
      <c r="AJ298" s="7"/>
      <c r="AK298" s="7"/>
      <c r="AL298" s="7"/>
      <c r="AM298" s="7"/>
      <c r="AN298" s="7"/>
      <c r="AO298" s="7"/>
      <c r="AP298" s="7"/>
      <c r="AQ298" s="7"/>
      <c r="AR298" s="7"/>
      <c r="AS298" s="7"/>
      <c r="AT298" s="7"/>
      <c r="AU298" s="7"/>
      <c r="AV298" s="7"/>
      <c r="AW298" s="7"/>
      <c r="AY298" s="7"/>
      <c r="AZ298" s="7"/>
      <c r="BA298" s="7"/>
      <c r="BB298" s="7"/>
    </row>
    <row r="299" spans="2:54" x14ac:dyDescent="0.2">
      <c r="B299" s="174"/>
      <c r="C299" s="176"/>
      <c r="F299" s="5">
        <v>0</v>
      </c>
      <c r="G299" s="192">
        <v>0</v>
      </c>
      <c r="H299" s="192">
        <v>0</v>
      </c>
      <c r="I299" s="5">
        <v>0</v>
      </c>
      <c r="J299" s="192">
        <v>0</v>
      </c>
      <c r="K299" s="192">
        <v>0</v>
      </c>
      <c r="L299" s="5">
        <v>0</v>
      </c>
      <c r="M299" s="5">
        <v>0</v>
      </c>
      <c r="N299" s="4" t="e">
        <f t="shared" si="26"/>
        <v>#N/A</v>
      </c>
      <c r="O299" s="4" t="e">
        <f>IF(ROUND(10.499-(((N299-VLOOKUP($C299,Lookups!$A$55:$D$64,3))/(VLOOKUP($C299,Lookups!$A$55:$D$64,4))*VLOOKUP($C299,Lookups!$C$2:$D$11,2))),0)&lt;1,1,IF(ROUND(10.499-(((N299-VLOOKUP($C299,Lookups!$A$55:$D$64,3))/(VLOOKUP($C299,Lookups!$A$55:$D$64,4))*VLOOKUP($C299,Lookups!$C$2:$D$11,2))),0)&lt;11,ROUND(10.499-(((N299-VLOOKUP($C299,Lookups!$A$55:$D$64,3))/(VLOOKUP($C299,Lookups!$A$55:$D$64,4))*VLOOKUP($C299,Lookups!$C$2:$D$11,2))),0),10))</f>
        <v>#N/A</v>
      </c>
      <c r="P299" s="13" t="str">
        <f>IF((SUM(F299:M299)=0),"J",VLOOKUP(O299,Lookups!$A$1:$B$11,2))</f>
        <v>J</v>
      </c>
      <c r="Q299" s="8" t="e">
        <f>VLOOKUP(C299,Lookups!$A$136:$C$144,3)</f>
        <v>#N/A</v>
      </c>
      <c r="R299" s="8" t="e">
        <f>VLOOKUP(C299,Lookups!$A$136:$C$144,2)</f>
        <v>#N/A</v>
      </c>
      <c r="S299" s="4" t="str">
        <f t="shared" si="27"/>
        <v>No</v>
      </c>
      <c r="T299" s="125">
        <f t="shared" si="28"/>
        <v>0</v>
      </c>
      <c r="U299" s="125">
        <f t="shared" si="29"/>
        <v>0</v>
      </c>
      <c r="V299" s="4" t="e">
        <f>IF($Q299&lt;&gt;3,VLOOKUP(F299,'Points Table A'!B$3:$F$33,5),VLOOKUP(F299,'Points Table A'!H$3:$L$33,5))</f>
        <v>#N/A</v>
      </c>
      <c r="W299" s="4" t="e">
        <f>IF($Q299&lt;&gt;3,VLOOKUP(G299,'Points Table A'!C$3:$F$33,4),VLOOKUP(G299,'Points Table A'!I$3:$L$33,4))</f>
        <v>#N/A</v>
      </c>
      <c r="X299" s="4" t="e">
        <f>IF($Q299&lt;&gt;3,VLOOKUP(H299,'Points Table A'!D$3:$F$28,3),VLOOKUP(H299,'Points Table A'!J$3:$L$33,3))</f>
        <v>#N/A</v>
      </c>
      <c r="Y299" s="4" t="e">
        <f>IF($Q299&lt;&gt;3,VLOOKUP(I299,'Points Table A'!E$3:$F$33,2),VLOOKUP(I299,'Points Table A'!K$3:$L$33,2))</f>
        <v>#N/A</v>
      </c>
      <c r="Z299" s="4" t="e">
        <f t="shared" si="30"/>
        <v>#N/A</v>
      </c>
      <c r="AA299" s="4">
        <f>IF($S299=Lookups!$B$113,VLOOKUP(L299,'Points Table C'!A$3:$E$11,5),VLOOKUP(U299,'Points Table C'!B$3:$E$11,4))</f>
        <v>0</v>
      </c>
      <c r="AB299" s="4" t="e">
        <f>IF($Q299=1,0,VLOOKUP($J299,'Points Table C'!$C$3:$E$18,3))</f>
        <v>#N/A</v>
      </c>
      <c r="AC299" s="4">
        <f>VLOOKUP($K299,'Points Table C'!$D$3:$E$18,2)</f>
        <v>0</v>
      </c>
      <c r="AD299" s="4" t="e">
        <f>IF($Z299&lt;Lookups!$C$106,($AA299+AB299+AC299),IF($AA299&gt;=Lookups!$C$120,($AA299+AB299+AC299),$AA299+$AB299))</f>
        <v>#N/A</v>
      </c>
      <c r="AF299" s="7"/>
      <c r="AG299" s="7"/>
      <c r="AH299" s="7"/>
      <c r="AI299" s="7"/>
      <c r="AJ299" s="7"/>
      <c r="AK299" s="7"/>
      <c r="AL299" s="7"/>
      <c r="AM299" s="7"/>
      <c r="AN299" s="7"/>
      <c r="AO299" s="7"/>
      <c r="AP299" s="7"/>
      <c r="AQ299" s="7"/>
      <c r="AR299" s="7"/>
      <c r="AS299" s="7"/>
      <c r="AT299" s="7"/>
      <c r="AU299" s="7"/>
      <c r="AV299" s="7"/>
      <c r="AW299" s="7"/>
      <c r="AY299" s="7"/>
      <c r="AZ299" s="7"/>
      <c r="BA299" s="7"/>
      <c r="BB299" s="7"/>
    </row>
    <row r="300" spans="2:54" x14ac:dyDescent="0.2">
      <c r="B300" s="174"/>
      <c r="C300" s="176"/>
      <c r="F300" s="5">
        <v>0</v>
      </c>
      <c r="G300" s="192">
        <v>0</v>
      </c>
      <c r="H300" s="192">
        <v>0</v>
      </c>
      <c r="I300" s="5">
        <v>0</v>
      </c>
      <c r="J300" s="192">
        <v>0</v>
      </c>
      <c r="K300" s="192">
        <v>0</v>
      </c>
      <c r="L300" s="5">
        <v>0</v>
      </c>
      <c r="M300" s="5">
        <v>0</v>
      </c>
      <c r="N300" s="4" t="e">
        <f t="shared" si="26"/>
        <v>#N/A</v>
      </c>
      <c r="O300" s="4" t="e">
        <f>IF(ROUND(10.499-(((N300-VLOOKUP($C300,Lookups!$A$55:$D$64,3))/(VLOOKUP($C300,Lookups!$A$55:$D$64,4))*VLOOKUP($C300,Lookups!$C$2:$D$11,2))),0)&lt;1,1,IF(ROUND(10.499-(((N300-VLOOKUP($C300,Lookups!$A$55:$D$64,3))/(VLOOKUP($C300,Lookups!$A$55:$D$64,4))*VLOOKUP($C300,Lookups!$C$2:$D$11,2))),0)&lt;11,ROUND(10.499-(((N300-VLOOKUP($C300,Lookups!$A$55:$D$64,3))/(VLOOKUP($C300,Lookups!$A$55:$D$64,4))*VLOOKUP($C300,Lookups!$C$2:$D$11,2))),0),10))</f>
        <v>#N/A</v>
      </c>
      <c r="P300" s="13" t="str">
        <f>IF((SUM(F300:M300)=0),"J",VLOOKUP(O300,Lookups!$A$1:$B$11,2))</f>
        <v>J</v>
      </c>
      <c r="Q300" s="8" t="e">
        <f>VLOOKUP(C300,Lookups!$A$136:$C$144,3)</f>
        <v>#N/A</v>
      </c>
      <c r="R300" s="8" t="e">
        <f>VLOOKUP(C300,Lookups!$A$136:$C$144,2)</f>
        <v>#N/A</v>
      </c>
      <c r="S300" s="4" t="str">
        <f t="shared" si="27"/>
        <v>No</v>
      </c>
      <c r="T300" s="125">
        <f t="shared" si="28"/>
        <v>0</v>
      </c>
      <c r="U300" s="125">
        <f t="shared" si="29"/>
        <v>0</v>
      </c>
      <c r="V300" s="4" t="e">
        <f>IF($Q300&lt;&gt;3,VLOOKUP(F300,'Points Table A'!B$3:$F$33,5),VLOOKUP(F300,'Points Table A'!H$3:$L$33,5))</f>
        <v>#N/A</v>
      </c>
      <c r="W300" s="4" t="e">
        <f>IF($Q300&lt;&gt;3,VLOOKUP(G300,'Points Table A'!C$3:$F$33,4),VLOOKUP(G300,'Points Table A'!I$3:$L$33,4))</f>
        <v>#N/A</v>
      </c>
      <c r="X300" s="4" t="e">
        <f>IF($Q300&lt;&gt;3,VLOOKUP(H300,'Points Table A'!D$3:$F$28,3),VLOOKUP(H300,'Points Table A'!J$3:$L$33,3))</f>
        <v>#N/A</v>
      </c>
      <c r="Y300" s="4" t="e">
        <f>IF($Q300&lt;&gt;3,VLOOKUP(I300,'Points Table A'!E$3:$F$33,2),VLOOKUP(I300,'Points Table A'!K$3:$L$33,2))</f>
        <v>#N/A</v>
      </c>
      <c r="Z300" s="4" t="e">
        <f t="shared" si="30"/>
        <v>#N/A</v>
      </c>
      <c r="AA300" s="4">
        <f>IF($S300=Lookups!$B$113,VLOOKUP(L300,'Points Table C'!A$3:$E$11,5),VLOOKUP(U300,'Points Table C'!B$3:$E$11,4))</f>
        <v>0</v>
      </c>
      <c r="AB300" s="4" t="e">
        <f>IF($Q300=1,0,VLOOKUP($J300,'Points Table C'!$C$3:$E$18,3))</f>
        <v>#N/A</v>
      </c>
      <c r="AC300" s="4">
        <f>VLOOKUP($K300,'Points Table C'!$D$3:$E$18,2)</f>
        <v>0</v>
      </c>
      <c r="AD300" s="4" t="e">
        <f>IF($Z300&lt;Lookups!$C$106,($AA300+AB300+AC300),IF($AA300&gt;=Lookups!$C$120,($AA300+AB300+AC300),$AA300+$AB300))</f>
        <v>#N/A</v>
      </c>
      <c r="AF300" s="7"/>
      <c r="AG300" s="7"/>
      <c r="AH300" s="7"/>
      <c r="AI300" s="7"/>
      <c r="AJ300" s="7"/>
      <c r="AK300" s="7"/>
      <c r="AL300" s="7"/>
      <c r="AM300" s="7"/>
      <c r="AN300" s="7"/>
      <c r="AO300" s="7"/>
      <c r="AP300" s="7"/>
      <c r="AQ300" s="7"/>
      <c r="AR300" s="7"/>
      <c r="AS300" s="7"/>
      <c r="AT300" s="7"/>
      <c r="AU300" s="7"/>
      <c r="AV300" s="7"/>
      <c r="AW300" s="7"/>
      <c r="AY300" s="7"/>
      <c r="AZ300" s="7"/>
      <c r="BA300" s="7"/>
      <c r="BB300" s="7"/>
    </row>
    <row r="301" spans="2:54" x14ac:dyDescent="0.2">
      <c r="B301" s="174"/>
      <c r="C301" s="176"/>
      <c r="F301" s="5">
        <v>0</v>
      </c>
      <c r="G301" s="192">
        <v>0</v>
      </c>
      <c r="H301" s="192">
        <v>0</v>
      </c>
      <c r="I301" s="5">
        <v>0</v>
      </c>
      <c r="J301" s="192">
        <v>0</v>
      </c>
      <c r="K301" s="192">
        <v>0</v>
      </c>
      <c r="L301" s="5">
        <v>0</v>
      </c>
      <c r="M301" s="5">
        <v>0</v>
      </c>
      <c r="N301" s="4" t="e">
        <f t="shared" si="26"/>
        <v>#N/A</v>
      </c>
      <c r="O301" s="4" t="e">
        <f>IF(ROUND(10.499-(((N301-VLOOKUP($C301,Lookups!$A$55:$D$64,3))/(VLOOKUP($C301,Lookups!$A$55:$D$64,4))*VLOOKUP($C301,Lookups!$C$2:$D$11,2))),0)&lt;1,1,IF(ROUND(10.499-(((N301-VLOOKUP($C301,Lookups!$A$55:$D$64,3))/(VLOOKUP($C301,Lookups!$A$55:$D$64,4))*VLOOKUP($C301,Lookups!$C$2:$D$11,2))),0)&lt;11,ROUND(10.499-(((N301-VLOOKUP($C301,Lookups!$A$55:$D$64,3))/(VLOOKUP($C301,Lookups!$A$55:$D$64,4))*VLOOKUP($C301,Lookups!$C$2:$D$11,2))),0),10))</f>
        <v>#N/A</v>
      </c>
      <c r="P301" s="13" t="str">
        <f>IF((SUM(F301:M301)=0),"J",VLOOKUP(O301,Lookups!$A$1:$B$11,2))</f>
        <v>J</v>
      </c>
      <c r="Q301" s="8" t="e">
        <f>VLOOKUP(C301,Lookups!$A$136:$C$144,3)</f>
        <v>#N/A</v>
      </c>
      <c r="R301" s="8" t="e">
        <f>VLOOKUP(C301,Lookups!$A$136:$C$144,2)</f>
        <v>#N/A</v>
      </c>
      <c r="S301" s="4" t="str">
        <f t="shared" si="27"/>
        <v>No</v>
      </c>
      <c r="T301" s="125">
        <f t="shared" si="28"/>
        <v>0</v>
      </c>
      <c r="U301" s="125">
        <f t="shared" si="29"/>
        <v>0</v>
      </c>
      <c r="V301" s="4" t="e">
        <f>IF($Q301&lt;&gt;3,VLOOKUP(F301,'Points Table A'!B$3:$F$33,5),VLOOKUP(F301,'Points Table A'!H$3:$L$33,5))</f>
        <v>#N/A</v>
      </c>
      <c r="W301" s="4" t="e">
        <f>IF($Q301&lt;&gt;3,VLOOKUP(G301,'Points Table A'!C$3:$F$33,4),VLOOKUP(G301,'Points Table A'!I$3:$L$33,4))</f>
        <v>#N/A</v>
      </c>
      <c r="X301" s="4" t="e">
        <f>IF($Q301&lt;&gt;3,VLOOKUP(H301,'Points Table A'!D$3:$F$28,3),VLOOKUP(H301,'Points Table A'!J$3:$L$33,3))</f>
        <v>#N/A</v>
      </c>
      <c r="Y301" s="4" t="e">
        <f>IF($Q301&lt;&gt;3,VLOOKUP(I301,'Points Table A'!E$3:$F$33,2),VLOOKUP(I301,'Points Table A'!K$3:$L$33,2))</f>
        <v>#N/A</v>
      </c>
      <c r="Z301" s="4" t="e">
        <f t="shared" si="30"/>
        <v>#N/A</v>
      </c>
      <c r="AA301" s="4">
        <f>IF($S301=Lookups!$B$113,VLOOKUP(L301,'Points Table C'!A$3:$E$11,5),VLOOKUP(U301,'Points Table C'!B$3:$E$11,4))</f>
        <v>0</v>
      </c>
      <c r="AB301" s="4" t="e">
        <f>IF($Q301=1,0,VLOOKUP($J301,'Points Table C'!$C$3:$E$18,3))</f>
        <v>#N/A</v>
      </c>
      <c r="AC301" s="4">
        <f>VLOOKUP($K301,'Points Table C'!$D$3:$E$18,2)</f>
        <v>0</v>
      </c>
      <c r="AD301" s="4" t="e">
        <f>IF($Z301&lt;Lookups!$C$106,($AA301+AB301+AC301),IF($AA301&gt;=Lookups!$C$120,($AA301+AB301+AC301),$AA301+$AB301))</f>
        <v>#N/A</v>
      </c>
      <c r="AF301" s="7"/>
      <c r="AG301" s="7"/>
      <c r="AH301" s="7"/>
      <c r="AI301" s="7"/>
      <c r="AJ301" s="7"/>
      <c r="AK301" s="7"/>
      <c r="AL301" s="7"/>
      <c r="AM301" s="7"/>
      <c r="AN301" s="7"/>
      <c r="AO301" s="7"/>
      <c r="AP301" s="7"/>
      <c r="AQ301" s="7"/>
      <c r="AR301" s="7"/>
      <c r="AS301" s="7"/>
      <c r="AT301" s="7"/>
      <c r="AU301" s="7"/>
      <c r="AV301" s="7"/>
      <c r="AW301" s="7"/>
      <c r="AY301" s="7"/>
      <c r="AZ301" s="7"/>
      <c r="BA301" s="7"/>
      <c r="BB301" s="7"/>
    </row>
    <row r="302" spans="2:54" x14ac:dyDescent="0.2">
      <c r="B302" s="174"/>
      <c r="C302" s="176"/>
      <c r="F302" s="5">
        <v>0</v>
      </c>
      <c r="G302" s="192">
        <v>0</v>
      </c>
      <c r="H302" s="192">
        <v>0</v>
      </c>
      <c r="I302" s="5">
        <v>0</v>
      </c>
      <c r="J302" s="192">
        <v>0</v>
      </c>
      <c r="K302" s="192">
        <v>0</v>
      </c>
      <c r="L302" s="5">
        <v>0</v>
      </c>
      <c r="M302" s="5">
        <v>0</v>
      </c>
      <c r="N302" s="4" t="e">
        <f t="shared" si="26"/>
        <v>#N/A</v>
      </c>
      <c r="O302" s="4" t="e">
        <f>IF(ROUND(10.499-(((N302-VLOOKUP($C302,Lookups!$A$55:$D$64,3))/(VLOOKUP($C302,Lookups!$A$55:$D$64,4))*VLOOKUP($C302,Lookups!$C$2:$D$11,2))),0)&lt;1,1,IF(ROUND(10.499-(((N302-VLOOKUP($C302,Lookups!$A$55:$D$64,3))/(VLOOKUP($C302,Lookups!$A$55:$D$64,4))*VLOOKUP($C302,Lookups!$C$2:$D$11,2))),0)&lt;11,ROUND(10.499-(((N302-VLOOKUP($C302,Lookups!$A$55:$D$64,3))/(VLOOKUP($C302,Lookups!$A$55:$D$64,4))*VLOOKUP($C302,Lookups!$C$2:$D$11,2))),0),10))</f>
        <v>#N/A</v>
      </c>
      <c r="P302" s="13" t="str">
        <f>IF((SUM(F302:M302)=0),"J",VLOOKUP(O302,Lookups!$A$1:$B$11,2))</f>
        <v>J</v>
      </c>
      <c r="Q302" s="8" t="e">
        <f>VLOOKUP(C302,Lookups!$A$136:$C$144,3)</f>
        <v>#N/A</v>
      </c>
      <c r="R302" s="8" t="e">
        <f>VLOOKUP(C302,Lookups!$A$136:$C$144,2)</f>
        <v>#N/A</v>
      </c>
      <c r="S302" s="4" t="str">
        <f t="shared" si="27"/>
        <v>No</v>
      </c>
      <c r="T302" s="125">
        <f t="shared" si="28"/>
        <v>0</v>
      </c>
      <c r="U302" s="125">
        <f t="shared" si="29"/>
        <v>0</v>
      </c>
      <c r="V302" s="4" t="e">
        <f>IF($Q302&lt;&gt;3,VLOOKUP(F302,'Points Table A'!B$3:$F$33,5),VLOOKUP(F302,'Points Table A'!H$3:$L$33,5))</f>
        <v>#N/A</v>
      </c>
      <c r="W302" s="4" t="e">
        <f>IF($Q302&lt;&gt;3,VLOOKUP(G302,'Points Table A'!C$3:$F$33,4),VLOOKUP(G302,'Points Table A'!I$3:$L$33,4))</f>
        <v>#N/A</v>
      </c>
      <c r="X302" s="4" t="e">
        <f>IF($Q302&lt;&gt;3,VLOOKUP(H302,'Points Table A'!D$3:$F$28,3),VLOOKUP(H302,'Points Table A'!J$3:$L$33,3))</f>
        <v>#N/A</v>
      </c>
      <c r="Y302" s="4" t="e">
        <f>IF($Q302&lt;&gt;3,VLOOKUP(I302,'Points Table A'!E$3:$F$33,2),VLOOKUP(I302,'Points Table A'!K$3:$L$33,2))</f>
        <v>#N/A</v>
      </c>
      <c r="Z302" s="4" t="e">
        <f t="shared" si="30"/>
        <v>#N/A</v>
      </c>
      <c r="AA302" s="4">
        <f>IF($S302=Lookups!$B$113,VLOOKUP(L302,'Points Table C'!A$3:$E$11,5),VLOOKUP(U302,'Points Table C'!B$3:$E$11,4))</f>
        <v>0</v>
      </c>
      <c r="AB302" s="4" t="e">
        <f>IF($Q302=1,0,VLOOKUP($J302,'Points Table C'!$C$3:$E$18,3))</f>
        <v>#N/A</v>
      </c>
      <c r="AC302" s="4">
        <f>VLOOKUP($K302,'Points Table C'!$D$3:$E$18,2)</f>
        <v>0</v>
      </c>
      <c r="AD302" s="4" t="e">
        <f>IF($Z302&lt;Lookups!$C$106,($AA302+AB302+AC302),IF($AA302&gt;=Lookups!$C$120,($AA302+AB302+AC302),$AA302+$AB302))</f>
        <v>#N/A</v>
      </c>
      <c r="AF302" s="7"/>
      <c r="AG302" s="7"/>
      <c r="AH302" s="7"/>
      <c r="AI302" s="7"/>
      <c r="AJ302" s="7"/>
      <c r="AK302" s="7"/>
      <c r="AL302" s="7"/>
      <c r="AM302" s="7"/>
      <c r="AN302" s="7"/>
      <c r="AO302" s="7"/>
      <c r="AP302" s="7"/>
      <c r="AQ302" s="7"/>
      <c r="AR302" s="7"/>
      <c r="AS302" s="7"/>
      <c r="AT302" s="7"/>
      <c r="AU302" s="7"/>
      <c r="AV302" s="7"/>
      <c r="AW302" s="7"/>
      <c r="AY302" s="7"/>
      <c r="AZ302" s="7"/>
      <c r="BA302" s="7"/>
      <c r="BB302" s="7"/>
    </row>
    <row r="303" spans="2:54" x14ac:dyDescent="0.2">
      <c r="B303" s="174"/>
      <c r="C303" s="176"/>
      <c r="F303" s="5">
        <v>0</v>
      </c>
      <c r="G303" s="192">
        <v>0</v>
      </c>
      <c r="H303" s="192">
        <v>0</v>
      </c>
      <c r="I303" s="5">
        <v>0</v>
      </c>
      <c r="J303" s="192">
        <v>0</v>
      </c>
      <c r="K303" s="192">
        <v>0</v>
      </c>
      <c r="L303" s="5">
        <v>0</v>
      </c>
      <c r="M303" s="5">
        <v>0</v>
      </c>
      <c r="N303" s="4" t="e">
        <f t="shared" si="26"/>
        <v>#N/A</v>
      </c>
      <c r="O303" s="4" t="e">
        <f>IF(ROUND(10.499-(((N303-VLOOKUP($C303,Lookups!$A$55:$D$64,3))/(VLOOKUP($C303,Lookups!$A$55:$D$64,4))*VLOOKUP($C303,Lookups!$C$2:$D$11,2))),0)&lt;1,1,IF(ROUND(10.499-(((N303-VLOOKUP($C303,Lookups!$A$55:$D$64,3))/(VLOOKUP($C303,Lookups!$A$55:$D$64,4))*VLOOKUP($C303,Lookups!$C$2:$D$11,2))),0)&lt;11,ROUND(10.499-(((N303-VLOOKUP($C303,Lookups!$A$55:$D$64,3))/(VLOOKUP($C303,Lookups!$A$55:$D$64,4))*VLOOKUP($C303,Lookups!$C$2:$D$11,2))),0),10))</f>
        <v>#N/A</v>
      </c>
      <c r="P303" s="13" t="str">
        <f>IF((SUM(F303:M303)=0),"J",VLOOKUP(O303,Lookups!$A$1:$B$11,2))</f>
        <v>J</v>
      </c>
      <c r="Q303" s="8" t="e">
        <f>VLOOKUP(C303,Lookups!$A$136:$C$144,3)</f>
        <v>#N/A</v>
      </c>
      <c r="R303" s="8" t="e">
        <f>VLOOKUP(C303,Lookups!$A$136:$C$144,2)</f>
        <v>#N/A</v>
      </c>
      <c r="S303" s="4" t="str">
        <f t="shared" si="27"/>
        <v>No</v>
      </c>
      <c r="T303" s="125">
        <f t="shared" si="28"/>
        <v>0</v>
      </c>
      <c r="U303" s="125">
        <f t="shared" si="29"/>
        <v>0</v>
      </c>
      <c r="V303" s="4" t="e">
        <f>IF($Q303&lt;&gt;3,VLOOKUP(F303,'Points Table A'!B$3:$F$33,5),VLOOKUP(F303,'Points Table A'!H$3:$L$33,5))</f>
        <v>#N/A</v>
      </c>
      <c r="W303" s="4" t="e">
        <f>IF($Q303&lt;&gt;3,VLOOKUP(G303,'Points Table A'!C$3:$F$33,4),VLOOKUP(G303,'Points Table A'!I$3:$L$33,4))</f>
        <v>#N/A</v>
      </c>
      <c r="X303" s="4" t="e">
        <f>IF($Q303&lt;&gt;3,VLOOKUP(H303,'Points Table A'!D$3:$F$28,3),VLOOKUP(H303,'Points Table A'!J$3:$L$33,3))</f>
        <v>#N/A</v>
      </c>
      <c r="Y303" s="4" t="e">
        <f>IF($Q303&lt;&gt;3,VLOOKUP(I303,'Points Table A'!E$3:$F$33,2),VLOOKUP(I303,'Points Table A'!K$3:$L$33,2))</f>
        <v>#N/A</v>
      </c>
      <c r="Z303" s="4" t="e">
        <f t="shared" si="30"/>
        <v>#N/A</v>
      </c>
      <c r="AA303" s="4">
        <f>IF($S303=Lookups!$B$113,VLOOKUP(L303,'Points Table C'!A$3:$E$11,5),VLOOKUP(U303,'Points Table C'!B$3:$E$11,4))</f>
        <v>0</v>
      </c>
      <c r="AB303" s="4" t="e">
        <f>IF($Q303=1,0,VLOOKUP($J303,'Points Table C'!$C$3:$E$18,3))</f>
        <v>#N/A</v>
      </c>
      <c r="AC303" s="4">
        <f>VLOOKUP($K303,'Points Table C'!$D$3:$E$18,2)</f>
        <v>0</v>
      </c>
      <c r="AD303" s="4" t="e">
        <f>IF($Z303&lt;Lookups!$C$106,($AA303+AB303+AC303),IF($AA303&gt;=Lookups!$C$120,($AA303+AB303+AC303),$AA303+$AB303))</f>
        <v>#N/A</v>
      </c>
      <c r="AF303" s="7"/>
      <c r="AG303" s="7"/>
      <c r="AH303" s="7"/>
      <c r="AI303" s="7"/>
      <c r="AJ303" s="7"/>
      <c r="AK303" s="7"/>
      <c r="AL303" s="7"/>
      <c r="AM303" s="7"/>
      <c r="AN303" s="7"/>
      <c r="AO303" s="7"/>
      <c r="AP303" s="7"/>
      <c r="AQ303" s="7"/>
      <c r="AR303" s="7"/>
      <c r="AS303" s="7"/>
      <c r="AT303" s="7"/>
      <c r="AU303" s="7"/>
      <c r="AV303" s="7"/>
      <c r="AW303" s="7"/>
      <c r="AY303" s="7"/>
      <c r="AZ303" s="7"/>
      <c r="BA303" s="7"/>
      <c r="BB303" s="7"/>
    </row>
    <row r="304" spans="2:54" x14ac:dyDescent="0.2">
      <c r="B304" s="174"/>
      <c r="C304" s="176"/>
      <c r="F304" s="5">
        <v>0</v>
      </c>
      <c r="G304" s="192">
        <v>0</v>
      </c>
      <c r="H304" s="192">
        <v>0</v>
      </c>
      <c r="I304" s="5">
        <v>0</v>
      </c>
      <c r="J304" s="192">
        <v>0</v>
      </c>
      <c r="K304" s="192">
        <v>0</v>
      </c>
      <c r="L304" s="5">
        <v>0</v>
      </c>
      <c r="M304" s="5">
        <v>0</v>
      </c>
      <c r="N304" s="4" t="e">
        <f t="shared" si="26"/>
        <v>#N/A</v>
      </c>
      <c r="O304" s="4" t="e">
        <f>IF(ROUND(10.499-(((N304-VLOOKUP($C304,Lookups!$A$55:$D$64,3))/(VLOOKUP($C304,Lookups!$A$55:$D$64,4))*VLOOKUP($C304,Lookups!$C$2:$D$11,2))),0)&lt;1,1,IF(ROUND(10.499-(((N304-VLOOKUP($C304,Lookups!$A$55:$D$64,3))/(VLOOKUP($C304,Lookups!$A$55:$D$64,4))*VLOOKUP($C304,Lookups!$C$2:$D$11,2))),0)&lt;11,ROUND(10.499-(((N304-VLOOKUP($C304,Lookups!$A$55:$D$64,3))/(VLOOKUP($C304,Lookups!$A$55:$D$64,4))*VLOOKUP($C304,Lookups!$C$2:$D$11,2))),0),10))</f>
        <v>#N/A</v>
      </c>
      <c r="P304" s="13" t="str">
        <f>IF((SUM(F304:M304)=0),"J",VLOOKUP(O304,Lookups!$A$1:$B$11,2))</f>
        <v>J</v>
      </c>
      <c r="Q304" s="8" t="e">
        <f>VLOOKUP(C304,Lookups!$A$136:$C$144,3)</f>
        <v>#N/A</v>
      </c>
      <c r="R304" s="8" t="e">
        <f>VLOOKUP(C304,Lookups!$A$136:$C$144,2)</f>
        <v>#N/A</v>
      </c>
      <c r="S304" s="4" t="str">
        <f t="shared" si="27"/>
        <v>No</v>
      </c>
      <c r="T304" s="125">
        <f t="shared" si="28"/>
        <v>0</v>
      </c>
      <c r="U304" s="125">
        <f t="shared" si="29"/>
        <v>0</v>
      </c>
      <c r="V304" s="4" t="e">
        <f>IF($Q304&lt;&gt;3,VLOOKUP(F304,'Points Table A'!B$3:$F$33,5),VLOOKUP(F304,'Points Table A'!H$3:$L$33,5))</f>
        <v>#N/A</v>
      </c>
      <c r="W304" s="4" t="e">
        <f>IF($Q304&lt;&gt;3,VLOOKUP(G304,'Points Table A'!C$3:$F$33,4),VLOOKUP(G304,'Points Table A'!I$3:$L$33,4))</f>
        <v>#N/A</v>
      </c>
      <c r="X304" s="4" t="e">
        <f>IF($Q304&lt;&gt;3,VLOOKUP(H304,'Points Table A'!D$3:$F$28,3),VLOOKUP(H304,'Points Table A'!J$3:$L$33,3))</f>
        <v>#N/A</v>
      </c>
      <c r="Y304" s="4" t="e">
        <f>IF($Q304&lt;&gt;3,VLOOKUP(I304,'Points Table A'!E$3:$F$33,2),VLOOKUP(I304,'Points Table A'!K$3:$L$33,2))</f>
        <v>#N/A</v>
      </c>
      <c r="Z304" s="4" t="e">
        <f t="shared" si="30"/>
        <v>#N/A</v>
      </c>
      <c r="AA304" s="4">
        <f>IF($S304=Lookups!$B$113,VLOOKUP(L304,'Points Table C'!A$3:$E$11,5),VLOOKUP(U304,'Points Table C'!B$3:$E$11,4))</f>
        <v>0</v>
      </c>
      <c r="AB304" s="4" t="e">
        <f>IF($Q304=1,0,VLOOKUP($J304,'Points Table C'!$C$3:$E$18,3))</f>
        <v>#N/A</v>
      </c>
      <c r="AC304" s="4">
        <f>VLOOKUP($K304,'Points Table C'!$D$3:$E$18,2)</f>
        <v>0</v>
      </c>
      <c r="AD304" s="4" t="e">
        <f>IF($Z304&lt;Lookups!$C$106,($AA304+AB304+AC304),IF($AA304&gt;=Lookups!$C$120,($AA304+AB304+AC304),$AA304+$AB304))</f>
        <v>#N/A</v>
      </c>
      <c r="AF304" s="7"/>
      <c r="AG304" s="7"/>
      <c r="AH304" s="7"/>
      <c r="AI304" s="7"/>
      <c r="AJ304" s="7"/>
      <c r="AK304" s="7"/>
      <c r="AL304" s="7"/>
      <c r="AM304" s="7"/>
      <c r="AN304" s="7"/>
      <c r="AO304" s="7"/>
      <c r="AP304" s="7"/>
      <c r="AQ304" s="7"/>
      <c r="AR304" s="7"/>
      <c r="AS304" s="7"/>
      <c r="AT304" s="7"/>
      <c r="AU304" s="7"/>
      <c r="AV304" s="7"/>
      <c r="AW304" s="7"/>
      <c r="AY304" s="7"/>
      <c r="AZ304" s="7"/>
      <c r="BA304" s="7"/>
      <c r="BB304" s="7"/>
    </row>
    <row r="305" spans="2:54" x14ac:dyDescent="0.2">
      <c r="B305" s="174"/>
      <c r="C305" s="176"/>
      <c r="F305" s="5">
        <v>0</v>
      </c>
      <c r="G305" s="192">
        <v>0</v>
      </c>
      <c r="H305" s="192">
        <v>0</v>
      </c>
      <c r="I305" s="5">
        <v>0</v>
      </c>
      <c r="J305" s="192">
        <v>0</v>
      </c>
      <c r="K305" s="192">
        <v>0</v>
      </c>
      <c r="L305" s="5">
        <v>0</v>
      </c>
      <c r="M305" s="5">
        <v>0</v>
      </c>
      <c r="N305" s="4" t="e">
        <f t="shared" si="26"/>
        <v>#N/A</v>
      </c>
      <c r="O305" s="4" t="e">
        <f>IF(ROUND(10.499-(((N305-VLOOKUP($C305,Lookups!$A$55:$D$64,3))/(VLOOKUP($C305,Lookups!$A$55:$D$64,4))*VLOOKUP($C305,Lookups!$C$2:$D$11,2))),0)&lt;1,1,IF(ROUND(10.499-(((N305-VLOOKUP($C305,Lookups!$A$55:$D$64,3))/(VLOOKUP($C305,Lookups!$A$55:$D$64,4))*VLOOKUP($C305,Lookups!$C$2:$D$11,2))),0)&lt;11,ROUND(10.499-(((N305-VLOOKUP($C305,Lookups!$A$55:$D$64,3))/(VLOOKUP($C305,Lookups!$A$55:$D$64,4))*VLOOKUP($C305,Lookups!$C$2:$D$11,2))),0),10))</f>
        <v>#N/A</v>
      </c>
      <c r="P305" s="13" t="str">
        <f>IF((SUM(F305:M305)=0),"J",VLOOKUP(O305,Lookups!$A$1:$B$11,2))</f>
        <v>J</v>
      </c>
      <c r="Q305" s="8" t="e">
        <f>VLOOKUP(C305,Lookups!$A$136:$C$144,3)</f>
        <v>#N/A</v>
      </c>
      <c r="R305" s="8" t="e">
        <f>VLOOKUP(C305,Lookups!$A$136:$C$144,2)</f>
        <v>#N/A</v>
      </c>
      <c r="S305" s="4" t="str">
        <f t="shared" si="27"/>
        <v>No</v>
      </c>
      <c r="T305" s="125">
        <f t="shared" si="28"/>
        <v>0</v>
      </c>
      <c r="U305" s="125">
        <f t="shared" si="29"/>
        <v>0</v>
      </c>
      <c r="V305" s="4" t="e">
        <f>IF($Q305&lt;&gt;3,VLOOKUP(F305,'Points Table A'!B$3:$F$33,5),VLOOKUP(F305,'Points Table A'!H$3:$L$33,5))</f>
        <v>#N/A</v>
      </c>
      <c r="W305" s="4" t="e">
        <f>IF($Q305&lt;&gt;3,VLOOKUP(G305,'Points Table A'!C$3:$F$33,4),VLOOKUP(G305,'Points Table A'!I$3:$L$33,4))</f>
        <v>#N/A</v>
      </c>
      <c r="X305" s="4" t="e">
        <f>IF($Q305&lt;&gt;3,VLOOKUP(H305,'Points Table A'!D$3:$F$28,3),VLOOKUP(H305,'Points Table A'!J$3:$L$33,3))</f>
        <v>#N/A</v>
      </c>
      <c r="Y305" s="4" t="e">
        <f>IF($Q305&lt;&gt;3,VLOOKUP(I305,'Points Table A'!E$3:$F$33,2),VLOOKUP(I305,'Points Table A'!K$3:$L$33,2))</f>
        <v>#N/A</v>
      </c>
      <c r="Z305" s="4" t="e">
        <f t="shared" si="30"/>
        <v>#N/A</v>
      </c>
      <c r="AA305" s="4">
        <f>IF($S305=Lookups!$B$113,VLOOKUP(L305,'Points Table C'!A$3:$E$11,5),VLOOKUP(U305,'Points Table C'!B$3:$E$11,4))</f>
        <v>0</v>
      </c>
      <c r="AB305" s="4" t="e">
        <f>IF($Q305=1,0,VLOOKUP($J305,'Points Table C'!$C$3:$E$18,3))</f>
        <v>#N/A</v>
      </c>
      <c r="AC305" s="4">
        <f>VLOOKUP($K305,'Points Table C'!$D$3:$E$18,2)</f>
        <v>0</v>
      </c>
      <c r="AD305" s="4" t="e">
        <f>IF($Z305&lt;Lookups!$C$106,($AA305+AB305+AC305),IF($AA305&gt;=Lookups!$C$120,($AA305+AB305+AC305),$AA305+$AB305))</f>
        <v>#N/A</v>
      </c>
      <c r="AF305" s="7"/>
      <c r="AG305" s="7"/>
      <c r="AH305" s="7"/>
      <c r="AI305" s="7"/>
      <c r="AJ305" s="7"/>
      <c r="AK305" s="7"/>
      <c r="AL305" s="7"/>
      <c r="AM305" s="7"/>
      <c r="AN305" s="7"/>
      <c r="AO305" s="7"/>
      <c r="AP305" s="7"/>
      <c r="AQ305" s="7"/>
      <c r="AR305" s="7"/>
      <c r="AS305" s="7"/>
      <c r="AT305" s="7"/>
      <c r="AU305" s="7"/>
      <c r="AV305" s="7"/>
      <c r="AW305" s="7"/>
      <c r="AY305" s="7"/>
      <c r="AZ305" s="7"/>
      <c r="BA305" s="7"/>
      <c r="BB305" s="7"/>
    </row>
    <row r="306" spans="2:54" x14ac:dyDescent="0.2">
      <c r="B306" s="174"/>
      <c r="C306" s="176"/>
      <c r="F306" s="5">
        <v>0</v>
      </c>
      <c r="G306" s="192">
        <v>0</v>
      </c>
      <c r="H306" s="192">
        <v>0</v>
      </c>
      <c r="I306" s="5">
        <v>0</v>
      </c>
      <c r="J306" s="192">
        <v>0</v>
      </c>
      <c r="K306" s="192">
        <v>0</v>
      </c>
      <c r="L306" s="5">
        <v>0</v>
      </c>
      <c r="M306" s="5">
        <v>0</v>
      </c>
      <c r="N306" s="4" t="e">
        <f t="shared" si="26"/>
        <v>#N/A</v>
      </c>
      <c r="O306" s="4" t="e">
        <f>IF(ROUND(10.499-(((N306-VLOOKUP($C306,Lookups!$A$55:$D$64,3))/(VLOOKUP($C306,Lookups!$A$55:$D$64,4))*VLOOKUP($C306,Lookups!$C$2:$D$11,2))),0)&lt;1,1,IF(ROUND(10.499-(((N306-VLOOKUP($C306,Lookups!$A$55:$D$64,3))/(VLOOKUP($C306,Lookups!$A$55:$D$64,4))*VLOOKUP($C306,Lookups!$C$2:$D$11,2))),0)&lt;11,ROUND(10.499-(((N306-VLOOKUP($C306,Lookups!$A$55:$D$64,3))/(VLOOKUP($C306,Lookups!$A$55:$D$64,4))*VLOOKUP($C306,Lookups!$C$2:$D$11,2))),0),10))</f>
        <v>#N/A</v>
      </c>
      <c r="P306" s="13" t="str">
        <f>IF((SUM(F306:M306)=0),"J",VLOOKUP(O306,Lookups!$A$1:$B$11,2))</f>
        <v>J</v>
      </c>
      <c r="Q306" s="8" t="e">
        <f>VLOOKUP(C306,Lookups!$A$136:$C$144,3)</f>
        <v>#N/A</v>
      </c>
      <c r="R306" s="8" t="e">
        <f>VLOOKUP(C306,Lookups!$A$136:$C$144,2)</f>
        <v>#N/A</v>
      </c>
      <c r="S306" s="4" t="str">
        <f t="shared" si="27"/>
        <v>No</v>
      </c>
      <c r="T306" s="125">
        <f t="shared" si="28"/>
        <v>0</v>
      </c>
      <c r="U306" s="125">
        <f t="shared" si="29"/>
        <v>0</v>
      </c>
      <c r="V306" s="4" t="e">
        <f>IF($Q306&lt;&gt;3,VLOOKUP(F306,'Points Table A'!B$3:$F$33,5),VLOOKUP(F306,'Points Table A'!H$3:$L$33,5))</f>
        <v>#N/A</v>
      </c>
      <c r="W306" s="4" t="e">
        <f>IF($Q306&lt;&gt;3,VLOOKUP(G306,'Points Table A'!C$3:$F$33,4),VLOOKUP(G306,'Points Table A'!I$3:$L$33,4))</f>
        <v>#N/A</v>
      </c>
      <c r="X306" s="4" t="e">
        <f>IF($Q306&lt;&gt;3,VLOOKUP(H306,'Points Table A'!D$3:$F$28,3),VLOOKUP(H306,'Points Table A'!J$3:$L$33,3))</f>
        <v>#N/A</v>
      </c>
      <c r="Y306" s="4" t="e">
        <f>IF($Q306&lt;&gt;3,VLOOKUP(I306,'Points Table A'!E$3:$F$33,2),VLOOKUP(I306,'Points Table A'!K$3:$L$33,2))</f>
        <v>#N/A</v>
      </c>
      <c r="Z306" s="4" t="e">
        <f t="shared" si="30"/>
        <v>#N/A</v>
      </c>
      <c r="AA306" s="4">
        <f>IF($S306=Lookups!$B$113,VLOOKUP(L306,'Points Table C'!A$3:$E$11,5),VLOOKUP(U306,'Points Table C'!B$3:$E$11,4))</f>
        <v>0</v>
      </c>
      <c r="AB306" s="4" t="e">
        <f>IF($Q306=1,0,VLOOKUP($J306,'Points Table C'!$C$3:$E$18,3))</f>
        <v>#N/A</v>
      </c>
      <c r="AC306" s="4">
        <f>VLOOKUP($K306,'Points Table C'!$D$3:$E$18,2)</f>
        <v>0</v>
      </c>
      <c r="AD306" s="4" t="e">
        <f>IF($Z306&lt;Lookups!$C$106,($AA306+AB306+AC306),IF($AA306&gt;=Lookups!$C$120,($AA306+AB306+AC306),$AA306+$AB306))</f>
        <v>#N/A</v>
      </c>
      <c r="AF306" s="7"/>
      <c r="AG306" s="7"/>
      <c r="AH306" s="7"/>
      <c r="AI306" s="7"/>
      <c r="AJ306" s="7"/>
      <c r="AK306" s="7"/>
      <c r="AL306" s="7"/>
      <c r="AM306" s="7"/>
      <c r="AN306" s="7"/>
      <c r="AO306" s="7"/>
      <c r="AP306" s="7"/>
      <c r="AQ306" s="7"/>
      <c r="AR306" s="7"/>
      <c r="AS306" s="7"/>
      <c r="AT306" s="7"/>
      <c r="AU306" s="7"/>
      <c r="AV306" s="7"/>
      <c r="AW306" s="7"/>
      <c r="AY306" s="7"/>
      <c r="AZ306" s="7"/>
      <c r="BA306" s="7"/>
      <c r="BB306" s="7"/>
    </row>
    <row r="307" spans="2:54" x14ac:dyDescent="0.2">
      <c r="B307" s="174"/>
      <c r="C307" s="176"/>
      <c r="F307" s="5">
        <v>0</v>
      </c>
      <c r="G307" s="192">
        <v>0</v>
      </c>
      <c r="H307" s="192">
        <v>0</v>
      </c>
      <c r="I307" s="5">
        <v>0</v>
      </c>
      <c r="J307" s="192">
        <v>0</v>
      </c>
      <c r="K307" s="192">
        <v>0</v>
      </c>
      <c r="L307" s="5">
        <v>0</v>
      </c>
      <c r="M307" s="5">
        <v>0</v>
      </c>
      <c r="N307" s="4" t="e">
        <f t="shared" si="26"/>
        <v>#N/A</v>
      </c>
      <c r="O307" s="4" t="e">
        <f>IF(ROUND(10.499-(((N307-VLOOKUP($C307,Lookups!$A$55:$D$64,3))/(VLOOKUP($C307,Lookups!$A$55:$D$64,4))*VLOOKUP($C307,Lookups!$C$2:$D$11,2))),0)&lt;1,1,IF(ROUND(10.499-(((N307-VLOOKUP($C307,Lookups!$A$55:$D$64,3))/(VLOOKUP($C307,Lookups!$A$55:$D$64,4))*VLOOKUP($C307,Lookups!$C$2:$D$11,2))),0)&lt;11,ROUND(10.499-(((N307-VLOOKUP($C307,Lookups!$A$55:$D$64,3))/(VLOOKUP($C307,Lookups!$A$55:$D$64,4))*VLOOKUP($C307,Lookups!$C$2:$D$11,2))),0),10))</f>
        <v>#N/A</v>
      </c>
      <c r="P307" s="13" t="str">
        <f>IF((SUM(F307:M307)=0),"J",VLOOKUP(O307,Lookups!$A$1:$B$11,2))</f>
        <v>J</v>
      </c>
      <c r="Q307" s="8" t="e">
        <f>VLOOKUP(C307,Lookups!$A$136:$C$144,3)</f>
        <v>#N/A</v>
      </c>
      <c r="R307" s="8" t="e">
        <f>VLOOKUP(C307,Lookups!$A$136:$C$144,2)</f>
        <v>#N/A</v>
      </c>
      <c r="S307" s="4" t="str">
        <f t="shared" si="27"/>
        <v>No</v>
      </c>
      <c r="T307" s="125">
        <f t="shared" si="28"/>
        <v>0</v>
      </c>
      <c r="U307" s="125">
        <f t="shared" si="29"/>
        <v>0</v>
      </c>
      <c r="V307" s="4" t="e">
        <f>IF($Q307&lt;&gt;3,VLOOKUP(F307,'Points Table A'!B$3:$F$33,5),VLOOKUP(F307,'Points Table A'!H$3:$L$33,5))</f>
        <v>#N/A</v>
      </c>
      <c r="W307" s="4" t="e">
        <f>IF($Q307&lt;&gt;3,VLOOKUP(G307,'Points Table A'!C$3:$F$33,4),VLOOKUP(G307,'Points Table A'!I$3:$L$33,4))</f>
        <v>#N/A</v>
      </c>
      <c r="X307" s="4" t="e">
        <f>IF($Q307&lt;&gt;3,VLOOKUP(H307,'Points Table A'!D$3:$F$28,3),VLOOKUP(H307,'Points Table A'!J$3:$L$33,3))</f>
        <v>#N/A</v>
      </c>
      <c r="Y307" s="4" t="e">
        <f>IF($Q307&lt;&gt;3,VLOOKUP(I307,'Points Table A'!E$3:$F$33,2),VLOOKUP(I307,'Points Table A'!K$3:$L$33,2))</f>
        <v>#N/A</v>
      </c>
      <c r="Z307" s="4" t="e">
        <f t="shared" si="30"/>
        <v>#N/A</v>
      </c>
      <c r="AA307" s="4">
        <f>IF($S307=Lookups!$B$113,VLOOKUP(L307,'Points Table C'!A$3:$E$11,5),VLOOKUP(U307,'Points Table C'!B$3:$E$11,4))</f>
        <v>0</v>
      </c>
      <c r="AB307" s="4" t="e">
        <f>IF($Q307=1,0,VLOOKUP($J307,'Points Table C'!$C$3:$E$18,3))</f>
        <v>#N/A</v>
      </c>
      <c r="AC307" s="4">
        <f>VLOOKUP($K307,'Points Table C'!$D$3:$E$18,2)</f>
        <v>0</v>
      </c>
      <c r="AD307" s="4" t="e">
        <f>IF($Z307&lt;Lookups!$C$106,($AA307+AB307+AC307),IF($AA307&gt;=Lookups!$C$120,($AA307+AB307+AC307),$AA307+$AB307))</f>
        <v>#N/A</v>
      </c>
      <c r="AF307" s="7"/>
      <c r="AG307" s="7"/>
      <c r="AH307" s="7"/>
      <c r="AI307" s="7"/>
      <c r="AJ307" s="7"/>
      <c r="AK307" s="7"/>
      <c r="AL307" s="7"/>
      <c r="AM307" s="7"/>
      <c r="AN307" s="7"/>
      <c r="AO307" s="7"/>
      <c r="AP307" s="7"/>
      <c r="AQ307" s="7"/>
      <c r="AR307" s="7"/>
      <c r="AS307" s="7"/>
      <c r="AT307" s="7"/>
      <c r="AU307" s="7"/>
      <c r="AV307" s="7"/>
      <c r="AW307" s="7"/>
      <c r="AY307" s="7"/>
      <c r="AZ307" s="7"/>
      <c r="BA307" s="7"/>
      <c r="BB307" s="7"/>
    </row>
    <row r="308" spans="2:54" x14ac:dyDescent="0.2">
      <c r="B308" s="174"/>
      <c r="C308" s="176"/>
      <c r="F308" s="5">
        <v>0</v>
      </c>
      <c r="G308" s="192">
        <v>0</v>
      </c>
      <c r="H308" s="192">
        <v>0</v>
      </c>
      <c r="I308" s="5">
        <v>0</v>
      </c>
      <c r="J308" s="192">
        <v>0</v>
      </c>
      <c r="K308" s="192">
        <v>0</v>
      </c>
      <c r="L308" s="5">
        <v>0</v>
      </c>
      <c r="M308" s="5">
        <v>0</v>
      </c>
      <c r="N308" s="4" t="e">
        <f t="shared" si="26"/>
        <v>#N/A</v>
      </c>
      <c r="O308" s="4" t="e">
        <f>IF(ROUND(10.499-(((N308-VLOOKUP($C308,Lookups!$A$55:$D$64,3))/(VLOOKUP($C308,Lookups!$A$55:$D$64,4))*VLOOKUP($C308,Lookups!$C$2:$D$11,2))),0)&lt;1,1,IF(ROUND(10.499-(((N308-VLOOKUP($C308,Lookups!$A$55:$D$64,3))/(VLOOKUP($C308,Lookups!$A$55:$D$64,4))*VLOOKUP($C308,Lookups!$C$2:$D$11,2))),0)&lt;11,ROUND(10.499-(((N308-VLOOKUP($C308,Lookups!$A$55:$D$64,3))/(VLOOKUP($C308,Lookups!$A$55:$D$64,4))*VLOOKUP($C308,Lookups!$C$2:$D$11,2))),0),10))</f>
        <v>#N/A</v>
      </c>
      <c r="P308" s="13" t="str">
        <f>IF((SUM(F308:M308)=0),"J",VLOOKUP(O308,Lookups!$A$1:$B$11,2))</f>
        <v>J</v>
      </c>
      <c r="Q308" s="8" t="e">
        <f>VLOOKUP(C308,Lookups!$A$136:$C$144,3)</f>
        <v>#N/A</v>
      </c>
      <c r="R308" s="8" t="e">
        <f>VLOOKUP(C308,Lookups!$A$136:$C$144,2)</f>
        <v>#N/A</v>
      </c>
      <c r="S308" s="4" t="str">
        <f t="shared" si="27"/>
        <v>No</v>
      </c>
      <c r="T308" s="125">
        <f t="shared" si="28"/>
        <v>0</v>
      </c>
      <c r="U308" s="125">
        <f t="shared" si="29"/>
        <v>0</v>
      </c>
      <c r="V308" s="4" t="e">
        <f>IF($Q308&lt;&gt;3,VLOOKUP(F308,'Points Table A'!B$3:$F$33,5),VLOOKUP(F308,'Points Table A'!H$3:$L$33,5))</f>
        <v>#N/A</v>
      </c>
      <c r="W308" s="4" t="e">
        <f>IF($Q308&lt;&gt;3,VLOOKUP(G308,'Points Table A'!C$3:$F$33,4),VLOOKUP(G308,'Points Table A'!I$3:$L$33,4))</f>
        <v>#N/A</v>
      </c>
      <c r="X308" s="4" t="e">
        <f>IF($Q308&lt;&gt;3,VLOOKUP(H308,'Points Table A'!D$3:$F$28,3),VLOOKUP(H308,'Points Table A'!J$3:$L$33,3))</f>
        <v>#N/A</v>
      </c>
      <c r="Y308" s="4" t="e">
        <f>IF($Q308&lt;&gt;3,VLOOKUP(I308,'Points Table A'!E$3:$F$33,2),VLOOKUP(I308,'Points Table A'!K$3:$L$33,2))</f>
        <v>#N/A</v>
      </c>
      <c r="Z308" s="4" t="e">
        <f t="shared" si="30"/>
        <v>#N/A</v>
      </c>
      <c r="AA308" s="4">
        <f>IF($S308=Lookups!$B$113,VLOOKUP(L308,'Points Table C'!A$3:$E$11,5),VLOOKUP(U308,'Points Table C'!B$3:$E$11,4))</f>
        <v>0</v>
      </c>
      <c r="AB308" s="4" t="e">
        <f>IF($Q308=1,0,VLOOKUP($J308,'Points Table C'!$C$3:$E$18,3))</f>
        <v>#N/A</v>
      </c>
      <c r="AC308" s="4">
        <f>VLOOKUP($K308,'Points Table C'!$D$3:$E$18,2)</f>
        <v>0</v>
      </c>
      <c r="AD308" s="4" t="e">
        <f>IF($Z308&lt;Lookups!$C$106,($AA308+AB308+AC308),IF($AA308&gt;=Lookups!$C$120,($AA308+AB308+AC308),$AA308+$AB308))</f>
        <v>#N/A</v>
      </c>
      <c r="AF308" s="7"/>
      <c r="AG308" s="7"/>
      <c r="AH308" s="7"/>
      <c r="AI308" s="7"/>
      <c r="AJ308" s="7"/>
      <c r="AK308" s="7"/>
      <c r="AL308" s="7"/>
      <c r="AM308" s="7"/>
      <c r="AN308" s="7"/>
      <c r="AO308" s="7"/>
      <c r="AP308" s="7"/>
      <c r="AQ308" s="7"/>
      <c r="AR308" s="7"/>
      <c r="AS308" s="7"/>
      <c r="AT308" s="7"/>
      <c r="AU308" s="7"/>
      <c r="AV308" s="7"/>
      <c r="AW308" s="7"/>
      <c r="AY308" s="7"/>
      <c r="AZ308" s="7"/>
      <c r="BA308" s="7"/>
      <c r="BB308" s="7"/>
    </row>
    <row r="309" spans="2:54" x14ac:dyDescent="0.2">
      <c r="B309" s="174"/>
      <c r="C309" s="176"/>
      <c r="F309" s="5">
        <v>0</v>
      </c>
      <c r="G309" s="192">
        <v>0</v>
      </c>
      <c r="H309" s="192">
        <v>0</v>
      </c>
      <c r="I309" s="5">
        <v>0</v>
      </c>
      <c r="J309" s="192">
        <v>0</v>
      </c>
      <c r="K309" s="192">
        <v>0</v>
      </c>
      <c r="L309" s="5">
        <v>0</v>
      </c>
      <c r="M309" s="5">
        <v>0</v>
      </c>
      <c r="N309" s="4" t="e">
        <f t="shared" si="26"/>
        <v>#N/A</v>
      </c>
      <c r="O309" s="4" t="e">
        <f>IF(ROUND(10.499-(((N309-VLOOKUP($C309,Lookups!$A$55:$D$64,3))/(VLOOKUP($C309,Lookups!$A$55:$D$64,4))*VLOOKUP($C309,Lookups!$C$2:$D$11,2))),0)&lt;1,1,IF(ROUND(10.499-(((N309-VLOOKUP($C309,Lookups!$A$55:$D$64,3))/(VLOOKUP($C309,Lookups!$A$55:$D$64,4))*VLOOKUP($C309,Lookups!$C$2:$D$11,2))),0)&lt;11,ROUND(10.499-(((N309-VLOOKUP($C309,Lookups!$A$55:$D$64,3))/(VLOOKUP($C309,Lookups!$A$55:$D$64,4))*VLOOKUP($C309,Lookups!$C$2:$D$11,2))),0),10))</f>
        <v>#N/A</v>
      </c>
      <c r="P309" s="13" t="str">
        <f>IF((SUM(F309:M309)=0),"J",VLOOKUP(O309,Lookups!$A$1:$B$11,2))</f>
        <v>J</v>
      </c>
      <c r="Q309" s="8" t="e">
        <f>VLOOKUP(C309,Lookups!$A$136:$C$144,3)</f>
        <v>#N/A</v>
      </c>
      <c r="R309" s="8" t="e">
        <f>VLOOKUP(C309,Lookups!$A$136:$C$144,2)</f>
        <v>#N/A</v>
      </c>
      <c r="S309" s="4" t="str">
        <f t="shared" si="27"/>
        <v>No</v>
      </c>
      <c r="T309" s="125">
        <f t="shared" si="28"/>
        <v>0</v>
      </c>
      <c r="U309" s="125">
        <f t="shared" si="29"/>
        <v>0</v>
      </c>
      <c r="V309" s="4" t="e">
        <f>IF($Q309&lt;&gt;3,VLOOKUP(F309,'Points Table A'!B$3:$F$33,5),VLOOKUP(F309,'Points Table A'!H$3:$L$33,5))</f>
        <v>#N/A</v>
      </c>
      <c r="W309" s="4" t="e">
        <f>IF($Q309&lt;&gt;3,VLOOKUP(G309,'Points Table A'!C$3:$F$33,4),VLOOKUP(G309,'Points Table A'!I$3:$L$33,4))</f>
        <v>#N/A</v>
      </c>
      <c r="X309" s="4" t="e">
        <f>IF($Q309&lt;&gt;3,VLOOKUP(H309,'Points Table A'!D$3:$F$28,3),VLOOKUP(H309,'Points Table A'!J$3:$L$33,3))</f>
        <v>#N/A</v>
      </c>
      <c r="Y309" s="4" t="e">
        <f>IF($Q309&lt;&gt;3,VLOOKUP(I309,'Points Table A'!E$3:$F$33,2),VLOOKUP(I309,'Points Table A'!K$3:$L$33,2))</f>
        <v>#N/A</v>
      </c>
      <c r="Z309" s="4" t="e">
        <f t="shared" si="30"/>
        <v>#N/A</v>
      </c>
      <c r="AA309" s="4">
        <f>IF($S309=Lookups!$B$113,VLOOKUP(L309,'Points Table C'!A$3:$E$11,5),VLOOKUP(U309,'Points Table C'!B$3:$E$11,4))</f>
        <v>0</v>
      </c>
      <c r="AB309" s="4" t="e">
        <f>IF($Q309=1,0,VLOOKUP($J309,'Points Table C'!$C$3:$E$18,3))</f>
        <v>#N/A</v>
      </c>
      <c r="AC309" s="4">
        <f>VLOOKUP($K309,'Points Table C'!$D$3:$E$18,2)</f>
        <v>0</v>
      </c>
      <c r="AD309" s="4" t="e">
        <f>IF($Z309&lt;Lookups!$C$106,($AA309+AB309+AC309),IF($AA309&gt;=Lookups!$C$120,($AA309+AB309+AC309),$AA309+$AB309))</f>
        <v>#N/A</v>
      </c>
      <c r="AF309" s="7"/>
      <c r="AG309" s="7"/>
      <c r="AH309" s="7"/>
      <c r="AI309" s="7"/>
      <c r="AJ309" s="7"/>
      <c r="AK309" s="7"/>
      <c r="AL309" s="7"/>
      <c r="AM309" s="7"/>
      <c r="AN309" s="7"/>
      <c r="AO309" s="7"/>
      <c r="AP309" s="7"/>
      <c r="AQ309" s="7"/>
      <c r="AR309" s="7"/>
      <c r="AS309" s="7"/>
      <c r="AT309" s="7"/>
      <c r="AU309" s="7"/>
      <c r="AV309" s="7"/>
      <c r="AW309" s="7"/>
      <c r="AY309" s="7"/>
      <c r="AZ309" s="7"/>
      <c r="BA309" s="7"/>
      <c r="BB309" s="7"/>
    </row>
    <row r="310" spans="2:54" x14ac:dyDescent="0.2">
      <c r="B310" s="174"/>
      <c r="C310" s="176"/>
      <c r="F310" s="5">
        <v>0</v>
      </c>
      <c r="G310" s="192">
        <v>0</v>
      </c>
      <c r="H310" s="192">
        <v>0</v>
      </c>
      <c r="I310" s="5">
        <v>0</v>
      </c>
      <c r="J310" s="192">
        <v>0</v>
      </c>
      <c r="K310" s="192">
        <v>0</v>
      </c>
      <c r="L310" s="5">
        <v>0</v>
      </c>
      <c r="M310" s="5">
        <v>0</v>
      </c>
      <c r="N310" s="4" t="e">
        <f t="shared" si="26"/>
        <v>#N/A</v>
      </c>
      <c r="O310" s="4" t="e">
        <f>IF(ROUND(10.499-(((N310-VLOOKUP($C310,Lookups!$A$55:$D$64,3))/(VLOOKUP($C310,Lookups!$A$55:$D$64,4))*VLOOKUP($C310,Lookups!$C$2:$D$11,2))),0)&lt;1,1,IF(ROUND(10.499-(((N310-VLOOKUP($C310,Lookups!$A$55:$D$64,3))/(VLOOKUP($C310,Lookups!$A$55:$D$64,4))*VLOOKUP($C310,Lookups!$C$2:$D$11,2))),0)&lt;11,ROUND(10.499-(((N310-VLOOKUP($C310,Lookups!$A$55:$D$64,3))/(VLOOKUP($C310,Lookups!$A$55:$D$64,4))*VLOOKUP($C310,Lookups!$C$2:$D$11,2))),0),10))</f>
        <v>#N/A</v>
      </c>
      <c r="P310" s="13" t="str">
        <f>IF((SUM(F310:M310)=0),"J",VLOOKUP(O310,Lookups!$A$1:$B$11,2))</f>
        <v>J</v>
      </c>
      <c r="Q310" s="8" t="e">
        <f>VLOOKUP(C310,Lookups!$A$136:$C$144,3)</f>
        <v>#N/A</v>
      </c>
      <c r="R310" s="8" t="e">
        <f>VLOOKUP(C310,Lookups!$A$136:$C$144,2)</f>
        <v>#N/A</v>
      </c>
      <c r="S310" s="4" t="str">
        <f t="shared" si="27"/>
        <v>No</v>
      </c>
      <c r="T310" s="125">
        <f t="shared" si="28"/>
        <v>0</v>
      </c>
      <c r="U310" s="125">
        <f t="shared" si="29"/>
        <v>0</v>
      </c>
      <c r="V310" s="4" t="e">
        <f>IF($Q310&lt;&gt;3,VLOOKUP(F310,'Points Table A'!B$3:$F$33,5),VLOOKUP(F310,'Points Table A'!H$3:$L$33,5))</f>
        <v>#N/A</v>
      </c>
      <c r="W310" s="4" t="e">
        <f>IF($Q310&lt;&gt;3,VLOOKUP(G310,'Points Table A'!C$3:$F$33,4),VLOOKUP(G310,'Points Table A'!I$3:$L$33,4))</f>
        <v>#N/A</v>
      </c>
      <c r="X310" s="4" t="e">
        <f>IF($Q310&lt;&gt;3,VLOOKUP(H310,'Points Table A'!D$3:$F$28,3),VLOOKUP(H310,'Points Table A'!J$3:$L$33,3))</f>
        <v>#N/A</v>
      </c>
      <c r="Y310" s="4" t="e">
        <f>IF($Q310&lt;&gt;3,VLOOKUP(I310,'Points Table A'!E$3:$F$33,2),VLOOKUP(I310,'Points Table A'!K$3:$L$33,2))</f>
        <v>#N/A</v>
      </c>
      <c r="Z310" s="4" t="e">
        <f t="shared" si="30"/>
        <v>#N/A</v>
      </c>
      <c r="AA310" s="4">
        <f>IF($S310=Lookups!$B$113,VLOOKUP(L310,'Points Table C'!A$3:$E$11,5),VLOOKUP(U310,'Points Table C'!B$3:$E$11,4))</f>
        <v>0</v>
      </c>
      <c r="AB310" s="4" t="e">
        <f>IF($Q310=1,0,VLOOKUP($J310,'Points Table C'!$C$3:$E$18,3))</f>
        <v>#N/A</v>
      </c>
      <c r="AC310" s="4">
        <f>VLOOKUP($K310,'Points Table C'!$D$3:$E$18,2)</f>
        <v>0</v>
      </c>
      <c r="AD310" s="4" t="e">
        <f>IF($Z310&lt;Lookups!$C$106,($AA310+AB310+AC310),IF($AA310&gt;=Lookups!$C$120,($AA310+AB310+AC310),$AA310+$AB310))</f>
        <v>#N/A</v>
      </c>
      <c r="AF310" s="7"/>
      <c r="AG310" s="7"/>
      <c r="AH310" s="7"/>
      <c r="AI310" s="7"/>
      <c r="AJ310" s="7"/>
      <c r="AK310" s="7"/>
      <c r="AL310" s="7"/>
      <c r="AM310" s="7"/>
      <c r="AN310" s="7"/>
      <c r="AO310" s="7"/>
      <c r="AP310" s="7"/>
      <c r="AQ310" s="7"/>
      <c r="AR310" s="7"/>
      <c r="AS310" s="7"/>
      <c r="AT310" s="7"/>
      <c r="AU310" s="7"/>
      <c r="AV310" s="7"/>
      <c r="AW310" s="7"/>
      <c r="AY310" s="7"/>
      <c r="AZ310" s="7"/>
      <c r="BA310" s="7"/>
      <c r="BB310" s="7"/>
    </row>
    <row r="311" spans="2:54" x14ac:dyDescent="0.2">
      <c r="B311" s="174"/>
      <c r="C311" s="176"/>
      <c r="F311" s="5">
        <v>0</v>
      </c>
      <c r="G311" s="192">
        <v>0</v>
      </c>
      <c r="H311" s="192">
        <v>0</v>
      </c>
      <c r="I311" s="5">
        <v>0</v>
      </c>
      <c r="J311" s="192">
        <v>0</v>
      </c>
      <c r="K311" s="192">
        <v>0</v>
      </c>
      <c r="L311" s="5">
        <v>0</v>
      </c>
      <c r="M311" s="5">
        <v>0</v>
      </c>
      <c r="N311" s="4" t="e">
        <f t="shared" si="26"/>
        <v>#N/A</v>
      </c>
      <c r="O311" s="4" t="e">
        <f>IF(ROUND(10.499-(((N311-VLOOKUP($C311,Lookups!$A$55:$D$64,3))/(VLOOKUP($C311,Lookups!$A$55:$D$64,4))*VLOOKUP($C311,Lookups!$C$2:$D$11,2))),0)&lt;1,1,IF(ROUND(10.499-(((N311-VLOOKUP($C311,Lookups!$A$55:$D$64,3))/(VLOOKUP($C311,Lookups!$A$55:$D$64,4))*VLOOKUP($C311,Lookups!$C$2:$D$11,2))),0)&lt;11,ROUND(10.499-(((N311-VLOOKUP($C311,Lookups!$A$55:$D$64,3))/(VLOOKUP($C311,Lookups!$A$55:$D$64,4))*VLOOKUP($C311,Lookups!$C$2:$D$11,2))),0),10))</f>
        <v>#N/A</v>
      </c>
      <c r="P311" s="13" t="str">
        <f>IF((SUM(F311:M311)=0),"J",VLOOKUP(O311,Lookups!$A$1:$B$11,2))</f>
        <v>J</v>
      </c>
      <c r="Q311" s="8" t="e">
        <f>VLOOKUP(C311,Lookups!$A$136:$C$144,3)</f>
        <v>#N/A</v>
      </c>
      <c r="R311" s="8" t="e">
        <f>VLOOKUP(C311,Lookups!$A$136:$C$144,2)</f>
        <v>#N/A</v>
      </c>
      <c r="S311" s="4" t="str">
        <f t="shared" si="27"/>
        <v>No</v>
      </c>
      <c r="T311" s="125">
        <f t="shared" si="28"/>
        <v>0</v>
      </c>
      <c r="U311" s="125">
        <f t="shared" si="29"/>
        <v>0</v>
      </c>
      <c r="V311" s="4" t="e">
        <f>IF($Q311&lt;&gt;3,VLOOKUP(F311,'Points Table A'!B$3:$F$33,5),VLOOKUP(F311,'Points Table A'!H$3:$L$33,5))</f>
        <v>#N/A</v>
      </c>
      <c r="W311" s="4" t="e">
        <f>IF($Q311&lt;&gt;3,VLOOKUP(G311,'Points Table A'!C$3:$F$33,4),VLOOKUP(G311,'Points Table A'!I$3:$L$33,4))</f>
        <v>#N/A</v>
      </c>
      <c r="X311" s="4" t="e">
        <f>IF($Q311&lt;&gt;3,VLOOKUP(H311,'Points Table A'!D$3:$F$28,3),VLOOKUP(H311,'Points Table A'!J$3:$L$33,3))</f>
        <v>#N/A</v>
      </c>
      <c r="Y311" s="4" t="e">
        <f>IF($Q311&lt;&gt;3,VLOOKUP(I311,'Points Table A'!E$3:$F$33,2),VLOOKUP(I311,'Points Table A'!K$3:$L$33,2))</f>
        <v>#N/A</v>
      </c>
      <c r="Z311" s="4" t="e">
        <f t="shared" si="30"/>
        <v>#N/A</v>
      </c>
      <c r="AA311" s="4">
        <f>IF($S311=Lookups!$B$113,VLOOKUP(L311,'Points Table C'!A$3:$E$11,5),VLOOKUP(U311,'Points Table C'!B$3:$E$11,4))</f>
        <v>0</v>
      </c>
      <c r="AB311" s="4" t="e">
        <f>IF($Q311=1,0,VLOOKUP($J311,'Points Table C'!$C$3:$E$18,3))</f>
        <v>#N/A</v>
      </c>
      <c r="AC311" s="4">
        <f>VLOOKUP($K311,'Points Table C'!$D$3:$E$18,2)</f>
        <v>0</v>
      </c>
      <c r="AD311" s="4" t="e">
        <f>IF($Z311&lt;Lookups!$C$106,($AA311+AB311+AC311),IF($AA311&gt;=Lookups!$C$120,($AA311+AB311+AC311),$AA311+$AB311))</f>
        <v>#N/A</v>
      </c>
      <c r="AF311" s="7"/>
      <c r="AG311" s="7"/>
      <c r="AH311" s="7"/>
      <c r="AI311" s="7"/>
      <c r="AJ311" s="7"/>
      <c r="AK311" s="7"/>
      <c r="AL311" s="7"/>
      <c r="AM311" s="7"/>
      <c r="AN311" s="7"/>
      <c r="AO311" s="7"/>
      <c r="AP311" s="7"/>
      <c r="AQ311" s="7"/>
      <c r="AR311" s="7"/>
      <c r="AS311" s="7"/>
      <c r="AT311" s="7"/>
      <c r="AU311" s="7"/>
      <c r="AV311" s="7"/>
      <c r="AW311" s="7"/>
      <c r="AY311" s="7"/>
      <c r="AZ311" s="7"/>
      <c r="BA311" s="7"/>
      <c r="BB311" s="7"/>
    </row>
    <row r="312" spans="2:54" x14ac:dyDescent="0.2">
      <c r="B312" s="174"/>
      <c r="C312" s="176"/>
      <c r="F312" s="5">
        <v>0</v>
      </c>
      <c r="G312" s="192">
        <v>0</v>
      </c>
      <c r="H312" s="192">
        <v>0</v>
      </c>
      <c r="I312" s="5">
        <v>0</v>
      </c>
      <c r="J312" s="192">
        <v>0</v>
      </c>
      <c r="K312" s="192">
        <v>0</v>
      </c>
      <c r="L312" s="5">
        <v>0</v>
      </c>
      <c r="M312" s="5">
        <v>0</v>
      </c>
      <c r="N312" s="4" t="e">
        <f t="shared" si="26"/>
        <v>#N/A</v>
      </c>
      <c r="O312" s="4" t="e">
        <f>IF(ROUND(10.499-(((N312-VLOOKUP($C312,Lookups!$A$55:$D$64,3))/(VLOOKUP($C312,Lookups!$A$55:$D$64,4))*VLOOKUP($C312,Lookups!$C$2:$D$11,2))),0)&lt;1,1,IF(ROUND(10.499-(((N312-VLOOKUP($C312,Lookups!$A$55:$D$64,3))/(VLOOKUP($C312,Lookups!$A$55:$D$64,4))*VLOOKUP($C312,Lookups!$C$2:$D$11,2))),0)&lt;11,ROUND(10.499-(((N312-VLOOKUP($C312,Lookups!$A$55:$D$64,3))/(VLOOKUP($C312,Lookups!$A$55:$D$64,4))*VLOOKUP($C312,Lookups!$C$2:$D$11,2))),0),10))</f>
        <v>#N/A</v>
      </c>
      <c r="P312" s="13" t="str">
        <f>IF((SUM(F312:M312)=0),"J",VLOOKUP(O312,Lookups!$A$1:$B$11,2))</f>
        <v>J</v>
      </c>
      <c r="Q312" s="8" t="e">
        <f>VLOOKUP(C312,Lookups!$A$136:$C$144,3)</f>
        <v>#N/A</v>
      </c>
      <c r="R312" s="8" t="e">
        <f>VLOOKUP(C312,Lookups!$A$136:$C$144,2)</f>
        <v>#N/A</v>
      </c>
      <c r="S312" s="4" t="str">
        <f t="shared" si="27"/>
        <v>No</v>
      </c>
      <c r="T312" s="125">
        <f t="shared" si="28"/>
        <v>0</v>
      </c>
      <c r="U312" s="125">
        <f t="shared" si="29"/>
        <v>0</v>
      </c>
      <c r="V312" s="4" t="e">
        <f>IF($Q312&lt;&gt;3,VLOOKUP(F312,'Points Table A'!B$3:$F$33,5),VLOOKUP(F312,'Points Table A'!H$3:$L$33,5))</f>
        <v>#N/A</v>
      </c>
      <c r="W312" s="4" t="e">
        <f>IF($Q312&lt;&gt;3,VLOOKUP(G312,'Points Table A'!C$3:$F$33,4),VLOOKUP(G312,'Points Table A'!I$3:$L$33,4))</f>
        <v>#N/A</v>
      </c>
      <c r="X312" s="4" t="e">
        <f>IF($Q312&lt;&gt;3,VLOOKUP(H312,'Points Table A'!D$3:$F$28,3),VLOOKUP(H312,'Points Table A'!J$3:$L$33,3))</f>
        <v>#N/A</v>
      </c>
      <c r="Y312" s="4" t="e">
        <f>IF($Q312&lt;&gt;3,VLOOKUP(I312,'Points Table A'!E$3:$F$33,2),VLOOKUP(I312,'Points Table A'!K$3:$L$33,2))</f>
        <v>#N/A</v>
      </c>
      <c r="Z312" s="4" t="e">
        <f t="shared" si="30"/>
        <v>#N/A</v>
      </c>
      <c r="AA312" s="4">
        <f>IF($S312=Lookups!$B$113,VLOOKUP(L312,'Points Table C'!A$3:$E$11,5),VLOOKUP(U312,'Points Table C'!B$3:$E$11,4))</f>
        <v>0</v>
      </c>
      <c r="AB312" s="4" t="e">
        <f>IF($Q312=1,0,VLOOKUP($J312,'Points Table C'!$C$3:$E$18,3))</f>
        <v>#N/A</v>
      </c>
      <c r="AC312" s="4">
        <f>VLOOKUP($K312,'Points Table C'!$D$3:$E$18,2)</f>
        <v>0</v>
      </c>
      <c r="AD312" s="4" t="e">
        <f>IF($Z312&lt;Lookups!$C$106,($AA312+AB312+AC312),IF($AA312&gt;=Lookups!$C$120,($AA312+AB312+AC312),$AA312+$AB312))</f>
        <v>#N/A</v>
      </c>
      <c r="AF312" s="7"/>
      <c r="AG312" s="7"/>
      <c r="AH312" s="7"/>
      <c r="AI312" s="7"/>
      <c r="AJ312" s="7"/>
      <c r="AK312" s="7"/>
      <c r="AL312" s="7"/>
      <c r="AM312" s="7"/>
      <c r="AN312" s="7"/>
      <c r="AO312" s="7"/>
      <c r="AP312" s="7"/>
      <c r="AQ312" s="7"/>
      <c r="AR312" s="7"/>
      <c r="AS312" s="7"/>
      <c r="AT312" s="7"/>
      <c r="AU312" s="7"/>
      <c r="AV312" s="7"/>
      <c r="AW312" s="7"/>
      <c r="AY312" s="7"/>
      <c r="AZ312" s="7"/>
      <c r="BA312" s="7"/>
      <c r="BB312" s="7"/>
    </row>
    <row r="313" spans="2:54" x14ac:dyDescent="0.2">
      <c r="B313" s="174"/>
      <c r="C313" s="176"/>
      <c r="F313" s="5">
        <v>0</v>
      </c>
      <c r="G313" s="192">
        <v>0</v>
      </c>
      <c r="H313" s="192">
        <v>0</v>
      </c>
      <c r="I313" s="5">
        <v>0</v>
      </c>
      <c r="J313" s="192">
        <v>0</v>
      </c>
      <c r="K313" s="192">
        <v>0</v>
      </c>
      <c r="L313" s="5">
        <v>0</v>
      </c>
      <c r="M313" s="5">
        <v>0</v>
      </c>
      <c r="N313" s="4" t="e">
        <f t="shared" ref="N313:N376" si="31">$Z313-$AD313</f>
        <v>#N/A</v>
      </c>
      <c r="O313" s="4" t="e">
        <f>IF(ROUND(10.499-(((N313-VLOOKUP($C313,Lookups!$A$55:$D$64,3))/(VLOOKUP($C313,Lookups!$A$55:$D$64,4))*VLOOKUP($C313,Lookups!$C$2:$D$11,2))),0)&lt;1,1,IF(ROUND(10.499-(((N313-VLOOKUP($C313,Lookups!$A$55:$D$64,3))/(VLOOKUP($C313,Lookups!$A$55:$D$64,4))*VLOOKUP($C313,Lookups!$C$2:$D$11,2))),0)&lt;11,ROUND(10.499-(((N313-VLOOKUP($C313,Lookups!$A$55:$D$64,3))/(VLOOKUP($C313,Lookups!$A$55:$D$64,4))*VLOOKUP($C313,Lookups!$C$2:$D$11,2))),0),10))</f>
        <v>#N/A</v>
      </c>
      <c r="P313" s="13" t="str">
        <f>IF((SUM(F313:M313)=0),"J",VLOOKUP(O313,Lookups!$A$1:$B$11,2))</f>
        <v>J</v>
      </c>
      <c r="Q313" s="8" t="e">
        <f>VLOOKUP(C313,Lookups!$A$136:$C$144,3)</f>
        <v>#N/A</v>
      </c>
      <c r="R313" s="8" t="e">
        <f>VLOOKUP(C313,Lookups!$A$136:$C$144,2)</f>
        <v>#N/A</v>
      </c>
      <c r="S313" s="4" t="str">
        <f t="shared" si="27"/>
        <v>No</v>
      </c>
      <c r="T313" s="125">
        <f t="shared" si="28"/>
        <v>0</v>
      </c>
      <c r="U313" s="125">
        <f t="shared" si="29"/>
        <v>0</v>
      </c>
      <c r="V313" s="4" t="e">
        <f>IF($Q313&lt;&gt;3,VLOOKUP(F313,'Points Table A'!B$3:$F$33,5),VLOOKUP(F313,'Points Table A'!H$3:$L$33,5))</f>
        <v>#N/A</v>
      </c>
      <c r="W313" s="4" t="e">
        <f>IF($Q313&lt;&gt;3,VLOOKUP(G313,'Points Table A'!C$3:$F$33,4),VLOOKUP(G313,'Points Table A'!I$3:$L$33,4))</f>
        <v>#N/A</v>
      </c>
      <c r="X313" s="4" t="e">
        <f>IF($Q313&lt;&gt;3,VLOOKUP(H313,'Points Table A'!D$3:$F$28,3),VLOOKUP(H313,'Points Table A'!J$3:$L$33,3))</f>
        <v>#N/A</v>
      </c>
      <c r="Y313" s="4" t="e">
        <f>IF($Q313&lt;&gt;3,VLOOKUP(I313,'Points Table A'!E$3:$F$33,2),VLOOKUP(I313,'Points Table A'!K$3:$L$33,2))</f>
        <v>#N/A</v>
      </c>
      <c r="Z313" s="4" t="e">
        <f t="shared" si="30"/>
        <v>#N/A</v>
      </c>
      <c r="AA313" s="4">
        <f>IF($S313=Lookups!$B$113,VLOOKUP(L313,'Points Table C'!A$3:$E$11,5),VLOOKUP(U313,'Points Table C'!B$3:$E$11,4))</f>
        <v>0</v>
      </c>
      <c r="AB313" s="4" t="e">
        <f>IF($Q313=1,0,VLOOKUP($J313,'Points Table C'!$C$3:$E$18,3))</f>
        <v>#N/A</v>
      </c>
      <c r="AC313" s="4">
        <f>VLOOKUP($K313,'Points Table C'!$D$3:$E$18,2)</f>
        <v>0</v>
      </c>
      <c r="AD313" s="4" t="e">
        <f>IF($Z313&lt;Lookups!$C$106,($AA313+AB313+AC313),IF($AA313&gt;=Lookups!$C$120,($AA313+AB313+AC313),$AA313+$AB313))</f>
        <v>#N/A</v>
      </c>
      <c r="AF313" s="7"/>
      <c r="AG313" s="7"/>
      <c r="AH313" s="7"/>
      <c r="AI313" s="7"/>
      <c r="AJ313" s="7"/>
      <c r="AK313" s="7"/>
      <c r="AL313" s="7"/>
      <c r="AM313" s="7"/>
      <c r="AN313" s="7"/>
      <c r="AO313" s="7"/>
      <c r="AP313" s="7"/>
      <c r="AQ313" s="7"/>
      <c r="AR313" s="7"/>
      <c r="AS313" s="7"/>
      <c r="AT313" s="7"/>
      <c r="AU313" s="7"/>
      <c r="AV313" s="7"/>
      <c r="AW313" s="7"/>
      <c r="AY313" s="7"/>
      <c r="AZ313" s="7"/>
      <c r="BA313" s="7"/>
      <c r="BB313" s="7"/>
    </row>
    <row r="314" spans="2:54" x14ac:dyDescent="0.2">
      <c r="B314" s="174"/>
      <c r="C314" s="176"/>
      <c r="F314" s="5">
        <v>0</v>
      </c>
      <c r="G314" s="192">
        <v>0</v>
      </c>
      <c r="H314" s="192">
        <v>0</v>
      </c>
      <c r="I314" s="5">
        <v>0</v>
      </c>
      <c r="J314" s="192">
        <v>0</v>
      </c>
      <c r="K314" s="192">
        <v>0</v>
      </c>
      <c r="L314" s="5">
        <v>0</v>
      </c>
      <c r="M314" s="5">
        <v>0</v>
      </c>
      <c r="N314" s="4" t="e">
        <f t="shared" si="31"/>
        <v>#N/A</v>
      </c>
      <c r="O314" s="4" t="e">
        <f>IF(ROUND(10.499-(((N314-VLOOKUP($C314,Lookups!$A$55:$D$64,3))/(VLOOKUP($C314,Lookups!$A$55:$D$64,4))*VLOOKUP($C314,Lookups!$C$2:$D$11,2))),0)&lt;1,1,IF(ROUND(10.499-(((N314-VLOOKUP($C314,Lookups!$A$55:$D$64,3))/(VLOOKUP($C314,Lookups!$A$55:$D$64,4))*VLOOKUP($C314,Lookups!$C$2:$D$11,2))),0)&lt;11,ROUND(10.499-(((N314-VLOOKUP($C314,Lookups!$A$55:$D$64,3))/(VLOOKUP($C314,Lookups!$A$55:$D$64,4))*VLOOKUP($C314,Lookups!$C$2:$D$11,2))),0),10))</f>
        <v>#N/A</v>
      </c>
      <c r="P314" s="13" t="str">
        <f>IF((SUM(F314:M314)=0),"J",VLOOKUP(O314,Lookups!$A$1:$B$11,2))</f>
        <v>J</v>
      </c>
      <c r="Q314" s="8" t="e">
        <f>VLOOKUP(C314,Lookups!$A$136:$C$144,3)</f>
        <v>#N/A</v>
      </c>
      <c r="R314" s="8" t="e">
        <f>VLOOKUP(C314,Lookups!$A$136:$C$144,2)</f>
        <v>#N/A</v>
      </c>
      <c r="S314" s="4" t="str">
        <f t="shared" si="27"/>
        <v>No</v>
      </c>
      <c r="T314" s="125">
        <f t="shared" si="28"/>
        <v>0</v>
      </c>
      <c r="U314" s="125">
        <f t="shared" si="29"/>
        <v>0</v>
      </c>
      <c r="V314" s="4" t="e">
        <f>IF($Q314&lt;&gt;3,VLOOKUP(F314,'Points Table A'!B$3:$F$33,5),VLOOKUP(F314,'Points Table A'!H$3:$L$33,5))</f>
        <v>#N/A</v>
      </c>
      <c r="W314" s="4" t="e">
        <f>IF($Q314&lt;&gt;3,VLOOKUP(G314,'Points Table A'!C$3:$F$33,4),VLOOKUP(G314,'Points Table A'!I$3:$L$33,4))</f>
        <v>#N/A</v>
      </c>
      <c r="X314" s="4" t="e">
        <f>IF($Q314&lt;&gt;3,VLOOKUP(H314,'Points Table A'!D$3:$F$28,3),VLOOKUP(H314,'Points Table A'!J$3:$L$33,3))</f>
        <v>#N/A</v>
      </c>
      <c r="Y314" s="4" t="e">
        <f>IF($Q314&lt;&gt;3,VLOOKUP(I314,'Points Table A'!E$3:$F$33,2),VLOOKUP(I314,'Points Table A'!K$3:$L$33,2))</f>
        <v>#N/A</v>
      </c>
      <c r="Z314" s="4" t="e">
        <f t="shared" si="30"/>
        <v>#N/A</v>
      </c>
      <c r="AA314" s="4">
        <f>IF($S314=Lookups!$B$113,VLOOKUP(L314,'Points Table C'!A$3:$E$11,5),VLOOKUP(U314,'Points Table C'!B$3:$E$11,4))</f>
        <v>0</v>
      </c>
      <c r="AB314" s="4" t="e">
        <f>IF($Q314=1,0,VLOOKUP($J314,'Points Table C'!$C$3:$E$18,3))</f>
        <v>#N/A</v>
      </c>
      <c r="AC314" s="4">
        <f>VLOOKUP($K314,'Points Table C'!$D$3:$E$18,2)</f>
        <v>0</v>
      </c>
      <c r="AD314" s="4" t="e">
        <f>IF($Z314&lt;Lookups!$C$106,($AA314+AB314+AC314),IF($AA314&gt;=Lookups!$C$120,($AA314+AB314+AC314),$AA314+$AB314))</f>
        <v>#N/A</v>
      </c>
      <c r="AF314" s="7"/>
      <c r="AG314" s="7"/>
      <c r="AH314" s="7"/>
      <c r="AI314" s="7"/>
      <c r="AJ314" s="7"/>
      <c r="AK314" s="7"/>
      <c r="AL314" s="7"/>
      <c r="AM314" s="7"/>
      <c r="AN314" s="7"/>
      <c r="AO314" s="7"/>
      <c r="AP314" s="7"/>
      <c r="AQ314" s="7"/>
      <c r="AR314" s="7"/>
      <c r="AS314" s="7"/>
      <c r="AT314" s="7"/>
      <c r="AU314" s="7"/>
      <c r="AV314" s="7"/>
      <c r="AW314" s="7"/>
      <c r="AY314" s="7"/>
      <c r="AZ314" s="7"/>
      <c r="BA314" s="7"/>
      <c r="BB314" s="7"/>
    </row>
    <row r="315" spans="2:54" x14ac:dyDescent="0.2">
      <c r="B315" s="174"/>
      <c r="C315" s="176"/>
      <c r="F315" s="5">
        <v>0</v>
      </c>
      <c r="G315" s="192">
        <v>0</v>
      </c>
      <c r="H315" s="192">
        <v>0</v>
      </c>
      <c r="I315" s="5">
        <v>0</v>
      </c>
      <c r="J315" s="192">
        <v>0</v>
      </c>
      <c r="K315" s="192">
        <v>0</v>
      </c>
      <c r="L315" s="5">
        <v>0</v>
      </c>
      <c r="M315" s="5">
        <v>0</v>
      </c>
      <c r="N315" s="4" t="e">
        <f t="shared" si="31"/>
        <v>#N/A</v>
      </c>
      <c r="O315" s="4" t="e">
        <f>IF(ROUND(10.499-(((N315-VLOOKUP($C315,Lookups!$A$55:$D$64,3))/(VLOOKUP($C315,Lookups!$A$55:$D$64,4))*VLOOKUP($C315,Lookups!$C$2:$D$11,2))),0)&lt;1,1,IF(ROUND(10.499-(((N315-VLOOKUP($C315,Lookups!$A$55:$D$64,3))/(VLOOKUP($C315,Lookups!$A$55:$D$64,4))*VLOOKUP($C315,Lookups!$C$2:$D$11,2))),0)&lt;11,ROUND(10.499-(((N315-VLOOKUP($C315,Lookups!$A$55:$D$64,3))/(VLOOKUP($C315,Lookups!$A$55:$D$64,4))*VLOOKUP($C315,Lookups!$C$2:$D$11,2))),0),10))</f>
        <v>#N/A</v>
      </c>
      <c r="P315" s="13" t="str">
        <f>IF((SUM(F315:M315)=0),"J",VLOOKUP(O315,Lookups!$A$1:$B$11,2))</f>
        <v>J</v>
      </c>
      <c r="Q315" s="8" t="e">
        <f>VLOOKUP(C315,Lookups!$A$136:$C$144,3)</f>
        <v>#N/A</v>
      </c>
      <c r="R315" s="8" t="e">
        <f>VLOOKUP(C315,Lookups!$A$136:$C$144,2)</f>
        <v>#N/A</v>
      </c>
      <c r="S315" s="4" t="str">
        <f t="shared" si="27"/>
        <v>No</v>
      </c>
      <c r="T315" s="125">
        <f t="shared" si="28"/>
        <v>0</v>
      </c>
      <c r="U315" s="125">
        <f t="shared" si="29"/>
        <v>0</v>
      </c>
      <c r="V315" s="4" t="e">
        <f>IF($Q315&lt;&gt;3,VLOOKUP(F315,'Points Table A'!B$3:$F$33,5),VLOOKUP(F315,'Points Table A'!H$3:$L$33,5))</f>
        <v>#N/A</v>
      </c>
      <c r="W315" s="4" t="e">
        <f>IF($Q315&lt;&gt;3,VLOOKUP(G315,'Points Table A'!C$3:$F$33,4),VLOOKUP(G315,'Points Table A'!I$3:$L$33,4))</f>
        <v>#N/A</v>
      </c>
      <c r="X315" s="4" t="e">
        <f>IF($Q315&lt;&gt;3,VLOOKUP(H315,'Points Table A'!D$3:$F$28,3),VLOOKUP(H315,'Points Table A'!J$3:$L$33,3))</f>
        <v>#N/A</v>
      </c>
      <c r="Y315" s="4" t="e">
        <f>IF($Q315&lt;&gt;3,VLOOKUP(I315,'Points Table A'!E$3:$F$33,2),VLOOKUP(I315,'Points Table A'!K$3:$L$33,2))</f>
        <v>#N/A</v>
      </c>
      <c r="Z315" s="4" t="e">
        <f t="shared" si="30"/>
        <v>#N/A</v>
      </c>
      <c r="AA315" s="4">
        <f>IF($S315=Lookups!$B$113,VLOOKUP(L315,'Points Table C'!A$3:$E$11,5),VLOOKUP(U315,'Points Table C'!B$3:$E$11,4))</f>
        <v>0</v>
      </c>
      <c r="AB315" s="4" t="e">
        <f>IF($Q315=1,0,VLOOKUP($J315,'Points Table C'!$C$3:$E$18,3))</f>
        <v>#N/A</v>
      </c>
      <c r="AC315" s="4">
        <f>VLOOKUP($K315,'Points Table C'!$D$3:$E$18,2)</f>
        <v>0</v>
      </c>
      <c r="AD315" s="4" t="e">
        <f>IF($Z315&lt;Lookups!$C$106,($AA315+AB315+AC315),IF($AA315&gt;=Lookups!$C$120,($AA315+AB315+AC315),$AA315+$AB315))</f>
        <v>#N/A</v>
      </c>
      <c r="AF315" s="7"/>
      <c r="AG315" s="7"/>
      <c r="AH315" s="7"/>
      <c r="AI315" s="7"/>
      <c r="AJ315" s="7"/>
      <c r="AK315" s="7"/>
      <c r="AL315" s="7"/>
      <c r="AM315" s="7"/>
      <c r="AN315" s="7"/>
      <c r="AO315" s="7"/>
      <c r="AP315" s="7"/>
      <c r="AQ315" s="7"/>
      <c r="AR315" s="7"/>
      <c r="AS315" s="7"/>
      <c r="AT315" s="7"/>
      <c r="AU315" s="7"/>
      <c r="AV315" s="7"/>
      <c r="AW315" s="7"/>
      <c r="AY315" s="7"/>
      <c r="AZ315" s="7"/>
      <c r="BA315" s="7"/>
      <c r="BB315" s="7"/>
    </row>
    <row r="316" spans="2:54" x14ac:dyDescent="0.2">
      <c r="B316" s="174"/>
      <c r="C316" s="176"/>
      <c r="F316" s="5">
        <v>0</v>
      </c>
      <c r="G316" s="192">
        <v>0</v>
      </c>
      <c r="H316" s="192">
        <v>0</v>
      </c>
      <c r="I316" s="5">
        <v>0</v>
      </c>
      <c r="J316" s="192">
        <v>0</v>
      </c>
      <c r="K316" s="192">
        <v>0</v>
      </c>
      <c r="L316" s="5">
        <v>0</v>
      </c>
      <c r="M316" s="5">
        <v>0</v>
      </c>
      <c r="N316" s="4" t="e">
        <f t="shared" si="31"/>
        <v>#N/A</v>
      </c>
      <c r="O316" s="4" t="e">
        <f>IF(ROUND(10.499-(((N316-VLOOKUP($C316,Lookups!$A$55:$D$64,3))/(VLOOKUP($C316,Lookups!$A$55:$D$64,4))*VLOOKUP($C316,Lookups!$C$2:$D$11,2))),0)&lt;1,1,IF(ROUND(10.499-(((N316-VLOOKUP($C316,Lookups!$A$55:$D$64,3))/(VLOOKUP($C316,Lookups!$A$55:$D$64,4))*VLOOKUP($C316,Lookups!$C$2:$D$11,2))),0)&lt;11,ROUND(10.499-(((N316-VLOOKUP($C316,Lookups!$A$55:$D$64,3))/(VLOOKUP($C316,Lookups!$A$55:$D$64,4))*VLOOKUP($C316,Lookups!$C$2:$D$11,2))),0),10))</f>
        <v>#N/A</v>
      </c>
      <c r="P316" s="13" t="str">
        <f>IF((SUM(F316:M316)=0),"J",VLOOKUP(O316,Lookups!$A$1:$B$11,2))</f>
        <v>J</v>
      </c>
      <c r="Q316" s="8" t="e">
        <f>VLOOKUP(C316,Lookups!$A$136:$C$144,3)</f>
        <v>#N/A</v>
      </c>
      <c r="R316" s="8" t="e">
        <f>VLOOKUP(C316,Lookups!$A$136:$C$144,2)</f>
        <v>#N/A</v>
      </c>
      <c r="S316" s="4" t="str">
        <f t="shared" si="27"/>
        <v>No</v>
      </c>
      <c r="T316" s="125">
        <f t="shared" si="28"/>
        <v>0</v>
      </c>
      <c r="U316" s="125">
        <f t="shared" si="29"/>
        <v>0</v>
      </c>
      <c r="V316" s="4" t="e">
        <f>IF($Q316&lt;&gt;3,VLOOKUP(F316,'Points Table A'!B$3:$F$33,5),VLOOKUP(F316,'Points Table A'!H$3:$L$33,5))</f>
        <v>#N/A</v>
      </c>
      <c r="W316" s="4" t="e">
        <f>IF($Q316&lt;&gt;3,VLOOKUP(G316,'Points Table A'!C$3:$F$33,4),VLOOKUP(G316,'Points Table A'!I$3:$L$33,4))</f>
        <v>#N/A</v>
      </c>
      <c r="X316" s="4" t="e">
        <f>IF($Q316&lt;&gt;3,VLOOKUP(H316,'Points Table A'!D$3:$F$28,3),VLOOKUP(H316,'Points Table A'!J$3:$L$33,3))</f>
        <v>#N/A</v>
      </c>
      <c r="Y316" s="4" t="e">
        <f>IF($Q316&lt;&gt;3,VLOOKUP(I316,'Points Table A'!E$3:$F$33,2),VLOOKUP(I316,'Points Table A'!K$3:$L$33,2))</f>
        <v>#N/A</v>
      </c>
      <c r="Z316" s="4" t="e">
        <f t="shared" si="30"/>
        <v>#N/A</v>
      </c>
      <c r="AA316" s="4">
        <f>IF($S316=Lookups!$B$113,VLOOKUP(L316,'Points Table C'!A$3:$E$11,5),VLOOKUP(U316,'Points Table C'!B$3:$E$11,4))</f>
        <v>0</v>
      </c>
      <c r="AB316" s="4" t="e">
        <f>IF($Q316=1,0,VLOOKUP($J316,'Points Table C'!$C$3:$E$18,3))</f>
        <v>#N/A</v>
      </c>
      <c r="AC316" s="4">
        <f>VLOOKUP($K316,'Points Table C'!$D$3:$E$18,2)</f>
        <v>0</v>
      </c>
      <c r="AD316" s="4" t="e">
        <f>IF($Z316&lt;Lookups!$C$106,($AA316+AB316+AC316),IF($AA316&gt;=Lookups!$C$120,($AA316+AB316+AC316),$AA316+$AB316))</f>
        <v>#N/A</v>
      </c>
      <c r="AF316" s="7"/>
      <c r="AG316" s="7"/>
      <c r="AH316" s="7"/>
      <c r="AI316" s="7"/>
      <c r="AJ316" s="7"/>
      <c r="AK316" s="7"/>
      <c r="AL316" s="7"/>
      <c r="AM316" s="7"/>
      <c r="AN316" s="7"/>
      <c r="AO316" s="7"/>
      <c r="AP316" s="7"/>
      <c r="AQ316" s="7"/>
      <c r="AR316" s="7"/>
      <c r="AS316" s="7"/>
      <c r="AT316" s="7"/>
      <c r="AU316" s="7"/>
      <c r="AV316" s="7"/>
      <c r="AW316" s="7"/>
      <c r="AY316" s="7"/>
      <c r="AZ316" s="7"/>
      <c r="BA316" s="7"/>
      <c r="BB316" s="7"/>
    </row>
    <row r="317" spans="2:54" x14ac:dyDescent="0.2">
      <c r="B317" s="174"/>
      <c r="C317" s="176"/>
      <c r="F317" s="5">
        <v>0</v>
      </c>
      <c r="G317" s="192">
        <v>0</v>
      </c>
      <c r="H317" s="192">
        <v>0</v>
      </c>
      <c r="I317" s="5">
        <v>0</v>
      </c>
      <c r="J317" s="192">
        <v>0</v>
      </c>
      <c r="K317" s="192">
        <v>0</v>
      </c>
      <c r="L317" s="5">
        <v>0</v>
      </c>
      <c r="M317" s="5">
        <v>0</v>
      </c>
      <c r="N317" s="4" t="e">
        <f t="shared" si="31"/>
        <v>#N/A</v>
      </c>
      <c r="O317" s="4" t="e">
        <f>IF(ROUND(10.499-(((N317-VLOOKUP($C317,Lookups!$A$55:$D$64,3))/(VLOOKUP($C317,Lookups!$A$55:$D$64,4))*VLOOKUP($C317,Lookups!$C$2:$D$11,2))),0)&lt;1,1,IF(ROUND(10.499-(((N317-VLOOKUP($C317,Lookups!$A$55:$D$64,3))/(VLOOKUP($C317,Lookups!$A$55:$D$64,4))*VLOOKUP($C317,Lookups!$C$2:$D$11,2))),0)&lt;11,ROUND(10.499-(((N317-VLOOKUP($C317,Lookups!$A$55:$D$64,3))/(VLOOKUP($C317,Lookups!$A$55:$D$64,4))*VLOOKUP($C317,Lookups!$C$2:$D$11,2))),0),10))</f>
        <v>#N/A</v>
      </c>
      <c r="P317" s="13" t="str">
        <f>IF((SUM(F317:M317)=0),"J",VLOOKUP(O317,Lookups!$A$1:$B$11,2))</f>
        <v>J</v>
      </c>
      <c r="Q317" s="8" t="e">
        <f>VLOOKUP(C317,Lookups!$A$136:$C$144,3)</f>
        <v>#N/A</v>
      </c>
      <c r="R317" s="8" t="e">
        <f>VLOOKUP(C317,Lookups!$A$136:$C$144,2)</f>
        <v>#N/A</v>
      </c>
      <c r="S317" s="4" t="str">
        <f t="shared" si="27"/>
        <v>No</v>
      </c>
      <c r="T317" s="125">
        <f t="shared" si="28"/>
        <v>0</v>
      </c>
      <c r="U317" s="125">
        <f t="shared" si="29"/>
        <v>0</v>
      </c>
      <c r="V317" s="4" t="e">
        <f>IF($Q317&lt;&gt;3,VLOOKUP(F317,'Points Table A'!B$3:$F$33,5),VLOOKUP(F317,'Points Table A'!H$3:$L$33,5))</f>
        <v>#N/A</v>
      </c>
      <c r="W317" s="4" t="e">
        <f>IF($Q317&lt;&gt;3,VLOOKUP(G317,'Points Table A'!C$3:$F$33,4),VLOOKUP(G317,'Points Table A'!I$3:$L$33,4))</f>
        <v>#N/A</v>
      </c>
      <c r="X317" s="4" t="e">
        <f>IF($Q317&lt;&gt;3,VLOOKUP(H317,'Points Table A'!D$3:$F$28,3),VLOOKUP(H317,'Points Table A'!J$3:$L$33,3))</f>
        <v>#N/A</v>
      </c>
      <c r="Y317" s="4" t="e">
        <f>IF($Q317&lt;&gt;3,VLOOKUP(I317,'Points Table A'!E$3:$F$33,2),VLOOKUP(I317,'Points Table A'!K$3:$L$33,2))</f>
        <v>#N/A</v>
      </c>
      <c r="Z317" s="4" t="e">
        <f t="shared" si="30"/>
        <v>#N/A</v>
      </c>
      <c r="AA317" s="4">
        <f>IF($S317=Lookups!$B$113,VLOOKUP(L317,'Points Table C'!A$3:$E$11,5),VLOOKUP(U317,'Points Table C'!B$3:$E$11,4))</f>
        <v>0</v>
      </c>
      <c r="AB317" s="4" t="e">
        <f>IF($Q317=1,0,VLOOKUP($J317,'Points Table C'!$C$3:$E$18,3))</f>
        <v>#N/A</v>
      </c>
      <c r="AC317" s="4">
        <f>VLOOKUP($K317,'Points Table C'!$D$3:$E$18,2)</f>
        <v>0</v>
      </c>
      <c r="AD317" s="4" t="e">
        <f>IF($Z317&lt;Lookups!$C$106,($AA317+AB317+AC317),IF($AA317&gt;=Lookups!$C$120,($AA317+AB317+AC317),$AA317+$AB317))</f>
        <v>#N/A</v>
      </c>
      <c r="AF317" s="7"/>
      <c r="AG317" s="7"/>
      <c r="AH317" s="7"/>
      <c r="AI317" s="7"/>
      <c r="AJ317" s="7"/>
      <c r="AK317" s="7"/>
      <c r="AL317" s="7"/>
      <c r="AM317" s="7"/>
      <c r="AN317" s="7"/>
      <c r="AO317" s="7"/>
      <c r="AP317" s="7"/>
      <c r="AQ317" s="7"/>
      <c r="AR317" s="7"/>
      <c r="AS317" s="7"/>
      <c r="AT317" s="7"/>
      <c r="AU317" s="7"/>
      <c r="AV317" s="7"/>
      <c r="AW317" s="7"/>
      <c r="AY317" s="7"/>
      <c r="AZ317" s="7"/>
      <c r="BA317" s="7"/>
      <c r="BB317" s="7"/>
    </row>
    <row r="318" spans="2:54" x14ac:dyDescent="0.2">
      <c r="B318" s="174"/>
      <c r="C318" s="176"/>
      <c r="F318" s="5">
        <v>0</v>
      </c>
      <c r="G318" s="192">
        <v>0</v>
      </c>
      <c r="H318" s="192">
        <v>0</v>
      </c>
      <c r="I318" s="5">
        <v>0</v>
      </c>
      <c r="J318" s="192">
        <v>0</v>
      </c>
      <c r="K318" s="192">
        <v>0</v>
      </c>
      <c r="L318" s="5">
        <v>0</v>
      </c>
      <c r="M318" s="5">
        <v>0</v>
      </c>
      <c r="N318" s="4" t="e">
        <f t="shared" si="31"/>
        <v>#N/A</v>
      </c>
      <c r="O318" s="4" t="e">
        <f>IF(ROUND(10.499-(((N318-VLOOKUP($C318,Lookups!$A$55:$D$64,3))/(VLOOKUP($C318,Lookups!$A$55:$D$64,4))*VLOOKUP($C318,Lookups!$C$2:$D$11,2))),0)&lt;1,1,IF(ROUND(10.499-(((N318-VLOOKUP($C318,Lookups!$A$55:$D$64,3))/(VLOOKUP($C318,Lookups!$A$55:$D$64,4))*VLOOKUP($C318,Lookups!$C$2:$D$11,2))),0)&lt;11,ROUND(10.499-(((N318-VLOOKUP($C318,Lookups!$A$55:$D$64,3))/(VLOOKUP($C318,Lookups!$A$55:$D$64,4))*VLOOKUP($C318,Lookups!$C$2:$D$11,2))),0),10))</f>
        <v>#N/A</v>
      </c>
      <c r="P318" s="13" t="str">
        <f>IF((SUM(F318:M318)=0),"J",VLOOKUP(O318,Lookups!$A$1:$B$11,2))</f>
        <v>J</v>
      </c>
      <c r="Q318" s="8" t="e">
        <f>VLOOKUP(C318,Lookups!$A$136:$C$144,3)</f>
        <v>#N/A</v>
      </c>
      <c r="R318" s="8" t="e">
        <f>VLOOKUP(C318,Lookups!$A$136:$C$144,2)</f>
        <v>#N/A</v>
      </c>
      <c r="S318" s="4" t="str">
        <f t="shared" si="27"/>
        <v>No</v>
      </c>
      <c r="T318" s="125">
        <f t="shared" si="28"/>
        <v>0</v>
      </c>
      <c r="U318" s="125">
        <f t="shared" si="29"/>
        <v>0</v>
      </c>
      <c r="V318" s="4" t="e">
        <f>IF($Q318&lt;&gt;3,VLOOKUP(F318,'Points Table A'!B$3:$F$33,5),VLOOKUP(F318,'Points Table A'!H$3:$L$33,5))</f>
        <v>#N/A</v>
      </c>
      <c r="W318" s="4" t="e">
        <f>IF($Q318&lt;&gt;3,VLOOKUP(G318,'Points Table A'!C$3:$F$33,4),VLOOKUP(G318,'Points Table A'!I$3:$L$33,4))</f>
        <v>#N/A</v>
      </c>
      <c r="X318" s="4" t="e">
        <f>IF($Q318&lt;&gt;3,VLOOKUP(H318,'Points Table A'!D$3:$F$28,3),VLOOKUP(H318,'Points Table A'!J$3:$L$33,3))</f>
        <v>#N/A</v>
      </c>
      <c r="Y318" s="4" t="e">
        <f>IF($Q318&lt;&gt;3,VLOOKUP(I318,'Points Table A'!E$3:$F$33,2),VLOOKUP(I318,'Points Table A'!K$3:$L$33,2))</f>
        <v>#N/A</v>
      </c>
      <c r="Z318" s="4" t="e">
        <f t="shared" si="30"/>
        <v>#N/A</v>
      </c>
      <c r="AA318" s="4">
        <f>IF($S318=Lookups!$B$113,VLOOKUP(L318,'Points Table C'!A$3:$E$11,5),VLOOKUP(U318,'Points Table C'!B$3:$E$11,4))</f>
        <v>0</v>
      </c>
      <c r="AB318" s="4" t="e">
        <f>IF($Q318=1,0,VLOOKUP($J318,'Points Table C'!$C$3:$E$18,3))</f>
        <v>#N/A</v>
      </c>
      <c r="AC318" s="4">
        <f>VLOOKUP($K318,'Points Table C'!$D$3:$E$18,2)</f>
        <v>0</v>
      </c>
      <c r="AD318" s="4" t="e">
        <f>IF($Z318&lt;Lookups!$C$106,($AA318+AB318+AC318),IF($AA318&gt;=Lookups!$C$120,($AA318+AB318+AC318),$AA318+$AB318))</f>
        <v>#N/A</v>
      </c>
      <c r="AF318" s="7"/>
      <c r="AG318" s="7"/>
      <c r="AH318" s="7"/>
      <c r="AI318" s="7"/>
      <c r="AJ318" s="7"/>
      <c r="AK318" s="7"/>
      <c r="AL318" s="7"/>
      <c r="AM318" s="7"/>
      <c r="AN318" s="7"/>
      <c r="AO318" s="7"/>
      <c r="AP318" s="7"/>
      <c r="AQ318" s="7"/>
      <c r="AR318" s="7"/>
      <c r="AS318" s="7"/>
      <c r="AT318" s="7"/>
      <c r="AU318" s="7"/>
      <c r="AV318" s="7"/>
      <c r="AW318" s="7"/>
      <c r="AY318" s="7"/>
      <c r="AZ318" s="7"/>
      <c r="BA318" s="7"/>
      <c r="BB318" s="7"/>
    </row>
    <row r="319" spans="2:54" x14ac:dyDescent="0.2">
      <c r="B319" s="174"/>
      <c r="C319" s="176"/>
      <c r="F319" s="5">
        <v>0</v>
      </c>
      <c r="G319" s="192">
        <v>0</v>
      </c>
      <c r="H319" s="192">
        <v>0</v>
      </c>
      <c r="I319" s="5">
        <v>0</v>
      </c>
      <c r="J319" s="192">
        <v>0</v>
      </c>
      <c r="K319" s="192">
        <v>0</v>
      </c>
      <c r="L319" s="5">
        <v>0</v>
      </c>
      <c r="M319" s="5">
        <v>0</v>
      </c>
      <c r="N319" s="4" t="e">
        <f t="shared" si="31"/>
        <v>#N/A</v>
      </c>
      <c r="O319" s="4" t="e">
        <f>IF(ROUND(10.499-(((N319-VLOOKUP($C319,Lookups!$A$55:$D$64,3))/(VLOOKUP($C319,Lookups!$A$55:$D$64,4))*VLOOKUP($C319,Lookups!$C$2:$D$11,2))),0)&lt;1,1,IF(ROUND(10.499-(((N319-VLOOKUP($C319,Lookups!$A$55:$D$64,3))/(VLOOKUP($C319,Lookups!$A$55:$D$64,4))*VLOOKUP($C319,Lookups!$C$2:$D$11,2))),0)&lt;11,ROUND(10.499-(((N319-VLOOKUP($C319,Lookups!$A$55:$D$64,3))/(VLOOKUP($C319,Lookups!$A$55:$D$64,4))*VLOOKUP($C319,Lookups!$C$2:$D$11,2))),0),10))</f>
        <v>#N/A</v>
      </c>
      <c r="P319" s="13" t="str">
        <f>IF((SUM(F319:M319)=0),"J",VLOOKUP(O319,Lookups!$A$1:$B$11,2))</f>
        <v>J</v>
      </c>
      <c r="Q319" s="8" t="e">
        <f>VLOOKUP(C319,Lookups!$A$136:$C$144,3)</f>
        <v>#N/A</v>
      </c>
      <c r="R319" s="8" t="e">
        <f>VLOOKUP(C319,Lookups!$A$136:$C$144,2)</f>
        <v>#N/A</v>
      </c>
      <c r="S319" s="4" t="str">
        <f t="shared" si="27"/>
        <v>No</v>
      </c>
      <c r="T319" s="125">
        <f t="shared" si="28"/>
        <v>0</v>
      </c>
      <c r="U319" s="125">
        <f t="shared" si="29"/>
        <v>0</v>
      </c>
      <c r="V319" s="4" t="e">
        <f>IF($Q319&lt;&gt;3,VLOOKUP(F319,'Points Table A'!B$3:$F$33,5),VLOOKUP(F319,'Points Table A'!H$3:$L$33,5))</f>
        <v>#N/A</v>
      </c>
      <c r="W319" s="4" t="e">
        <f>IF($Q319&lt;&gt;3,VLOOKUP(G319,'Points Table A'!C$3:$F$33,4),VLOOKUP(G319,'Points Table A'!I$3:$L$33,4))</f>
        <v>#N/A</v>
      </c>
      <c r="X319" s="4" t="e">
        <f>IF($Q319&lt;&gt;3,VLOOKUP(H319,'Points Table A'!D$3:$F$28,3),VLOOKUP(H319,'Points Table A'!J$3:$L$33,3))</f>
        <v>#N/A</v>
      </c>
      <c r="Y319" s="4" t="e">
        <f>IF($Q319&lt;&gt;3,VLOOKUP(I319,'Points Table A'!E$3:$F$33,2),VLOOKUP(I319,'Points Table A'!K$3:$L$33,2))</f>
        <v>#N/A</v>
      </c>
      <c r="Z319" s="4" t="e">
        <f t="shared" si="30"/>
        <v>#N/A</v>
      </c>
      <c r="AA319" s="4">
        <f>IF($S319=Lookups!$B$113,VLOOKUP(L319,'Points Table C'!A$3:$E$11,5),VLOOKUP(U319,'Points Table C'!B$3:$E$11,4))</f>
        <v>0</v>
      </c>
      <c r="AB319" s="4" t="e">
        <f>IF($Q319=1,0,VLOOKUP($J319,'Points Table C'!$C$3:$E$18,3))</f>
        <v>#N/A</v>
      </c>
      <c r="AC319" s="4">
        <f>VLOOKUP($K319,'Points Table C'!$D$3:$E$18,2)</f>
        <v>0</v>
      </c>
      <c r="AD319" s="4" t="e">
        <f>IF($Z319&lt;Lookups!$C$106,($AA319+AB319+AC319),IF($AA319&gt;=Lookups!$C$120,($AA319+AB319+AC319),$AA319+$AB319))</f>
        <v>#N/A</v>
      </c>
      <c r="AF319" s="7"/>
      <c r="AG319" s="7"/>
      <c r="AH319" s="7"/>
      <c r="AI319" s="7"/>
      <c r="AJ319" s="7"/>
      <c r="AK319" s="7"/>
      <c r="AL319" s="7"/>
      <c r="AM319" s="7"/>
      <c r="AN319" s="7"/>
      <c r="AO319" s="7"/>
      <c r="AP319" s="7"/>
      <c r="AQ319" s="7"/>
      <c r="AR319" s="7"/>
      <c r="AS319" s="7"/>
      <c r="AT319" s="7"/>
      <c r="AU319" s="7"/>
      <c r="AV319" s="7"/>
      <c r="AW319" s="7"/>
      <c r="AY319" s="7"/>
      <c r="AZ319" s="7"/>
      <c r="BA319" s="7"/>
      <c r="BB319" s="7"/>
    </row>
    <row r="320" spans="2:54" x14ac:dyDescent="0.2">
      <c r="B320" s="174"/>
      <c r="C320" s="176"/>
      <c r="F320" s="5">
        <v>0</v>
      </c>
      <c r="G320" s="192">
        <v>0</v>
      </c>
      <c r="H320" s="192">
        <v>0</v>
      </c>
      <c r="I320" s="5">
        <v>0</v>
      </c>
      <c r="J320" s="192">
        <v>0</v>
      </c>
      <c r="K320" s="192">
        <v>0</v>
      </c>
      <c r="L320" s="5">
        <v>0</v>
      </c>
      <c r="M320" s="5">
        <v>0</v>
      </c>
      <c r="N320" s="4" t="e">
        <f t="shared" si="31"/>
        <v>#N/A</v>
      </c>
      <c r="O320" s="4" t="e">
        <f>IF(ROUND(10.499-(((N320-VLOOKUP($C320,Lookups!$A$55:$D$64,3))/(VLOOKUP($C320,Lookups!$A$55:$D$64,4))*VLOOKUP($C320,Lookups!$C$2:$D$11,2))),0)&lt;1,1,IF(ROUND(10.499-(((N320-VLOOKUP($C320,Lookups!$A$55:$D$64,3))/(VLOOKUP($C320,Lookups!$A$55:$D$64,4))*VLOOKUP($C320,Lookups!$C$2:$D$11,2))),0)&lt;11,ROUND(10.499-(((N320-VLOOKUP($C320,Lookups!$A$55:$D$64,3))/(VLOOKUP($C320,Lookups!$A$55:$D$64,4))*VLOOKUP($C320,Lookups!$C$2:$D$11,2))),0),10))</f>
        <v>#N/A</v>
      </c>
      <c r="P320" s="13" t="str">
        <f>IF((SUM(F320:M320)=0),"J",VLOOKUP(O320,Lookups!$A$1:$B$11,2))</f>
        <v>J</v>
      </c>
      <c r="Q320" s="8" t="e">
        <f>VLOOKUP(C320,Lookups!$A$136:$C$144,3)</f>
        <v>#N/A</v>
      </c>
      <c r="R320" s="8" t="e">
        <f>VLOOKUP(C320,Lookups!$A$136:$C$144,2)</f>
        <v>#N/A</v>
      </c>
      <c r="S320" s="4" t="str">
        <f t="shared" si="27"/>
        <v>No</v>
      </c>
      <c r="T320" s="125">
        <f t="shared" si="28"/>
        <v>0</v>
      </c>
      <c r="U320" s="125">
        <f t="shared" si="29"/>
        <v>0</v>
      </c>
      <c r="V320" s="4" t="e">
        <f>IF($Q320&lt;&gt;3,VLOOKUP(F320,'Points Table A'!B$3:$F$33,5),VLOOKUP(F320,'Points Table A'!H$3:$L$33,5))</f>
        <v>#N/A</v>
      </c>
      <c r="W320" s="4" t="e">
        <f>IF($Q320&lt;&gt;3,VLOOKUP(G320,'Points Table A'!C$3:$F$33,4),VLOOKUP(G320,'Points Table A'!I$3:$L$33,4))</f>
        <v>#N/A</v>
      </c>
      <c r="X320" s="4" t="e">
        <f>IF($Q320&lt;&gt;3,VLOOKUP(H320,'Points Table A'!D$3:$F$28,3),VLOOKUP(H320,'Points Table A'!J$3:$L$33,3))</f>
        <v>#N/A</v>
      </c>
      <c r="Y320" s="4" t="e">
        <f>IF($Q320&lt;&gt;3,VLOOKUP(I320,'Points Table A'!E$3:$F$33,2),VLOOKUP(I320,'Points Table A'!K$3:$L$33,2))</f>
        <v>#N/A</v>
      </c>
      <c r="Z320" s="4" t="e">
        <f t="shared" si="30"/>
        <v>#N/A</v>
      </c>
      <c r="AA320" s="4">
        <f>IF($S320=Lookups!$B$113,VLOOKUP(L320,'Points Table C'!A$3:$E$11,5),VLOOKUP(U320,'Points Table C'!B$3:$E$11,4))</f>
        <v>0</v>
      </c>
      <c r="AB320" s="4" t="e">
        <f>IF($Q320=1,0,VLOOKUP($J320,'Points Table C'!$C$3:$E$18,3))</f>
        <v>#N/A</v>
      </c>
      <c r="AC320" s="4">
        <f>VLOOKUP($K320,'Points Table C'!$D$3:$E$18,2)</f>
        <v>0</v>
      </c>
      <c r="AD320" s="4" t="e">
        <f>IF($Z320&lt;Lookups!$C$106,($AA320+AB320+AC320),IF($AA320&gt;=Lookups!$C$120,($AA320+AB320+AC320),$AA320+$AB320))</f>
        <v>#N/A</v>
      </c>
      <c r="AF320" s="7"/>
      <c r="AG320" s="7"/>
      <c r="AH320" s="7"/>
      <c r="AI320" s="7"/>
      <c r="AJ320" s="7"/>
      <c r="AK320" s="7"/>
      <c r="AL320" s="7"/>
      <c r="AM320" s="7"/>
      <c r="AN320" s="7"/>
      <c r="AO320" s="7"/>
      <c r="AP320" s="7"/>
      <c r="AQ320" s="7"/>
      <c r="AR320" s="7"/>
      <c r="AS320" s="7"/>
      <c r="AT320" s="7"/>
      <c r="AU320" s="7"/>
      <c r="AV320" s="7"/>
      <c r="AW320" s="7"/>
      <c r="AY320" s="7"/>
      <c r="AZ320" s="7"/>
      <c r="BA320" s="7"/>
      <c r="BB320" s="7"/>
    </row>
    <row r="321" spans="2:54" x14ac:dyDescent="0.2">
      <c r="B321" s="174"/>
      <c r="C321" s="176"/>
      <c r="F321" s="5">
        <v>0</v>
      </c>
      <c r="G321" s="192">
        <v>0</v>
      </c>
      <c r="H321" s="192">
        <v>0</v>
      </c>
      <c r="I321" s="5">
        <v>0</v>
      </c>
      <c r="J321" s="192">
        <v>0</v>
      </c>
      <c r="K321" s="192">
        <v>0</v>
      </c>
      <c r="L321" s="5">
        <v>0</v>
      </c>
      <c r="M321" s="5">
        <v>0</v>
      </c>
      <c r="N321" s="4" t="e">
        <f t="shared" si="31"/>
        <v>#N/A</v>
      </c>
      <c r="O321" s="4" t="e">
        <f>IF(ROUND(10.499-(((N321-VLOOKUP($C321,Lookups!$A$55:$D$64,3))/(VLOOKUP($C321,Lookups!$A$55:$D$64,4))*VLOOKUP($C321,Lookups!$C$2:$D$11,2))),0)&lt;1,1,IF(ROUND(10.499-(((N321-VLOOKUP($C321,Lookups!$A$55:$D$64,3))/(VLOOKUP($C321,Lookups!$A$55:$D$64,4))*VLOOKUP($C321,Lookups!$C$2:$D$11,2))),0)&lt;11,ROUND(10.499-(((N321-VLOOKUP($C321,Lookups!$A$55:$D$64,3))/(VLOOKUP($C321,Lookups!$A$55:$D$64,4))*VLOOKUP($C321,Lookups!$C$2:$D$11,2))),0),10))</f>
        <v>#N/A</v>
      </c>
      <c r="P321" s="13" t="str">
        <f>IF((SUM(F321:M321)=0),"J",VLOOKUP(O321,Lookups!$A$1:$B$11,2))</f>
        <v>J</v>
      </c>
      <c r="Q321" s="8" t="e">
        <f>VLOOKUP(C321,Lookups!$A$136:$C$144,3)</f>
        <v>#N/A</v>
      </c>
      <c r="R321" s="8" t="e">
        <f>VLOOKUP(C321,Lookups!$A$136:$C$144,2)</f>
        <v>#N/A</v>
      </c>
      <c r="S321" s="4" t="str">
        <f t="shared" si="27"/>
        <v>No</v>
      </c>
      <c r="T321" s="125">
        <f t="shared" si="28"/>
        <v>0</v>
      </c>
      <c r="U321" s="125">
        <f t="shared" si="29"/>
        <v>0</v>
      </c>
      <c r="V321" s="4" t="e">
        <f>IF($Q321&lt;&gt;3,VLOOKUP(F321,'Points Table A'!B$3:$F$33,5),VLOOKUP(F321,'Points Table A'!H$3:$L$33,5))</f>
        <v>#N/A</v>
      </c>
      <c r="W321" s="4" t="e">
        <f>IF($Q321&lt;&gt;3,VLOOKUP(G321,'Points Table A'!C$3:$F$33,4),VLOOKUP(G321,'Points Table A'!I$3:$L$33,4))</f>
        <v>#N/A</v>
      </c>
      <c r="X321" s="4" t="e">
        <f>IF($Q321&lt;&gt;3,VLOOKUP(H321,'Points Table A'!D$3:$F$28,3),VLOOKUP(H321,'Points Table A'!J$3:$L$33,3))</f>
        <v>#N/A</v>
      </c>
      <c r="Y321" s="4" t="e">
        <f>IF($Q321&lt;&gt;3,VLOOKUP(I321,'Points Table A'!E$3:$F$33,2),VLOOKUP(I321,'Points Table A'!K$3:$L$33,2))</f>
        <v>#N/A</v>
      </c>
      <c r="Z321" s="4" t="e">
        <f t="shared" si="30"/>
        <v>#N/A</v>
      </c>
      <c r="AA321" s="4">
        <f>IF($S321=Lookups!$B$113,VLOOKUP(L321,'Points Table C'!A$3:$E$11,5),VLOOKUP(U321,'Points Table C'!B$3:$E$11,4))</f>
        <v>0</v>
      </c>
      <c r="AB321" s="4" t="e">
        <f>IF($Q321=1,0,VLOOKUP($J321,'Points Table C'!$C$3:$E$18,3))</f>
        <v>#N/A</v>
      </c>
      <c r="AC321" s="4">
        <f>VLOOKUP($K321,'Points Table C'!$D$3:$E$18,2)</f>
        <v>0</v>
      </c>
      <c r="AD321" s="4" t="e">
        <f>IF($Z321&lt;Lookups!$C$106,($AA321+AB321+AC321),IF($AA321&gt;=Lookups!$C$120,($AA321+AB321+AC321),$AA321+$AB321))</f>
        <v>#N/A</v>
      </c>
      <c r="AF321" s="7"/>
      <c r="AG321" s="7"/>
      <c r="AH321" s="7"/>
      <c r="AI321" s="7"/>
      <c r="AJ321" s="7"/>
      <c r="AK321" s="7"/>
      <c r="AL321" s="7"/>
      <c r="AM321" s="7"/>
      <c r="AN321" s="7"/>
      <c r="AO321" s="7"/>
      <c r="AP321" s="7"/>
      <c r="AQ321" s="7"/>
      <c r="AR321" s="7"/>
      <c r="AS321" s="7"/>
      <c r="AT321" s="7"/>
      <c r="AU321" s="7"/>
      <c r="AV321" s="7"/>
      <c r="AW321" s="7"/>
      <c r="AY321" s="7"/>
      <c r="AZ321" s="7"/>
      <c r="BA321" s="7"/>
      <c r="BB321" s="7"/>
    </row>
    <row r="322" spans="2:54" x14ac:dyDescent="0.2">
      <c r="B322" s="174"/>
      <c r="C322" s="176"/>
      <c r="F322" s="5">
        <v>0</v>
      </c>
      <c r="G322" s="192">
        <v>0</v>
      </c>
      <c r="H322" s="192">
        <v>0</v>
      </c>
      <c r="I322" s="5">
        <v>0</v>
      </c>
      <c r="J322" s="192">
        <v>0</v>
      </c>
      <c r="K322" s="192">
        <v>0</v>
      </c>
      <c r="L322" s="5">
        <v>0</v>
      </c>
      <c r="M322" s="5">
        <v>0</v>
      </c>
      <c r="N322" s="4" t="e">
        <f t="shared" si="31"/>
        <v>#N/A</v>
      </c>
      <c r="O322" s="4" t="e">
        <f>IF(ROUND(10.499-(((N322-VLOOKUP($C322,Lookups!$A$55:$D$64,3))/(VLOOKUP($C322,Lookups!$A$55:$D$64,4))*VLOOKUP($C322,Lookups!$C$2:$D$11,2))),0)&lt;1,1,IF(ROUND(10.499-(((N322-VLOOKUP($C322,Lookups!$A$55:$D$64,3))/(VLOOKUP($C322,Lookups!$A$55:$D$64,4))*VLOOKUP($C322,Lookups!$C$2:$D$11,2))),0)&lt;11,ROUND(10.499-(((N322-VLOOKUP($C322,Lookups!$A$55:$D$64,3))/(VLOOKUP($C322,Lookups!$A$55:$D$64,4))*VLOOKUP($C322,Lookups!$C$2:$D$11,2))),0),10))</f>
        <v>#N/A</v>
      </c>
      <c r="P322" s="13" t="str">
        <f>IF((SUM(F322:M322)=0),"J",VLOOKUP(O322,Lookups!$A$1:$B$11,2))</f>
        <v>J</v>
      </c>
      <c r="Q322" s="8" t="e">
        <f>VLOOKUP(C322,Lookups!$A$136:$C$144,3)</f>
        <v>#N/A</v>
      </c>
      <c r="R322" s="8" t="e">
        <f>VLOOKUP(C322,Lookups!$A$136:$C$144,2)</f>
        <v>#N/A</v>
      </c>
      <c r="S322" s="4" t="str">
        <f t="shared" si="27"/>
        <v>No</v>
      </c>
      <c r="T322" s="125">
        <f t="shared" si="28"/>
        <v>0</v>
      </c>
      <c r="U322" s="125">
        <f t="shared" si="29"/>
        <v>0</v>
      </c>
      <c r="V322" s="4" t="e">
        <f>IF($Q322&lt;&gt;3,VLOOKUP(F322,'Points Table A'!B$3:$F$33,5),VLOOKUP(F322,'Points Table A'!H$3:$L$33,5))</f>
        <v>#N/A</v>
      </c>
      <c r="W322" s="4" t="e">
        <f>IF($Q322&lt;&gt;3,VLOOKUP(G322,'Points Table A'!C$3:$F$33,4),VLOOKUP(G322,'Points Table A'!I$3:$L$33,4))</f>
        <v>#N/A</v>
      </c>
      <c r="X322" s="4" t="e">
        <f>IF($Q322&lt;&gt;3,VLOOKUP(H322,'Points Table A'!D$3:$F$28,3),VLOOKUP(H322,'Points Table A'!J$3:$L$33,3))</f>
        <v>#N/A</v>
      </c>
      <c r="Y322" s="4" t="e">
        <f>IF($Q322&lt;&gt;3,VLOOKUP(I322,'Points Table A'!E$3:$F$33,2),VLOOKUP(I322,'Points Table A'!K$3:$L$33,2))</f>
        <v>#N/A</v>
      </c>
      <c r="Z322" s="4" t="e">
        <f t="shared" si="30"/>
        <v>#N/A</v>
      </c>
      <c r="AA322" s="4">
        <f>IF($S322=Lookups!$B$113,VLOOKUP(L322,'Points Table C'!A$3:$E$11,5),VLOOKUP(U322,'Points Table C'!B$3:$E$11,4))</f>
        <v>0</v>
      </c>
      <c r="AB322" s="4" t="e">
        <f>IF($Q322=1,0,VLOOKUP($J322,'Points Table C'!$C$3:$E$18,3))</f>
        <v>#N/A</v>
      </c>
      <c r="AC322" s="4">
        <f>VLOOKUP($K322,'Points Table C'!$D$3:$E$18,2)</f>
        <v>0</v>
      </c>
      <c r="AD322" s="4" t="e">
        <f>IF($Z322&lt;Lookups!$C$106,($AA322+AB322+AC322),IF($AA322&gt;=Lookups!$C$120,($AA322+AB322+AC322),$AA322+$AB322))</f>
        <v>#N/A</v>
      </c>
      <c r="AF322" s="7"/>
      <c r="AG322" s="7"/>
      <c r="AH322" s="7"/>
      <c r="AI322" s="7"/>
      <c r="AJ322" s="7"/>
      <c r="AK322" s="7"/>
      <c r="AL322" s="7"/>
      <c r="AM322" s="7"/>
      <c r="AN322" s="7"/>
      <c r="AO322" s="7"/>
      <c r="AP322" s="7"/>
      <c r="AQ322" s="7"/>
      <c r="AR322" s="7"/>
      <c r="AS322" s="7"/>
      <c r="AT322" s="7"/>
      <c r="AU322" s="7"/>
      <c r="AV322" s="7"/>
      <c r="AW322" s="7"/>
      <c r="AY322" s="7"/>
      <c r="AZ322" s="7"/>
      <c r="BA322" s="7"/>
      <c r="BB322" s="7"/>
    </row>
    <row r="323" spans="2:54" x14ac:dyDescent="0.2">
      <c r="B323" s="174"/>
      <c r="C323" s="176"/>
      <c r="F323" s="5">
        <v>0</v>
      </c>
      <c r="G323" s="192">
        <v>0</v>
      </c>
      <c r="H323" s="192">
        <v>0</v>
      </c>
      <c r="I323" s="5">
        <v>0</v>
      </c>
      <c r="J323" s="192">
        <v>0</v>
      </c>
      <c r="K323" s="192">
        <v>0</v>
      </c>
      <c r="L323" s="5">
        <v>0</v>
      </c>
      <c r="M323" s="5">
        <v>0</v>
      </c>
      <c r="N323" s="4" t="e">
        <f t="shared" si="31"/>
        <v>#N/A</v>
      </c>
      <c r="O323" s="4" t="e">
        <f>IF(ROUND(10.499-(((N323-VLOOKUP($C323,Lookups!$A$55:$D$64,3))/(VLOOKUP($C323,Lookups!$A$55:$D$64,4))*VLOOKUP($C323,Lookups!$C$2:$D$11,2))),0)&lt;1,1,IF(ROUND(10.499-(((N323-VLOOKUP($C323,Lookups!$A$55:$D$64,3))/(VLOOKUP($C323,Lookups!$A$55:$D$64,4))*VLOOKUP($C323,Lookups!$C$2:$D$11,2))),0)&lt;11,ROUND(10.499-(((N323-VLOOKUP($C323,Lookups!$A$55:$D$64,3))/(VLOOKUP($C323,Lookups!$A$55:$D$64,4))*VLOOKUP($C323,Lookups!$C$2:$D$11,2))),0),10))</f>
        <v>#N/A</v>
      </c>
      <c r="P323" s="13" t="str">
        <f>IF((SUM(F323:M323)=0),"J",VLOOKUP(O323,Lookups!$A$1:$B$11,2))</f>
        <v>J</v>
      </c>
      <c r="Q323" s="8" t="e">
        <f>VLOOKUP(C323,Lookups!$A$136:$C$144,3)</f>
        <v>#N/A</v>
      </c>
      <c r="R323" s="8" t="e">
        <f>VLOOKUP(C323,Lookups!$A$136:$C$144,2)</f>
        <v>#N/A</v>
      </c>
      <c r="S323" s="4" t="str">
        <f t="shared" si="27"/>
        <v>No</v>
      </c>
      <c r="T323" s="125">
        <f t="shared" si="28"/>
        <v>0</v>
      </c>
      <c r="U323" s="125">
        <f t="shared" si="29"/>
        <v>0</v>
      </c>
      <c r="V323" s="4" t="e">
        <f>IF($Q323&lt;&gt;3,VLOOKUP(F323,'Points Table A'!B$3:$F$33,5),VLOOKUP(F323,'Points Table A'!H$3:$L$33,5))</f>
        <v>#N/A</v>
      </c>
      <c r="W323" s="4" t="e">
        <f>IF($Q323&lt;&gt;3,VLOOKUP(G323,'Points Table A'!C$3:$F$33,4),VLOOKUP(G323,'Points Table A'!I$3:$L$33,4))</f>
        <v>#N/A</v>
      </c>
      <c r="X323" s="4" t="e">
        <f>IF($Q323&lt;&gt;3,VLOOKUP(H323,'Points Table A'!D$3:$F$28,3),VLOOKUP(H323,'Points Table A'!J$3:$L$33,3))</f>
        <v>#N/A</v>
      </c>
      <c r="Y323" s="4" t="e">
        <f>IF($Q323&lt;&gt;3,VLOOKUP(I323,'Points Table A'!E$3:$F$33,2),VLOOKUP(I323,'Points Table A'!K$3:$L$33,2))</f>
        <v>#N/A</v>
      </c>
      <c r="Z323" s="4" t="e">
        <f t="shared" si="30"/>
        <v>#N/A</v>
      </c>
      <c r="AA323" s="4">
        <f>IF($S323=Lookups!$B$113,VLOOKUP(L323,'Points Table C'!A$3:$E$11,5),VLOOKUP(U323,'Points Table C'!B$3:$E$11,4))</f>
        <v>0</v>
      </c>
      <c r="AB323" s="4" t="e">
        <f>IF($Q323=1,0,VLOOKUP($J323,'Points Table C'!$C$3:$E$18,3))</f>
        <v>#N/A</v>
      </c>
      <c r="AC323" s="4">
        <f>VLOOKUP($K323,'Points Table C'!$D$3:$E$18,2)</f>
        <v>0</v>
      </c>
      <c r="AD323" s="4" t="e">
        <f>IF($Z323&lt;Lookups!$C$106,($AA323+AB323+AC323),IF($AA323&gt;=Lookups!$C$120,($AA323+AB323+AC323),$AA323+$AB323))</f>
        <v>#N/A</v>
      </c>
      <c r="AF323" s="7"/>
      <c r="AG323" s="7"/>
      <c r="AH323" s="7"/>
      <c r="AI323" s="7"/>
      <c r="AJ323" s="7"/>
      <c r="AK323" s="7"/>
      <c r="AL323" s="7"/>
      <c r="AM323" s="7"/>
      <c r="AN323" s="7"/>
      <c r="AO323" s="7"/>
      <c r="AP323" s="7"/>
      <c r="AQ323" s="7"/>
      <c r="AR323" s="7"/>
      <c r="AS323" s="7"/>
      <c r="AT323" s="7"/>
      <c r="AU323" s="7"/>
      <c r="AV323" s="7"/>
      <c r="AW323" s="7"/>
      <c r="AY323" s="7"/>
      <c r="AZ323" s="7"/>
      <c r="BA323" s="7"/>
      <c r="BB323" s="7"/>
    </row>
    <row r="324" spans="2:54" x14ac:dyDescent="0.2">
      <c r="B324" s="174"/>
      <c r="C324" s="176"/>
      <c r="F324" s="5">
        <v>0</v>
      </c>
      <c r="G324" s="192">
        <v>0</v>
      </c>
      <c r="H324" s="192">
        <v>0</v>
      </c>
      <c r="I324" s="5">
        <v>0</v>
      </c>
      <c r="J324" s="192">
        <v>0</v>
      </c>
      <c r="K324" s="192">
        <v>0</v>
      </c>
      <c r="L324" s="5">
        <v>0</v>
      </c>
      <c r="M324" s="5">
        <v>0</v>
      </c>
      <c r="N324" s="4" t="e">
        <f t="shared" si="31"/>
        <v>#N/A</v>
      </c>
      <c r="O324" s="4" t="e">
        <f>IF(ROUND(10.499-(((N324-VLOOKUP($C324,Lookups!$A$55:$D$64,3))/(VLOOKUP($C324,Lookups!$A$55:$D$64,4))*VLOOKUP($C324,Lookups!$C$2:$D$11,2))),0)&lt;1,1,IF(ROUND(10.499-(((N324-VLOOKUP($C324,Lookups!$A$55:$D$64,3))/(VLOOKUP($C324,Lookups!$A$55:$D$64,4))*VLOOKUP($C324,Lookups!$C$2:$D$11,2))),0)&lt;11,ROUND(10.499-(((N324-VLOOKUP($C324,Lookups!$A$55:$D$64,3))/(VLOOKUP($C324,Lookups!$A$55:$D$64,4))*VLOOKUP($C324,Lookups!$C$2:$D$11,2))),0),10))</f>
        <v>#N/A</v>
      </c>
      <c r="P324" s="13" t="str">
        <f>IF((SUM(F324:M324)=0),"J",VLOOKUP(O324,Lookups!$A$1:$B$11,2))</f>
        <v>J</v>
      </c>
      <c r="Q324" s="8" t="e">
        <f>VLOOKUP(C324,Lookups!$A$136:$C$144,3)</f>
        <v>#N/A</v>
      </c>
      <c r="R324" s="8" t="e">
        <f>VLOOKUP(C324,Lookups!$A$136:$C$144,2)</f>
        <v>#N/A</v>
      </c>
      <c r="S324" s="4" t="str">
        <f t="shared" si="27"/>
        <v>No</v>
      </c>
      <c r="T324" s="125">
        <f t="shared" si="28"/>
        <v>0</v>
      </c>
      <c r="U324" s="125">
        <f t="shared" si="29"/>
        <v>0</v>
      </c>
      <c r="V324" s="4" t="e">
        <f>IF($Q324&lt;&gt;3,VLOOKUP(F324,'Points Table A'!B$3:$F$33,5),VLOOKUP(F324,'Points Table A'!H$3:$L$33,5))</f>
        <v>#N/A</v>
      </c>
      <c r="W324" s="4" t="e">
        <f>IF($Q324&lt;&gt;3,VLOOKUP(G324,'Points Table A'!C$3:$F$33,4),VLOOKUP(G324,'Points Table A'!I$3:$L$33,4))</f>
        <v>#N/A</v>
      </c>
      <c r="X324" s="4" t="e">
        <f>IF($Q324&lt;&gt;3,VLOOKUP(H324,'Points Table A'!D$3:$F$28,3),VLOOKUP(H324,'Points Table A'!J$3:$L$33,3))</f>
        <v>#N/A</v>
      </c>
      <c r="Y324" s="4" t="e">
        <f>IF($Q324&lt;&gt;3,VLOOKUP(I324,'Points Table A'!E$3:$F$33,2),VLOOKUP(I324,'Points Table A'!K$3:$L$33,2))</f>
        <v>#N/A</v>
      </c>
      <c r="Z324" s="4" t="e">
        <f t="shared" si="30"/>
        <v>#N/A</v>
      </c>
      <c r="AA324" s="4">
        <f>IF($S324=Lookups!$B$113,VLOOKUP(L324,'Points Table C'!A$3:$E$11,5),VLOOKUP(U324,'Points Table C'!B$3:$E$11,4))</f>
        <v>0</v>
      </c>
      <c r="AB324" s="4" t="e">
        <f>IF($Q324=1,0,VLOOKUP($J324,'Points Table C'!$C$3:$E$18,3))</f>
        <v>#N/A</v>
      </c>
      <c r="AC324" s="4">
        <f>VLOOKUP($K324,'Points Table C'!$D$3:$E$18,2)</f>
        <v>0</v>
      </c>
      <c r="AD324" s="4" t="e">
        <f>IF($Z324&lt;Lookups!$C$106,($AA324+AB324+AC324),IF($AA324&gt;=Lookups!$C$120,($AA324+AB324+AC324),$AA324+$AB324))</f>
        <v>#N/A</v>
      </c>
      <c r="AF324" s="7"/>
      <c r="AG324" s="7"/>
      <c r="AH324" s="7"/>
      <c r="AI324" s="7"/>
      <c r="AJ324" s="7"/>
      <c r="AK324" s="7"/>
      <c r="AL324" s="7"/>
      <c r="AM324" s="7"/>
      <c r="AN324" s="7"/>
      <c r="AO324" s="7"/>
      <c r="AP324" s="7"/>
      <c r="AQ324" s="7"/>
      <c r="AR324" s="7"/>
      <c r="AS324" s="7"/>
      <c r="AT324" s="7"/>
      <c r="AU324" s="7"/>
      <c r="AV324" s="7"/>
      <c r="AW324" s="7"/>
      <c r="AY324" s="7"/>
      <c r="AZ324" s="7"/>
      <c r="BA324" s="7"/>
      <c r="BB324" s="7"/>
    </row>
    <row r="325" spans="2:54" x14ac:dyDescent="0.2">
      <c r="B325" s="174"/>
      <c r="C325" s="176"/>
      <c r="F325" s="5">
        <v>0</v>
      </c>
      <c r="G325" s="192">
        <v>0</v>
      </c>
      <c r="H325" s="192">
        <v>0</v>
      </c>
      <c r="I325" s="5">
        <v>0</v>
      </c>
      <c r="J325" s="192">
        <v>0</v>
      </c>
      <c r="K325" s="192">
        <v>0</v>
      </c>
      <c r="L325" s="5">
        <v>0</v>
      </c>
      <c r="M325" s="5">
        <v>0</v>
      </c>
      <c r="N325" s="4" t="e">
        <f t="shared" si="31"/>
        <v>#N/A</v>
      </c>
      <c r="O325" s="4" t="e">
        <f>IF(ROUND(10.499-(((N325-VLOOKUP($C325,Lookups!$A$55:$D$64,3))/(VLOOKUP($C325,Lookups!$A$55:$D$64,4))*VLOOKUP($C325,Lookups!$C$2:$D$11,2))),0)&lt;1,1,IF(ROUND(10.499-(((N325-VLOOKUP($C325,Lookups!$A$55:$D$64,3))/(VLOOKUP($C325,Lookups!$A$55:$D$64,4))*VLOOKUP($C325,Lookups!$C$2:$D$11,2))),0)&lt;11,ROUND(10.499-(((N325-VLOOKUP($C325,Lookups!$A$55:$D$64,3))/(VLOOKUP($C325,Lookups!$A$55:$D$64,4))*VLOOKUP($C325,Lookups!$C$2:$D$11,2))),0),10))</f>
        <v>#N/A</v>
      </c>
      <c r="P325" s="13" t="str">
        <f>IF((SUM(F325:M325)=0),"J",VLOOKUP(O325,Lookups!$A$1:$B$11,2))</f>
        <v>J</v>
      </c>
      <c r="Q325" s="8" t="e">
        <f>VLOOKUP(C325,Lookups!$A$136:$C$144,3)</f>
        <v>#N/A</v>
      </c>
      <c r="R325" s="8" t="e">
        <f>VLOOKUP(C325,Lookups!$A$136:$C$144,2)</f>
        <v>#N/A</v>
      </c>
      <c r="S325" s="4" t="str">
        <f t="shared" si="27"/>
        <v>No</v>
      </c>
      <c r="T325" s="125">
        <f t="shared" si="28"/>
        <v>0</v>
      </c>
      <c r="U325" s="125">
        <f t="shared" si="29"/>
        <v>0</v>
      </c>
      <c r="V325" s="4" t="e">
        <f>IF($Q325&lt;&gt;3,VLOOKUP(F325,'Points Table A'!B$3:$F$33,5),VLOOKUP(F325,'Points Table A'!H$3:$L$33,5))</f>
        <v>#N/A</v>
      </c>
      <c r="W325" s="4" t="e">
        <f>IF($Q325&lt;&gt;3,VLOOKUP(G325,'Points Table A'!C$3:$F$33,4),VLOOKUP(G325,'Points Table A'!I$3:$L$33,4))</f>
        <v>#N/A</v>
      </c>
      <c r="X325" s="4" t="e">
        <f>IF($Q325&lt;&gt;3,VLOOKUP(H325,'Points Table A'!D$3:$F$28,3),VLOOKUP(H325,'Points Table A'!J$3:$L$33,3))</f>
        <v>#N/A</v>
      </c>
      <c r="Y325" s="4" t="e">
        <f>IF($Q325&lt;&gt;3,VLOOKUP(I325,'Points Table A'!E$3:$F$33,2),VLOOKUP(I325,'Points Table A'!K$3:$L$33,2))</f>
        <v>#N/A</v>
      </c>
      <c r="Z325" s="4" t="e">
        <f t="shared" si="30"/>
        <v>#N/A</v>
      </c>
      <c r="AA325" s="4">
        <f>IF($S325=Lookups!$B$113,VLOOKUP(L325,'Points Table C'!A$3:$E$11,5),VLOOKUP(U325,'Points Table C'!B$3:$E$11,4))</f>
        <v>0</v>
      </c>
      <c r="AB325" s="4" t="e">
        <f>IF($Q325=1,0,VLOOKUP($J325,'Points Table C'!$C$3:$E$18,3))</f>
        <v>#N/A</v>
      </c>
      <c r="AC325" s="4">
        <f>VLOOKUP($K325,'Points Table C'!$D$3:$E$18,2)</f>
        <v>0</v>
      </c>
      <c r="AD325" s="4" t="e">
        <f>IF($Z325&lt;Lookups!$C$106,($AA325+AB325+AC325),IF($AA325&gt;=Lookups!$C$120,($AA325+AB325+AC325),$AA325+$AB325))</f>
        <v>#N/A</v>
      </c>
      <c r="AF325" s="7"/>
      <c r="AG325" s="7"/>
      <c r="AH325" s="7"/>
      <c r="AI325" s="7"/>
      <c r="AJ325" s="7"/>
      <c r="AK325" s="7"/>
      <c r="AL325" s="7"/>
      <c r="AM325" s="7"/>
      <c r="AN325" s="7"/>
      <c r="AO325" s="7"/>
      <c r="AP325" s="7"/>
      <c r="AQ325" s="7"/>
      <c r="AR325" s="7"/>
      <c r="AS325" s="7"/>
      <c r="AT325" s="7"/>
      <c r="AU325" s="7"/>
      <c r="AV325" s="7"/>
      <c r="AW325" s="7"/>
      <c r="AY325" s="7"/>
      <c r="AZ325" s="7"/>
      <c r="BA325" s="7"/>
      <c r="BB325" s="7"/>
    </row>
    <row r="326" spans="2:54" x14ac:dyDescent="0.2">
      <c r="B326" s="174"/>
      <c r="C326" s="176"/>
      <c r="F326" s="5">
        <v>0</v>
      </c>
      <c r="G326" s="192">
        <v>0</v>
      </c>
      <c r="H326" s="192">
        <v>0</v>
      </c>
      <c r="I326" s="5">
        <v>0</v>
      </c>
      <c r="J326" s="192">
        <v>0</v>
      </c>
      <c r="K326" s="192">
        <v>0</v>
      </c>
      <c r="L326" s="5">
        <v>0</v>
      </c>
      <c r="M326" s="5">
        <v>0</v>
      </c>
      <c r="N326" s="4" t="e">
        <f t="shared" si="31"/>
        <v>#N/A</v>
      </c>
      <c r="O326" s="4" t="e">
        <f>IF(ROUND(10.499-(((N326-VLOOKUP($C326,Lookups!$A$55:$D$64,3))/(VLOOKUP($C326,Lookups!$A$55:$D$64,4))*VLOOKUP($C326,Lookups!$C$2:$D$11,2))),0)&lt;1,1,IF(ROUND(10.499-(((N326-VLOOKUP($C326,Lookups!$A$55:$D$64,3))/(VLOOKUP($C326,Lookups!$A$55:$D$64,4))*VLOOKUP($C326,Lookups!$C$2:$D$11,2))),0)&lt;11,ROUND(10.499-(((N326-VLOOKUP($C326,Lookups!$A$55:$D$64,3))/(VLOOKUP($C326,Lookups!$A$55:$D$64,4))*VLOOKUP($C326,Lookups!$C$2:$D$11,2))),0),10))</f>
        <v>#N/A</v>
      </c>
      <c r="P326" s="13" t="str">
        <f>IF((SUM(F326:M326)=0),"J",VLOOKUP(O326,Lookups!$A$1:$B$11,2))</f>
        <v>J</v>
      </c>
      <c r="Q326" s="8" t="e">
        <f>VLOOKUP(C326,Lookups!$A$136:$C$144,3)</f>
        <v>#N/A</v>
      </c>
      <c r="R326" s="8" t="e">
        <f>VLOOKUP(C326,Lookups!$A$136:$C$144,2)</f>
        <v>#N/A</v>
      </c>
      <c r="S326" s="4" t="str">
        <f t="shared" si="27"/>
        <v>No</v>
      </c>
      <c r="T326" s="125">
        <f t="shared" si="28"/>
        <v>0</v>
      </c>
      <c r="U326" s="125">
        <f t="shared" si="29"/>
        <v>0</v>
      </c>
      <c r="V326" s="4" t="e">
        <f>IF($Q326&lt;&gt;3,VLOOKUP(F326,'Points Table A'!B$3:$F$33,5),VLOOKUP(F326,'Points Table A'!H$3:$L$33,5))</f>
        <v>#N/A</v>
      </c>
      <c r="W326" s="4" t="e">
        <f>IF($Q326&lt;&gt;3,VLOOKUP(G326,'Points Table A'!C$3:$F$33,4),VLOOKUP(G326,'Points Table A'!I$3:$L$33,4))</f>
        <v>#N/A</v>
      </c>
      <c r="X326" s="4" t="e">
        <f>IF($Q326&lt;&gt;3,VLOOKUP(H326,'Points Table A'!D$3:$F$28,3),VLOOKUP(H326,'Points Table A'!J$3:$L$33,3))</f>
        <v>#N/A</v>
      </c>
      <c r="Y326" s="4" t="e">
        <f>IF($Q326&lt;&gt;3,VLOOKUP(I326,'Points Table A'!E$3:$F$33,2),VLOOKUP(I326,'Points Table A'!K$3:$L$33,2))</f>
        <v>#N/A</v>
      </c>
      <c r="Z326" s="4" t="e">
        <f t="shared" si="30"/>
        <v>#N/A</v>
      </c>
      <c r="AA326" s="4">
        <f>IF($S326=Lookups!$B$113,VLOOKUP(L326,'Points Table C'!A$3:$E$11,5),VLOOKUP(U326,'Points Table C'!B$3:$E$11,4))</f>
        <v>0</v>
      </c>
      <c r="AB326" s="4" t="e">
        <f>IF($Q326=1,0,VLOOKUP($J326,'Points Table C'!$C$3:$E$18,3))</f>
        <v>#N/A</v>
      </c>
      <c r="AC326" s="4">
        <f>VLOOKUP($K326,'Points Table C'!$D$3:$E$18,2)</f>
        <v>0</v>
      </c>
      <c r="AD326" s="4" t="e">
        <f>IF($Z326&lt;Lookups!$C$106,($AA326+AB326+AC326),IF($AA326&gt;=Lookups!$C$120,($AA326+AB326+AC326),$AA326+$AB326))</f>
        <v>#N/A</v>
      </c>
      <c r="AF326" s="7"/>
      <c r="AG326" s="7"/>
      <c r="AH326" s="7"/>
      <c r="AI326" s="7"/>
      <c r="AJ326" s="7"/>
      <c r="AK326" s="7"/>
      <c r="AL326" s="7"/>
      <c r="AM326" s="7"/>
      <c r="AN326" s="7"/>
      <c r="AO326" s="7"/>
      <c r="AP326" s="7"/>
      <c r="AQ326" s="7"/>
      <c r="AR326" s="7"/>
      <c r="AS326" s="7"/>
      <c r="AT326" s="7"/>
      <c r="AU326" s="7"/>
      <c r="AV326" s="7"/>
      <c r="AW326" s="7"/>
      <c r="AY326" s="7"/>
      <c r="AZ326" s="7"/>
      <c r="BA326" s="7"/>
      <c r="BB326" s="7"/>
    </row>
    <row r="327" spans="2:54" x14ac:dyDescent="0.2">
      <c r="B327" s="174"/>
      <c r="C327" s="176"/>
      <c r="F327" s="5">
        <v>0</v>
      </c>
      <c r="G327" s="192">
        <v>0</v>
      </c>
      <c r="H327" s="192">
        <v>0</v>
      </c>
      <c r="I327" s="5">
        <v>0</v>
      </c>
      <c r="J327" s="192">
        <v>0</v>
      </c>
      <c r="K327" s="192">
        <v>0</v>
      </c>
      <c r="L327" s="5">
        <v>0</v>
      </c>
      <c r="M327" s="5">
        <v>0</v>
      </c>
      <c r="N327" s="4" t="e">
        <f t="shared" si="31"/>
        <v>#N/A</v>
      </c>
      <c r="O327" s="4" t="e">
        <f>IF(ROUND(10.499-(((N327-VLOOKUP($C327,Lookups!$A$55:$D$64,3))/(VLOOKUP($C327,Lookups!$A$55:$D$64,4))*VLOOKUP($C327,Lookups!$C$2:$D$11,2))),0)&lt;1,1,IF(ROUND(10.499-(((N327-VLOOKUP($C327,Lookups!$A$55:$D$64,3))/(VLOOKUP($C327,Lookups!$A$55:$D$64,4))*VLOOKUP($C327,Lookups!$C$2:$D$11,2))),0)&lt;11,ROUND(10.499-(((N327-VLOOKUP($C327,Lookups!$A$55:$D$64,3))/(VLOOKUP($C327,Lookups!$A$55:$D$64,4))*VLOOKUP($C327,Lookups!$C$2:$D$11,2))),0),10))</f>
        <v>#N/A</v>
      </c>
      <c r="P327" s="13" t="str">
        <f>IF((SUM(F327:M327)=0),"J",VLOOKUP(O327,Lookups!$A$1:$B$11,2))</f>
        <v>J</v>
      </c>
      <c r="Q327" s="8" t="e">
        <f>VLOOKUP(C327,Lookups!$A$136:$C$144,3)</f>
        <v>#N/A</v>
      </c>
      <c r="R327" s="8" t="e">
        <f>VLOOKUP(C327,Lookups!$A$136:$C$144,2)</f>
        <v>#N/A</v>
      </c>
      <c r="S327" s="4" t="str">
        <f t="shared" si="27"/>
        <v>No</v>
      </c>
      <c r="T327" s="125">
        <f t="shared" si="28"/>
        <v>0</v>
      </c>
      <c r="U327" s="125">
        <f t="shared" si="29"/>
        <v>0</v>
      </c>
      <c r="V327" s="4" t="e">
        <f>IF($Q327&lt;&gt;3,VLOOKUP(F327,'Points Table A'!B$3:$F$33,5),VLOOKUP(F327,'Points Table A'!H$3:$L$33,5))</f>
        <v>#N/A</v>
      </c>
      <c r="W327" s="4" t="e">
        <f>IF($Q327&lt;&gt;3,VLOOKUP(G327,'Points Table A'!C$3:$F$33,4),VLOOKUP(G327,'Points Table A'!I$3:$L$33,4))</f>
        <v>#N/A</v>
      </c>
      <c r="X327" s="4" t="e">
        <f>IF($Q327&lt;&gt;3,VLOOKUP(H327,'Points Table A'!D$3:$F$28,3),VLOOKUP(H327,'Points Table A'!J$3:$L$33,3))</f>
        <v>#N/A</v>
      </c>
      <c r="Y327" s="4" t="e">
        <f>IF($Q327&lt;&gt;3,VLOOKUP(I327,'Points Table A'!E$3:$F$33,2),VLOOKUP(I327,'Points Table A'!K$3:$L$33,2))</f>
        <v>#N/A</v>
      </c>
      <c r="Z327" s="4" t="e">
        <f t="shared" si="30"/>
        <v>#N/A</v>
      </c>
      <c r="AA327" s="4">
        <f>IF($S327=Lookups!$B$113,VLOOKUP(L327,'Points Table C'!A$3:$E$11,5),VLOOKUP(U327,'Points Table C'!B$3:$E$11,4))</f>
        <v>0</v>
      </c>
      <c r="AB327" s="4" t="e">
        <f>IF($Q327=1,0,VLOOKUP($J327,'Points Table C'!$C$3:$E$18,3))</f>
        <v>#N/A</v>
      </c>
      <c r="AC327" s="4">
        <f>VLOOKUP($K327,'Points Table C'!$D$3:$E$18,2)</f>
        <v>0</v>
      </c>
      <c r="AD327" s="4" t="e">
        <f>IF($Z327&lt;Lookups!$C$106,($AA327+AB327+AC327),IF($AA327&gt;=Lookups!$C$120,($AA327+AB327+AC327),$AA327+$AB327))</f>
        <v>#N/A</v>
      </c>
      <c r="AF327" s="7"/>
      <c r="AG327" s="7"/>
      <c r="AH327" s="7"/>
      <c r="AI327" s="7"/>
      <c r="AJ327" s="7"/>
      <c r="AK327" s="7"/>
      <c r="AL327" s="7"/>
      <c r="AM327" s="7"/>
      <c r="AN327" s="7"/>
      <c r="AO327" s="7"/>
      <c r="AP327" s="7"/>
      <c r="AQ327" s="7"/>
      <c r="AR327" s="7"/>
      <c r="AS327" s="7"/>
      <c r="AT327" s="7"/>
      <c r="AU327" s="7"/>
      <c r="AV327" s="7"/>
      <c r="AW327" s="7"/>
      <c r="AY327" s="7"/>
      <c r="AZ327" s="7"/>
      <c r="BA327" s="7"/>
      <c r="BB327" s="7"/>
    </row>
    <row r="328" spans="2:54" x14ac:dyDescent="0.2">
      <c r="B328" s="174"/>
      <c r="C328" s="176"/>
      <c r="F328" s="5">
        <v>0</v>
      </c>
      <c r="G328" s="192">
        <v>0</v>
      </c>
      <c r="H328" s="192">
        <v>0</v>
      </c>
      <c r="I328" s="5">
        <v>0</v>
      </c>
      <c r="J328" s="192">
        <v>0</v>
      </c>
      <c r="K328" s="192">
        <v>0</v>
      </c>
      <c r="L328" s="5">
        <v>0</v>
      </c>
      <c r="M328" s="5">
        <v>0</v>
      </c>
      <c r="N328" s="4" t="e">
        <f t="shared" si="31"/>
        <v>#N/A</v>
      </c>
      <c r="O328" s="4" t="e">
        <f>IF(ROUND(10.499-(((N328-VLOOKUP($C328,Lookups!$A$55:$D$64,3))/(VLOOKUP($C328,Lookups!$A$55:$D$64,4))*VLOOKUP($C328,Lookups!$C$2:$D$11,2))),0)&lt;1,1,IF(ROUND(10.499-(((N328-VLOOKUP($C328,Lookups!$A$55:$D$64,3))/(VLOOKUP($C328,Lookups!$A$55:$D$64,4))*VLOOKUP($C328,Lookups!$C$2:$D$11,2))),0)&lt;11,ROUND(10.499-(((N328-VLOOKUP($C328,Lookups!$A$55:$D$64,3))/(VLOOKUP($C328,Lookups!$A$55:$D$64,4))*VLOOKUP($C328,Lookups!$C$2:$D$11,2))),0),10))</f>
        <v>#N/A</v>
      </c>
      <c r="P328" s="13" t="str">
        <f>IF((SUM(F328:M328)=0),"J",VLOOKUP(O328,Lookups!$A$1:$B$11,2))</f>
        <v>J</v>
      </c>
      <c r="Q328" s="8" t="e">
        <f>VLOOKUP(C328,Lookups!$A$136:$C$144,3)</f>
        <v>#N/A</v>
      </c>
      <c r="R328" s="8" t="e">
        <f>VLOOKUP(C328,Lookups!$A$136:$C$144,2)</f>
        <v>#N/A</v>
      </c>
      <c r="S328" s="4" t="str">
        <f t="shared" si="27"/>
        <v>No</v>
      </c>
      <c r="T328" s="125">
        <f t="shared" si="28"/>
        <v>0</v>
      </c>
      <c r="U328" s="125">
        <f t="shared" si="29"/>
        <v>0</v>
      </c>
      <c r="V328" s="4" t="e">
        <f>IF($Q328&lt;&gt;3,VLOOKUP(F328,'Points Table A'!B$3:$F$33,5),VLOOKUP(F328,'Points Table A'!H$3:$L$33,5))</f>
        <v>#N/A</v>
      </c>
      <c r="W328" s="4" t="e">
        <f>IF($Q328&lt;&gt;3,VLOOKUP(G328,'Points Table A'!C$3:$F$33,4),VLOOKUP(G328,'Points Table A'!I$3:$L$33,4))</f>
        <v>#N/A</v>
      </c>
      <c r="X328" s="4" t="e">
        <f>IF($Q328&lt;&gt;3,VLOOKUP(H328,'Points Table A'!D$3:$F$28,3),VLOOKUP(H328,'Points Table A'!J$3:$L$33,3))</f>
        <v>#N/A</v>
      </c>
      <c r="Y328" s="4" t="e">
        <f>IF($Q328&lt;&gt;3,VLOOKUP(I328,'Points Table A'!E$3:$F$33,2),VLOOKUP(I328,'Points Table A'!K$3:$L$33,2))</f>
        <v>#N/A</v>
      </c>
      <c r="Z328" s="4" t="e">
        <f t="shared" si="30"/>
        <v>#N/A</v>
      </c>
      <c r="AA328" s="4">
        <f>IF($S328=Lookups!$B$113,VLOOKUP(L328,'Points Table C'!A$3:$E$11,5),VLOOKUP(U328,'Points Table C'!B$3:$E$11,4))</f>
        <v>0</v>
      </c>
      <c r="AB328" s="4" t="e">
        <f>IF($Q328=1,0,VLOOKUP($J328,'Points Table C'!$C$3:$E$18,3))</f>
        <v>#N/A</v>
      </c>
      <c r="AC328" s="4">
        <f>VLOOKUP($K328,'Points Table C'!$D$3:$E$18,2)</f>
        <v>0</v>
      </c>
      <c r="AD328" s="4" t="e">
        <f>IF($Z328&lt;Lookups!$C$106,($AA328+AB328+AC328),IF($AA328&gt;=Lookups!$C$120,($AA328+AB328+AC328),$AA328+$AB328))</f>
        <v>#N/A</v>
      </c>
      <c r="AF328" s="7"/>
      <c r="AG328" s="7"/>
      <c r="AH328" s="7"/>
      <c r="AI328" s="7"/>
      <c r="AJ328" s="7"/>
      <c r="AK328" s="7"/>
      <c r="AL328" s="7"/>
      <c r="AM328" s="7"/>
      <c r="AN328" s="7"/>
      <c r="AO328" s="7"/>
      <c r="AP328" s="7"/>
      <c r="AQ328" s="7"/>
      <c r="AR328" s="7"/>
      <c r="AS328" s="7"/>
      <c r="AT328" s="7"/>
      <c r="AU328" s="7"/>
      <c r="AV328" s="7"/>
      <c r="AW328" s="7"/>
      <c r="AY328" s="7"/>
      <c r="AZ328" s="7"/>
      <c r="BA328" s="7"/>
      <c r="BB328" s="7"/>
    </row>
    <row r="329" spans="2:54" x14ac:dyDescent="0.2">
      <c r="B329" s="174"/>
      <c r="C329" s="176"/>
      <c r="F329" s="5">
        <v>0</v>
      </c>
      <c r="G329" s="192">
        <v>0</v>
      </c>
      <c r="H329" s="192">
        <v>0</v>
      </c>
      <c r="I329" s="5">
        <v>0</v>
      </c>
      <c r="J329" s="192">
        <v>0</v>
      </c>
      <c r="K329" s="192">
        <v>0</v>
      </c>
      <c r="L329" s="5">
        <v>0</v>
      </c>
      <c r="M329" s="5">
        <v>0</v>
      </c>
      <c r="N329" s="4" t="e">
        <f t="shared" si="31"/>
        <v>#N/A</v>
      </c>
      <c r="O329" s="4" t="e">
        <f>IF(ROUND(10.499-(((N329-VLOOKUP($C329,Lookups!$A$55:$D$64,3))/(VLOOKUP($C329,Lookups!$A$55:$D$64,4))*VLOOKUP($C329,Lookups!$C$2:$D$11,2))),0)&lt;1,1,IF(ROUND(10.499-(((N329-VLOOKUP($C329,Lookups!$A$55:$D$64,3))/(VLOOKUP($C329,Lookups!$A$55:$D$64,4))*VLOOKUP($C329,Lookups!$C$2:$D$11,2))),0)&lt;11,ROUND(10.499-(((N329-VLOOKUP($C329,Lookups!$A$55:$D$64,3))/(VLOOKUP($C329,Lookups!$A$55:$D$64,4))*VLOOKUP($C329,Lookups!$C$2:$D$11,2))),0),10))</f>
        <v>#N/A</v>
      </c>
      <c r="P329" s="13" t="str">
        <f>IF((SUM(F329:M329)=0),"J",VLOOKUP(O329,Lookups!$A$1:$B$11,2))</f>
        <v>J</v>
      </c>
      <c r="Q329" s="8" t="e">
        <f>VLOOKUP(C329,Lookups!$A$136:$C$144,3)</f>
        <v>#N/A</v>
      </c>
      <c r="R329" s="8" t="e">
        <f>VLOOKUP(C329,Lookups!$A$136:$C$144,2)</f>
        <v>#N/A</v>
      </c>
      <c r="S329" s="4" t="str">
        <f t="shared" si="27"/>
        <v>No</v>
      </c>
      <c r="T329" s="125">
        <f t="shared" si="28"/>
        <v>0</v>
      </c>
      <c r="U329" s="125">
        <f t="shared" si="29"/>
        <v>0</v>
      </c>
      <c r="V329" s="4" t="e">
        <f>IF($Q329&lt;&gt;3,VLOOKUP(F329,'Points Table A'!B$3:$F$33,5),VLOOKUP(F329,'Points Table A'!H$3:$L$33,5))</f>
        <v>#N/A</v>
      </c>
      <c r="W329" s="4" t="e">
        <f>IF($Q329&lt;&gt;3,VLOOKUP(G329,'Points Table A'!C$3:$F$33,4),VLOOKUP(G329,'Points Table A'!I$3:$L$33,4))</f>
        <v>#N/A</v>
      </c>
      <c r="X329" s="4" t="e">
        <f>IF($Q329&lt;&gt;3,VLOOKUP(H329,'Points Table A'!D$3:$F$28,3),VLOOKUP(H329,'Points Table A'!J$3:$L$33,3))</f>
        <v>#N/A</v>
      </c>
      <c r="Y329" s="4" t="e">
        <f>IF($Q329&lt;&gt;3,VLOOKUP(I329,'Points Table A'!E$3:$F$33,2),VLOOKUP(I329,'Points Table A'!K$3:$L$33,2))</f>
        <v>#N/A</v>
      </c>
      <c r="Z329" s="4" t="e">
        <f t="shared" si="30"/>
        <v>#N/A</v>
      </c>
      <c r="AA329" s="4">
        <f>IF($S329=Lookups!$B$113,VLOOKUP(L329,'Points Table C'!A$3:$E$11,5),VLOOKUP(U329,'Points Table C'!B$3:$E$11,4))</f>
        <v>0</v>
      </c>
      <c r="AB329" s="4" t="e">
        <f>IF($Q329=1,0,VLOOKUP($J329,'Points Table C'!$C$3:$E$18,3))</f>
        <v>#N/A</v>
      </c>
      <c r="AC329" s="4">
        <f>VLOOKUP($K329,'Points Table C'!$D$3:$E$18,2)</f>
        <v>0</v>
      </c>
      <c r="AD329" s="4" t="e">
        <f>IF($Z329&lt;Lookups!$C$106,($AA329+AB329+AC329),IF($AA329&gt;=Lookups!$C$120,($AA329+AB329+AC329),$AA329+$AB329))</f>
        <v>#N/A</v>
      </c>
      <c r="AF329" s="7"/>
      <c r="AG329" s="7"/>
      <c r="AH329" s="7"/>
      <c r="AI329" s="7"/>
      <c r="AJ329" s="7"/>
      <c r="AK329" s="7"/>
      <c r="AL329" s="7"/>
      <c r="AM329" s="7"/>
      <c r="AN329" s="7"/>
      <c r="AO329" s="7"/>
      <c r="AP329" s="7"/>
      <c r="AQ329" s="7"/>
      <c r="AR329" s="7"/>
      <c r="AS329" s="7"/>
      <c r="AT329" s="7"/>
      <c r="AU329" s="7"/>
      <c r="AV329" s="7"/>
      <c r="AW329" s="7"/>
      <c r="AY329" s="7"/>
      <c r="AZ329" s="7"/>
      <c r="BA329" s="7"/>
      <c r="BB329" s="7"/>
    </row>
    <row r="330" spans="2:54" x14ac:dyDescent="0.2">
      <c r="B330" s="174"/>
      <c r="C330" s="176"/>
      <c r="F330" s="5">
        <v>0</v>
      </c>
      <c r="G330" s="192">
        <v>0</v>
      </c>
      <c r="H330" s="192">
        <v>0</v>
      </c>
      <c r="I330" s="5">
        <v>0</v>
      </c>
      <c r="J330" s="192">
        <v>0</v>
      </c>
      <c r="K330" s="192">
        <v>0</v>
      </c>
      <c r="L330" s="5">
        <v>0</v>
      </c>
      <c r="M330" s="5">
        <v>0</v>
      </c>
      <c r="N330" s="4" t="e">
        <f t="shared" si="31"/>
        <v>#N/A</v>
      </c>
      <c r="O330" s="4" t="e">
        <f>IF(ROUND(10.499-(((N330-VLOOKUP($C330,Lookups!$A$55:$D$64,3))/(VLOOKUP($C330,Lookups!$A$55:$D$64,4))*VLOOKUP($C330,Lookups!$C$2:$D$11,2))),0)&lt;1,1,IF(ROUND(10.499-(((N330-VLOOKUP($C330,Lookups!$A$55:$D$64,3))/(VLOOKUP($C330,Lookups!$A$55:$D$64,4))*VLOOKUP($C330,Lookups!$C$2:$D$11,2))),0)&lt;11,ROUND(10.499-(((N330-VLOOKUP($C330,Lookups!$A$55:$D$64,3))/(VLOOKUP($C330,Lookups!$A$55:$D$64,4))*VLOOKUP($C330,Lookups!$C$2:$D$11,2))),0),10))</f>
        <v>#N/A</v>
      </c>
      <c r="P330" s="13" t="str">
        <f>IF((SUM(F330:M330)=0),"J",VLOOKUP(O330,Lookups!$A$1:$B$11,2))</f>
        <v>J</v>
      </c>
      <c r="Q330" s="8" t="e">
        <f>VLOOKUP(C330,Lookups!$A$136:$C$144,3)</f>
        <v>#N/A</v>
      </c>
      <c r="R330" s="8" t="e">
        <f>VLOOKUP(C330,Lookups!$A$136:$C$144,2)</f>
        <v>#N/A</v>
      </c>
      <c r="S330" s="4" t="str">
        <f t="shared" si="27"/>
        <v>No</v>
      </c>
      <c r="T330" s="125">
        <f t="shared" si="28"/>
        <v>0</v>
      </c>
      <c r="U330" s="125">
        <f t="shared" si="29"/>
        <v>0</v>
      </c>
      <c r="V330" s="4" t="e">
        <f>IF($Q330&lt;&gt;3,VLOOKUP(F330,'Points Table A'!B$3:$F$33,5),VLOOKUP(F330,'Points Table A'!H$3:$L$33,5))</f>
        <v>#N/A</v>
      </c>
      <c r="W330" s="4" t="e">
        <f>IF($Q330&lt;&gt;3,VLOOKUP(G330,'Points Table A'!C$3:$F$33,4),VLOOKUP(G330,'Points Table A'!I$3:$L$33,4))</f>
        <v>#N/A</v>
      </c>
      <c r="X330" s="4" t="e">
        <f>IF($Q330&lt;&gt;3,VLOOKUP(H330,'Points Table A'!D$3:$F$28,3),VLOOKUP(H330,'Points Table A'!J$3:$L$33,3))</f>
        <v>#N/A</v>
      </c>
      <c r="Y330" s="4" t="e">
        <f>IF($Q330&lt;&gt;3,VLOOKUP(I330,'Points Table A'!E$3:$F$33,2),VLOOKUP(I330,'Points Table A'!K$3:$L$33,2))</f>
        <v>#N/A</v>
      </c>
      <c r="Z330" s="4" t="e">
        <f t="shared" si="30"/>
        <v>#N/A</v>
      </c>
      <c r="AA330" s="4">
        <f>IF($S330=Lookups!$B$113,VLOOKUP(L330,'Points Table C'!A$3:$E$11,5),VLOOKUP(U330,'Points Table C'!B$3:$E$11,4))</f>
        <v>0</v>
      </c>
      <c r="AB330" s="4" t="e">
        <f>IF($Q330=1,0,VLOOKUP($J330,'Points Table C'!$C$3:$E$18,3))</f>
        <v>#N/A</v>
      </c>
      <c r="AC330" s="4">
        <f>VLOOKUP($K330,'Points Table C'!$D$3:$E$18,2)</f>
        <v>0</v>
      </c>
      <c r="AD330" s="4" t="e">
        <f>IF($Z330&lt;Lookups!$C$106,($AA330+AB330+AC330),IF($AA330&gt;=Lookups!$C$120,($AA330+AB330+AC330),$AA330+$AB330))</f>
        <v>#N/A</v>
      </c>
      <c r="AF330" s="7"/>
      <c r="AG330" s="7"/>
      <c r="AH330" s="7"/>
      <c r="AI330" s="7"/>
      <c r="AJ330" s="7"/>
      <c r="AK330" s="7"/>
      <c r="AL330" s="7"/>
      <c r="AM330" s="7"/>
      <c r="AN330" s="7"/>
      <c r="AO330" s="7"/>
      <c r="AP330" s="7"/>
      <c r="AQ330" s="7"/>
      <c r="AR330" s="7"/>
      <c r="AS330" s="7"/>
      <c r="AT330" s="7"/>
      <c r="AU330" s="7"/>
      <c r="AV330" s="7"/>
      <c r="AW330" s="7"/>
      <c r="AY330" s="7"/>
      <c r="AZ330" s="7"/>
      <c r="BA330" s="7"/>
      <c r="BB330" s="7"/>
    </row>
    <row r="331" spans="2:54" x14ac:dyDescent="0.2">
      <c r="B331" s="174"/>
      <c r="C331" s="176"/>
      <c r="F331" s="5">
        <v>0</v>
      </c>
      <c r="G331" s="192">
        <v>0</v>
      </c>
      <c r="H331" s="192">
        <v>0</v>
      </c>
      <c r="I331" s="5">
        <v>0</v>
      </c>
      <c r="J331" s="192">
        <v>0</v>
      </c>
      <c r="K331" s="192">
        <v>0</v>
      </c>
      <c r="L331" s="5">
        <v>0</v>
      </c>
      <c r="M331" s="5">
        <v>0</v>
      </c>
      <c r="N331" s="4" t="e">
        <f t="shared" si="31"/>
        <v>#N/A</v>
      </c>
      <c r="O331" s="4" t="e">
        <f>IF(ROUND(10.499-(((N331-VLOOKUP($C331,Lookups!$A$55:$D$64,3))/(VLOOKUP($C331,Lookups!$A$55:$D$64,4))*VLOOKUP($C331,Lookups!$C$2:$D$11,2))),0)&lt;1,1,IF(ROUND(10.499-(((N331-VLOOKUP($C331,Lookups!$A$55:$D$64,3))/(VLOOKUP($C331,Lookups!$A$55:$D$64,4))*VLOOKUP($C331,Lookups!$C$2:$D$11,2))),0)&lt;11,ROUND(10.499-(((N331-VLOOKUP($C331,Lookups!$A$55:$D$64,3))/(VLOOKUP($C331,Lookups!$A$55:$D$64,4))*VLOOKUP($C331,Lookups!$C$2:$D$11,2))),0),10))</f>
        <v>#N/A</v>
      </c>
      <c r="P331" s="13" t="str">
        <f>IF((SUM(F331:M331)=0),"J",VLOOKUP(O331,Lookups!$A$1:$B$11,2))</f>
        <v>J</v>
      </c>
      <c r="Q331" s="8" t="e">
        <f>VLOOKUP(C331,Lookups!$A$136:$C$144,3)</f>
        <v>#N/A</v>
      </c>
      <c r="R331" s="8" t="e">
        <f>VLOOKUP(C331,Lookups!$A$136:$C$144,2)</f>
        <v>#N/A</v>
      </c>
      <c r="S331" s="4" t="str">
        <f t="shared" si="27"/>
        <v>No</v>
      </c>
      <c r="T331" s="125">
        <f t="shared" si="28"/>
        <v>0</v>
      </c>
      <c r="U331" s="125">
        <f t="shared" si="29"/>
        <v>0</v>
      </c>
      <c r="V331" s="4" t="e">
        <f>IF($Q331&lt;&gt;3,VLOOKUP(F331,'Points Table A'!B$3:$F$33,5),VLOOKUP(F331,'Points Table A'!H$3:$L$33,5))</f>
        <v>#N/A</v>
      </c>
      <c r="W331" s="4" t="e">
        <f>IF($Q331&lt;&gt;3,VLOOKUP(G331,'Points Table A'!C$3:$F$33,4),VLOOKUP(G331,'Points Table A'!I$3:$L$33,4))</f>
        <v>#N/A</v>
      </c>
      <c r="X331" s="4" t="e">
        <f>IF($Q331&lt;&gt;3,VLOOKUP(H331,'Points Table A'!D$3:$F$28,3),VLOOKUP(H331,'Points Table A'!J$3:$L$33,3))</f>
        <v>#N/A</v>
      </c>
      <c r="Y331" s="4" t="e">
        <f>IF($Q331&lt;&gt;3,VLOOKUP(I331,'Points Table A'!E$3:$F$33,2),VLOOKUP(I331,'Points Table A'!K$3:$L$33,2))</f>
        <v>#N/A</v>
      </c>
      <c r="Z331" s="4" t="e">
        <f t="shared" si="30"/>
        <v>#N/A</v>
      </c>
      <c r="AA331" s="4">
        <f>IF($S331=Lookups!$B$113,VLOOKUP(L331,'Points Table C'!A$3:$E$11,5),VLOOKUP(U331,'Points Table C'!B$3:$E$11,4))</f>
        <v>0</v>
      </c>
      <c r="AB331" s="4" t="e">
        <f>IF($Q331=1,0,VLOOKUP($J331,'Points Table C'!$C$3:$E$18,3))</f>
        <v>#N/A</v>
      </c>
      <c r="AC331" s="4">
        <f>VLOOKUP($K331,'Points Table C'!$D$3:$E$18,2)</f>
        <v>0</v>
      </c>
      <c r="AD331" s="4" t="e">
        <f>IF($Z331&lt;Lookups!$C$106,($AA331+AB331+AC331),IF($AA331&gt;=Lookups!$C$120,($AA331+AB331+AC331),$AA331+$AB331))</f>
        <v>#N/A</v>
      </c>
      <c r="AF331" s="7"/>
      <c r="AG331" s="7"/>
      <c r="AH331" s="7"/>
      <c r="AI331" s="7"/>
      <c r="AJ331" s="7"/>
      <c r="AK331" s="7"/>
      <c r="AL331" s="7"/>
      <c r="AM331" s="7"/>
      <c r="AN331" s="7"/>
      <c r="AO331" s="7"/>
      <c r="AP331" s="7"/>
      <c r="AQ331" s="7"/>
      <c r="AR331" s="7"/>
      <c r="AS331" s="7"/>
      <c r="AT331" s="7"/>
      <c r="AU331" s="7"/>
      <c r="AV331" s="7"/>
      <c r="AW331" s="7"/>
      <c r="AY331" s="7"/>
      <c r="AZ331" s="7"/>
      <c r="BA331" s="7"/>
      <c r="BB331" s="7"/>
    </row>
    <row r="332" spans="2:54" x14ac:dyDescent="0.2">
      <c r="B332" s="174"/>
      <c r="C332" s="176"/>
      <c r="F332" s="5">
        <v>0</v>
      </c>
      <c r="G332" s="192">
        <v>0</v>
      </c>
      <c r="H332" s="192">
        <v>0</v>
      </c>
      <c r="I332" s="5">
        <v>0</v>
      </c>
      <c r="J332" s="192">
        <v>0</v>
      </c>
      <c r="K332" s="192">
        <v>0</v>
      </c>
      <c r="L332" s="5">
        <v>0</v>
      </c>
      <c r="M332" s="5">
        <v>0</v>
      </c>
      <c r="N332" s="4" t="e">
        <f t="shared" si="31"/>
        <v>#N/A</v>
      </c>
      <c r="O332" s="4" t="e">
        <f>IF(ROUND(10.499-(((N332-VLOOKUP($C332,Lookups!$A$55:$D$64,3))/(VLOOKUP($C332,Lookups!$A$55:$D$64,4))*VLOOKUP($C332,Lookups!$C$2:$D$11,2))),0)&lt;1,1,IF(ROUND(10.499-(((N332-VLOOKUP($C332,Lookups!$A$55:$D$64,3))/(VLOOKUP($C332,Lookups!$A$55:$D$64,4))*VLOOKUP($C332,Lookups!$C$2:$D$11,2))),0)&lt;11,ROUND(10.499-(((N332-VLOOKUP($C332,Lookups!$A$55:$D$64,3))/(VLOOKUP($C332,Lookups!$A$55:$D$64,4))*VLOOKUP($C332,Lookups!$C$2:$D$11,2))),0),10))</f>
        <v>#N/A</v>
      </c>
      <c r="P332" s="13" t="str">
        <f>IF((SUM(F332:M332)=0),"J",VLOOKUP(O332,Lookups!$A$1:$B$11,2))</f>
        <v>J</v>
      </c>
      <c r="Q332" s="8" t="e">
        <f>VLOOKUP(C332,Lookups!$A$136:$C$144,3)</f>
        <v>#N/A</v>
      </c>
      <c r="R332" s="8" t="e">
        <f>VLOOKUP(C332,Lookups!$A$136:$C$144,2)</f>
        <v>#N/A</v>
      </c>
      <c r="S332" s="4" t="str">
        <f t="shared" si="27"/>
        <v>No</v>
      </c>
      <c r="T332" s="125">
        <f t="shared" si="28"/>
        <v>0</v>
      </c>
      <c r="U332" s="125">
        <f t="shared" si="29"/>
        <v>0</v>
      </c>
      <c r="V332" s="4" t="e">
        <f>IF($Q332&lt;&gt;3,VLOOKUP(F332,'Points Table A'!B$3:$F$33,5),VLOOKUP(F332,'Points Table A'!H$3:$L$33,5))</f>
        <v>#N/A</v>
      </c>
      <c r="W332" s="4" t="e">
        <f>IF($Q332&lt;&gt;3,VLOOKUP(G332,'Points Table A'!C$3:$F$33,4),VLOOKUP(G332,'Points Table A'!I$3:$L$33,4))</f>
        <v>#N/A</v>
      </c>
      <c r="X332" s="4" t="e">
        <f>IF($Q332&lt;&gt;3,VLOOKUP(H332,'Points Table A'!D$3:$F$28,3),VLOOKUP(H332,'Points Table A'!J$3:$L$33,3))</f>
        <v>#N/A</v>
      </c>
      <c r="Y332" s="4" t="e">
        <f>IF($Q332&lt;&gt;3,VLOOKUP(I332,'Points Table A'!E$3:$F$33,2),VLOOKUP(I332,'Points Table A'!K$3:$L$33,2))</f>
        <v>#N/A</v>
      </c>
      <c r="Z332" s="4" t="e">
        <f t="shared" si="30"/>
        <v>#N/A</v>
      </c>
      <c r="AA332" s="4">
        <f>IF($S332=Lookups!$B$113,VLOOKUP(L332,'Points Table C'!A$3:$E$11,5),VLOOKUP(U332,'Points Table C'!B$3:$E$11,4))</f>
        <v>0</v>
      </c>
      <c r="AB332" s="4" t="e">
        <f>IF($Q332=1,0,VLOOKUP($J332,'Points Table C'!$C$3:$E$18,3))</f>
        <v>#N/A</v>
      </c>
      <c r="AC332" s="4">
        <f>VLOOKUP($K332,'Points Table C'!$D$3:$E$18,2)</f>
        <v>0</v>
      </c>
      <c r="AD332" s="4" t="e">
        <f>IF($Z332&lt;Lookups!$C$106,($AA332+AB332+AC332),IF($AA332&gt;=Lookups!$C$120,($AA332+AB332+AC332),$AA332+$AB332))</f>
        <v>#N/A</v>
      </c>
      <c r="AF332" s="7"/>
      <c r="AG332" s="7"/>
      <c r="AH332" s="7"/>
      <c r="AI332" s="7"/>
      <c r="AJ332" s="7"/>
      <c r="AK332" s="7"/>
      <c r="AL332" s="7"/>
      <c r="AM332" s="7"/>
      <c r="AN332" s="7"/>
      <c r="AO332" s="7"/>
      <c r="AP332" s="7"/>
      <c r="AQ332" s="7"/>
      <c r="AR332" s="7"/>
      <c r="AS332" s="7"/>
      <c r="AT332" s="7"/>
      <c r="AU332" s="7"/>
      <c r="AV332" s="7"/>
      <c r="AW332" s="7"/>
      <c r="AY332" s="7"/>
      <c r="AZ332" s="7"/>
      <c r="BA332" s="7"/>
      <c r="BB332" s="7"/>
    </row>
    <row r="333" spans="2:54" x14ac:dyDescent="0.2">
      <c r="B333" s="174"/>
      <c r="C333" s="176"/>
      <c r="F333" s="5">
        <v>0</v>
      </c>
      <c r="G333" s="192">
        <v>0</v>
      </c>
      <c r="H333" s="192">
        <v>0</v>
      </c>
      <c r="I333" s="5">
        <v>0</v>
      </c>
      <c r="J333" s="192">
        <v>0</v>
      </c>
      <c r="K333" s="192">
        <v>0</v>
      </c>
      <c r="L333" s="5">
        <v>0</v>
      </c>
      <c r="M333" s="5">
        <v>0</v>
      </c>
      <c r="N333" s="4" t="e">
        <f t="shared" si="31"/>
        <v>#N/A</v>
      </c>
      <c r="O333" s="4" t="e">
        <f>IF(ROUND(10.499-(((N333-VLOOKUP($C333,Lookups!$A$55:$D$64,3))/(VLOOKUP($C333,Lookups!$A$55:$D$64,4))*VLOOKUP($C333,Lookups!$C$2:$D$11,2))),0)&lt;1,1,IF(ROUND(10.499-(((N333-VLOOKUP($C333,Lookups!$A$55:$D$64,3))/(VLOOKUP($C333,Lookups!$A$55:$D$64,4))*VLOOKUP($C333,Lookups!$C$2:$D$11,2))),0)&lt;11,ROUND(10.499-(((N333-VLOOKUP($C333,Lookups!$A$55:$D$64,3))/(VLOOKUP($C333,Lookups!$A$55:$D$64,4))*VLOOKUP($C333,Lookups!$C$2:$D$11,2))),0),10))</f>
        <v>#N/A</v>
      </c>
      <c r="P333" s="13" t="str">
        <f>IF((SUM(F333:M333)=0),"J",VLOOKUP(O333,Lookups!$A$1:$B$11,2))</f>
        <v>J</v>
      </c>
      <c r="Q333" s="8" t="e">
        <f>VLOOKUP(C333,Lookups!$A$136:$C$144,3)</f>
        <v>#N/A</v>
      </c>
      <c r="R333" s="8" t="e">
        <f>VLOOKUP(C333,Lookups!$A$136:$C$144,2)</f>
        <v>#N/A</v>
      </c>
      <c r="S333" s="4" t="str">
        <f t="shared" si="27"/>
        <v>No</v>
      </c>
      <c r="T333" s="125">
        <f t="shared" si="28"/>
        <v>0</v>
      </c>
      <c r="U333" s="125">
        <f t="shared" si="29"/>
        <v>0</v>
      </c>
      <c r="V333" s="4" t="e">
        <f>IF($Q333&lt;&gt;3,VLOOKUP(F333,'Points Table A'!B$3:$F$33,5),VLOOKUP(F333,'Points Table A'!H$3:$L$33,5))</f>
        <v>#N/A</v>
      </c>
      <c r="W333" s="4" t="e">
        <f>IF($Q333&lt;&gt;3,VLOOKUP(G333,'Points Table A'!C$3:$F$33,4),VLOOKUP(G333,'Points Table A'!I$3:$L$33,4))</f>
        <v>#N/A</v>
      </c>
      <c r="X333" s="4" t="e">
        <f>IF($Q333&lt;&gt;3,VLOOKUP(H333,'Points Table A'!D$3:$F$28,3),VLOOKUP(H333,'Points Table A'!J$3:$L$33,3))</f>
        <v>#N/A</v>
      </c>
      <c r="Y333" s="4" t="e">
        <f>IF($Q333&lt;&gt;3,VLOOKUP(I333,'Points Table A'!E$3:$F$33,2),VLOOKUP(I333,'Points Table A'!K$3:$L$33,2))</f>
        <v>#N/A</v>
      </c>
      <c r="Z333" s="4" t="e">
        <f t="shared" si="30"/>
        <v>#N/A</v>
      </c>
      <c r="AA333" s="4">
        <f>IF($S333=Lookups!$B$113,VLOOKUP(L333,'Points Table C'!A$3:$E$11,5),VLOOKUP(U333,'Points Table C'!B$3:$E$11,4))</f>
        <v>0</v>
      </c>
      <c r="AB333" s="4" t="e">
        <f>IF($Q333=1,0,VLOOKUP($J333,'Points Table C'!$C$3:$E$18,3))</f>
        <v>#N/A</v>
      </c>
      <c r="AC333" s="4">
        <f>VLOOKUP($K333,'Points Table C'!$D$3:$E$18,2)</f>
        <v>0</v>
      </c>
      <c r="AD333" s="4" t="e">
        <f>IF($Z333&lt;Lookups!$C$106,($AA333+AB333+AC333),IF($AA333&gt;=Lookups!$C$120,($AA333+AB333+AC333),$AA333+$AB333))</f>
        <v>#N/A</v>
      </c>
      <c r="AF333" s="7"/>
      <c r="AG333" s="7"/>
      <c r="AH333" s="7"/>
      <c r="AI333" s="7"/>
      <c r="AJ333" s="7"/>
      <c r="AK333" s="7"/>
      <c r="AL333" s="7"/>
      <c r="AM333" s="7"/>
      <c r="AN333" s="7"/>
      <c r="AO333" s="7"/>
      <c r="AP333" s="7"/>
      <c r="AQ333" s="7"/>
      <c r="AR333" s="7"/>
      <c r="AS333" s="7"/>
      <c r="AT333" s="7"/>
      <c r="AU333" s="7"/>
      <c r="AV333" s="7"/>
      <c r="AW333" s="7"/>
      <c r="AY333" s="7"/>
      <c r="AZ333" s="7"/>
      <c r="BA333" s="7"/>
      <c r="BB333" s="7"/>
    </row>
    <row r="334" spans="2:54" x14ac:dyDescent="0.2">
      <c r="B334" s="174"/>
      <c r="C334" s="176"/>
      <c r="F334" s="5">
        <v>0</v>
      </c>
      <c r="G334" s="192">
        <v>0</v>
      </c>
      <c r="H334" s="192">
        <v>0</v>
      </c>
      <c r="I334" s="5">
        <v>0</v>
      </c>
      <c r="J334" s="192">
        <v>0</v>
      </c>
      <c r="K334" s="192">
        <v>0</v>
      </c>
      <c r="L334" s="5">
        <v>0</v>
      </c>
      <c r="M334" s="5">
        <v>0</v>
      </c>
      <c r="N334" s="4" t="e">
        <f t="shared" si="31"/>
        <v>#N/A</v>
      </c>
      <c r="O334" s="4" t="e">
        <f>IF(ROUND(10.499-(((N334-VLOOKUP($C334,Lookups!$A$55:$D$64,3))/(VLOOKUP($C334,Lookups!$A$55:$D$64,4))*VLOOKUP($C334,Lookups!$C$2:$D$11,2))),0)&lt;1,1,IF(ROUND(10.499-(((N334-VLOOKUP($C334,Lookups!$A$55:$D$64,3))/(VLOOKUP($C334,Lookups!$A$55:$D$64,4))*VLOOKUP($C334,Lookups!$C$2:$D$11,2))),0)&lt;11,ROUND(10.499-(((N334-VLOOKUP($C334,Lookups!$A$55:$D$64,3))/(VLOOKUP($C334,Lookups!$A$55:$D$64,4))*VLOOKUP($C334,Lookups!$C$2:$D$11,2))),0),10))</f>
        <v>#N/A</v>
      </c>
      <c r="P334" s="13" t="str">
        <f>IF((SUM(F334:M334)=0),"J",VLOOKUP(O334,Lookups!$A$1:$B$11,2))</f>
        <v>J</v>
      </c>
      <c r="Q334" s="8" t="e">
        <f>VLOOKUP(C334,Lookups!$A$136:$C$144,3)</f>
        <v>#N/A</v>
      </c>
      <c r="R334" s="8" t="e">
        <f>VLOOKUP(C334,Lookups!$A$136:$C$144,2)</f>
        <v>#N/A</v>
      </c>
      <c r="S334" s="4" t="str">
        <f t="shared" si="27"/>
        <v>No</v>
      </c>
      <c r="T334" s="125">
        <f t="shared" si="28"/>
        <v>0</v>
      </c>
      <c r="U334" s="125">
        <f t="shared" si="29"/>
        <v>0</v>
      </c>
      <c r="V334" s="4" t="e">
        <f>IF($Q334&lt;&gt;3,VLOOKUP(F334,'Points Table A'!B$3:$F$33,5),VLOOKUP(F334,'Points Table A'!H$3:$L$33,5))</f>
        <v>#N/A</v>
      </c>
      <c r="W334" s="4" t="e">
        <f>IF($Q334&lt;&gt;3,VLOOKUP(G334,'Points Table A'!C$3:$F$33,4),VLOOKUP(G334,'Points Table A'!I$3:$L$33,4))</f>
        <v>#N/A</v>
      </c>
      <c r="X334" s="4" t="e">
        <f>IF($Q334&lt;&gt;3,VLOOKUP(H334,'Points Table A'!D$3:$F$28,3),VLOOKUP(H334,'Points Table A'!J$3:$L$33,3))</f>
        <v>#N/A</v>
      </c>
      <c r="Y334" s="4" t="e">
        <f>IF($Q334&lt;&gt;3,VLOOKUP(I334,'Points Table A'!E$3:$F$33,2),VLOOKUP(I334,'Points Table A'!K$3:$L$33,2))</f>
        <v>#N/A</v>
      </c>
      <c r="Z334" s="4" t="e">
        <f t="shared" si="30"/>
        <v>#N/A</v>
      </c>
      <c r="AA334" s="4">
        <f>IF($S334=Lookups!$B$113,VLOOKUP(L334,'Points Table C'!A$3:$E$11,5),VLOOKUP(U334,'Points Table C'!B$3:$E$11,4))</f>
        <v>0</v>
      </c>
      <c r="AB334" s="4" t="e">
        <f>IF($Q334=1,0,VLOOKUP($J334,'Points Table C'!$C$3:$E$18,3))</f>
        <v>#N/A</v>
      </c>
      <c r="AC334" s="4">
        <f>VLOOKUP($K334,'Points Table C'!$D$3:$E$18,2)</f>
        <v>0</v>
      </c>
      <c r="AD334" s="4" t="e">
        <f>IF($Z334&lt;Lookups!$C$106,($AA334+AB334+AC334),IF($AA334&gt;=Lookups!$C$120,($AA334+AB334+AC334),$AA334+$AB334))</f>
        <v>#N/A</v>
      </c>
      <c r="AF334" s="7"/>
      <c r="AG334" s="7"/>
      <c r="AH334" s="7"/>
      <c r="AI334" s="7"/>
      <c r="AJ334" s="7"/>
      <c r="AK334" s="7"/>
      <c r="AL334" s="7"/>
      <c r="AM334" s="7"/>
      <c r="AN334" s="7"/>
      <c r="AO334" s="7"/>
      <c r="AP334" s="7"/>
      <c r="AQ334" s="7"/>
      <c r="AR334" s="7"/>
      <c r="AS334" s="7"/>
      <c r="AT334" s="7"/>
      <c r="AU334" s="7"/>
      <c r="AV334" s="7"/>
      <c r="AW334" s="7"/>
      <c r="AY334" s="7"/>
      <c r="AZ334" s="7"/>
      <c r="BA334" s="7"/>
      <c r="BB334" s="7"/>
    </row>
    <row r="335" spans="2:54" x14ac:dyDescent="0.2">
      <c r="B335" s="174"/>
      <c r="C335" s="176"/>
      <c r="F335" s="5">
        <v>0</v>
      </c>
      <c r="G335" s="192">
        <v>0</v>
      </c>
      <c r="H335" s="192">
        <v>0</v>
      </c>
      <c r="I335" s="5">
        <v>0</v>
      </c>
      <c r="J335" s="192">
        <v>0</v>
      </c>
      <c r="K335" s="192">
        <v>0</v>
      </c>
      <c r="L335" s="5">
        <v>0</v>
      </c>
      <c r="M335" s="5">
        <v>0</v>
      </c>
      <c r="N335" s="4" t="e">
        <f t="shared" si="31"/>
        <v>#N/A</v>
      </c>
      <c r="O335" s="4" t="e">
        <f>IF(ROUND(10.499-(((N335-VLOOKUP($C335,Lookups!$A$55:$D$64,3))/(VLOOKUP($C335,Lookups!$A$55:$D$64,4))*VLOOKUP($C335,Lookups!$C$2:$D$11,2))),0)&lt;1,1,IF(ROUND(10.499-(((N335-VLOOKUP($C335,Lookups!$A$55:$D$64,3))/(VLOOKUP($C335,Lookups!$A$55:$D$64,4))*VLOOKUP($C335,Lookups!$C$2:$D$11,2))),0)&lt;11,ROUND(10.499-(((N335-VLOOKUP($C335,Lookups!$A$55:$D$64,3))/(VLOOKUP($C335,Lookups!$A$55:$D$64,4))*VLOOKUP($C335,Lookups!$C$2:$D$11,2))),0),10))</f>
        <v>#N/A</v>
      </c>
      <c r="P335" s="13" t="str">
        <f>IF((SUM(F335:M335)=0),"J",VLOOKUP(O335,Lookups!$A$1:$B$11,2))</f>
        <v>J</v>
      </c>
      <c r="Q335" s="8" t="e">
        <f>VLOOKUP(C335,Lookups!$A$136:$C$144,3)</f>
        <v>#N/A</v>
      </c>
      <c r="R335" s="8" t="e">
        <f>VLOOKUP(C335,Lookups!$A$136:$C$144,2)</f>
        <v>#N/A</v>
      </c>
      <c r="S335" s="4" t="str">
        <f t="shared" ref="S335:S398" si="32">IF(AND(L335&gt;0,M335=0),"Yes","No")</f>
        <v>No</v>
      </c>
      <c r="T335" s="125">
        <f t="shared" ref="T335:T398" si="33">L335+M335</f>
        <v>0</v>
      </c>
      <c r="U335" s="125">
        <f t="shared" ref="U335:U398" si="34">ROUND(100*(M335+2*L335)/(M335+2*L335+(100-L335-M335)),2)</f>
        <v>0</v>
      </c>
      <c r="V335" s="4" t="e">
        <f>IF($Q335&lt;&gt;3,VLOOKUP(F335,'Points Table A'!B$3:$F$33,5),VLOOKUP(F335,'Points Table A'!H$3:$L$33,5))</f>
        <v>#N/A</v>
      </c>
      <c r="W335" s="4" t="e">
        <f>IF($Q335&lt;&gt;3,VLOOKUP(G335,'Points Table A'!C$3:$F$33,4),VLOOKUP(G335,'Points Table A'!I$3:$L$33,4))</f>
        <v>#N/A</v>
      </c>
      <c r="X335" s="4" t="e">
        <f>IF($Q335&lt;&gt;3,VLOOKUP(H335,'Points Table A'!D$3:$F$28,3),VLOOKUP(H335,'Points Table A'!J$3:$L$33,3))</f>
        <v>#N/A</v>
      </c>
      <c r="Y335" s="4" t="e">
        <f>IF($Q335&lt;&gt;3,VLOOKUP(I335,'Points Table A'!E$3:$F$33,2),VLOOKUP(I335,'Points Table A'!K$3:$L$33,2))</f>
        <v>#N/A</v>
      </c>
      <c r="Z335" s="4" t="e">
        <f t="shared" ref="Z335:Z398" si="35">SUM(V335:Y335)</f>
        <v>#N/A</v>
      </c>
      <c r="AA335" s="4">
        <f>IF($S335=Lookups!$B$113,VLOOKUP(L335,'Points Table C'!A$3:$E$11,5),VLOOKUP(U335,'Points Table C'!B$3:$E$11,4))</f>
        <v>0</v>
      </c>
      <c r="AB335" s="4" t="e">
        <f>IF($Q335=1,0,VLOOKUP($J335,'Points Table C'!$C$3:$E$18,3))</f>
        <v>#N/A</v>
      </c>
      <c r="AC335" s="4">
        <f>VLOOKUP($K335,'Points Table C'!$D$3:$E$18,2)</f>
        <v>0</v>
      </c>
      <c r="AD335" s="4" t="e">
        <f>IF($Z335&lt;Lookups!$C$106,($AA335+AB335+AC335),IF($AA335&gt;=Lookups!$C$120,($AA335+AB335+AC335),$AA335+$AB335))</f>
        <v>#N/A</v>
      </c>
      <c r="AF335" s="7"/>
      <c r="AG335" s="7"/>
      <c r="AH335" s="7"/>
      <c r="AI335" s="7"/>
      <c r="AJ335" s="7"/>
      <c r="AK335" s="7"/>
      <c r="AL335" s="7"/>
      <c r="AM335" s="7"/>
      <c r="AN335" s="7"/>
      <c r="AO335" s="7"/>
      <c r="AP335" s="7"/>
      <c r="AQ335" s="7"/>
      <c r="AR335" s="7"/>
      <c r="AS335" s="7"/>
      <c r="AT335" s="7"/>
      <c r="AU335" s="7"/>
      <c r="AV335" s="7"/>
      <c r="AW335" s="7"/>
      <c r="AY335" s="7"/>
      <c r="AZ335" s="7"/>
      <c r="BA335" s="7"/>
      <c r="BB335" s="7"/>
    </row>
    <row r="336" spans="2:54" x14ac:dyDescent="0.2">
      <c r="B336" s="174"/>
      <c r="C336" s="176"/>
      <c r="F336" s="5">
        <v>0</v>
      </c>
      <c r="G336" s="192">
        <v>0</v>
      </c>
      <c r="H336" s="192">
        <v>0</v>
      </c>
      <c r="I336" s="5">
        <v>0</v>
      </c>
      <c r="J336" s="192">
        <v>0</v>
      </c>
      <c r="K336" s="192">
        <v>0</v>
      </c>
      <c r="L336" s="5">
        <v>0</v>
      </c>
      <c r="M336" s="5">
        <v>0</v>
      </c>
      <c r="N336" s="4" t="e">
        <f t="shared" si="31"/>
        <v>#N/A</v>
      </c>
      <c r="O336" s="4" t="e">
        <f>IF(ROUND(10.499-(((N336-VLOOKUP($C336,Lookups!$A$55:$D$64,3))/(VLOOKUP($C336,Lookups!$A$55:$D$64,4))*VLOOKUP($C336,Lookups!$C$2:$D$11,2))),0)&lt;1,1,IF(ROUND(10.499-(((N336-VLOOKUP($C336,Lookups!$A$55:$D$64,3))/(VLOOKUP($C336,Lookups!$A$55:$D$64,4))*VLOOKUP($C336,Lookups!$C$2:$D$11,2))),0)&lt;11,ROUND(10.499-(((N336-VLOOKUP($C336,Lookups!$A$55:$D$64,3))/(VLOOKUP($C336,Lookups!$A$55:$D$64,4))*VLOOKUP($C336,Lookups!$C$2:$D$11,2))),0),10))</f>
        <v>#N/A</v>
      </c>
      <c r="P336" s="13" t="str">
        <f>IF((SUM(F336:M336)=0),"J",VLOOKUP(O336,Lookups!$A$1:$B$11,2))</f>
        <v>J</v>
      </c>
      <c r="Q336" s="8" t="e">
        <f>VLOOKUP(C336,Lookups!$A$136:$C$144,3)</f>
        <v>#N/A</v>
      </c>
      <c r="R336" s="8" t="e">
        <f>VLOOKUP(C336,Lookups!$A$136:$C$144,2)</f>
        <v>#N/A</v>
      </c>
      <c r="S336" s="4" t="str">
        <f t="shared" si="32"/>
        <v>No</v>
      </c>
      <c r="T336" s="125">
        <f t="shared" si="33"/>
        <v>0</v>
      </c>
      <c r="U336" s="125">
        <f t="shared" si="34"/>
        <v>0</v>
      </c>
      <c r="V336" s="4" t="e">
        <f>IF($Q336&lt;&gt;3,VLOOKUP(F336,'Points Table A'!B$3:$F$33,5),VLOOKUP(F336,'Points Table A'!H$3:$L$33,5))</f>
        <v>#N/A</v>
      </c>
      <c r="W336" s="4" t="e">
        <f>IF($Q336&lt;&gt;3,VLOOKUP(G336,'Points Table A'!C$3:$F$33,4),VLOOKUP(G336,'Points Table A'!I$3:$L$33,4))</f>
        <v>#N/A</v>
      </c>
      <c r="X336" s="4" t="e">
        <f>IF($Q336&lt;&gt;3,VLOOKUP(H336,'Points Table A'!D$3:$F$28,3),VLOOKUP(H336,'Points Table A'!J$3:$L$33,3))</f>
        <v>#N/A</v>
      </c>
      <c r="Y336" s="4" t="e">
        <f>IF($Q336&lt;&gt;3,VLOOKUP(I336,'Points Table A'!E$3:$F$33,2),VLOOKUP(I336,'Points Table A'!K$3:$L$33,2))</f>
        <v>#N/A</v>
      </c>
      <c r="Z336" s="4" t="e">
        <f t="shared" si="35"/>
        <v>#N/A</v>
      </c>
      <c r="AA336" s="4">
        <f>IF($S336=Lookups!$B$113,VLOOKUP(L336,'Points Table C'!A$3:$E$11,5),VLOOKUP(U336,'Points Table C'!B$3:$E$11,4))</f>
        <v>0</v>
      </c>
      <c r="AB336" s="4" t="e">
        <f>IF($Q336=1,0,VLOOKUP($J336,'Points Table C'!$C$3:$E$18,3))</f>
        <v>#N/A</v>
      </c>
      <c r="AC336" s="4">
        <f>VLOOKUP($K336,'Points Table C'!$D$3:$E$18,2)</f>
        <v>0</v>
      </c>
      <c r="AD336" s="4" t="e">
        <f>IF($Z336&lt;Lookups!$C$106,($AA336+AB336+AC336),IF($AA336&gt;=Lookups!$C$120,($AA336+AB336+AC336),$AA336+$AB336))</f>
        <v>#N/A</v>
      </c>
      <c r="AF336" s="7"/>
      <c r="AG336" s="7"/>
      <c r="AH336" s="7"/>
      <c r="AI336" s="7"/>
      <c r="AJ336" s="7"/>
      <c r="AK336" s="7"/>
      <c r="AL336" s="7"/>
      <c r="AM336" s="7"/>
      <c r="AN336" s="7"/>
      <c r="AO336" s="7"/>
      <c r="AP336" s="7"/>
      <c r="AQ336" s="7"/>
      <c r="AR336" s="7"/>
      <c r="AS336" s="7"/>
      <c r="AT336" s="7"/>
      <c r="AU336" s="7"/>
      <c r="AV336" s="7"/>
      <c r="AW336" s="7"/>
      <c r="AY336" s="7"/>
      <c r="AZ336" s="7"/>
      <c r="BA336" s="7"/>
      <c r="BB336" s="7"/>
    </row>
    <row r="337" spans="2:54" x14ac:dyDescent="0.2">
      <c r="B337" s="174"/>
      <c r="C337" s="176"/>
      <c r="F337" s="5">
        <v>0</v>
      </c>
      <c r="G337" s="192">
        <v>0</v>
      </c>
      <c r="H337" s="192">
        <v>0</v>
      </c>
      <c r="I337" s="5">
        <v>0</v>
      </c>
      <c r="J337" s="192">
        <v>0</v>
      </c>
      <c r="K337" s="192">
        <v>0</v>
      </c>
      <c r="L337" s="5">
        <v>0</v>
      </c>
      <c r="M337" s="5">
        <v>0</v>
      </c>
      <c r="N337" s="4" t="e">
        <f t="shared" si="31"/>
        <v>#N/A</v>
      </c>
      <c r="O337" s="4" t="e">
        <f>IF(ROUND(10.499-(((N337-VLOOKUP($C337,Lookups!$A$55:$D$64,3))/(VLOOKUP($C337,Lookups!$A$55:$D$64,4))*VLOOKUP($C337,Lookups!$C$2:$D$11,2))),0)&lt;1,1,IF(ROUND(10.499-(((N337-VLOOKUP($C337,Lookups!$A$55:$D$64,3))/(VLOOKUP($C337,Lookups!$A$55:$D$64,4))*VLOOKUP($C337,Lookups!$C$2:$D$11,2))),0)&lt;11,ROUND(10.499-(((N337-VLOOKUP($C337,Lookups!$A$55:$D$64,3))/(VLOOKUP($C337,Lookups!$A$55:$D$64,4))*VLOOKUP($C337,Lookups!$C$2:$D$11,2))),0),10))</f>
        <v>#N/A</v>
      </c>
      <c r="P337" s="13" t="str">
        <f>IF((SUM(F337:M337)=0),"J",VLOOKUP(O337,Lookups!$A$1:$B$11,2))</f>
        <v>J</v>
      </c>
      <c r="Q337" s="8" t="e">
        <f>VLOOKUP(C337,Lookups!$A$136:$C$144,3)</f>
        <v>#N/A</v>
      </c>
      <c r="R337" s="8" t="e">
        <f>VLOOKUP(C337,Lookups!$A$136:$C$144,2)</f>
        <v>#N/A</v>
      </c>
      <c r="S337" s="4" t="str">
        <f t="shared" si="32"/>
        <v>No</v>
      </c>
      <c r="T337" s="125">
        <f t="shared" si="33"/>
        <v>0</v>
      </c>
      <c r="U337" s="125">
        <f t="shared" si="34"/>
        <v>0</v>
      </c>
      <c r="V337" s="4" t="e">
        <f>IF($Q337&lt;&gt;3,VLOOKUP(F337,'Points Table A'!B$3:$F$33,5),VLOOKUP(F337,'Points Table A'!H$3:$L$33,5))</f>
        <v>#N/A</v>
      </c>
      <c r="W337" s="4" t="e">
        <f>IF($Q337&lt;&gt;3,VLOOKUP(G337,'Points Table A'!C$3:$F$33,4),VLOOKUP(G337,'Points Table A'!I$3:$L$33,4))</f>
        <v>#N/A</v>
      </c>
      <c r="X337" s="4" t="e">
        <f>IF($Q337&lt;&gt;3,VLOOKUP(H337,'Points Table A'!D$3:$F$28,3),VLOOKUP(H337,'Points Table A'!J$3:$L$33,3))</f>
        <v>#N/A</v>
      </c>
      <c r="Y337" s="4" t="e">
        <f>IF($Q337&lt;&gt;3,VLOOKUP(I337,'Points Table A'!E$3:$F$33,2),VLOOKUP(I337,'Points Table A'!K$3:$L$33,2))</f>
        <v>#N/A</v>
      </c>
      <c r="Z337" s="4" t="e">
        <f t="shared" si="35"/>
        <v>#N/A</v>
      </c>
      <c r="AA337" s="4">
        <f>IF($S337=Lookups!$B$113,VLOOKUP(L337,'Points Table C'!A$3:$E$11,5),VLOOKUP(U337,'Points Table C'!B$3:$E$11,4))</f>
        <v>0</v>
      </c>
      <c r="AB337" s="4" t="e">
        <f>IF($Q337=1,0,VLOOKUP($J337,'Points Table C'!$C$3:$E$18,3))</f>
        <v>#N/A</v>
      </c>
      <c r="AC337" s="4">
        <f>VLOOKUP($K337,'Points Table C'!$D$3:$E$18,2)</f>
        <v>0</v>
      </c>
      <c r="AD337" s="4" t="e">
        <f>IF($Z337&lt;Lookups!$C$106,($AA337+AB337+AC337),IF($AA337&gt;=Lookups!$C$120,($AA337+AB337+AC337),$AA337+$AB337))</f>
        <v>#N/A</v>
      </c>
      <c r="AF337" s="7"/>
      <c r="AG337" s="7"/>
      <c r="AH337" s="7"/>
      <c r="AI337" s="7"/>
      <c r="AJ337" s="7"/>
      <c r="AK337" s="7"/>
      <c r="AL337" s="7"/>
      <c r="AM337" s="7"/>
      <c r="AN337" s="7"/>
      <c r="AO337" s="7"/>
      <c r="AP337" s="7"/>
      <c r="AQ337" s="7"/>
      <c r="AR337" s="7"/>
      <c r="AS337" s="7"/>
      <c r="AT337" s="7"/>
      <c r="AU337" s="7"/>
      <c r="AV337" s="7"/>
      <c r="AW337" s="7"/>
      <c r="AY337" s="7"/>
      <c r="AZ337" s="7"/>
      <c r="BA337" s="7"/>
      <c r="BB337" s="7"/>
    </row>
    <row r="338" spans="2:54" x14ac:dyDescent="0.2">
      <c r="B338" s="174"/>
      <c r="C338" s="176"/>
      <c r="F338" s="5">
        <v>0</v>
      </c>
      <c r="G338" s="192">
        <v>0</v>
      </c>
      <c r="H338" s="192">
        <v>0</v>
      </c>
      <c r="I338" s="5">
        <v>0</v>
      </c>
      <c r="J338" s="192">
        <v>0</v>
      </c>
      <c r="K338" s="192">
        <v>0</v>
      </c>
      <c r="L338" s="5">
        <v>0</v>
      </c>
      <c r="M338" s="5">
        <v>0</v>
      </c>
      <c r="N338" s="4" t="e">
        <f t="shared" si="31"/>
        <v>#N/A</v>
      </c>
      <c r="O338" s="4" t="e">
        <f>IF(ROUND(10.499-(((N338-VLOOKUP($C338,Lookups!$A$55:$D$64,3))/(VLOOKUP($C338,Lookups!$A$55:$D$64,4))*VLOOKUP($C338,Lookups!$C$2:$D$11,2))),0)&lt;1,1,IF(ROUND(10.499-(((N338-VLOOKUP($C338,Lookups!$A$55:$D$64,3))/(VLOOKUP($C338,Lookups!$A$55:$D$64,4))*VLOOKUP($C338,Lookups!$C$2:$D$11,2))),0)&lt;11,ROUND(10.499-(((N338-VLOOKUP($C338,Lookups!$A$55:$D$64,3))/(VLOOKUP($C338,Lookups!$A$55:$D$64,4))*VLOOKUP($C338,Lookups!$C$2:$D$11,2))),0),10))</f>
        <v>#N/A</v>
      </c>
      <c r="P338" s="13" t="str">
        <f>IF((SUM(F338:M338)=0),"J",VLOOKUP(O338,Lookups!$A$1:$B$11,2))</f>
        <v>J</v>
      </c>
      <c r="Q338" s="8" t="e">
        <f>VLOOKUP(C338,Lookups!$A$136:$C$144,3)</f>
        <v>#N/A</v>
      </c>
      <c r="R338" s="8" t="e">
        <f>VLOOKUP(C338,Lookups!$A$136:$C$144,2)</f>
        <v>#N/A</v>
      </c>
      <c r="S338" s="4" t="str">
        <f t="shared" si="32"/>
        <v>No</v>
      </c>
      <c r="T338" s="125">
        <f t="shared" si="33"/>
        <v>0</v>
      </c>
      <c r="U338" s="125">
        <f t="shared" si="34"/>
        <v>0</v>
      </c>
      <c r="V338" s="4" t="e">
        <f>IF($Q338&lt;&gt;3,VLOOKUP(F338,'Points Table A'!B$3:$F$33,5),VLOOKUP(F338,'Points Table A'!H$3:$L$33,5))</f>
        <v>#N/A</v>
      </c>
      <c r="W338" s="4" t="e">
        <f>IF($Q338&lt;&gt;3,VLOOKUP(G338,'Points Table A'!C$3:$F$33,4),VLOOKUP(G338,'Points Table A'!I$3:$L$33,4))</f>
        <v>#N/A</v>
      </c>
      <c r="X338" s="4" t="e">
        <f>IF($Q338&lt;&gt;3,VLOOKUP(H338,'Points Table A'!D$3:$F$28,3),VLOOKUP(H338,'Points Table A'!J$3:$L$33,3))</f>
        <v>#N/A</v>
      </c>
      <c r="Y338" s="4" t="e">
        <f>IF($Q338&lt;&gt;3,VLOOKUP(I338,'Points Table A'!E$3:$F$33,2),VLOOKUP(I338,'Points Table A'!K$3:$L$33,2))</f>
        <v>#N/A</v>
      </c>
      <c r="Z338" s="4" t="e">
        <f t="shared" si="35"/>
        <v>#N/A</v>
      </c>
      <c r="AA338" s="4">
        <f>IF($S338=Lookups!$B$113,VLOOKUP(L338,'Points Table C'!A$3:$E$11,5),VLOOKUP(U338,'Points Table C'!B$3:$E$11,4))</f>
        <v>0</v>
      </c>
      <c r="AB338" s="4" t="e">
        <f>IF($Q338=1,0,VLOOKUP($J338,'Points Table C'!$C$3:$E$18,3))</f>
        <v>#N/A</v>
      </c>
      <c r="AC338" s="4">
        <f>VLOOKUP($K338,'Points Table C'!$D$3:$E$18,2)</f>
        <v>0</v>
      </c>
      <c r="AD338" s="4" t="e">
        <f>IF($Z338&lt;Lookups!$C$106,($AA338+AB338+AC338),IF($AA338&gt;=Lookups!$C$120,($AA338+AB338+AC338),$AA338+$AB338))</f>
        <v>#N/A</v>
      </c>
      <c r="AF338" s="7"/>
      <c r="AG338" s="7"/>
      <c r="AH338" s="7"/>
      <c r="AI338" s="7"/>
      <c r="AJ338" s="7"/>
      <c r="AK338" s="7"/>
      <c r="AL338" s="7"/>
      <c r="AM338" s="7"/>
      <c r="AN338" s="7"/>
      <c r="AO338" s="7"/>
      <c r="AP338" s="7"/>
      <c r="AQ338" s="7"/>
      <c r="AR338" s="7"/>
      <c r="AS338" s="7"/>
      <c r="AT338" s="7"/>
      <c r="AU338" s="7"/>
      <c r="AV338" s="7"/>
      <c r="AW338" s="7"/>
      <c r="AY338" s="7"/>
      <c r="AZ338" s="7"/>
      <c r="BA338" s="7"/>
      <c r="BB338" s="7"/>
    </row>
    <row r="339" spans="2:54" x14ac:dyDescent="0.2">
      <c r="B339" s="174"/>
      <c r="C339" s="176"/>
      <c r="F339" s="5">
        <v>0</v>
      </c>
      <c r="G339" s="192">
        <v>0</v>
      </c>
      <c r="H339" s="192">
        <v>0</v>
      </c>
      <c r="I339" s="5">
        <v>0</v>
      </c>
      <c r="J339" s="192">
        <v>0</v>
      </c>
      <c r="K339" s="192">
        <v>0</v>
      </c>
      <c r="L339" s="5">
        <v>0</v>
      </c>
      <c r="M339" s="5">
        <v>0</v>
      </c>
      <c r="N339" s="4" t="e">
        <f t="shared" si="31"/>
        <v>#N/A</v>
      </c>
      <c r="O339" s="4" t="e">
        <f>IF(ROUND(10.499-(((N339-VLOOKUP($C339,Lookups!$A$55:$D$64,3))/(VLOOKUP($C339,Lookups!$A$55:$D$64,4))*VLOOKUP($C339,Lookups!$C$2:$D$11,2))),0)&lt;1,1,IF(ROUND(10.499-(((N339-VLOOKUP($C339,Lookups!$A$55:$D$64,3))/(VLOOKUP($C339,Lookups!$A$55:$D$64,4))*VLOOKUP($C339,Lookups!$C$2:$D$11,2))),0)&lt;11,ROUND(10.499-(((N339-VLOOKUP($C339,Lookups!$A$55:$D$64,3))/(VLOOKUP($C339,Lookups!$A$55:$D$64,4))*VLOOKUP($C339,Lookups!$C$2:$D$11,2))),0),10))</f>
        <v>#N/A</v>
      </c>
      <c r="P339" s="13" t="str">
        <f>IF((SUM(F339:M339)=0),"J",VLOOKUP(O339,Lookups!$A$1:$B$11,2))</f>
        <v>J</v>
      </c>
      <c r="Q339" s="8" t="e">
        <f>VLOOKUP(C339,Lookups!$A$136:$C$144,3)</f>
        <v>#N/A</v>
      </c>
      <c r="R339" s="8" t="e">
        <f>VLOOKUP(C339,Lookups!$A$136:$C$144,2)</f>
        <v>#N/A</v>
      </c>
      <c r="S339" s="4" t="str">
        <f t="shared" si="32"/>
        <v>No</v>
      </c>
      <c r="T339" s="125">
        <f t="shared" si="33"/>
        <v>0</v>
      </c>
      <c r="U339" s="125">
        <f t="shared" si="34"/>
        <v>0</v>
      </c>
      <c r="V339" s="4" t="e">
        <f>IF($Q339&lt;&gt;3,VLOOKUP(F339,'Points Table A'!B$3:$F$33,5),VLOOKUP(F339,'Points Table A'!H$3:$L$33,5))</f>
        <v>#N/A</v>
      </c>
      <c r="W339" s="4" t="e">
        <f>IF($Q339&lt;&gt;3,VLOOKUP(G339,'Points Table A'!C$3:$F$33,4),VLOOKUP(G339,'Points Table A'!I$3:$L$33,4))</f>
        <v>#N/A</v>
      </c>
      <c r="X339" s="4" t="e">
        <f>IF($Q339&lt;&gt;3,VLOOKUP(H339,'Points Table A'!D$3:$F$28,3),VLOOKUP(H339,'Points Table A'!J$3:$L$33,3))</f>
        <v>#N/A</v>
      </c>
      <c r="Y339" s="4" t="e">
        <f>IF($Q339&lt;&gt;3,VLOOKUP(I339,'Points Table A'!E$3:$F$33,2),VLOOKUP(I339,'Points Table A'!K$3:$L$33,2))</f>
        <v>#N/A</v>
      </c>
      <c r="Z339" s="4" t="e">
        <f t="shared" si="35"/>
        <v>#N/A</v>
      </c>
      <c r="AA339" s="4">
        <f>IF($S339=Lookups!$B$113,VLOOKUP(L339,'Points Table C'!A$3:$E$11,5),VLOOKUP(U339,'Points Table C'!B$3:$E$11,4))</f>
        <v>0</v>
      </c>
      <c r="AB339" s="4" t="e">
        <f>IF($Q339=1,0,VLOOKUP($J339,'Points Table C'!$C$3:$E$18,3))</f>
        <v>#N/A</v>
      </c>
      <c r="AC339" s="4">
        <f>VLOOKUP($K339,'Points Table C'!$D$3:$E$18,2)</f>
        <v>0</v>
      </c>
      <c r="AD339" s="4" t="e">
        <f>IF($Z339&lt;Lookups!$C$106,($AA339+AB339+AC339),IF($AA339&gt;=Lookups!$C$120,($AA339+AB339+AC339),$AA339+$AB339))</f>
        <v>#N/A</v>
      </c>
      <c r="AF339" s="7"/>
      <c r="AG339" s="7"/>
      <c r="AH339" s="7"/>
      <c r="AI339" s="7"/>
      <c r="AJ339" s="7"/>
      <c r="AK339" s="7"/>
      <c r="AL339" s="7"/>
      <c r="AM339" s="7"/>
      <c r="AN339" s="7"/>
      <c r="AO339" s="7"/>
      <c r="AP339" s="7"/>
      <c r="AQ339" s="7"/>
      <c r="AR339" s="7"/>
      <c r="AS339" s="7"/>
      <c r="AT339" s="7"/>
      <c r="AU339" s="7"/>
      <c r="AV339" s="7"/>
      <c r="AW339" s="7"/>
      <c r="AY339" s="7"/>
      <c r="AZ339" s="7"/>
      <c r="BA339" s="7"/>
      <c r="BB339" s="7"/>
    </row>
    <row r="340" spans="2:54" x14ac:dyDescent="0.2">
      <c r="B340" s="174"/>
      <c r="C340" s="176"/>
      <c r="F340" s="5">
        <v>0</v>
      </c>
      <c r="G340" s="192">
        <v>0</v>
      </c>
      <c r="H340" s="192">
        <v>0</v>
      </c>
      <c r="I340" s="5">
        <v>0</v>
      </c>
      <c r="J340" s="192">
        <v>0</v>
      </c>
      <c r="K340" s="192">
        <v>0</v>
      </c>
      <c r="L340" s="5">
        <v>0</v>
      </c>
      <c r="M340" s="5">
        <v>0</v>
      </c>
      <c r="N340" s="4" t="e">
        <f t="shared" si="31"/>
        <v>#N/A</v>
      </c>
      <c r="O340" s="4" t="e">
        <f>IF(ROUND(10.499-(((N340-VLOOKUP($C340,Lookups!$A$55:$D$64,3))/(VLOOKUP($C340,Lookups!$A$55:$D$64,4))*VLOOKUP($C340,Lookups!$C$2:$D$11,2))),0)&lt;1,1,IF(ROUND(10.499-(((N340-VLOOKUP($C340,Lookups!$A$55:$D$64,3))/(VLOOKUP($C340,Lookups!$A$55:$D$64,4))*VLOOKUP($C340,Lookups!$C$2:$D$11,2))),0)&lt;11,ROUND(10.499-(((N340-VLOOKUP($C340,Lookups!$A$55:$D$64,3))/(VLOOKUP($C340,Lookups!$A$55:$D$64,4))*VLOOKUP($C340,Lookups!$C$2:$D$11,2))),0),10))</f>
        <v>#N/A</v>
      </c>
      <c r="P340" s="13" t="str">
        <f>IF((SUM(F340:M340)=0),"J",VLOOKUP(O340,Lookups!$A$1:$B$11,2))</f>
        <v>J</v>
      </c>
      <c r="Q340" s="8" t="e">
        <f>VLOOKUP(C340,Lookups!$A$136:$C$144,3)</f>
        <v>#N/A</v>
      </c>
      <c r="R340" s="8" t="e">
        <f>VLOOKUP(C340,Lookups!$A$136:$C$144,2)</f>
        <v>#N/A</v>
      </c>
      <c r="S340" s="4" t="str">
        <f t="shared" si="32"/>
        <v>No</v>
      </c>
      <c r="T340" s="125">
        <f t="shared" si="33"/>
        <v>0</v>
      </c>
      <c r="U340" s="125">
        <f t="shared" si="34"/>
        <v>0</v>
      </c>
      <c r="V340" s="4" t="e">
        <f>IF($Q340&lt;&gt;3,VLOOKUP(F340,'Points Table A'!B$3:$F$33,5),VLOOKUP(F340,'Points Table A'!H$3:$L$33,5))</f>
        <v>#N/A</v>
      </c>
      <c r="W340" s="4" t="e">
        <f>IF($Q340&lt;&gt;3,VLOOKUP(G340,'Points Table A'!C$3:$F$33,4),VLOOKUP(G340,'Points Table A'!I$3:$L$33,4))</f>
        <v>#N/A</v>
      </c>
      <c r="X340" s="4" t="e">
        <f>IF($Q340&lt;&gt;3,VLOOKUP(H340,'Points Table A'!D$3:$F$28,3),VLOOKUP(H340,'Points Table A'!J$3:$L$33,3))</f>
        <v>#N/A</v>
      </c>
      <c r="Y340" s="4" t="e">
        <f>IF($Q340&lt;&gt;3,VLOOKUP(I340,'Points Table A'!E$3:$F$33,2),VLOOKUP(I340,'Points Table A'!K$3:$L$33,2))</f>
        <v>#N/A</v>
      </c>
      <c r="Z340" s="4" t="e">
        <f t="shared" si="35"/>
        <v>#N/A</v>
      </c>
      <c r="AA340" s="4">
        <f>IF($S340=Lookups!$B$113,VLOOKUP(L340,'Points Table C'!A$3:$E$11,5),VLOOKUP(U340,'Points Table C'!B$3:$E$11,4))</f>
        <v>0</v>
      </c>
      <c r="AB340" s="4" t="e">
        <f>IF($Q340=1,0,VLOOKUP($J340,'Points Table C'!$C$3:$E$18,3))</f>
        <v>#N/A</v>
      </c>
      <c r="AC340" s="4">
        <f>VLOOKUP($K340,'Points Table C'!$D$3:$E$18,2)</f>
        <v>0</v>
      </c>
      <c r="AD340" s="4" t="e">
        <f>IF($Z340&lt;Lookups!$C$106,($AA340+AB340+AC340),IF($AA340&gt;=Lookups!$C$120,($AA340+AB340+AC340),$AA340+$AB340))</f>
        <v>#N/A</v>
      </c>
      <c r="AF340" s="7"/>
      <c r="AG340" s="7"/>
      <c r="AH340" s="7"/>
      <c r="AI340" s="7"/>
      <c r="AJ340" s="7"/>
      <c r="AK340" s="7"/>
      <c r="AL340" s="7"/>
      <c r="AM340" s="7"/>
      <c r="AN340" s="7"/>
      <c r="AO340" s="7"/>
      <c r="AP340" s="7"/>
      <c r="AQ340" s="7"/>
      <c r="AR340" s="7"/>
      <c r="AS340" s="7"/>
      <c r="AT340" s="7"/>
      <c r="AU340" s="7"/>
      <c r="AV340" s="7"/>
      <c r="AW340" s="7"/>
      <c r="AY340" s="7"/>
      <c r="AZ340" s="7"/>
      <c r="BA340" s="7"/>
      <c r="BB340" s="7"/>
    </row>
    <row r="341" spans="2:54" x14ac:dyDescent="0.2">
      <c r="B341" s="174"/>
      <c r="C341" s="176"/>
      <c r="F341" s="5">
        <v>0</v>
      </c>
      <c r="G341" s="192">
        <v>0</v>
      </c>
      <c r="H341" s="192">
        <v>0</v>
      </c>
      <c r="I341" s="5">
        <v>0</v>
      </c>
      <c r="J341" s="192">
        <v>0</v>
      </c>
      <c r="K341" s="192">
        <v>0</v>
      </c>
      <c r="L341" s="5">
        <v>0</v>
      </c>
      <c r="M341" s="5">
        <v>0</v>
      </c>
      <c r="N341" s="4" t="e">
        <f t="shared" si="31"/>
        <v>#N/A</v>
      </c>
      <c r="O341" s="4" t="e">
        <f>IF(ROUND(10.499-(((N341-VLOOKUP($C341,Lookups!$A$55:$D$64,3))/(VLOOKUP($C341,Lookups!$A$55:$D$64,4))*VLOOKUP($C341,Lookups!$C$2:$D$11,2))),0)&lt;1,1,IF(ROUND(10.499-(((N341-VLOOKUP($C341,Lookups!$A$55:$D$64,3))/(VLOOKUP($C341,Lookups!$A$55:$D$64,4))*VLOOKUP($C341,Lookups!$C$2:$D$11,2))),0)&lt;11,ROUND(10.499-(((N341-VLOOKUP($C341,Lookups!$A$55:$D$64,3))/(VLOOKUP($C341,Lookups!$A$55:$D$64,4))*VLOOKUP($C341,Lookups!$C$2:$D$11,2))),0),10))</f>
        <v>#N/A</v>
      </c>
      <c r="P341" s="13" t="str">
        <f>IF((SUM(F341:M341)=0),"J",VLOOKUP(O341,Lookups!$A$1:$B$11,2))</f>
        <v>J</v>
      </c>
      <c r="Q341" s="8" t="e">
        <f>VLOOKUP(C341,Lookups!$A$136:$C$144,3)</f>
        <v>#N/A</v>
      </c>
      <c r="R341" s="8" t="e">
        <f>VLOOKUP(C341,Lookups!$A$136:$C$144,2)</f>
        <v>#N/A</v>
      </c>
      <c r="S341" s="4" t="str">
        <f t="shared" si="32"/>
        <v>No</v>
      </c>
      <c r="T341" s="125">
        <f t="shared" si="33"/>
        <v>0</v>
      </c>
      <c r="U341" s="125">
        <f t="shared" si="34"/>
        <v>0</v>
      </c>
      <c r="V341" s="4" t="e">
        <f>IF($Q341&lt;&gt;3,VLOOKUP(F341,'Points Table A'!B$3:$F$33,5),VLOOKUP(F341,'Points Table A'!H$3:$L$33,5))</f>
        <v>#N/A</v>
      </c>
      <c r="W341" s="4" t="e">
        <f>IF($Q341&lt;&gt;3,VLOOKUP(G341,'Points Table A'!C$3:$F$33,4),VLOOKUP(G341,'Points Table A'!I$3:$L$33,4))</f>
        <v>#N/A</v>
      </c>
      <c r="X341" s="4" t="e">
        <f>IF($Q341&lt;&gt;3,VLOOKUP(H341,'Points Table A'!D$3:$F$28,3),VLOOKUP(H341,'Points Table A'!J$3:$L$33,3))</f>
        <v>#N/A</v>
      </c>
      <c r="Y341" s="4" t="e">
        <f>IF($Q341&lt;&gt;3,VLOOKUP(I341,'Points Table A'!E$3:$F$33,2),VLOOKUP(I341,'Points Table A'!K$3:$L$33,2))</f>
        <v>#N/A</v>
      </c>
      <c r="Z341" s="4" t="e">
        <f t="shared" si="35"/>
        <v>#N/A</v>
      </c>
      <c r="AA341" s="4">
        <f>IF($S341=Lookups!$B$113,VLOOKUP(L341,'Points Table C'!A$3:$E$11,5),VLOOKUP(U341,'Points Table C'!B$3:$E$11,4))</f>
        <v>0</v>
      </c>
      <c r="AB341" s="4" t="e">
        <f>IF($Q341=1,0,VLOOKUP($J341,'Points Table C'!$C$3:$E$18,3))</f>
        <v>#N/A</v>
      </c>
      <c r="AC341" s="4">
        <f>VLOOKUP($K341,'Points Table C'!$D$3:$E$18,2)</f>
        <v>0</v>
      </c>
      <c r="AD341" s="4" t="e">
        <f>IF($Z341&lt;Lookups!$C$106,($AA341+AB341+AC341),IF($AA341&gt;=Lookups!$C$120,($AA341+AB341+AC341),$AA341+$AB341))</f>
        <v>#N/A</v>
      </c>
      <c r="AF341" s="7"/>
      <c r="AG341" s="7"/>
      <c r="AH341" s="7"/>
      <c r="AI341" s="7"/>
      <c r="AJ341" s="7"/>
      <c r="AK341" s="7"/>
      <c r="AL341" s="7"/>
      <c r="AM341" s="7"/>
      <c r="AN341" s="7"/>
      <c r="AO341" s="7"/>
      <c r="AP341" s="7"/>
      <c r="AQ341" s="7"/>
      <c r="AR341" s="7"/>
      <c r="AS341" s="7"/>
      <c r="AT341" s="7"/>
      <c r="AU341" s="7"/>
      <c r="AV341" s="7"/>
      <c r="AW341" s="7"/>
      <c r="AY341" s="7"/>
      <c r="AZ341" s="7"/>
      <c r="BA341" s="7"/>
      <c r="BB341" s="7"/>
    </row>
    <row r="342" spans="2:54" x14ac:dyDescent="0.2">
      <c r="B342" s="174"/>
      <c r="C342" s="176"/>
      <c r="F342" s="5">
        <v>0</v>
      </c>
      <c r="G342" s="192">
        <v>0</v>
      </c>
      <c r="H342" s="192">
        <v>0</v>
      </c>
      <c r="I342" s="5">
        <v>0</v>
      </c>
      <c r="J342" s="192">
        <v>0</v>
      </c>
      <c r="K342" s="192">
        <v>0</v>
      </c>
      <c r="L342" s="5">
        <v>0</v>
      </c>
      <c r="M342" s="5">
        <v>0</v>
      </c>
      <c r="N342" s="4" t="e">
        <f t="shared" si="31"/>
        <v>#N/A</v>
      </c>
      <c r="O342" s="4" t="e">
        <f>IF(ROUND(10.499-(((N342-VLOOKUP($C342,Lookups!$A$55:$D$64,3))/(VLOOKUP($C342,Lookups!$A$55:$D$64,4))*VLOOKUP($C342,Lookups!$C$2:$D$11,2))),0)&lt;1,1,IF(ROUND(10.499-(((N342-VLOOKUP($C342,Lookups!$A$55:$D$64,3))/(VLOOKUP($C342,Lookups!$A$55:$D$64,4))*VLOOKUP($C342,Lookups!$C$2:$D$11,2))),0)&lt;11,ROUND(10.499-(((N342-VLOOKUP($C342,Lookups!$A$55:$D$64,3))/(VLOOKUP($C342,Lookups!$A$55:$D$64,4))*VLOOKUP($C342,Lookups!$C$2:$D$11,2))),0),10))</f>
        <v>#N/A</v>
      </c>
      <c r="P342" s="13" t="str">
        <f>IF((SUM(F342:M342)=0),"J",VLOOKUP(O342,Lookups!$A$1:$B$11,2))</f>
        <v>J</v>
      </c>
      <c r="Q342" s="8" t="e">
        <f>VLOOKUP(C342,Lookups!$A$136:$C$144,3)</f>
        <v>#N/A</v>
      </c>
      <c r="R342" s="8" t="e">
        <f>VLOOKUP(C342,Lookups!$A$136:$C$144,2)</f>
        <v>#N/A</v>
      </c>
      <c r="S342" s="4" t="str">
        <f t="shared" si="32"/>
        <v>No</v>
      </c>
      <c r="T342" s="125">
        <f t="shared" si="33"/>
        <v>0</v>
      </c>
      <c r="U342" s="125">
        <f t="shared" si="34"/>
        <v>0</v>
      </c>
      <c r="V342" s="4" t="e">
        <f>IF($Q342&lt;&gt;3,VLOOKUP(F342,'Points Table A'!B$3:$F$33,5),VLOOKUP(F342,'Points Table A'!H$3:$L$33,5))</f>
        <v>#N/A</v>
      </c>
      <c r="W342" s="4" t="e">
        <f>IF($Q342&lt;&gt;3,VLOOKUP(G342,'Points Table A'!C$3:$F$33,4),VLOOKUP(G342,'Points Table A'!I$3:$L$33,4))</f>
        <v>#N/A</v>
      </c>
      <c r="X342" s="4" t="e">
        <f>IF($Q342&lt;&gt;3,VLOOKUP(H342,'Points Table A'!D$3:$F$28,3),VLOOKUP(H342,'Points Table A'!J$3:$L$33,3))</f>
        <v>#N/A</v>
      </c>
      <c r="Y342" s="4" t="e">
        <f>IF($Q342&lt;&gt;3,VLOOKUP(I342,'Points Table A'!E$3:$F$33,2),VLOOKUP(I342,'Points Table A'!K$3:$L$33,2))</f>
        <v>#N/A</v>
      </c>
      <c r="Z342" s="4" t="e">
        <f t="shared" si="35"/>
        <v>#N/A</v>
      </c>
      <c r="AA342" s="4">
        <f>IF($S342=Lookups!$B$113,VLOOKUP(L342,'Points Table C'!A$3:$E$11,5),VLOOKUP(U342,'Points Table C'!B$3:$E$11,4))</f>
        <v>0</v>
      </c>
      <c r="AB342" s="4" t="e">
        <f>IF($Q342=1,0,VLOOKUP($J342,'Points Table C'!$C$3:$E$18,3))</f>
        <v>#N/A</v>
      </c>
      <c r="AC342" s="4">
        <f>VLOOKUP($K342,'Points Table C'!$D$3:$E$18,2)</f>
        <v>0</v>
      </c>
      <c r="AD342" s="4" t="e">
        <f>IF($Z342&lt;Lookups!$C$106,($AA342+AB342+AC342),IF($AA342&gt;=Lookups!$C$120,($AA342+AB342+AC342),$AA342+$AB342))</f>
        <v>#N/A</v>
      </c>
      <c r="AF342" s="7"/>
      <c r="AG342" s="7"/>
      <c r="AH342" s="7"/>
      <c r="AI342" s="7"/>
      <c r="AJ342" s="7"/>
      <c r="AK342" s="7"/>
      <c r="AL342" s="7"/>
      <c r="AM342" s="7"/>
      <c r="AN342" s="7"/>
      <c r="AO342" s="7"/>
      <c r="AP342" s="7"/>
      <c r="AQ342" s="7"/>
      <c r="AR342" s="7"/>
      <c r="AS342" s="7"/>
      <c r="AT342" s="7"/>
      <c r="AU342" s="7"/>
      <c r="AV342" s="7"/>
      <c r="AW342" s="7"/>
      <c r="AY342" s="7"/>
      <c r="AZ342" s="7"/>
      <c r="BA342" s="7"/>
      <c r="BB342" s="7"/>
    </row>
    <row r="343" spans="2:54" x14ac:dyDescent="0.2">
      <c r="B343" s="174"/>
      <c r="C343" s="176"/>
      <c r="F343" s="5">
        <v>0</v>
      </c>
      <c r="G343" s="192">
        <v>0</v>
      </c>
      <c r="H343" s="192">
        <v>0</v>
      </c>
      <c r="I343" s="5">
        <v>0</v>
      </c>
      <c r="J343" s="192">
        <v>0</v>
      </c>
      <c r="K343" s="192">
        <v>0</v>
      </c>
      <c r="L343" s="5">
        <v>0</v>
      </c>
      <c r="M343" s="5">
        <v>0</v>
      </c>
      <c r="N343" s="4" t="e">
        <f t="shared" si="31"/>
        <v>#N/A</v>
      </c>
      <c r="O343" s="4" t="e">
        <f>IF(ROUND(10.499-(((N343-VLOOKUP($C343,Lookups!$A$55:$D$64,3))/(VLOOKUP($C343,Lookups!$A$55:$D$64,4))*VLOOKUP($C343,Lookups!$C$2:$D$11,2))),0)&lt;1,1,IF(ROUND(10.499-(((N343-VLOOKUP($C343,Lookups!$A$55:$D$64,3))/(VLOOKUP($C343,Lookups!$A$55:$D$64,4))*VLOOKUP($C343,Lookups!$C$2:$D$11,2))),0)&lt;11,ROUND(10.499-(((N343-VLOOKUP($C343,Lookups!$A$55:$D$64,3))/(VLOOKUP($C343,Lookups!$A$55:$D$64,4))*VLOOKUP($C343,Lookups!$C$2:$D$11,2))),0),10))</f>
        <v>#N/A</v>
      </c>
      <c r="P343" s="13" t="str">
        <f>IF((SUM(F343:M343)=0),"J",VLOOKUP(O343,Lookups!$A$1:$B$11,2))</f>
        <v>J</v>
      </c>
      <c r="Q343" s="8" t="e">
        <f>VLOOKUP(C343,Lookups!$A$136:$C$144,3)</f>
        <v>#N/A</v>
      </c>
      <c r="R343" s="8" t="e">
        <f>VLOOKUP(C343,Lookups!$A$136:$C$144,2)</f>
        <v>#N/A</v>
      </c>
      <c r="S343" s="4" t="str">
        <f t="shared" si="32"/>
        <v>No</v>
      </c>
      <c r="T343" s="125">
        <f t="shared" si="33"/>
        <v>0</v>
      </c>
      <c r="U343" s="125">
        <f t="shared" si="34"/>
        <v>0</v>
      </c>
      <c r="V343" s="4" t="e">
        <f>IF($Q343&lt;&gt;3,VLOOKUP(F343,'Points Table A'!B$3:$F$33,5),VLOOKUP(F343,'Points Table A'!H$3:$L$33,5))</f>
        <v>#N/A</v>
      </c>
      <c r="W343" s="4" t="e">
        <f>IF($Q343&lt;&gt;3,VLOOKUP(G343,'Points Table A'!C$3:$F$33,4),VLOOKUP(G343,'Points Table A'!I$3:$L$33,4))</f>
        <v>#N/A</v>
      </c>
      <c r="X343" s="4" t="e">
        <f>IF($Q343&lt;&gt;3,VLOOKUP(H343,'Points Table A'!D$3:$F$28,3),VLOOKUP(H343,'Points Table A'!J$3:$L$33,3))</f>
        <v>#N/A</v>
      </c>
      <c r="Y343" s="4" t="e">
        <f>IF($Q343&lt;&gt;3,VLOOKUP(I343,'Points Table A'!E$3:$F$33,2),VLOOKUP(I343,'Points Table A'!K$3:$L$33,2))</f>
        <v>#N/A</v>
      </c>
      <c r="Z343" s="4" t="e">
        <f t="shared" si="35"/>
        <v>#N/A</v>
      </c>
      <c r="AA343" s="4">
        <f>IF($S343=Lookups!$B$113,VLOOKUP(L343,'Points Table C'!A$3:$E$11,5),VLOOKUP(U343,'Points Table C'!B$3:$E$11,4))</f>
        <v>0</v>
      </c>
      <c r="AB343" s="4" t="e">
        <f>IF($Q343=1,0,VLOOKUP($J343,'Points Table C'!$C$3:$E$18,3))</f>
        <v>#N/A</v>
      </c>
      <c r="AC343" s="4">
        <f>VLOOKUP($K343,'Points Table C'!$D$3:$E$18,2)</f>
        <v>0</v>
      </c>
      <c r="AD343" s="4" t="e">
        <f>IF($Z343&lt;Lookups!$C$106,($AA343+AB343+AC343),IF($AA343&gt;=Lookups!$C$120,($AA343+AB343+AC343),$AA343+$AB343))</f>
        <v>#N/A</v>
      </c>
      <c r="AF343" s="7"/>
      <c r="AG343" s="7"/>
      <c r="AH343" s="7"/>
      <c r="AI343" s="7"/>
      <c r="AJ343" s="7"/>
      <c r="AK343" s="7"/>
      <c r="AL343" s="7"/>
      <c r="AM343" s="7"/>
      <c r="AN343" s="7"/>
      <c r="AO343" s="7"/>
      <c r="AP343" s="7"/>
      <c r="AQ343" s="7"/>
      <c r="AR343" s="7"/>
      <c r="AS343" s="7"/>
      <c r="AT343" s="7"/>
      <c r="AU343" s="7"/>
      <c r="AV343" s="7"/>
      <c r="AW343" s="7"/>
      <c r="AY343" s="7"/>
      <c r="AZ343" s="7"/>
      <c r="BA343" s="7"/>
      <c r="BB343" s="7"/>
    </row>
    <row r="344" spans="2:54" x14ac:dyDescent="0.2">
      <c r="B344" s="174"/>
      <c r="C344" s="176"/>
      <c r="F344" s="5">
        <v>0</v>
      </c>
      <c r="G344" s="192">
        <v>0</v>
      </c>
      <c r="H344" s="192">
        <v>0</v>
      </c>
      <c r="I344" s="5">
        <v>0</v>
      </c>
      <c r="J344" s="192">
        <v>0</v>
      </c>
      <c r="K344" s="192">
        <v>0</v>
      </c>
      <c r="L344" s="5">
        <v>0</v>
      </c>
      <c r="M344" s="5">
        <v>0</v>
      </c>
      <c r="N344" s="4" t="e">
        <f t="shared" si="31"/>
        <v>#N/A</v>
      </c>
      <c r="O344" s="4" t="e">
        <f>IF(ROUND(10.499-(((N344-VLOOKUP($C344,Lookups!$A$55:$D$64,3))/(VLOOKUP($C344,Lookups!$A$55:$D$64,4))*VLOOKUP($C344,Lookups!$C$2:$D$11,2))),0)&lt;1,1,IF(ROUND(10.499-(((N344-VLOOKUP($C344,Lookups!$A$55:$D$64,3))/(VLOOKUP($C344,Lookups!$A$55:$D$64,4))*VLOOKUP($C344,Lookups!$C$2:$D$11,2))),0)&lt;11,ROUND(10.499-(((N344-VLOOKUP($C344,Lookups!$A$55:$D$64,3))/(VLOOKUP($C344,Lookups!$A$55:$D$64,4))*VLOOKUP($C344,Lookups!$C$2:$D$11,2))),0),10))</f>
        <v>#N/A</v>
      </c>
      <c r="P344" s="13" t="str">
        <f>IF((SUM(F344:M344)=0),"J",VLOOKUP(O344,Lookups!$A$1:$B$11,2))</f>
        <v>J</v>
      </c>
      <c r="Q344" s="8" t="e">
        <f>VLOOKUP(C344,Lookups!$A$136:$C$144,3)</f>
        <v>#N/A</v>
      </c>
      <c r="R344" s="8" t="e">
        <f>VLOOKUP(C344,Lookups!$A$136:$C$144,2)</f>
        <v>#N/A</v>
      </c>
      <c r="S344" s="4" t="str">
        <f t="shared" si="32"/>
        <v>No</v>
      </c>
      <c r="T344" s="125">
        <f t="shared" si="33"/>
        <v>0</v>
      </c>
      <c r="U344" s="125">
        <f t="shared" si="34"/>
        <v>0</v>
      </c>
      <c r="V344" s="4" t="e">
        <f>IF($Q344&lt;&gt;3,VLOOKUP(F344,'Points Table A'!B$3:$F$33,5),VLOOKUP(F344,'Points Table A'!H$3:$L$33,5))</f>
        <v>#N/A</v>
      </c>
      <c r="W344" s="4" t="e">
        <f>IF($Q344&lt;&gt;3,VLOOKUP(G344,'Points Table A'!C$3:$F$33,4),VLOOKUP(G344,'Points Table A'!I$3:$L$33,4))</f>
        <v>#N/A</v>
      </c>
      <c r="X344" s="4" t="e">
        <f>IF($Q344&lt;&gt;3,VLOOKUP(H344,'Points Table A'!D$3:$F$28,3),VLOOKUP(H344,'Points Table A'!J$3:$L$33,3))</f>
        <v>#N/A</v>
      </c>
      <c r="Y344" s="4" t="e">
        <f>IF($Q344&lt;&gt;3,VLOOKUP(I344,'Points Table A'!E$3:$F$33,2),VLOOKUP(I344,'Points Table A'!K$3:$L$33,2))</f>
        <v>#N/A</v>
      </c>
      <c r="Z344" s="4" t="e">
        <f t="shared" si="35"/>
        <v>#N/A</v>
      </c>
      <c r="AA344" s="4">
        <f>IF($S344=Lookups!$B$113,VLOOKUP(L344,'Points Table C'!A$3:$E$11,5),VLOOKUP(U344,'Points Table C'!B$3:$E$11,4))</f>
        <v>0</v>
      </c>
      <c r="AB344" s="4" t="e">
        <f>IF($Q344=1,0,VLOOKUP($J344,'Points Table C'!$C$3:$E$18,3))</f>
        <v>#N/A</v>
      </c>
      <c r="AC344" s="4">
        <f>VLOOKUP($K344,'Points Table C'!$D$3:$E$18,2)</f>
        <v>0</v>
      </c>
      <c r="AD344" s="4" t="e">
        <f>IF($Z344&lt;Lookups!$C$106,($AA344+AB344+AC344),IF($AA344&gt;=Lookups!$C$120,($AA344+AB344+AC344),$AA344+$AB344))</f>
        <v>#N/A</v>
      </c>
      <c r="AF344" s="7"/>
      <c r="AG344" s="7"/>
      <c r="AH344" s="7"/>
      <c r="AI344" s="7"/>
      <c r="AJ344" s="7"/>
      <c r="AK344" s="7"/>
      <c r="AL344" s="7"/>
      <c r="AM344" s="7"/>
      <c r="AN344" s="7"/>
      <c r="AO344" s="7"/>
      <c r="AP344" s="7"/>
      <c r="AQ344" s="7"/>
      <c r="AR344" s="7"/>
      <c r="AS344" s="7"/>
      <c r="AT344" s="7"/>
      <c r="AU344" s="7"/>
      <c r="AV344" s="7"/>
      <c r="AW344" s="7"/>
      <c r="AY344" s="7"/>
      <c r="AZ344" s="7"/>
      <c r="BA344" s="7"/>
      <c r="BB344" s="7"/>
    </row>
    <row r="345" spans="2:54" x14ac:dyDescent="0.2">
      <c r="B345" s="174"/>
      <c r="C345" s="176"/>
      <c r="F345" s="5">
        <v>0</v>
      </c>
      <c r="G345" s="192">
        <v>0</v>
      </c>
      <c r="H345" s="192">
        <v>0</v>
      </c>
      <c r="I345" s="5">
        <v>0</v>
      </c>
      <c r="J345" s="192">
        <v>0</v>
      </c>
      <c r="K345" s="192">
        <v>0</v>
      </c>
      <c r="L345" s="5">
        <v>0</v>
      </c>
      <c r="M345" s="5">
        <v>0</v>
      </c>
      <c r="N345" s="4" t="e">
        <f t="shared" si="31"/>
        <v>#N/A</v>
      </c>
      <c r="O345" s="4" t="e">
        <f>IF(ROUND(10.499-(((N345-VLOOKUP($C345,Lookups!$A$55:$D$64,3))/(VLOOKUP($C345,Lookups!$A$55:$D$64,4))*VLOOKUP($C345,Lookups!$C$2:$D$11,2))),0)&lt;1,1,IF(ROUND(10.499-(((N345-VLOOKUP($C345,Lookups!$A$55:$D$64,3))/(VLOOKUP($C345,Lookups!$A$55:$D$64,4))*VLOOKUP($C345,Lookups!$C$2:$D$11,2))),0)&lt;11,ROUND(10.499-(((N345-VLOOKUP($C345,Lookups!$A$55:$D$64,3))/(VLOOKUP($C345,Lookups!$A$55:$D$64,4))*VLOOKUP($C345,Lookups!$C$2:$D$11,2))),0),10))</f>
        <v>#N/A</v>
      </c>
      <c r="P345" s="13" t="str">
        <f>IF((SUM(F345:M345)=0),"J",VLOOKUP(O345,Lookups!$A$1:$B$11,2))</f>
        <v>J</v>
      </c>
      <c r="Q345" s="8" t="e">
        <f>VLOOKUP(C345,Lookups!$A$136:$C$144,3)</f>
        <v>#N/A</v>
      </c>
      <c r="R345" s="8" t="e">
        <f>VLOOKUP(C345,Lookups!$A$136:$C$144,2)</f>
        <v>#N/A</v>
      </c>
      <c r="S345" s="4" t="str">
        <f t="shared" si="32"/>
        <v>No</v>
      </c>
      <c r="T345" s="125">
        <f t="shared" si="33"/>
        <v>0</v>
      </c>
      <c r="U345" s="125">
        <f t="shared" si="34"/>
        <v>0</v>
      </c>
      <c r="V345" s="4" t="e">
        <f>IF($Q345&lt;&gt;3,VLOOKUP(F345,'Points Table A'!B$3:$F$33,5),VLOOKUP(F345,'Points Table A'!H$3:$L$33,5))</f>
        <v>#N/A</v>
      </c>
      <c r="W345" s="4" t="e">
        <f>IF($Q345&lt;&gt;3,VLOOKUP(G345,'Points Table A'!C$3:$F$33,4),VLOOKUP(G345,'Points Table A'!I$3:$L$33,4))</f>
        <v>#N/A</v>
      </c>
      <c r="X345" s="4" t="e">
        <f>IF($Q345&lt;&gt;3,VLOOKUP(H345,'Points Table A'!D$3:$F$28,3),VLOOKUP(H345,'Points Table A'!J$3:$L$33,3))</f>
        <v>#N/A</v>
      </c>
      <c r="Y345" s="4" t="e">
        <f>IF($Q345&lt;&gt;3,VLOOKUP(I345,'Points Table A'!E$3:$F$33,2),VLOOKUP(I345,'Points Table A'!K$3:$L$33,2))</f>
        <v>#N/A</v>
      </c>
      <c r="Z345" s="4" t="e">
        <f t="shared" si="35"/>
        <v>#N/A</v>
      </c>
      <c r="AA345" s="4">
        <f>IF($S345=Lookups!$B$113,VLOOKUP(L345,'Points Table C'!A$3:$E$11,5),VLOOKUP(U345,'Points Table C'!B$3:$E$11,4))</f>
        <v>0</v>
      </c>
      <c r="AB345" s="4" t="e">
        <f>IF($Q345=1,0,VLOOKUP($J345,'Points Table C'!$C$3:$E$18,3))</f>
        <v>#N/A</v>
      </c>
      <c r="AC345" s="4">
        <f>VLOOKUP($K345,'Points Table C'!$D$3:$E$18,2)</f>
        <v>0</v>
      </c>
      <c r="AD345" s="4" t="e">
        <f>IF($Z345&lt;Lookups!$C$106,($AA345+AB345+AC345),IF($AA345&gt;=Lookups!$C$120,($AA345+AB345+AC345),$AA345+$AB345))</f>
        <v>#N/A</v>
      </c>
      <c r="AF345" s="7"/>
      <c r="AG345" s="7"/>
      <c r="AH345" s="7"/>
      <c r="AI345" s="7"/>
      <c r="AJ345" s="7"/>
      <c r="AK345" s="7"/>
      <c r="AL345" s="7"/>
      <c r="AM345" s="7"/>
      <c r="AN345" s="7"/>
      <c r="AO345" s="7"/>
      <c r="AP345" s="7"/>
      <c r="AQ345" s="7"/>
      <c r="AR345" s="7"/>
      <c r="AS345" s="7"/>
      <c r="AT345" s="7"/>
      <c r="AU345" s="7"/>
      <c r="AV345" s="7"/>
      <c r="AW345" s="7"/>
      <c r="AY345" s="7"/>
      <c r="AZ345" s="7"/>
      <c r="BA345" s="7"/>
      <c r="BB345" s="7"/>
    </row>
    <row r="346" spans="2:54" x14ac:dyDescent="0.2">
      <c r="B346" s="174"/>
      <c r="C346" s="176"/>
      <c r="F346" s="5">
        <v>0</v>
      </c>
      <c r="G346" s="192">
        <v>0</v>
      </c>
      <c r="H346" s="192">
        <v>0</v>
      </c>
      <c r="I346" s="5">
        <v>0</v>
      </c>
      <c r="J346" s="192">
        <v>0</v>
      </c>
      <c r="K346" s="192">
        <v>0</v>
      </c>
      <c r="L346" s="5">
        <v>0</v>
      </c>
      <c r="M346" s="5">
        <v>0</v>
      </c>
      <c r="N346" s="4" t="e">
        <f t="shared" si="31"/>
        <v>#N/A</v>
      </c>
      <c r="O346" s="4" t="e">
        <f>IF(ROUND(10.499-(((N346-VLOOKUP($C346,Lookups!$A$55:$D$64,3))/(VLOOKUP($C346,Lookups!$A$55:$D$64,4))*VLOOKUP($C346,Lookups!$C$2:$D$11,2))),0)&lt;1,1,IF(ROUND(10.499-(((N346-VLOOKUP($C346,Lookups!$A$55:$D$64,3))/(VLOOKUP($C346,Lookups!$A$55:$D$64,4))*VLOOKUP($C346,Lookups!$C$2:$D$11,2))),0)&lt;11,ROUND(10.499-(((N346-VLOOKUP($C346,Lookups!$A$55:$D$64,3))/(VLOOKUP($C346,Lookups!$A$55:$D$64,4))*VLOOKUP($C346,Lookups!$C$2:$D$11,2))),0),10))</f>
        <v>#N/A</v>
      </c>
      <c r="P346" s="13" t="str">
        <f>IF((SUM(F346:M346)=0),"J",VLOOKUP(O346,Lookups!$A$1:$B$11,2))</f>
        <v>J</v>
      </c>
      <c r="Q346" s="8" t="e">
        <f>VLOOKUP(C346,Lookups!$A$136:$C$144,3)</f>
        <v>#N/A</v>
      </c>
      <c r="R346" s="8" t="e">
        <f>VLOOKUP(C346,Lookups!$A$136:$C$144,2)</f>
        <v>#N/A</v>
      </c>
      <c r="S346" s="4" t="str">
        <f t="shared" si="32"/>
        <v>No</v>
      </c>
      <c r="T346" s="125">
        <f t="shared" si="33"/>
        <v>0</v>
      </c>
      <c r="U346" s="125">
        <f t="shared" si="34"/>
        <v>0</v>
      </c>
      <c r="V346" s="4" t="e">
        <f>IF($Q346&lt;&gt;3,VLOOKUP(F346,'Points Table A'!B$3:$F$33,5),VLOOKUP(F346,'Points Table A'!H$3:$L$33,5))</f>
        <v>#N/A</v>
      </c>
      <c r="W346" s="4" t="e">
        <f>IF($Q346&lt;&gt;3,VLOOKUP(G346,'Points Table A'!C$3:$F$33,4),VLOOKUP(G346,'Points Table A'!I$3:$L$33,4))</f>
        <v>#N/A</v>
      </c>
      <c r="X346" s="4" t="e">
        <f>IF($Q346&lt;&gt;3,VLOOKUP(H346,'Points Table A'!D$3:$F$28,3),VLOOKUP(H346,'Points Table A'!J$3:$L$33,3))</f>
        <v>#N/A</v>
      </c>
      <c r="Y346" s="4" t="e">
        <f>IF($Q346&lt;&gt;3,VLOOKUP(I346,'Points Table A'!E$3:$F$33,2),VLOOKUP(I346,'Points Table A'!K$3:$L$33,2))</f>
        <v>#N/A</v>
      </c>
      <c r="Z346" s="4" t="e">
        <f t="shared" si="35"/>
        <v>#N/A</v>
      </c>
      <c r="AA346" s="4">
        <f>IF($S346=Lookups!$B$113,VLOOKUP(L346,'Points Table C'!A$3:$E$11,5),VLOOKUP(U346,'Points Table C'!B$3:$E$11,4))</f>
        <v>0</v>
      </c>
      <c r="AB346" s="4" t="e">
        <f>IF($Q346=1,0,VLOOKUP($J346,'Points Table C'!$C$3:$E$18,3))</f>
        <v>#N/A</v>
      </c>
      <c r="AC346" s="4">
        <f>VLOOKUP($K346,'Points Table C'!$D$3:$E$18,2)</f>
        <v>0</v>
      </c>
      <c r="AD346" s="4" t="e">
        <f>IF($Z346&lt;Lookups!$C$106,($AA346+AB346+AC346),IF($AA346&gt;=Lookups!$C$120,($AA346+AB346+AC346),$AA346+$AB346))</f>
        <v>#N/A</v>
      </c>
      <c r="AF346" s="7"/>
      <c r="AG346" s="7"/>
      <c r="AH346" s="7"/>
      <c r="AI346" s="7"/>
      <c r="AJ346" s="7"/>
      <c r="AK346" s="7"/>
      <c r="AL346" s="7"/>
      <c r="AM346" s="7"/>
      <c r="AN346" s="7"/>
      <c r="AO346" s="7"/>
      <c r="AP346" s="7"/>
      <c r="AQ346" s="7"/>
      <c r="AR346" s="7"/>
      <c r="AS346" s="7"/>
      <c r="AT346" s="7"/>
      <c r="AU346" s="7"/>
      <c r="AV346" s="7"/>
      <c r="AW346" s="7"/>
      <c r="AY346" s="7"/>
      <c r="AZ346" s="7"/>
      <c r="BA346" s="7"/>
      <c r="BB346" s="7"/>
    </row>
    <row r="347" spans="2:54" x14ac:dyDescent="0.2">
      <c r="B347" s="174"/>
      <c r="C347" s="176"/>
      <c r="F347" s="5">
        <v>0</v>
      </c>
      <c r="G347" s="192">
        <v>0</v>
      </c>
      <c r="H347" s="192">
        <v>0</v>
      </c>
      <c r="I347" s="5">
        <v>0</v>
      </c>
      <c r="J347" s="192">
        <v>0</v>
      </c>
      <c r="K347" s="192">
        <v>0</v>
      </c>
      <c r="L347" s="5">
        <v>0</v>
      </c>
      <c r="M347" s="5">
        <v>0</v>
      </c>
      <c r="N347" s="4" t="e">
        <f t="shared" si="31"/>
        <v>#N/A</v>
      </c>
      <c r="O347" s="4" t="e">
        <f>IF(ROUND(10.499-(((N347-VLOOKUP($C347,Lookups!$A$55:$D$64,3))/(VLOOKUP($C347,Lookups!$A$55:$D$64,4))*VLOOKUP($C347,Lookups!$C$2:$D$11,2))),0)&lt;1,1,IF(ROUND(10.499-(((N347-VLOOKUP($C347,Lookups!$A$55:$D$64,3))/(VLOOKUP($C347,Lookups!$A$55:$D$64,4))*VLOOKUP($C347,Lookups!$C$2:$D$11,2))),0)&lt;11,ROUND(10.499-(((N347-VLOOKUP($C347,Lookups!$A$55:$D$64,3))/(VLOOKUP($C347,Lookups!$A$55:$D$64,4))*VLOOKUP($C347,Lookups!$C$2:$D$11,2))),0),10))</f>
        <v>#N/A</v>
      </c>
      <c r="P347" s="13" t="str">
        <f>IF((SUM(F347:M347)=0),"J",VLOOKUP(O347,Lookups!$A$1:$B$11,2))</f>
        <v>J</v>
      </c>
      <c r="Q347" s="8" t="e">
        <f>VLOOKUP(C347,Lookups!$A$136:$C$144,3)</f>
        <v>#N/A</v>
      </c>
      <c r="R347" s="8" t="e">
        <f>VLOOKUP(C347,Lookups!$A$136:$C$144,2)</f>
        <v>#N/A</v>
      </c>
      <c r="S347" s="4" t="str">
        <f t="shared" si="32"/>
        <v>No</v>
      </c>
      <c r="T347" s="125">
        <f t="shared" si="33"/>
        <v>0</v>
      </c>
      <c r="U347" s="125">
        <f t="shared" si="34"/>
        <v>0</v>
      </c>
      <c r="V347" s="4" t="e">
        <f>IF($Q347&lt;&gt;3,VLOOKUP(F347,'Points Table A'!B$3:$F$33,5),VLOOKUP(F347,'Points Table A'!H$3:$L$33,5))</f>
        <v>#N/A</v>
      </c>
      <c r="W347" s="4" t="e">
        <f>IF($Q347&lt;&gt;3,VLOOKUP(G347,'Points Table A'!C$3:$F$33,4),VLOOKUP(G347,'Points Table A'!I$3:$L$33,4))</f>
        <v>#N/A</v>
      </c>
      <c r="X347" s="4" t="e">
        <f>IF($Q347&lt;&gt;3,VLOOKUP(H347,'Points Table A'!D$3:$F$28,3),VLOOKUP(H347,'Points Table A'!J$3:$L$33,3))</f>
        <v>#N/A</v>
      </c>
      <c r="Y347" s="4" t="e">
        <f>IF($Q347&lt;&gt;3,VLOOKUP(I347,'Points Table A'!E$3:$F$33,2),VLOOKUP(I347,'Points Table A'!K$3:$L$33,2))</f>
        <v>#N/A</v>
      </c>
      <c r="Z347" s="4" t="e">
        <f t="shared" si="35"/>
        <v>#N/A</v>
      </c>
      <c r="AA347" s="4">
        <f>IF($S347=Lookups!$B$113,VLOOKUP(L347,'Points Table C'!A$3:$E$11,5),VLOOKUP(U347,'Points Table C'!B$3:$E$11,4))</f>
        <v>0</v>
      </c>
      <c r="AB347" s="4" t="e">
        <f>IF($Q347=1,0,VLOOKUP($J347,'Points Table C'!$C$3:$E$18,3))</f>
        <v>#N/A</v>
      </c>
      <c r="AC347" s="4">
        <f>VLOOKUP($K347,'Points Table C'!$D$3:$E$18,2)</f>
        <v>0</v>
      </c>
      <c r="AD347" s="4" t="e">
        <f>IF($Z347&lt;Lookups!$C$106,($AA347+AB347+AC347),IF($AA347&gt;=Lookups!$C$120,($AA347+AB347+AC347),$AA347+$AB347))</f>
        <v>#N/A</v>
      </c>
      <c r="AF347" s="7"/>
      <c r="AG347" s="7"/>
      <c r="AH347" s="7"/>
      <c r="AI347" s="7"/>
      <c r="AJ347" s="7"/>
      <c r="AK347" s="7"/>
      <c r="AL347" s="7"/>
      <c r="AM347" s="7"/>
      <c r="AN347" s="7"/>
      <c r="AO347" s="7"/>
      <c r="AP347" s="7"/>
      <c r="AQ347" s="7"/>
      <c r="AR347" s="7"/>
      <c r="AS347" s="7"/>
      <c r="AT347" s="7"/>
      <c r="AU347" s="7"/>
      <c r="AV347" s="7"/>
      <c r="AW347" s="7"/>
      <c r="AY347" s="7"/>
      <c r="AZ347" s="7"/>
      <c r="BA347" s="7"/>
      <c r="BB347" s="7"/>
    </row>
    <row r="348" spans="2:54" x14ac:dyDescent="0.2">
      <c r="B348" s="174"/>
      <c r="C348" s="176"/>
      <c r="F348" s="5">
        <v>0</v>
      </c>
      <c r="G348" s="192">
        <v>0</v>
      </c>
      <c r="H348" s="192">
        <v>0</v>
      </c>
      <c r="I348" s="5">
        <v>0</v>
      </c>
      <c r="J348" s="192">
        <v>0</v>
      </c>
      <c r="K348" s="192">
        <v>0</v>
      </c>
      <c r="L348" s="5">
        <v>0</v>
      </c>
      <c r="M348" s="5">
        <v>0</v>
      </c>
      <c r="N348" s="4" t="e">
        <f t="shared" si="31"/>
        <v>#N/A</v>
      </c>
      <c r="O348" s="4" t="e">
        <f>IF(ROUND(10.499-(((N348-VLOOKUP($C348,Lookups!$A$55:$D$64,3))/(VLOOKUP($C348,Lookups!$A$55:$D$64,4))*VLOOKUP($C348,Lookups!$C$2:$D$11,2))),0)&lt;1,1,IF(ROUND(10.499-(((N348-VLOOKUP($C348,Lookups!$A$55:$D$64,3))/(VLOOKUP($C348,Lookups!$A$55:$D$64,4))*VLOOKUP($C348,Lookups!$C$2:$D$11,2))),0)&lt;11,ROUND(10.499-(((N348-VLOOKUP($C348,Lookups!$A$55:$D$64,3))/(VLOOKUP($C348,Lookups!$A$55:$D$64,4))*VLOOKUP($C348,Lookups!$C$2:$D$11,2))),0),10))</f>
        <v>#N/A</v>
      </c>
      <c r="P348" s="13" t="str">
        <f>IF((SUM(F348:M348)=0),"J",VLOOKUP(O348,Lookups!$A$1:$B$11,2))</f>
        <v>J</v>
      </c>
      <c r="Q348" s="8" t="e">
        <f>VLOOKUP(C348,Lookups!$A$136:$C$144,3)</f>
        <v>#N/A</v>
      </c>
      <c r="R348" s="8" t="e">
        <f>VLOOKUP(C348,Lookups!$A$136:$C$144,2)</f>
        <v>#N/A</v>
      </c>
      <c r="S348" s="4" t="str">
        <f t="shared" si="32"/>
        <v>No</v>
      </c>
      <c r="T348" s="125">
        <f t="shared" si="33"/>
        <v>0</v>
      </c>
      <c r="U348" s="125">
        <f t="shared" si="34"/>
        <v>0</v>
      </c>
      <c r="V348" s="4" t="e">
        <f>IF($Q348&lt;&gt;3,VLOOKUP(F348,'Points Table A'!B$3:$F$33,5),VLOOKUP(F348,'Points Table A'!H$3:$L$33,5))</f>
        <v>#N/A</v>
      </c>
      <c r="W348" s="4" t="e">
        <f>IF($Q348&lt;&gt;3,VLOOKUP(G348,'Points Table A'!C$3:$F$33,4),VLOOKUP(G348,'Points Table A'!I$3:$L$33,4))</f>
        <v>#N/A</v>
      </c>
      <c r="X348" s="4" t="e">
        <f>IF($Q348&lt;&gt;3,VLOOKUP(H348,'Points Table A'!D$3:$F$28,3),VLOOKUP(H348,'Points Table A'!J$3:$L$33,3))</f>
        <v>#N/A</v>
      </c>
      <c r="Y348" s="4" t="e">
        <f>IF($Q348&lt;&gt;3,VLOOKUP(I348,'Points Table A'!E$3:$F$33,2),VLOOKUP(I348,'Points Table A'!K$3:$L$33,2))</f>
        <v>#N/A</v>
      </c>
      <c r="Z348" s="4" t="e">
        <f t="shared" si="35"/>
        <v>#N/A</v>
      </c>
      <c r="AA348" s="4">
        <f>IF($S348=Lookups!$B$113,VLOOKUP(L348,'Points Table C'!A$3:$E$11,5),VLOOKUP(U348,'Points Table C'!B$3:$E$11,4))</f>
        <v>0</v>
      </c>
      <c r="AB348" s="4" t="e">
        <f>IF($Q348=1,0,VLOOKUP($J348,'Points Table C'!$C$3:$E$18,3))</f>
        <v>#N/A</v>
      </c>
      <c r="AC348" s="4">
        <f>VLOOKUP($K348,'Points Table C'!$D$3:$E$18,2)</f>
        <v>0</v>
      </c>
      <c r="AD348" s="4" t="e">
        <f>IF($Z348&lt;Lookups!$C$106,($AA348+AB348+AC348),IF($AA348&gt;=Lookups!$C$120,($AA348+AB348+AC348),$AA348+$AB348))</f>
        <v>#N/A</v>
      </c>
      <c r="AF348" s="7"/>
      <c r="AG348" s="7"/>
      <c r="AH348" s="7"/>
      <c r="AI348" s="7"/>
      <c r="AJ348" s="7"/>
      <c r="AK348" s="7"/>
      <c r="AL348" s="7"/>
      <c r="AM348" s="7"/>
      <c r="AN348" s="7"/>
      <c r="AO348" s="7"/>
      <c r="AP348" s="7"/>
      <c r="AQ348" s="7"/>
      <c r="AR348" s="7"/>
      <c r="AS348" s="7"/>
      <c r="AT348" s="7"/>
      <c r="AU348" s="7"/>
      <c r="AV348" s="7"/>
      <c r="AW348" s="7"/>
      <c r="AY348" s="7"/>
      <c r="AZ348" s="7"/>
      <c r="BA348" s="7"/>
      <c r="BB348" s="7"/>
    </row>
    <row r="349" spans="2:54" x14ac:dyDescent="0.2">
      <c r="B349" s="174"/>
      <c r="C349" s="176"/>
      <c r="F349" s="5">
        <v>0</v>
      </c>
      <c r="G349" s="192">
        <v>0</v>
      </c>
      <c r="H349" s="192">
        <v>0</v>
      </c>
      <c r="I349" s="5">
        <v>0</v>
      </c>
      <c r="J349" s="192">
        <v>0</v>
      </c>
      <c r="K349" s="192">
        <v>0</v>
      </c>
      <c r="L349" s="5">
        <v>0</v>
      </c>
      <c r="M349" s="5">
        <v>0</v>
      </c>
      <c r="N349" s="4" t="e">
        <f t="shared" si="31"/>
        <v>#N/A</v>
      </c>
      <c r="O349" s="4" t="e">
        <f>IF(ROUND(10.499-(((N349-VLOOKUP($C349,Lookups!$A$55:$D$64,3))/(VLOOKUP($C349,Lookups!$A$55:$D$64,4))*VLOOKUP($C349,Lookups!$C$2:$D$11,2))),0)&lt;1,1,IF(ROUND(10.499-(((N349-VLOOKUP($C349,Lookups!$A$55:$D$64,3))/(VLOOKUP($C349,Lookups!$A$55:$D$64,4))*VLOOKUP($C349,Lookups!$C$2:$D$11,2))),0)&lt;11,ROUND(10.499-(((N349-VLOOKUP($C349,Lookups!$A$55:$D$64,3))/(VLOOKUP($C349,Lookups!$A$55:$D$64,4))*VLOOKUP($C349,Lookups!$C$2:$D$11,2))),0),10))</f>
        <v>#N/A</v>
      </c>
      <c r="P349" s="13" t="str">
        <f>IF((SUM(F349:M349)=0),"J",VLOOKUP(O349,Lookups!$A$1:$B$11,2))</f>
        <v>J</v>
      </c>
      <c r="Q349" s="8" t="e">
        <f>VLOOKUP(C349,Lookups!$A$136:$C$144,3)</f>
        <v>#N/A</v>
      </c>
      <c r="R349" s="8" t="e">
        <f>VLOOKUP(C349,Lookups!$A$136:$C$144,2)</f>
        <v>#N/A</v>
      </c>
      <c r="S349" s="4" t="str">
        <f t="shared" si="32"/>
        <v>No</v>
      </c>
      <c r="T349" s="125">
        <f t="shared" si="33"/>
        <v>0</v>
      </c>
      <c r="U349" s="125">
        <f t="shared" si="34"/>
        <v>0</v>
      </c>
      <c r="V349" s="4" t="e">
        <f>IF($Q349&lt;&gt;3,VLOOKUP(F349,'Points Table A'!B$3:$F$33,5),VLOOKUP(F349,'Points Table A'!H$3:$L$33,5))</f>
        <v>#N/A</v>
      </c>
      <c r="W349" s="4" t="e">
        <f>IF($Q349&lt;&gt;3,VLOOKUP(G349,'Points Table A'!C$3:$F$33,4),VLOOKUP(G349,'Points Table A'!I$3:$L$33,4))</f>
        <v>#N/A</v>
      </c>
      <c r="X349" s="4" t="e">
        <f>IF($Q349&lt;&gt;3,VLOOKUP(H349,'Points Table A'!D$3:$F$28,3),VLOOKUP(H349,'Points Table A'!J$3:$L$33,3))</f>
        <v>#N/A</v>
      </c>
      <c r="Y349" s="4" t="e">
        <f>IF($Q349&lt;&gt;3,VLOOKUP(I349,'Points Table A'!E$3:$F$33,2),VLOOKUP(I349,'Points Table A'!K$3:$L$33,2))</f>
        <v>#N/A</v>
      </c>
      <c r="Z349" s="4" t="e">
        <f t="shared" si="35"/>
        <v>#N/A</v>
      </c>
      <c r="AA349" s="4">
        <f>IF($S349=Lookups!$B$113,VLOOKUP(L349,'Points Table C'!A$3:$E$11,5),VLOOKUP(U349,'Points Table C'!B$3:$E$11,4))</f>
        <v>0</v>
      </c>
      <c r="AB349" s="4" t="e">
        <f>IF($Q349=1,0,VLOOKUP($J349,'Points Table C'!$C$3:$E$18,3))</f>
        <v>#N/A</v>
      </c>
      <c r="AC349" s="4">
        <f>VLOOKUP($K349,'Points Table C'!$D$3:$E$18,2)</f>
        <v>0</v>
      </c>
      <c r="AD349" s="4" t="e">
        <f>IF($Z349&lt;Lookups!$C$106,($AA349+AB349+AC349),IF($AA349&gt;=Lookups!$C$120,($AA349+AB349+AC349),$AA349+$AB349))</f>
        <v>#N/A</v>
      </c>
      <c r="AF349" s="7"/>
      <c r="AG349" s="7"/>
      <c r="AH349" s="7"/>
      <c r="AI349" s="7"/>
      <c r="AJ349" s="7"/>
      <c r="AK349" s="7"/>
      <c r="AL349" s="7"/>
      <c r="AM349" s="7"/>
      <c r="AN349" s="7"/>
      <c r="AO349" s="7"/>
      <c r="AP349" s="7"/>
      <c r="AQ349" s="7"/>
      <c r="AR349" s="7"/>
      <c r="AS349" s="7"/>
      <c r="AT349" s="7"/>
      <c r="AU349" s="7"/>
      <c r="AV349" s="7"/>
      <c r="AW349" s="7"/>
      <c r="AY349" s="7"/>
      <c r="AZ349" s="7"/>
      <c r="BA349" s="7"/>
      <c r="BB349" s="7"/>
    </row>
    <row r="350" spans="2:54" x14ac:dyDescent="0.2">
      <c r="B350" s="174"/>
      <c r="C350" s="176"/>
      <c r="F350" s="5">
        <v>0</v>
      </c>
      <c r="G350" s="192">
        <v>0</v>
      </c>
      <c r="H350" s="192">
        <v>0</v>
      </c>
      <c r="I350" s="5">
        <v>0</v>
      </c>
      <c r="J350" s="192">
        <v>0</v>
      </c>
      <c r="K350" s="192">
        <v>0</v>
      </c>
      <c r="L350" s="5">
        <v>0</v>
      </c>
      <c r="M350" s="5">
        <v>0</v>
      </c>
      <c r="N350" s="4" t="e">
        <f t="shared" si="31"/>
        <v>#N/A</v>
      </c>
      <c r="O350" s="4" t="e">
        <f>IF(ROUND(10.499-(((N350-VLOOKUP($C350,Lookups!$A$55:$D$64,3))/(VLOOKUP($C350,Lookups!$A$55:$D$64,4))*VLOOKUP($C350,Lookups!$C$2:$D$11,2))),0)&lt;1,1,IF(ROUND(10.499-(((N350-VLOOKUP($C350,Lookups!$A$55:$D$64,3))/(VLOOKUP($C350,Lookups!$A$55:$D$64,4))*VLOOKUP($C350,Lookups!$C$2:$D$11,2))),0)&lt;11,ROUND(10.499-(((N350-VLOOKUP($C350,Lookups!$A$55:$D$64,3))/(VLOOKUP($C350,Lookups!$A$55:$D$64,4))*VLOOKUP($C350,Lookups!$C$2:$D$11,2))),0),10))</f>
        <v>#N/A</v>
      </c>
      <c r="P350" s="13" t="str">
        <f>IF((SUM(F350:M350)=0),"J",VLOOKUP(O350,Lookups!$A$1:$B$11,2))</f>
        <v>J</v>
      </c>
      <c r="Q350" s="8" t="e">
        <f>VLOOKUP(C350,Lookups!$A$136:$C$144,3)</f>
        <v>#N/A</v>
      </c>
      <c r="R350" s="8" t="e">
        <f>VLOOKUP(C350,Lookups!$A$136:$C$144,2)</f>
        <v>#N/A</v>
      </c>
      <c r="S350" s="4" t="str">
        <f t="shared" si="32"/>
        <v>No</v>
      </c>
      <c r="T350" s="125">
        <f t="shared" si="33"/>
        <v>0</v>
      </c>
      <c r="U350" s="125">
        <f t="shared" si="34"/>
        <v>0</v>
      </c>
      <c r="V350" s="4" t="e">
        <f>IF($Q350&lt;&gt;3,VLOOKUP(F350,'Points Table A'!B$3:$F$33,5),VLOOKUP(F350,'Points Table A'!H$3:$L$33,5))</f>
        <v>#N/A</v>
      </c>
      <c r="W350" s="4" t="e">
        <f>IF($Q350&lt;&gt;3,VLOOKUP(G350,'Points Table A'!C$3:$F$33,4),VLOOKUP(G350,'Points Table A'!I$3:$L$33,4))</f>
        <v>#N/A</v>
      </c>
      <c r="X350" s="4" t="e">
        <f>IF($Q350&lt;&gt;3,VLOOKUP(H350,'Points Table A'!D$3:$F$28,3),VLOOKUP(H350,'Points Table A'!J$3:$L$33,3))</f>
        <v>#N/A</v>
      </c>
      <c r="Y350" s="4" t="e">
        <f>IF($Q350&lt;&gt;3,VLOOKUP(I350,'Points Table A'!E$3:$F$33,2),VLOOKUP(I350,'Points Table A'!K$3:$L$33,2))</f>
        <v>#N/A</v>
      </c>
      <c r="Z350" s="4" t="e">
        <f t="shared" si="35"/>
        <v>#N/A</v>
      </c>
      <c r="AA350" s="4">
        <f>IF($S350=Lookups!$B$113,VLOOKUP(L350,'Points Table C'!A$3:$E$11,5),VLOOKUP(U350,'Points Table C'!B$3:$E$11,4))</f>
        <v>0</v>
      </c>
      <c r="AB350" s="4" t="e">
        <f>IF($Q350=1,0,VLOOKUP($J350,'Points Table C'!$C$3:$E$18,3))</f>
        <v>#N/A</v>
      </c>
      <c r="AC350" s="4">
        <f>VLOOKUP($K350,'Points Table C'!$D$3:$E$18,2)</f>
        <v>0</v>
      </c>
      <c r="AD350" s="4" t="e">
        <f>IF($Z350&lt;Lookups!$C$106,($AA350+AB350+AC350),IF($AA350&gt;=Lookups!$C$120,($AA350+AB350+AC350),$AA350+$AB350))</f>
        <v>#N/A</v>
      </c>
      <c r="AF350" s="7"/>
      <c r="AG350" s="7"/>
      <c r="AH350" s="7"/>
      <c r="AI350" s="7"/>
      <c r="AJ350" s="7"/>
      <c r="AK350" s="7"/>
      <c r="AL350" s="7"/>
      <c r="AM350" s="7"/>
      <c r="AN350" s="7"/>
      <c r="AO350" s="7"/>
      <c r="AP350" s="7"/>
      <c r="AQ350" s="7"/>
      <c r="AR350" s="7"/>
      <c r="AS350" s="7"/>
      <c r="AT350" s="7"/>
      <c r="AU350" s="7"/>
      <c r="AV350" s="7"/>
      <c r="AW350" s="7"/>
      <c r="AY350" s="7"/>
      <c r="AZ350" s="7"/>
      <c r="BA350" s="7"/>
      <c r="BB350" s="7"/>
    </row>
    <row r="351" spans="2:54" x14ac:dyDescent="0.2">
      <c r="B351" s="174"/>
      <c r="C351" s="176"/>
      <c r="F351" s="5">
        <v>0</v>
      </c>
      <c r="G351" s="192">
        <v>0</v>
      </c>
      <c r="H351" s="192">
        <v>0</v>
      </c>
      <c r="I351" s="5">
        <v>0</v>
      </c>
      <c r="J351" s="192">
        <v>0</v>
      </c>
      <c r="K351" s="192">
        <v>0</v>
      </c>
      <c r="L351" s="5">
        <v>0</v>
      </c>
      <c r="M351" s="5">
        <v>0</v>
      </c>
      <c r="N351" s="4" t="e">
        <f t="shared" si="31"/>
        <v>#N/A</v>
      </c>
      <c r="O351" s="4" t="e">
        <f>IF(ROUND(10.499-(((N351-VLOOKUP($C351,Lookups!$A$55:$D$64,3))/(VLOOKUP($C351,Lookups!$A$55:$D$64,4))*VLOOKUP($C351,Lookups!$C$2:$D$11,2))),0)&lt;1,1,IF(ROUND(10.499-(((N351-VLOOKUP($C351,Lookups!$A$55:$D$64,3))/(VLOOKUP($C351,Lookups!$A$55:$D$64,4))*VLOOKUP($C351,Lookups!$C$2:$D$11,2))),0)&lt;11,ROUND(10.499-(((N351-VLOOKUP($C351,Lookups!$A$55:$D$64,3))/(VLOOKUP($C351,Lookups!$A$55:$D$64,4))*VLOOKUP($C351,Lookups!$C$2:$D$11,2))),0),10))</f>
        <v>#N/A</v>
      </c>
      <c r="P351" s="13" t="str">
        <f>IF((SUM(F351:M351)=0),"J",VLOOKUP(O351,Lookups!$A$1:$B$11,2))</f>
        <v>J</v>
      </c>
      <c r="Q351" s="8" t="e">
        <f>VLOOKUP(C351,Lookups!$A$136:$C$144,3)</f>
        <v>#N/A</v>
      </c>
      <c r="R351" s="8" t="e">
        <f>VLOOKUP(C351,Lookups!$A$136:$C$144,2)</f>
        <v>#N/A</v>
      </c>
      <c r="S351" s="4" t="str">
        <f t="shared" si="32"/>
        <v>No</v>
      </c>
      <c r="T351" s="125">
        <f t="shared" si="33"/>
        <v>0</v>
      </c>
      <c r="U351" s="125">
        <f t="shared" si="34"/>
        <v>0</v>
      </c>
      <c r="V351" s="4" t="e">
        <f>IF($Q351&lt;&gt;3,VLOOKUP(F351,'Points Table A'!B$3:$F$33,5),VLOOKUP(F351,'Points Table A'!H$3:$L$33,5))</f>
        <v>#N/A</v>
      </c>
      <c r="W351" s="4" t="e">
        <f>IF($Q351&lt;&gt;3,VLOOKUP(G351,'Points Table A'!C$3:$F$33,4),VLOOKUP(G351,'Points Table A'!I$3:$L$33,4))</f>
        <v>#N/A</v>
      </c>
      <c r="X351" s="4" t="e">
        <f>IF($Q351&lt;&gt;3,VLOOKUP(H351,'Points Table A'!D$3:$F$28,3),VLOOKUP(H351,'Points Table A'!J$3:$L$33,3))</f>
        <v>#N/A</v>
      </c>
      <c r="Y351" s="4" t="e">
        <f>IF($Q351&lt;&gt;3,VLOOKUP(I351,'Points Table A'!E$3:$F$33,2),VLOOKUP(I351,'Points Table A'!K$3:$L$33,2))</f>
        <v>#N/A</v>
      </c>
      <c r="Z351" s="4" t="e">
        <f t="shared" si="35"/>
        <v>#N/A</v>
      </c>
      <c r="AA351" s="4">
        <f>IF($S351=Lookups!$B$113,VLOOKUP(L351,'Points Table C'!A$3:$E$11,5),VLOOKUP(U351,'Points Table C'!B$3:$E$11,4))</f>
        <v>0</v>
      </c>
      <c r="AB351" s="4" t="e">
        <f>IF($Q351=1,0,VLOOKUP($J351,'Points Table C'!$C$3:$E$18,3))</f>
        <v>#N/A</v>
      </c>
      <c r="AC351" s="4">
        <f>VLOOKUP($K351,'Points Table C'!$D$3:$E$18,2)</f>
        <v>0</v>
      </c>
      <c r="AD351" s="4" t="e">
        <f>IF($Z351&lt;Lookups!$C$106,($AA351+AB351+AC351),IF($AA351&gt;=Lookups!$C$120,($AA351+AB351+AC351),$AA351+$AB351))</f>
        <v>#N/A</v>
      </c>
      <c r="AF351" s="7"/>
      <c r="AG351" s="7"/>
      <c r="AH351" s="7"/>
      <c r="AI351" s="7"/>
      <c r="AJ351" s="7"/>
      <c r="AK351" s="7"/>
      <c r="AL351" s="7"/>
      <c r="AM351" s="7"/>
      <c r="AN351" s="7"/>
      <c r="AO351" s="7"/>
      <c r="AP351" s="7"/>
      <c r="AQ351" s="7"/>
      <c r="AR351" s="7"/>
      <c r="AS351" s="7"/>
      <c r="AT351" s="7"/>
      <c r="AU351" s="7"/>
      <c r="AV351" s="7"/>
      <c r="AW351" s="7"/>
      <c r="AY351" s="7"/>
      <c r="AZ351" s="7"/>
      <c r="BA351" s="7"/>
      <c r="BB351" s="7"/>
    </row>
    <row r="352" spans="2:54" x14ac:dyDescent="0.2">
      <c r="B352" s="174"/>
      <c r="C352" s="176"/>
      <c r="F352" s="5">
        <v>0</v>
      </c>
      <c r="G352" s="192">
        <v>0</v>
      </c>
      <c r="H352" s="192">
        <v>0</v>
      </c>
      <c r="I352" s="5">
        <v>0</v>
      </c>
      <c r="J352" s="192">
        <v>0</v>
      </c>
      <c r="K352" s="192">
        <v>0</v>
      </c>
      <c r="L352" s="5">
        <v>0</v>
      </c>
      <c r="M352" s="5">
        <v>0</v>
      </c>
      <c r="N352" s="4" t="e">
        <f t="shared" si="31"/>
        <v>#N/A</v>
      </c>
      <c r="O352" s="4" t="e">
        <f>IF(ROUND(10.499-(((N352-VLOOKUP($C352,Lookups!$A$55:$D$64,3))/(VLOOKUP($C352,Lookups!$A$55:$D$64,4))*VLOOKUP($C352,Lookups!$C$2:$D$11,2))),0)&lt;1,1,IF(ROUND(10.499-(((N352-VLOOKUP($C352,Lookups!$A$55:$D$64,3))/(VLOOKUP($C352,Lookups!$A$55:$D$64,4))*VLOOKUP($C352,Lookups!$C$2:$D$11,2))),0)&lt;11,ROUND(10.499-(((N352-VLOOKUP($C352,Lookups!$A$55:$D$64,3))/(VLOOKUP($C352,Lookups!$A$55:$D$64,4))*VLOOKUP($C352,Lookups!$C$2:$D$11,2))),0),10))</f>
        <v>#N/A</v>
      </c>
      <c r="P352" s="13" t="str">
        <f>IF((SUM(F352:M352)=0),"J",VLOOKUP(O352,Lookups!$A$1:$B$11,2))</f>
        <v>J</v>
      </c>
      <c r="Q352" s="8" t="e">
        <f>VLOOKUP(C352,Lookups!$A$136:$C$144,3)</f>
        <v>#N/A</v>
      </c>
      <c r="R352" s="8" t="e">
        <f>VLOOKUP(C352,Lookups!$A$136:$C$144,2)</f>
        <v>#N/A</v>
      </c>
      <c r="S352" s="4" t="str">
        <f t="shared" si="32"/>
        <v>No</v>
      </c>
      <c r="T352" s="125">
        <f t="shared" si="33"/>
        <v>0</v>
      </c>
      <c r="U352" s="125">
        <f t="shared" si="34"/>
        <v>0</v>
      </c>
      <c r="V352" s="4" t="e">
        <f>IF($Q352&lt;&gt;3,VLOOKUP(F352,'Points Table A'!B$3:$F$33,5),VLOOKUP(F352,'Points Table A'!H$3:$L$33,5))</f>
        <v>#N/A</v>
      </c>
      <c r="W352" s="4" t="e">
        <f>IF($Q352&lt;&gt;3,VLOOKUP(G352,'Points Table A'!C$3:$F$33,4),VLOOKUP(G352,'Points Table A'!I$3:$L$33,4))</f>
        <v>#N/A</v>
      </c>
      <c r="X352" s="4" t="e">
        <f>IF($Q352&lt;&gt;3,VLOOKUP(H352,'Points Table A'!D$3:$F$28,3),VLOOKUP(H352,'Points Table A'!J$3:$L$33,3))</f>
        <v>#N/A</v>
      </c>
      <c r="Y352" s="4" t="e">
        <f>IF($Q352&lt;&gt;3,VLOOKUP(I352,'Points Table A'!E$3:$F$33,2),VLOOKUP(I352,'Points Table A'!K$3:$L$33,2))</f>
        <v>#N/A</v>
      </c>
      <c r="Z352" s="4" t="e">
        <f t="shared" si="35"/>
        <v>#N/A</v>
      </c>
      <c r="AA352" s="4">
        <f>IF($S352=Lookups!$B$113,VLOOKUP(L352,'Points Table C'!A$3:$E$11,5),VLOOKUP(U352,'Points Table C'!B$3:$E$11,4))</f>
        <v>0</v>
      </c>
      <c r="AB352" s="4" t="e">
        <f>IF($Q352=1,0,VLOOKUP($J352,'Points Table C'!$C$3:$E$18,3))</f>
        <v>#N/A</v>
      </c>
      <c r="AC352" s="4">
        <f>VLOOKUP($K352,'Points Table C'!$D$3:$E$18,2)</f>
        <v>0</v>
      </c>
      <c r="AD352" s="4" t="e">
        <f>IF($Z352&lt;Lookups!$C$106,($AA352+AB352+AC352),IF($AA352&gt;=Lookups!$C$120,($AA352+AB352+AC352),$AA352+$AB352))</f>
        <v>#N/A</v>
      </c>
      <c r="AF352" s="7"/>
      <c r="AG352" s="7"/>
      <c r="AH352" s="7"/>
      <c r="AI352" s="7"/>
      <c r="AJ352" s="7"/>
      <c r="AK352" s="7"/>
      <c r="AL352" s="7"/>
      <c r="AM352" s="7"/>
      <c r="AN352" s="7"/>
      <c r="AO352" s="7"/>
      <c r="AP352" s="7"/>
      <c r="AQ352" s="7"/>
      <c r="AR352" s="7"/>
      <c r="AS352" s="7"/>
      <c r="AT352" s="7"/>
      <c r="AU352" s="7"/>
      <c r="AV352" s="7"/>
      <c r="AW352" s="7"/>
      <c r="AY352" s="7"/>
      <c r="AZ352" s="7"/>
      <c r="BA352" s="7"/>
      <c r="BB352" s="7"/>
    </row>
    <row r="353" spans="2:54" x14ac:dyDescent="0.2">
      <c r="B353" s="174"/>
      <c r="C353" s="176"/>
      <c r="F353" s="5">
        <v>0</v>
      </c>
      <c r="G353" s="192">
        <v>0</v>
      </c>
      <c r="H353" s="192">
        <v>0</v>
      </c>
      <c r="I353" s="5">
        <v>0</v>
      </c>
      <c r="J353" s="192">
        <v>0</v>
      </c>
      <c r="K353" s="192">
        <v>0</v>
      </c>
      <c r="L353" s="5">
        <v>0</v>
      </c>
      <c r="M353" s="5">
        <v>0</v>
      </c>
      <c r="N353" s="4" t="e">
        <f t="shared" si="31"/>
        <v>#N/A</v>
      </c>
      <c r="O353" s="4" t="e">
        <f>IF(ROUND(10.499-(((N353-VLOOKUP($C353,Lookups!$A$55:$D$64,3))/(VLOOKUP($C353,Lookups!$A$55:$D$64,4))*VLOOKUP($C353,Lookups!$C$2:$D$11,2))),0)&lt;1,1,IF(ROUND(10.499-(((N353-VLOOKUP($C353,Lookups!$A$55:$D$64,3))/(VLOOKUP($C353,Lookups!$A$55:$D$64,4))*VLOOKUP($C353,Lookups!$C$2:$D$11,2))),0)&lt;11,ROUND(10.499-(((N353-VLOOKUP($C353,Lookups!$A$55:$D$64,3))/(VLOOKUP($C353,Lookups!$A$55:$D$64,4))*VLOOKUP($C353,Lookups!$C$2:$D$11,2))),0),10))</f>
        <v>#N/A</v>
      </c>
      <c r="P353" s="13" t="str">
        <f>IF((SUM(F353:M353)=0),"J",VLOOKUP(O353,Lookups!$A$1:$B$11,2))</f>
        <v>J</v>
      </c>
      <c r="Q353" s="8" t="e">
        <f>VLOOKUP(C353,Lookups!$A$136:$C$144,3)</f>
        <v>#N/A</v>
      </c>
      <c r="R353" s="8" t="e">
        <f>VLOOKUP(C353,Lookups!$A$136:$C$144,2)</f>
        <v>#N/A</v>
      </c>
      <c r="S353" s="4" t="str">
        <f t="shared" si="32"/>
        <v>No</v>
      </c>
      <c r="T353" s="125">
        <f t="shared" si="33"/>
        <v>0</v>
      </c>
      <c r="U353" s="125">
        <f t="shared" si="34"/>
        <v>0</v>
      </c>
      <c r="V353" s="4" t="e">
        <f>IF($Q353&lt;&gt;3,VLOOKUP(F353,'Points Table A'!B$3:$F$33,5),VLOOKUP(F353,'Points Table A'!H$3:$L$33,5))</f>
        <v>#N/A</v>
      </c>
      <c r="W353" s="4" t="e">
        <f>IF($Q353&lt;&gt;3,VLOOKUP(G353,'Points Table A'!C$3:$F$33,4),VLOOKUP(G353,'Points Table A'!I$3:$L$33,4))</f>
        <v>#N/A</v>
      </c>
      <c r="X353" s="4" t="e">
        <f>IF($Q353&lt;&gt;3,VLOOKUP(H353,'Points Table A'!D$3:$F$28,3),VLOOKUP(H353,'Points Table A'!J$3:$L$33,3))</f>
        <v>#N/A</v>
      </c>
      <c r="Y353" s="4" t="e">
        <f>IF($Q353&lt;&gt;3,VLOOKUP(I353,'Points Table A'!E$3:$F$33,2),VLOOKUP(I353,'Points Table A'!K$3:$L$33,2))</f>
        <v>#N/A</v>
      </c>
      <c r="Z353" s="4" t="e">
        <f t="shared" si="35"/>
        <v>#N/A</v>
      </c>
      <c r="AA353" s="4">
        <f>IF($S353=Lookups!$B$113,VLOOKUP(L353,'Points Table C'!A$3:$E$11,5),VLOOKUP(U353,'Points Table C'!B$3:$E$11,4))</f>
        <v>0</v>
      </c>
      <c r="AB353" s="4" t="e">
        <f>IF($Q353=1,0,VLOOKUP($J353,'Points Table C'!$C$3:$E$18,3))</f>
        <v>#N/A</v>
      </c>
      <c r="AC353" s="4">
        <f>VLOOKUP($K353,'Points Table C'!$D$3:$E$18,2)</f>
        <v>0</v>
      </c>
      <c r="AD353" s="4" t="e">
        <f>IF($Z353&lt;Lookups!$C$106,($AA353+AB353+AC353),IF($AA353&gt;=Lookups!$C$120,($AA353+AB353+AC353),$AA353+$AB353))</f>
        <v>#N/A</v>
      </c>
      <c r="AF353" s="7"/>
      <c r="AG353" s="7"/>
      <c r="AH353" s="7"/>
      <c r="AI353" s="7"/>
      <c r="AJ353" s="7"/>
      <c r="AK353" s="7"/>
      <c r="AL353" s="7"/>
      <c r="AM353" s="7"/>
      <c r="AN353" s="7"/>
      <c r="AO353" s="7"/>
      <c r="AP353" s="7"/>
      <c r="AQ353" s="7"/>
      <c r="AR353" s="7"/>
      <c r="AS353" s="7"/>
      <c r="AT353" s="7"/>
      <c r="AU353" s="7"/>
      <c r="AV353" s="7"/>
      <c r="AW353" s="7"/>
      <c r="AY353" s="7"/>
      <c r="AZ353" s="7"/>
      <c r="BA353" s="7"/>
      <c r="BB353" s="7"/>
    </row>
    <row r="354" spans="2:54" x14ac:dyDescent="0.2">
      <c r="B354" s="174"/>
      <c r="C354" s="176"/>
      <c r="F354" s="5">
        <v>0</v>
      </c>
      <c r="G354" s="192">
        <v>0</v>
      </c>
      <c r="H354" s="192">
        <v>0</v>
      </c>
      <c r="I354" s="5">
        <v>0</v>
      </c>
      <c r="J354" s="192">
        <v>0</v>
      </c>
      <c r="K354" s="192">
        <v>0</v>
      </c>
      <c r="L354" s="5">
        <v>0</v>
      </c>
      <c r="M354" s="5">
        <v>0</v>
      </c>
      <c r="N354" s="4" t="e">
        <f t="shared" si="31"/>
        <v>#N/A</v>
      </c>
      <c r="O354" s="4" t="e">
        <f>IF(ROUND(10.499-(((N354-VLOOKUP($C354,Lookups!$A$55:$D$64,3))/(VLOOKUP($C354,Lookups!$A$55:$D$64,4))*VLOOKUP($C354,Lookups!$C$2:$D$11,2))),0)&lt;1,1,IF(ROUND(10.499-(((N354-VLOOKUP($C354,Lookups!$A$55:$D$64,3))/(VLOOKUP($C354,Lookups!$A$55:$D$64,4))*VLOOKUP($C354,Lookups!$C$2:$D$11,2))),0)&lt;11,ROUND(10.499-(((N354-VLOOKUP($C354,Lookups!$A$55:$D$64,3))/(VLOOKUP($C354,Lookups!$A$55:$D$64,4))*VLOOKUP($C354,Lookups!$C$2:$D$11,2))),0),10))</f>
        <v>#N/A</v>
      </c>
      <c r="P354" s="13" t="str">
        <f>IF((SUM(F354:M354)=0),"J",VLOOKUP(O354,Lookups!$A$1:$B$11,2))</f>
        <v>J</v>
      </c>
      <c r="Q354" s="8" t="e">
        <f>VLOOKUP(C354,Lookups!$A$136:$C$144,3)</f>
        <v>#N/A</v>
      </c>
      <c r="R354" s="8" t="e">
        <f>VLOOKUP(C354,Lookups!$A$136:$C$144,2)</f>
        <v>#N/A</v>
      </c>
      <c r="S354" s="4" t="str">
        <f t="shared" si="32"/>
        <v>No</v>
      </c>
      <c r="T354" s="125">
        <f t="shared" si="33"/>
        <v>0</v>
      </c>
      <c r="U354" s="125">
        <f t="shared" si="34"/>
        <v>0</v>
      </c>
      <c r="V354" s="4" t="e">
        <f>IF($Q354&lt;&gt;3,VLOOKUP(F354,'Points Table A'!B$3:$F$33,5),VLOOKUP(F354,'Points Table A'!H$3:$L$33,5))</f>
        <v>#N/A</v>
      </c>
      <c r="W354" s="4" t="e">
        <f>IF($Q354&lt;&gt;3,VLOOKUP(G354,'Points Table A'!C$3:$F$33,4),VLOOKUP(G354,'Points Table A'!I$3:$L$33,4))</f>
        <v>#N/A</v>
      </c>
      <c r="X354" s="4" t="e">
        <f>IF($Q354&lt;&gt;3,VLOOKUP(H354,'Points Table A'!D$3:$F$28,3),VLOOKUP(H354,'Points Table A'!J$3:$L$33,3))</f>
        <v>#N/A</v>
      </c>
      <c r="Y354" s="4" t="e">
        <f>IF($Q354&lt;&gt;3,VLOOKUP(I354,'Points Table A'!E$3:$F$33,2),VLOOKUP(I354,'Points Table A'!K$3:$L$33,2))</f>
        <v>#N/A</v>
      </c>
      <c r="Z354" s="4" t="e">
        <f t="shared" si="35"/>
        <v>#N/A</v>
      </c>
      <c r="AA354" s="4">
        <f>IF($S354=Lookups!$B$113,VLOOKUP(L354,'Points Table C'!A$3:$E$11,5),VLOOKUP(U354,'Points Table C'!B$3:$E$11,4))</f>
        <v>0</v>
      </c>
      <c r="AB354" s="4" t="e">
        <f>IF($Q354=1,0,VLOOKUP($J354,'Points Table C'!$C$3:$E$18,3))</f>
        <v>#N/A</v>
      </c>
      <c r="AC354" s="4">
        <f>VLOOKUP($K354,'Points Table C'!$D$3:$E$18,2)</f>
        <v>0</v>
      </c>
      <c r="AD354" s="4" t="e">
        <f>IF($Z354&lt;Lookups!$C$106,($AA354+AB354+AC354),IF($AA354&gt;=Lookups!$C$120,($AA354+AB354+AC354),$AA354+$AB354))</f>
        <v>#N/A</v>
      </c>
      <c r="AF354" s="7"/>
      <c r="AG354" s="7"/>
      <c r="AH354" s="7"/>
      <c r="AI354" s="7"/>
      <c r="AJ354" s="7"/>
      <c r="AK354" s="7"/>
      <c r="AL354" s="7"/>
      <c r="AM354" s="7"/>
      <c r="AN354" s="7"/>
      <c r="AO354" s="7"/>
      <c r="AP354" s="7"/>
      <c r="AQ354" s="7"/>
      <c r="AR354" s="7"/>
      <c r="AS354" s="7"/>
      <c r="AT354" s="7"/>
      <c r="AU354" s="7"/>
      <c r="AV354" s="7"/>
      <c r="AW354" s="7"/>
      <c r="AY354" s="7"/>
      <c r="AZ354" s="7"/>
      <c r="BA354" s="7"/>
      <c r="BB354" s="7"/>
    </row>
    <row r="355" spans="2:54" x14ac:dyDescent="0.2">
      <c r="B355" s="174"/>
      <c r="C355" s="176"/>
      <c r="F355" s="5">
        <v>0</v>
      </c>
      <c r="G355" s="192">
        <v>0</v>
      </c>
      <c r="H355" s="192">
        <v>0</v>
      </c>
      <c r="I355" s="5">
        <v>0</v>
      </c>
      <c r="J355" s="192">
        <v>0</v>
      </c>
      <c r="K355" s="192">
        <v>0</v>
      </c>
      <c r="L355" s="5">
        <v>0</v>
      </c>
      <c r="M355" s="5">
        <v>0</v>
      </c>
      <c r="N355" s="4" t="e">
        <f t="shared" si="31"/>
        <v>#N/A</v>
      </c>
      <c r="O355" s="4" t="e">
        <f>IF(ROUND(10.499-(((N355-VLOOKUP($C355,Lookups!$A$55:$D$64,3))/(VLOOKUP($C355,Lookups!$A$55:$D$64,4))*VLOOKUP($C355,Lookups!$C$2:$D$11,2))),0)&lt;1,1,IF(ROUND(10.499-(((N355-VLOOKUP($C355,Lookups!$A$55:$D$64,3))/(VLOOKUP($C355,Lookups!$A$55:$D$64,4))*VLOOKUP($C355,Lookups!$C$2:$D$11,2))),0)&lt;11,ROUND(10.499-(((N355-VLOOKUP($C355,Lookups!$A$55:$D$64,3))/(VLOOKUP($C355,Lookups!$A$55:$D$64,4))*VLOOKUP($C355,Lookups!$C$2:$D$11,2))),0),10))</f>
        <v>#N/A</v>
      </c>
      <c r="P355" s="13" t="str">
        <f>IF((SUM(F355:M355)=0),"J",VLOOKUP(O355,Lookups!$A$1:$B$11,2))</f>
        <v>J</v>
      </c>
      <c r="Q355" s="8" t="e">
        <f>VLOOKUP(C355,Lookups!$A$136:$C$144,3)</f>
        <v>#N/A</v>
      </c>
      <c r="R355" s="8" t="e">
        <f>VLOOKUP(C355,Lookups!$A$136:$C$144,2)</f>
        <v>#N/A</v>
      </c>
      <c r="S355" s="4" t="str">
        <f t="shared" si="32"/>
        <v>No</v>
      </c>
      <c r="T355" s="125">
        <f t="shared" si="33"/>
        <v>0</v>
      </c>
      <c r="U355" s="125">
        <f t="shared" si="34"/>
        <v>0</v>
      </c>
      <c r="V355" s="4" t="e">
        <f>IF($Q355&lt;&gt;3,VLOOKUP(F355,'Points Table A'!B$3:$F$33,5),VLOOKUP(F355,'Points Table A'!H$3:$L$33,5))</f>
        <v>#N/A</v>
      </c>
      <c r="W355" s="4" t="e">
        <f>IF($Q355&lt;&gt;3,VLOOKUP(G355,'Points Table A'!C$3:$F$33,4),VLOOKUP(G355,'Points Table A'!I$3:$L$33,4))</f>
        <v>#N/A</v>
      </c>
      <c r="X355" s="4" t="e">
        <f>IF($Q355&lt;&gt;3,VLOOKUP(H355,'Points Table A'!D$3:$F$28,3),VLOOKUP(H355,'Points Table A'!J$3:$L$33,3))</f>
        <v>#N/A</v>
      </c>
      <c r="Y355" s="4" t="e">
        <f>IF($Q355&lt;&gt;3,VLOOKUP(I355,'Points Table A'!E$3:$F$33,2),VLOOKUP(I355,'Points Table A'!K$3:$L$33,2))</f>
        <v>#N/A</v>
      </c>
      <c r="Z355" s="4" t="e">
        <f t="shared" si="35"/>
        <v>#N/A</v>
      </c>
      <c r="AA355" s="4">
        <f>IF($S355=Lookups!$B$113,VLOOKUP(L355,'Points Table C'!A$3:$E$11,5),VLOOKUP(U355,'Points Table C'!B$3:$E$11,4))</f>
        <v>0</v>
      </c>
      <c r="AB355" s="4" t="e">
        <f>IF($Q355=1,0,VLOOKUP($J355,'Points Table C'!$C$3:$E$18,3))</f>
        <v>#N/A</v>
      </c>
      <c r="AC355" s="4">
        <f>VLOOKUP($K355,'Points Table C'!$D$3:$E$18,2)</f>
        <v>0</v>
      </c>
      <c r="AD355" s="4" t="e">
        <f>IF($Z355&lt;Lookups!$C$106,($AA355+AB355+AC355),IF($AA355&gt;=Lookups!$C$120,($AA355+AB355+AC355),$AA355+$AB355))</f>
        <v>#N/A</v>
      </c>
      <c r="AF355" s="7"/>
      <c r="AG355" s="7"/>
      <c r="AH355" s="7"/>
      <c r="AI355" s="7"/>
      <c r="AJ355" s="7"/>
      <c r="AK355" s="7"/>
      <c r="AL355" s="7"/>
      <c r="AM355" s="7"/>
      <c r="AN355" s="7"/>
      <c r="AO355" s="7"/>
      <c r="AP355" s="7"/>
      <c r="AQ355" s="7"/>
      <c r="AR355" s="7"/>
      <c r="AS355" s="7"/>
      <c r="AT355" s="7"/>
      <c r="AU355" s="7"/>
      <c r="AV355" s="7"/>
      <c r="AW355" s="7"/>
      <c r="AY355" s="7"/>
      <c r="AZ355" s="7"/>
      <c r="BA355" s="7"/>
      <c r="BB355" s="7"/>
    </row>
    <row r="356" spans="2:54" x14ac:dyDescent="0.2">
      <c r="B356" s="174"/>
      <c r="C356" s="176"/>
      <c r="F356" s="5">
        <v>0</v>
      </c>
      <c r="G356" s="192">
        <v>0</v>
      </c>
      <c r="H356" s="192">
        <v>0</v>
      </c>
      <c r="I356" s="5">
        <v>0</v>
      </c>
      <c r="J356" s="192">
        <v>0</v>
      </c>
      <c r="K356" s="192">
        <v>0</v>
      </c>
      <c r="L356" s="5">
        <v>0</v>
      </c>
      <c r="M356" s="5">
        <v>0</v>
      </c>
      <c r="N356" s="4" t="e">
        <f t="shared" si="31"/>
        <v>#N/A</v>
      </c>
      <c r="O356" s="4" t="e">
        <f>IF(ROUND(10.499-(((N356-VLOOKUP($C356,Lookups!$A$55:$D$64,3))/(VLOOKUP($C356,Lookups!$A$55:$D$64,4))*VLOOKUP($C356,Lookups!$C$2:$D$11,2))),0)&lt;1,1,IF(ROUND(10.499-(((N356-VLOOKUP($C356,Lookups!$A$55:$D$64,3))/(VLOOKUP($C356,Lookups!$A$55:$D$64,4))*VLOOKUP($C356,Lookups!$C$2:$D$11,2))),0)&lt;11,ROUND(10.499-(((N356-VLOOKUP($C356,Lookups!$A$55:$D$64,3))/(VLOOKUP($C356,Lookups!$A$55:$D$64,4))*VLOOKUP($C356,Lookups!$C$2:$D$11,2))),0),10))</f>
        <v>#N/A</v>
      </c>
      <c r="P356" s="13" t="str">
        <f>IF((SUM(F356:M356)=0),"J",VLOOKUP(O356,Lookups!$A$1:$B$11,2))</f>
        <v>J</v>
      </c>
      <c r="Q356" s="8" t="e">
        <f>VLOOKUP(C356,Lookups!$A$136:$C$144,3)</f>
        <v>#N/A</v>
      </c>
      <c r="R356" s="8" t="e">
        <f>VLOOKUP(C356,Lookups!$A$136:$C$144,2)</f>
        <v>#N/A</v>
      </c>
      <c r="S356" s="4" t="str">
        <f t="shared" si="32"/>
        <v>No</v>
      </c>
      <c r="T356" s="125">
        <f t="shared" si="33"/>
        <v>0</v>
      </c>
      <c r="U356" s="125">
        <f t="shared" si="34"/>
        <v>0</v>
      </c>
      <c r="V356" s="4" t="e">
        <f>IF($Q356&lt;&gt;3,VLOOKUP(F356,'Points Table A'!B$3:$F$33,5),VLOOKUP(F356,'Points Table A'!H$3:$L$33,5))</f>
        <v>#N/A</v>
      </c>
      <c r="W356" s="4" t="e">
        <f>IF($Q356&lt;&gt;3,VLOOKUP(G356,'Points Table A'!C$3:$F$33,4),VLOOKUP(G356,'Points Table A'!I$3:$L$33,4))</f>
        <v>#N/A</v>
      </c>
      <c r="X356" s="4" t="e">
        <f>IF($Q356&lt;&gt;3,VLOOKUP(H356,'Points Table A'!D$3:$F$28,3),VLOOKUP(H356,'Points Table A'!J$3:$L$33,3))</f>
        <v>#N/A</v>
      </c>
      <c r="Y356" s="4" t="e">
        <f>IF($Q356&lt;&gt;3,VLOOKUP(I356,'Points Table A'!E$3:$F$33,2),VLOOKUP(I356,'Points Table A'!K$3:$L$33,2))</f>
        <v>#N/A</v>
      </c>
      <c r="Z356" s="4" t="e">
        <f t="shared" si="35"/>
        <v>#N/A</v>
      </c>
      <c r="AA356" s="4">
        <f>IF($S356=Lookups!$B$113,VLOOKUP(L356,'Points Table C'!A$3:$E$11,5),VLOOKUP(U356,'Points Table C'!B$3:$E$11,4))</f>
        <v>0</v>
      </c>
      <c r="AB356" s="4" t="e">
        <f>IF($Q356=1,0,VLOOKUP($J356,'Points Table C'!$C$3:$E$18,3))</f>
        <v>#N/A</v>
      </c>
      <c r="AC356" s="4">
        <f>VLOOKUP($K356,'Points Table C'!$D$3:$E$18,2)</f>
        <v>0</v>
      </c>
      <c r="AD356" s="4" t="e">
        <f>IF($Z356&lt;Lookups!$C$106,($AA356+AB356+AC356),IF($AA356&gt;=Lookups!$C$120,($AA356+AB356+AC356),$AA356+$AB356))</f>
        <v>#N/A</v>
      </c>
      <c r="AF356" s="7"/>
      <c r="AG356" s="7"/>
      <c r="AH356" s="7"/>
      <c r="AI356" s="7"/>
      <c r="AJ356" s="7"/>
      <c r="AK356" s="7"/>
      <c r="AL356" s="7"/>
      <c r="AM356" s="7"/>
      <c r="AN356" s="7"/>
      <c r="AO356" s="7"/>
      <c r="AP356" s="7"/>
      <c r="AQ356" s="7"/>
      <c r="AR356" s="7"/>
      <c r="AS356" s="7"/>
      <c r="AT356" s="7"/>
      <c r="AU356" s="7"/>
      <c r="AV356" s="7"/>
      <c r="AW356" s="7"/>
      <c r="AY356" s="7"/>
      <c r="AZ356" s="7"/>
      <c r="BA356" s="7"/>
      <c r="BB356" s="7"/>
    </row>
    <row r="357" spans="2:54" x14ac:dyDescent="0.2">
      <c r="B357" s="174"/>
      <c r="C357" s="176"/>
      <c r="F357" s="5">
        <v>0</v>
      </c>
      <c r="G357" s="192">
        <v>0</v>
      </c>
      <c r="H357" s="192">
        <v>0</v>
      </c>
      <c r="I357" s="5">
        <v>0</v>
      </c>
      <c r="J357" s="192">
        <v>0</v>
      </c>
      <c r="K357" s="192">
        <v>0</v>
      </c>
      <c r="L357" s="5">
        <v>0</v>
      </c>
      <c r="M357" s="5">
        <v>0</v>
      </c>
      <c r="N357" s="4" t="e">
        <f t="shared" si="31"/>
        <v>#N/A</v>
      </c>
      <c r="O357" s="4" t="e">
        <f>IF(ROUND(10.499-(((N357-VLOOKUP($C357,Lookups!$A$55:$D$64,3))/(VLOOKUP($C357,Lookups!$A$55:$D$64,4))*VLOOKUP($C357,Lookups!$C$2:$D$11,2))),0)&lt;1,1,IF(ROUND(10.499-(((N357-VLOOKUP($C357,Lookups!$A$55:$D$64,3))/(VLOOKUP($C357,Lookups!$A$55:$D$64,4))*VLOOKUP($C357,Lookups!$C$2:$D$11,2))),0)&lt;11,ROUND(10.499-(((N357-VLOOKUP($C357,Lookups!$A$55:$D$64,3))/(VLOOKUP($C357,Lookups!$A$55:$D$64,4))*VLOOKUP($C357,Lookups!$C$2:$D$11,2))),0),10))</f>
        <v>#N/A</v>
      </c>
      <c r="P357" s="13" t="str">
        <f>IF((SUM(F357:M357)=0),"J",VLOOKUP(O357,Lookups!$A$1:$B$11,2))</f>
        <v>J</v>
      </c>
      <c r="Q357" s="8" t="e">
        <f>VLOOKUP(C357,Lookups!$A$136:$C$144,3)</f>
        <v>#N/A</v>
      </c>
      <c r="R357" s="8" t="e">
        <f>VLOOKUP(C357,Lookups!$A$136:$C$144,2)</f>
        <v>#N/A</v>
      </c>
      <c r="S357" s="4" t="str">
        <f t="shared" si="32"/>
        <v>No</v>
      </c>
      <c r="T357" s="125">
        <f t="shared" si="33"/>
        <v>0</v>
      </c>
      <c r="U357" s="125">
        <f t="shared" si="34"/>
        <v>0</v>
      </c>
      <c r="V357" s="4" t="e">
        <f>IF($Q357&lt;&gt;3,VLOOKUP(F357,'Points Table A'!B$3:$F$33,5),VLOOKUP(F357,'Points Table A'!H$3:$L$33,5))</f>
        <v>#N/A</v>
      </c>
      <c r="W357" s="4" t="e">
        <f>IF($Q357&lt;&gt;3,VLOOKUP(G357,'Points Table A'!C$3:$F$33,4),VLOOKUP(G357,'Points Table A'!I$3:$L$33,4))</f>
        <v>#N/A</v>
      </c>
      <c r="X357" s="4" t="e">
        <f>IF($Q357&lt;&gt;3,VLOOKUP(H357,'Points Table A'!D$3:$F$28,3),VLOOKUP(H357,'Points Table A'!J$3:$L$33,3))</f>
        <v>#N/A</v>
      </c>
      <c r="Y357" s="4" t="e">
        <f>IF($Q357&lt;&gt;3,VLOOKUP(I357,'Points Table A'!E$3:$F$33,2),VLOOKUP(I357,'Points Table A'!K$3:$L$33,2))</f>
        <v>#N/A</v>
      </c>
      <c r="Z357" s="4" t="e">
        <f t="shared" si="35"/>
        <v>#N/A</v>
      </c>
      <c r="AA357" s="4">
        <f>IF($S357=Lookups!$B$113,VLOOKUP(L357,'Points Table C'!A$3:$E$11,5),VLOOKUP(U357,'Points Table C'!B$3:$E$11,4))</f>
        <v>0</v>
      </c>
      <c r="AB357" s="4" t="e">
        <f>IF($Q357=1,0,VLOOKUP($J357,'Points Table C'!$C$3:$E$18,3))</f>
        <v>#N/A</v>
      </c>
      <c r="AC357" s="4">
        <f>VLOOKUP($K357,'Points Table C'!$D$3:$E$18,2)</f>
        <v>0</v>
      </c>
      <c r="AD357" s="4" t="e">
        <f>IF($Z357&lt;Lookups!$C$106,($AA357+AB357+AC357),IF($AA357&gt;=Lookups!$C$120,($AA357+AB357+AC357),$AA357+$AB357))</f>
        <v>#N/A</v>
      </c>
      <c r="AF357" s="7"/>
      <c r="AG357" s="7"/>
      <c r="AH357" s="7"/>
      <c r="AI357" s="7"/>
      <c r="AJ357" s="7"/>
      <c r="AK357" s="7"/>
      <c r="AL357" s="7"/>
      <c r="AM357" s="7"/>
      <c r="AN357" s="7"/>
      <c r="AO357" s="7"/>
      <c r="AP357" s="7"/>
      <c r="AQ357" s="7"/>
      <c r="AR357" s="7"/>
      <c r="AS357" s="7"/>
      <c r="AT357" s="7"/>
      <c r="AU357" s="7"/>
      <c r="AV357" s="7"/>
      <c r="AW357" s="7"/>
      <c r="AY357" s="7"/>
      <c r="AZ357" s="7"/>
      <c r="BA357" s="7"/>
      <c r="BB357" s="7"/>
    </row>
    <row r="358" spans="2:54" x14ac:dyDescent="0.2">
      <c r="B358" s="174"/>
      <c r="C358" s="176"/>
      <c r="F358" s="5">
        <v>0</v>
      </c>
      <c r="G358" s="192">
        <v>0</v>
      </c>
      <c r="H358" s="192">
        <v>0</v>
      </c>
      <c r="I358" s="5">
        <v>0</v>
      </c>
      <c r="J358" s="192">
        <v>0</v>
      </c>
      <c r="K358" s="192">
        <v>0</v>
      </c>
      <c r="L358" s="5">
        <v>0</v>
      </c>
      <c r="M358" s="5">
        <v>0</v>
      </c>
      <c r="N358" s="4" t="e">
        <f t="shared" si="31"/>
        <v>#N/A</v>
      </c>
      <c r="O358" s="4" t="e">
        <f>IF(ROUND(10.499-(((N358-VLOOKUP($C358,Lookups!$A$55:$D$64,3))/(VLOOKUP($C358,Lookups!$A$55:$D$64,4))*VLOOKUP($C358,Lookups!$C$2:$D$11,2))),0)&lt;1,1,IF(ROUND(10.499-(((N358-VLOOKUP($C358,Lookups!$A$55:$D$64,3))/(VLOOKUP($C358,Lookups!$A$55:$D$64,4))*VLOOKUP($C358,Lookups!$C$2:$D$11,2))),0)&lt;11,ROUND(10.499-(((N358-VLOOKUP($C358,Lookups!$A$55:$D$64,3))/(VLOOKUP($C358,Lookups!$A$55:$D$64,4))*VLOOKUP($C358,Lookups!$C$2:$D$11,2))),0),10))</f>
        <v>#N/A</v>
      </c>
      <c r="P358" s="13" t="str">
        <f>IF((SUM(F358:M358)=0),"J",VLOOKUP(O358,Lookups!$A$1:$B$11,2))</f>
        <v>J</v>
      </c>
      <c r="Q358" s="8" t="e">
        <f>VLOOKUP(C358,Lookups!$A$136:$C$144,3)</f>
        <v>#N/A</v>
      </c>
      <c r="R358" s="8" t="e">
        <f>VLOOKUP(C358,Lookups!$A$136:$C$144,2)</f>
        <v>#N/A</v>
      </c>
      <c r="S358" s="4" t="str">
        <f t="shared" si="32"/>
        <v>No</v>
      </c>
      <c r="T358" s="125">
        <f t="shared" si="33"/>
        <v>0</v>
      </c>
      <c r="U358" s="125">
        <f t="shared" si="34"/>
        <v>0</v>
      </c>
      <c r="V358" s="4" t="e">
        <f>IF($Q358&lt;&gt;3,VLOOKUP(F358,'Points Table A'!B$3:$F$33,5),VLOOKUP(F358,'Points Table A'!H$3:$L$33,5))</f>
        <v>#N/A</v>
      </c>
      <c r="W358" s="4" t="e">
        <f>IF($Q358&lt;&gt;3,VLOOKUP(G358,'Points Table A'!C$3:$F$33,4),VLOOKUP(G358,'Points Table A'!I$3:$L$33,4))</f>
        <v>#N/A</v>
      </c>
      <c r="X358" s="4" t="e">
        <f>IF($Q358&lt;&gt;3,VLOOKUP(H358,'Points Table A'!D$3:$F$28,3),VLOOKUP(H358,'Points Table A'!J$3:$L$33,3))</f>
        <v>#N/A</v>
      </c>
      <c r="Y358" s="4" t="e">
        <f>IF($Q358&lt;&gt;3,VLOOKUP(I358,'Points Table A'!E$3:$F$33,2),VLOOKUP(I358,'Points Table A'!K$3:$L$33,2))</f>
        <v>#N/A</v>
      </c>
      <c r="Z358" s="4" t="e">
        <f t="shared" si="35"/>
        <v>#N/A</v>
      </c>
      <c r="AA358" s="4">
        <f>IF($S358=Lookups!$B$113,VLOOKUP(L358,'Points Table C'!A$3:$E$11,5),VLOOKUP(U358,'Points Table C'!B$3:$E$11,4))</f>
        <v>0</v>
      </c>
      <c r="AB358" s="4" t="e">
        <f>IF($Q358=1,0,VLOOKUP($J358,'Points Table C'!$C$3:$E$18,3))</f>
        <v>#N/A</v>
      </c>
      <c r="AC358" s="4">
        <f>VLOOKUP($K358,'Points Table C'!$D$3:$E$18,2)</f>
        <v>0</v>
      </c>
      <c r="AD358" s="4" t="e">
        <f>IF($Z358&lt;Lookups!$C$106,($AA358+AB358+AC358),IF($AA358&gt;=Lookups!$C$120,($AA358+AB358+AC358),$AA358+$AB358))</f>
        <v>#N/A</v>
      </c>
      <c r="AF358" s="7"/>
      <c r="AG358" s="7"/>
      <c r="AH358" s="7"/>
      <c r="AI358" s="7"/>
      <c r="AJ358" s="7"/>
      <c r="AK358" s="7"/>
      <c r="AL358" s="7"/>
      <c r="AM358" s="7"/>
      <c r="AN358" s="7"/>
      <c r="AO358" s="7"/>
      <c r="AP358" s="7"/>
      <c r="AQ358" s="7"/>
      <c r="AR358" s="7"/>
      <c r="AS358" s="7"/>
      <c r="AT358" s="7"/>
      <c r="AU358" s="7"/>
      <c r="AV358" s="7"/>
      <c r="AW358" s="7"/>
      <c r="AY358" s="7"/>
      <c r="AZ358" s="7"/>
      <c r="BA358" s="7"/>
      <c r="BB358" s="7"/>
    </row>
    <row r="359" spans="2:54" x14ac:dyDescent="0.2">
      <c r="B359" s="174"/>
      <c r="C359" s="176"/>
      <c r="F359" s="5">
        <v>0</v>
      </c>
      <c r="G359" s="192">
        <v>0</v>
      </c>
      <c r="H359" s="192">
        <v>0</v>
      </c>
      <c r="I359" s="5">
        <v>0</v>
      </c>
      <c r="J359" s="192">
        <v>0</v>
      </c>
      <c r="K359" s="192">
        <v>0</v>
      </c>
      <c r="L359" s="5">
        <v>0</v>
      </c>
      <c r="M359" s="5">
        <v>0</v>
      </c>
      <c r="N359" s="4" t="e">
        <f t="shared" si="31"/>
        <v>#N/A</v>
      </c>
      <c r="O359" s="4" t="e">
        <f>IF(ROUND(10.499-(((N359-VLOOKUP($C359,Lookups!$A$55:$D$64,3))/(VLOOKUP($C359,Lookups!$A$55:$D$64,4))*VLOOKUP($C359,Lookups!$C$2:$D$11,2))),0)&lt;1,1,IF(ROUND(10.499-(((N359-VLOOKUP($C359,Lookups!$A$55:$D$64,3))/(VLOOKUP($C359,Lookups!$A$55:$D$64,4))*VLOOKUP($C359,Lookups!$C$2:$D$11,2))),0)&lt;11,ROUND(10.499-(((N359-VLOOKUP($C359,Lookups!$A$55:$D$64,3))/(VLOOKUP($C359,Lookups!$A$55:$D$64,4))*VLOOKUP($C359,Lookups!$C$2:$D$11,2))),0),10))</f>
        <v>#N/A</v>
      </c>
      <c r="P359" s="13" t="str">
        <f>IF((SUM(F359:M359)=0),"J",VLOOKUP(O359,Lookups!$A$1:$B$11,2))</f>
        <v>J</v>
      </c>
      <c r="Q359" s="8" t="e">
        <f>VLOOKUP(C359,Lookups!$A$136:$C$144,3)</f>
        <v>#N/A</v>
      </c>
      <c r="R359" s="8" t="e">
        <f>VLOOKUP(C359,Lookups!$A$136:$C$144,2)</f>
        <v>#N/A</v>
      </c>
      <c r="S359" s="4" t="str">
        <f t="shared" si="32"/>
        <v>No</v>
      </c>
      <c r="T359" s="125">
        <f t="shared" si="33"/>
        <v>0</v>
      </c>
      <c r="U359" s="125">
        <f t="shared" si="34"/>
        <v>0</v>
      </c>
      <c r="V359" s="4" t="e">
        <f>IF($Q359&lt;&gt;3,VLOOKUP(F359,'Points Table A'!B$3:$F$33,5),VLOOKUP(F359,'Points Table A'!H$3:$L$33,5))</f>
        <v>#N/A</v>
      </c>
      <c r="W359" s="4" t="e">
        <f>IF($Q359&lt;&gt;3,VLOOKUP(G359,'Points Table A'!C$3:$F$33,4),VLOOKUP(G359,'Points Table A'!I$3:$L$33,4))</f>
        <v>#N/A</v>
      </c>
      <c r="X359" s="4" t="e">
        <f>IF($Q359&lt;&gt;3,VLOOKUP(H359,'Points Table A'!D$3:$F$28,3),VLOOKUP(H359,'Points Table A'!J$3:$L$33,3))</f>
        <v>#N/A</v>
      </c>
      <c r="Y359" s="4" t="e">
        <f>IF($Q359&lt;&gt;3,VLOOKUP(I359,'Points Table A'!E$3:$F$33,2),VLOOKUP(I359,'Points Table A'!K$3:$L$33,2))</f>
        <v>#N/A</v>
      </c>
      <c r="Z359" s="4" t="e">
        <f t="shared" si="35"/>
        <v>#N/A</v>
      </c>
      <c r="AA359" s="4">
        <f>IF($S359=Lookups!$B$113,VLOOKUP(L359,'Points Table C'!A$3:$E$11,5),VLOOKUP(U359,'Points Table C'!B$3:$E$11,4))</f>
        <v>0</v>
      </c>
      <c r="AB359" s="4" t="e">
        <f>IF($Q359=1,0,VLOOKUP($J359,'Points Table C'!$C$3:$E$18,3))</f>
        <v>#N/A</v>
      </c>
      <c r="AC359" s="4">
        <f>VLOOKUP($K359,'Points Table C'!$D$3:$E$18,2)</f>
        <v>0</v>
      </c>
      <c r="AD359" s="4" t="e">
        <f>IF($Z359&lt;Lookups!$C$106,($AA359+AB359+AC359),IF($AA359&gt;=Lookups!$C$120,($AA359+AB359+AC359),$AA359+$AB359))</f>
        <v>#N/A</v>
      </c>
      <c r="AF359" s="7"/>
      <c r="AG359" s="7"/>
      <c r="AH359" s="7"/>
      <c r="AI359" s="7"/>
      <c r="AJ359" s="7"/>
      <c r="AK359" s="7"/>
      <c r="AL359" s="7"/>
      <c r="AM359" s="7"/>
      <c r="AN359" s="7"/>
      <c r="AO359" s="7"/>
      <c r="AP359" s="7"/>
      <c r="AQ359" s="7"/>
      <c r="AR359" s="7"/>
      <c r="AS359" s="7"/>
      <c r="AT359" s="7"/>
      <c r="AU359" s="7"/>
      <c r="AV359" s="7"/>
      <c r="AW359" s="7"/>
      <c r="AY359" s="7"/>
      <c r="AZ359" s="7"/>
      <c r="BA359" s="7"/>
      <c r="BB359" s="7"/>
    </row>
    <row r="360" spans="2:54" x14ac:dyDescent="0.2">
      <c r="B360" s="174"/>
      <c r="C360" s="176"/>
      <c r="F360" s="5">
        <v>0</v>
      </c>
      <c r="G360" s="192">
        <v>0</v>
      </c>
      <c r="H360" s="192">
        <v>0</v>
      </c>
      <c r="I360" s="5">
        <v>0</v>
      </c>
      <c r="J360" s="192">
        <v>0</v>
      </c>
      <c r="K360" s="192">
        <v>0</v>
      </c>
      <c r="L360" s="5">
        <v>0</v>
      </c>
      <c r="M360" s="5">
        <v>0</v>
      </c>
      <c r="N360" s="4" t="e">
        <f t="shared" si="31"/>
        <v>#N/A</v>
      </c>
      <c r="O360" s="4" t="e">
        <f>IF(ROUND(10.499-(((N360-VLOOKUP($C360,Lookups!$A$55:$D$64,3))/(VLOOKUP($C360,Lookups!$A$55:$D$64,4))*VLOOKUP($C360,Lookups!$C$2:$D$11,2))),0)&lt;1,1,IF(ROUND(10.499-(((N360-VLOOKUP($C360,Lookups!$A$55:$D$64,3))/(VLOOKUP($C360,Lookups!$A$55:$D$64,4))*VLOOKUP($C360,Lookups!$C$2:$D$11,2))),0)&lt;11,ROUND(10.499-(((N360-VLOOKUP($C360,Lookups!$A$55:$D$64,3))/(VLOOKUP($C360,Lookups!$A$55:$D$64,4))*VLOOKUP($C360,Lookups!$C$2:$D$11,2))),0),10))</f>
        <v>#N/A</v>
      </c>
      <c r="P360" s="13" t="str">
        <f>IF((SUM(F360:M360)=0),"J",VLOOKUP(O360,Lookups!$A$1:$B$11,2))</f>
        <v>J</v>
      </c>
      <c r="Q360" s="8" t="e">
        <f>VLOOKUP(C360,Lookups!$A$136:$C$144,3)</f>
        <v>#N/A</v>
      </c>
      <c r="R360" s="8" t="e">
        <f>VLOOKUP(C360,Lookups!$A$136:$C$144,2)</f>
        <v>#N/A</v>
      </c>
      <c r="S360" s="4" t="str">
        <f t="shared" si="32"/>
        <v>No</v>
      </c>
      <c r="T360" s="125">
        <f t="shared" si="33"/>
        <v>0</v>
      </c>
      <c r="U360" s="125">
        <f t="shared" si="34"/>
        <v>0</v>
      </c>
      <c r="V360" s="4" t="e">
        <f>IF($Q360&lt;&gt;3,VLOOKUP(F360,'Points Table A'!B$3:$F$33,5),VLOOKUP(F360,'Points Table A'!H$3:$L$33,5))</f>
        <v>#N/A</v>
      </c>
      <c r="W360" s="4" t="e">
        <f>IF($Q360&lt;&gt;3,VLOOKUP(G360,'Points Table A'!C$3:$F$33,4),VLOOKUP(G360,'Points Table A'!I$3:$L$33,4))</f>
        <v>#N/A</v>
      </c>
      <c r="X360" s="4" t="e">
        <f>IF($Q360&lt;&gt;3,VLOOKUP(H360,'Points Table A'!D$3:$F$28,3),VLOOKUP(H360,'Points Table A'!J$3:$L$33,3))</f>
        <v>#N/A</v>
      </c>
      <c r="Y360" s="4" t="e">
        <f>IF($Q360&lt;&gt;3,VLOOKUP(I360,'Points Table A'!E$3:$F$33,2),VLOOKUP(I360,'Points Table A'!K$3:$L$33,2))</f>
        <v>#N/A</v>
      </c>
      <c r="Z360" s="4" t="e">
        <f t="shared" si="35"/>
        <v>#N/A</v>
      </c>
      <c r="AA360" s="4">
        <f>IF($S360=Lookups!$B$113,VLOOKUP(L360,'Points Table C'!A$3:$E$11,5),VLOOKUP(U360,'Points Table C'!B$3:$E$11,4))</f>
        <v>0</v>
      </c>
      <c r="AB360" s="4" t="e">
        <f>IF($Q360=1,0,VLOOKUP($J360,'Points Table C'!$C$3:$E$18,3))</f>
        <v>#N/A</v>
      </c>
      <c r="AC360" s="4">
        <f>VLOOKUP($K360,'Points Table C'!$D$3:$E$18,2)</f>
        <v>0</v>
      </c>
      <c r="AD360" s="4" t="e">
        <f>IF($Z360&lt;Lookups!$C$106,($AA360+AB360+AC360),IF($AA360&gt;=Lookups!$C$120,($AA360+AB360+AC360),$AA360+$AB360))</f>
        <v>#N/A</v>
      </c>
      <c r="AF360" s="7"/>
      <c r="AG360" s="7"/>
      <c r="AH360" s="7"/>
      <c r="AI360" s="7"/>
      <c r="AJ360" s="7"/>
      <c r="AK360" s="7"/>
      <c r="AL360" s="7"/>
      <c r="AM360" s="7"/>
      <c r="AN360" s="7"/>
      <c r="AO360" s="7"/>
      <c r="AP360" s="7"/>
      <c r="AQ360" s="7"/>
      <c r="AR360" s="7"/>
      <c r="AS360" s="7"/>
      <c r="AT360" s="7"/>
      <c r="AU360" s="7"/>
      <c r="AV360" s="7"/>
      <c r="AW360" s="7"/>
      <c r="AY360" s="7"/>
      <c r="AZ360" s="7"/>
      <c r="BA360" s="7"/>
      <c r="BB360" s="7"/>
    </row>
    <row r="361" spans="2:54" x14ac:dyDescent="0.2">
      <c r="B361" s="174"/>
      <c r="C361" s="176"/>
      <c r="F361" s="5">
        <v>0</v>
      </c>
      <c r="G361" s="192">
        <v>0</v>
      </c>
      <c r="H361" s="192">
        <v>0</v>
      </c>
      <c r="I361" s="5">
        <v>0</v>
      </c>
      <c r="J361" s="192">
        <v>0</v>
      </c>
      <c r="K361" s="192">
        <v>0</v>
      </c>
      <c r="L361" s="5">
        <v>0</v>
      </c>
      <c r="M361" s="5">
        <v>0</v>
      </c>
      <c r="N361" s="4" t="e">
        <f t="shared" si="31"/>
        <v>#N/A</v>
      </c>
      <c r="O361" s="4" t="e">
        <f>IF(ROUND(10.499-(((N361-VLOOKUP($C361,Lookups!$A$55:$D$64,3))/(VLOOKUP($C361,Lookups!$A$55:$D$64,4))*VLOOKUP($C361,Lookups!$C$2:$D$11,2))),0)&lt;1,1,IF(ROUND(10.499-(((N361-VLOOKUP($C361,Lookups!$A$55:$D$64,3))/(VLOOKUP($C361,Lookups!$A$55:$D$64,4))*VLOOKUP($C361,Lookups!$C$2:$D$11,2))),0)&lt;11,ROUND(10.499-(((N361-VLOOKUP($C361,Lookups!$A$55:$D$64,3))/(VLOOKUP($C361,Lookups!$A$55:$D$64,4))*VLOOKUP($C361,Lookups!$C$2:$D$11,2))),0),10))</f>
        <v>#N/A</v>
      </c>
      <c r="P361" s="13" t="str">
        <f>IF((SUM(F361:M361)=0),"J",VLOOKUP(O361,Lookups!$A$1:$B$11,2))</f>
        <v>J</v>
      </c>
      <c r="Q361" s="8" t="e">
        <f>VLOOKUP(C361,Lookups!$A$136:$C$144,3)</f>
        <v>#N/A</v>
      </c>
      <c r="R361" s="8" t="e">
        <f>VLOOKUP(C361,Lookups!$A$136:$C$144,2)</f>
        <v>#N/A</v>
      </c>
      <c r="S361" s="4" t="str">
        <f t="shared" si="32"/>
        <v>No</v>
      </c>
      <c r="T361" s="125">
        <f t="shared" si="33"/>
        <v>0</v>
      </c>
      <c r="U361" s="125">
        <f t="shared" si="34"/>
        <v>0</v>
      </c>
      <c r="V361" s="4" t="e">
        <f>IF($Q361&lt;&gt;3,VLOOKUP(F361,'Points Table A'!B$3:$F$33,5),VLOOKUP(F361,'Points Table A'!H$3:$L$33,5))</f>
        <v>#N/A</v>
      </c>
      <c r="W361" s="4" t="e">
        <f>IF($Q361&lt;&gt;3,VLOOKUP(G361,'Points Table A'!C$3:$F$33,4),VLOOKUP(G361,'Points Table A'!I$3:$L$33,4))</f>
        <v>#N/A</v>
      </c>
      <c r="X361" s="4" t="e">
        <f>IF($Q361&lt;&gt;3,VLOOKUP(H361,'Points Table A'!D$3:$F$28,3),VLOOKUP(H361,'Points Table A'!J$3:$L$33,3))</f>
        <v>#N/A</v>
      </c>
      <c r="Y361" s="4" t="e">
        <f>IF($Q361&lt;&gt;3,VLOOKUP(I361,'Points Table A'!E$3:$F$33,2),VLOOKUP(I361,'Points Table A'!K$3:$L$33,2))</f>
        <v>#N/A</v>
      </c>
      <c r="Z361" s="4" t="e">
        <f t="shared" si="35"/>
        <v>#N/A</v>
      </c>
      <c r="AA361" s="4">
        <f>IF($S361=Lookups!$B$113,VLOOKUP(L361,'Points Table C'!A$3:$E$11,5),VLOOKUP(U361,'Points Table C'!B$3:$E$11,4))</f>
        <v>0</v>
      </c>
      <c r="AB361" s="4" t="e">
        <f>IF($Q361=1,0,VLOOKUP($J361,'Points Table C'!$C$3:$E$18,3))</f>
        <v>#N/A</v>
      </c>
      <c r="AC361" s="4">
        <f>VLOOKUP($K361,'Points Table C'!$D$3:$E$18,2)</f>
        <v>0</v>
      </c>
      <c r="AD361" s="4" t="e">
        <f>IF($Z361&lt;Lookups!$C$106,($AA361+AB361+AC361),IF($AA361&gt;=Lookups!$C$120,($AA361+AB361+AC361),$AA361+$AB361))</f>
        <v>#N/A</v>
      </c>
      <c r="AF361" s="7"/>
      <c r="AG361" s="7"/>
      <c r="AH361" s="7"/>
      <c r="AI361" s="7"/>
      <c r="AJ361" s="7"/>
      <c r="AK361" s="7"/>
      <c r="AL361" s="7"/>
      <c r="AM361" s="7"/>
      <c r="AN361" s="7"/>
      <c r="AO361" s="7"/>
      <c r="AP361" s="7"/>
      <c r="AQ361" s="7"/>
      <c r="AR361" s="7"/>
      <c r="AS361" s="7"/>
      <c r="AT361" s="7"/>
      <c r="AU361" s="7"/>
      <c r="AV361" s="7"/>
      <c r="AW361" s="7"/>
      <c r="AY361" s="7"/>
      <c r="AZ361" s="7"/>
      <c r="BA361" s="7"/>
      <c r="BB361" s="7"/>
    </row>
    <row r="362" spans="2:54" x14ac:dyDescent="0.2">
      <c r="B362" s="174"/>
      <c r="C362" s="176"/>
      <c r="F362" s="5">
        <v>0</v>
      </c>
      <c r="G362" s="192">
        <v>0</v>
      </c>
      <c r="H362" s="192">
        <v>0</v>
      </c>
      <c r="I362" s="5">
        <v>0</v>
      </c>
      <c r="J362" s="192">
        <v>0</v>
      </c>
      <c r="K362" s="192">
        <v>0</v>
      </c>
      <c r="L362" s="5">
        <v>0</v>
      </c>
      <c r="M362" s="5">
        <v>0</v>
      </c>
      <c r="N362" s="4" t="e">
        <f t="shared" si="31"/>
        <v>#N/A</v>
      </c>
      <c r="O362" s="4" t="e">
        <f>IF(ROUND(10.499-(((N362-VLOOKUP($C362,Lookups!$A$55:$D$64,3))/(VLOOKUP($C362,Lookups!$A$55:$D$64,4))*VLOOKUP($C362,Lookups!$C$2:$D$11,2))),0)&lt;1,1,IF(ROUND(10.499-(((N362-VLOOKUP($C362,Lookups!$A$55:$D$64,3))/(VLOOKUP($C362,Lookups!$A$55:$D$64,4))*VLOOKUP($C362,Lookups!$C$2:$D$11,2))),0)&lt;11,ROUND(10.499-(((N362-VLOOKUP($C362,Lookups!$A$55:$D$64,3))/(VLOOKUP($C362,Lookups!$A$55:$D$64,4))*VLOOKUP($C362,Lookups!$C$2:$D$11,2))),0),10))</f>
        <v>#N/A</v>
      </c>
      <c r="P362" s="13" t="str">
        <f>IF((SUM(F362:M362)=0),"J",VLOOKUP(O362,Lookups!$A$1:$B$11,2))</f>
        <v>J</v>
      </c>
      <c r="Q362" s="8" t="e">
        <f>VLOOKUP(C362,Lookups!$A$136:$C$144,3)</f>
        <v>#N/A</v>
      </c>
      <c r="R362" s="8" t="e">
        <f>VLOOKUP(C362,Lookups!$A$136:$C$144,2)</f>
        <v>#N/A</v>
      </c>
      <c r="S362" s="4" t="str">
        <f t="shared" si="32"/>
        <v>No</v>
      </c>
      <c r="T362" s="125">
        <f t="shared" si="33"/>
        <v>0</v>
      </c>
      <c r="U362" s="125">
        <f t="shared" si="34"/>
        <v>0</v>
      </c>
      <c r="V362" s="4" t="e">
        <f>IF($Q362&lt;&gt;3,VLOOKUP(F362,'Points Table A'!B$3:$F$33,5),VLOOKUP(F362,'Points Table A'!H$3:$L$33,5))</f>
        <v>#N/A</v>
      </c>
      <c r="W362" s="4" t="e">
        <f>IF($Q362&lt;&gt;3,VLOOKUP(G362,'Points Table A'!C$3:$F$33,4),VLOOKUP(G362,'Points Table A'!I$3:$L$33,4))</f>
        <v>#N/A</v>
      </c>
      <c r="X362" s="4" t="e">
        <f>IF($Q362&lt;&gt;3,VLOOKUP(H362,'Points Table A'!D$3:$F$28,3),VLOOKUP(H362,'Points Table A'!J$3:$L$33,3))</f>
        <v>#N/A</v>
      </c>
      <c r="Y362" s="4" t="e">
        <f>IF($Q362&lt;&gt;3,VLOOKUP(I362,'Points Table A'!E$3:$F$33,2),VLOOKUP(I362,'Points Table A'!K$3:$L$33,2))</f>
        <v>#N/A</v>
      </c>
      <c r="Z362" s="4" t="e">
        <f t="shared" si="35"/>
        <v>#N/A</v>
      </c>
      <c r="AA362" s="4">
        <f>IF($S362=Lookups!$B$113,VLOOKUP(L362,'Points Table C'!A$3:$E$11,5),VLOOKUP(U362,'Points Table C'!B$3:$E$11,4))</f>
        <v>0</v>
      </c>
      <c r="AB362" s="4" t="e">
        <f>IF($Q362=1,0,VLOOKUP($J362,'Points Table C'!$C$3:$E$18,3))</f>
        <v>#N/A</v>
      </c>
      <c r="AC362" s="4">
        <f>VLOOKUP($K362,'Points Table C'!$D$3:$E$18,2)</f>
        <v>0</v>
      </c>
      <c r="AD362" s="4" t="e">
        <f>IF($Z362&lt;Lookups!$C$106,($AA362+AB362+AC362),IF($AA362&gt;=Lookups!$C$120,($AA362+AB362+AC362),$AA362+$AB362))</f>
        <v>#N/A</v>
      </c>
      <c r="AF362" s="7"/>
      <c r="AG362" s="7"/>
      <c r="AH362" s="7"/>
      <c r="AI362" s="7"/>
      <c r="AJ362" s="7"/>
      <c r="AK362" s="7"/>
      <c r="AL362" s="7"/>
      <c r="AM362" s="7"/>
      <c r="AN362" s="7"/>
      <c r="AO362" s="7"/>
      <c r="AP362" s="7"/>
      <c r="AQ362" s="7"/>
      <c r="AR362" s="7"/>
      <c r="AS362" s="7"/>
      <c r="AT362" s="7"/>
      <c r="AU362" s="7"/>
      <c r="AV362" s="7"/>
      <c r="AW362" s="7"/>
      <c r="AY362" s="7"/>
      <c r="AZ362" s="7"/>
      <c r="BA362" s="7"/>
      <c r="BB362" s="7"/>
    </row>
    <row r="363" spans="2:54" x14ac:dyDescent="0.2">
      <c r="B363" s="174"/>
      <c r="C363" s="176"/>
      <c r="F363" s="5">
        <v>0</v>
      </c>
      <c r="G363" s="192">
        <v>0</v>
      </c>
      <c r="H363" s="192">
        <v>0</v>
      </c>
      <c r="I363" s="5">
        <v>0</v>
      </c>
      <c r="J363" s="192">
        <v>0</v>
      </c>
      <c r="K363" s="192">
        <v>0</v>
      </c>
      <c r="L363" s="5">
        <v>0</v>
      </c>
      <c r="M363" s="5">
        <v>0</v>
      </c>
      <c r="N363" s="4" t="e">
        <f t="shared" si="31"/>
        <v>#N/A</v>
      </c>
      <c r="O363" s="4" t="e">
        <f>IF(ROUND(10.499-(((N363-VLOOKUP($C363,Lookups!$A$55:$D$64,3))/(VLOOKUP($C363,Lookups!$A$55:$D$64,4))*VLOOKUP($C363,Lookups!$C$2:$D$11,2))),0)&lt;1,1,IF(ROUND(10.499-(((N363-VLOOKUP($C363,Lookups!$A$55:$D$64,3))/(VLOOKUP($C363,Lookups!$A$55:$D$64,4))*VLOOKUP($C363,Lookups!$C$2:$D$11,2))),0)&lt;11,ROUND(10.499-(((N363-VLOOKUP($C363,Lookups!$A$55:$D$64,3))/(VLOOKUP($C363,Lookups!$A$55:$D$64,4))*VLOOKUP($C363,Lookups!$C$2:$D$11,2))),0),10))</f>
        <v>#N/A</v>
      </c>
      <c r="P363" s="13" t="str">
        <f>IF((SUM(F363:M363)=0),"J",VLOOKUP(O363,Lookups!$A$1:$B$11,2))</f>
        <v>J</v>
      </c>
      <c r="Q363" s="8" t="e">
        <f>VLOOKUP(C363,Lookups!$A$136:$C$144,3)</f>
        <v>#N/A</v>
      </c>
      <c r="R363" s="8" t="e">
        <f>VLOOKUP(C363,Lookups!$A$136:$C$144,2)</f>
        <v>#N/A</v>
      </c>
      <c r="S363" s="4" t="str">
        <f t="shared" si="32"/>
        <v>No</v>
      </c>
      <c r="T363" s="125">
        <f t="shared" si="33"/>
        <v>0</v>
      </c>
      <c r="U363" s="125">
        <f t="shared" si="34"/>
        <v>0</v>
      </c>
      <c r="V363" s="4" t="e">
        <f>IF($Q363&lt;&gt;3,VLOOKUP(F363,'Points Table A'!B$3:$F$33,5),VLOOKUP(F363,'Points Table A'!H$3:$L$33,5))</f>
        <v>#N/A</v>
      </c>
      <c r="W363" s="4" t="e">
        <f>IF($Q363&lt;&gt;3,VLOOKUP(G363,'Points Table A'!C$3:$F$33,4),VLOOKUP(G363,'Points Table A'!I$3:$L$33,4))</f>
        <v>#N/A</v>
      </c>
      <c r="X363" s="4" t="e">
        <f>IF($Q363&lt;&gt;3,VLOOKUP(H363,'Points Table A'!D$3:$F$28,3),VLOOKUP(H363,'Points Table A'!J$3:$L$33,3))</f>
        <v>#N/A</v>
      </c>
      <c r="Y363" s="4" t="e">
        <f>IF($Q363&lt;&gt;3,VLOOKUP(I363,'Points Table A'!E$3:$F$33,2),VLOOKUP(I363,'Points Table A'!K$3:$L$33,2))</f>
        <v>#N/A</v>
      </c>
      <c r="Z363" s="4" t="e">
        <f t="shared" si="35"/>
        <v>#N/A</v>
      </c>
      <c r="AA363" s="4">
        <f>IF($S363=Lookups!$B$113,VLOOKUP(L363,'Points Table C'!A$3:$E$11,5),VLOOKUP(U363,'Points Table C'!B$3:$E$11,4))</f>
        <v>0</v>
      </c>
      <c r="AB363" s="4" t="e">
        <f>IF($Q363=1,0,VLOOKUP($J363,'Points Table C'!$C$3:$E$18,3))</f>
        <v>#N/A</v>
      </c>
      <c r="AC363" s="4">
        <f>VLOOKUP($K363,'Points Table C'!$D$3:$E$18,2)</f>
        <v>0</v>
      </c>
      <c r="AD363" s="4" t="e">
        <f>IF($Z363&lt;Lookups!$C$106,($AA363+AB363+AC363),IF($AA363&gt;=Lookups!$C$120,($AA363+AB363+AC363),$AA363+$AB363))</f>
        <v>#N/A</v>
      </c>
      <c r="AF363" s="7"/>
      <c r="AG363" s="7"/>
      <c r="AH363" s="7"/>
      <c r="AI363" s="7"/>
      <c r="AJ363" s="7"/>
      <c r="AK363" s="7"/>
      <c r="AL363" s="7"/>
      <c r="AM363" s="7"/>
      <c r="AN363" s="7"/>
      <c r="AO363" s="7"/>
      <c r="AP363" s="7"/>
      <c r="AQ363" s="7"/>
      <c r="AR363" s="7"/>
      <c r="AS363" s="7"/>
      <c r="AT363" s="7"/>
      <c r="AU363" s="7"/>
      <c r="AV363" s="7"/>
      <c r="AW363" s="7"/>
      <c r="AY363" s="7"/>
      <c r="AZ363" s="7"/>
      <c r="BA363" s="7"/>
      <c r="BB363" s="7"/>
    </row>
    <row r="364" spans="2:54" x14ac:dyDescent="0.2">
      <c r="B364" s="174"/>
      <c r="C364" s="176"/>
      <c r="F364" s="5">
        <v>0</v>
      </c>
      <c r="G364" s="192">
        <v>0</v>
      </c>
      <c r="H364" s="192">
        <v>0</v>
      </c>
      <c r="I364" s="5">
        <v>0</v>
      </c>
      <c r="J364" s="192">
        <v>0</v>
      </c>
      <c r="K364" s="192">
        <v>0</v>
      </c>
      <c r="L364" s="5">
        <v>0</v>
      </c>
      <c r="M364" s="5">
        <v>0</v>
      </c>
      <c r="N364" s="4" t="e">
        <f t="shared" si="31"/>
        <v>#N/A</v>
      </c>
      <c r="O364" s="4" t="e">
        <f>IF(ROUND(10.499-(((N364-VLOOKUP($C364,Lookups!$A$55:$D$64,3))/(VLOOKUP($C364,Lookups!$A$55:$D$64,4))*VLOOKUP($C364,Lookups!$C$2:$D$11,2))),0)&lt;1,1,IF(ROUND(10.499-(((N364-VLOOKUP($C364,Lookups!$A$55:$D$64,3))/(VLOOKUP($C364,Lookups!$A$55:$D$64,4))*VLOOKUP($C364,Lookups!$C$2:$D$11,2))),0)&lt;11,ROUND(10.499-(((N364-VLOOKUP($C364,Lookups!$A$55:$D$64,3))/(VLOOKUP($C364,Lookups!$A$55:$D$64,4))*VLOOKUP($C364,Lookups!$C$2:$D$11,2))),0),10))</f>
        <v>#N/A</v>
      </c>
      <c r="P364" s="13" t="str">
        <f>IF((SUM(F364:M364)=0),"J",VLOOKUP(O364,Lookups!$A$1:$B$11,2))</f>
        <v>J</v>
      </c>
      <c r="Q364" s="8" t="e">
        <f>VLOOKUP(C364,Lookups!$A$136:$C$144,3)</f>
        <v>#N/A</v>
      </c>
      <c r="R364" s="8" t="e">
        <f>VLOOKUP(C364,Lookups!$A$136:$C$144,2)</f>
        <v>#N/A</v>
      </c>
      <c r="S364" s="4" t="str">
        <f t="shared" si="32"/>
        <v>No</v>
      </c>
      <c r="T364" s="125">
        <f t="shared" si="33"/>
        <v>0</v>
      </c>
      <c r="U364" s="125">
        <f t="shared" si="34"/>
        <v>0</v>
      </c>
      <c r="V364" s="4" t="e">
        <f>IF($Q364&lt;&gt;3,VLOOKUP(F364,'Points Table A'!B$3:$F$33,5),VLOOKUP(F364,'Points Table A'!H$3:$L$33,5))</f>
        <v>#N/A</v>
      </c>
      <c r="W364" s="4" t="e">
        <f>IF($Q364&lt;&gt;3,VLOOKUP(G364,'Points Table A'!C$3:$F$33,4),VLOOKUP(G364,'Points Table A'!I$3:$L$33,4))</f>
        <v>#N/A</v>
      </c>
      <c r="X364" s="4" t="e">
        <f>IF($Q364&lt;&gt;3,VLOOKUP(H364,'Points Table A'!D$3:$F$28,3),VLOOKUP(H364,'Points Table A'!J$3:$L$33,3))</f>
        <v>#N/A</v>
      </c>
      <c r="Y364" s="4" t="e">
        <f>IF($Q364&lt;&gt;3,VLOOKUP(I364,'Points Table A'!E$3:$F$33,2),VLOOKUP(I364,'Points Table A'!K$3:$L$33,2))</f>
        <v>#N/A</v>
      </c>
      <c r="Z364" s="4" t="e">
        <f t="shared" si="35"/>
        <v>#N/A</v>
      </c>
      <c r="AA364" s="4">
        <f>IF($S364=Lookups!$B$113,VLOOKUP(L364,'Points Table C'!A$3:$E$11,5),VLOOKUP(U364,'Points Table C'!B$3:$E$11,4))</f>
        <v>0</v>
      </c>
      <c r="AB364" s="4" t="e">
        <f>IF($Q364=1,0,VLOOKUP($J364,'Points Table C'!$C$3:$E$18,3))</f>
        <v>#N/A</v>
      </c>
      <c r="AC364" s="4">
        <f>VLOOKUP($K364,'Points Table C'!$D$3:$E$18,2)</f>
        <v>0</v>
      </c>
      <c r="AD364" s="4" t="e">
        <f>IF($Z364&lt;Lookups!$C$106,($AA364+AB364+AC364),IF($AA364&gt;=Lookups!$C$120,($AA364+AB364+AC364),$AA364+$AB364))</f>
        <v>#N/A</v>
      </c>
      <c r="AF364" s="7"/>
      <c r="AG364" s="7"/>
      <c r="AH364" s="7"/>
      <c r="AI364" s="7"/>
      <c r="AJ364" s="7"/>
      <c r="AK364" s="7"/>
      <c r="AL364" s="7"/>
      <c r="AM364" s="7"/>
      <c r="AN364" s="7"/>
      <c r="AO364" s="7"/>
      <c r="AP364" s="7"/>
      <c r="AQ364" s="7"/>
      <c r="AR364" s="7"/>
      <c r="AS364" s="7"/>
      <c r="AT364" s="7"/>
      <c r="AU364" s="7"/>
      <c r="AV364" s="7"/>
      <c r="AW364" s="7"/>
      <c r="AY364" s="7"/>
      <c r="AZ364" s="7"/>
      <c r="BA364" s="7"/>
      <c r="BB364" s="7"/>
    </row>
    <row r="365" spans="2:54" x14ac:dyDescent="0.2">
      <c r="B365" s="174"/>
      <c r="C365" s="176"/>
      <c r="F365" s="5">
        <v>0</v>
      </c>
      <c r="G365" s="192">
        <v>0</v>
      </c>
      <c r="H365" s="192">
        <v>0</v>
      </c>
      <c r="I365" s="5">
        <v>0</v>
      </c>
      <c r="J365" s="192">
        <v>0</v>
      </c>
      <c r="K365" s="192">
        <v>0</v>
      </c>
      <c r="L365" s="5">
        <v>0</v>
      </c>
      <c r="M365" s="5">
        <v>0</v>
      </c>
      <c r="N365" s="4" t="e">
        <f t="shared" si="31"/>
        <v>#N/A</v>
      </c>
      <c r="O365" s="4" t="e">
        <f>IF(ROUND(10.499-(((N365-VLOOKUP($C365,Lookups!$A$55:$D$64,3))/(VLOOKUP($C365,Lookups!$A$55:$D$64,4))*VLOOKUP($C365,Lookups!$C$2:$D$11,2))),0)&lt;1,1,IF(ROUND(10.499-(((N365-VLOOKUP($C365,Lookups!$A$55:$D$64,3))/(VLOOKUP($C365,Lookups!$A$55:$D$64,4))*VLOOKUP($C365,Lookups!$C$2:$D$11,2))),0)&lt;11,ROUND(10.499-(((N365-VLOOKUP($C365,Lookups!$A$55:$D$64,3))/(VLOOKUP($C365,Lookups!$A$55:$D$64,4))*VLOOKUP($C365,Lookups!$C$2:$D$11,2))),0),10))</f>
        <v>#N/A</v>
      </c>
      <c r="P365" s="13" t="str">
        <f>IF((SUM(F365:M365)=0),"J",VLOOKUP(O365,Lookups!$A$1:$B$11,2))</f>
        <v>J</v>
      </c>
      <c r="Q365" s="8" t="e">
        <f>VLOOKUP(C365,Lookups!$A$136:$C$144,3)</f>
        <v>#N/A</v>
      </c>
      <c r="R365" s="8" t="e">
        <f>VLOOKUP(C365,Lookups!$A$136:$C$144,2)</f>
        <v>#N/A</v>
      </c>
      <c r="S365" s="4" t="str">
        <f t="shared" si="32"/>
        <v>No</v>
      </c>
      <c r="T365" s="125">
        <f t="shared" si="33"/>
        <v>0</v>
      </c>
      <c r="U365" s="125">
        <f t="shared" si="34"/>
        <v>0</v>
      </c>
      <c r="V365" s="4" t="e">
        <f>IF($Q365&lt;&gt;3,VLOOKUP(F365,'Points Table A'!B$3:$F$33,5),VLOOKUP(F365,'Points Table A'!H$3:$L$33,5))</f>
        <v>#N/A</v>
      </c>
      <c r="W365" s="4" t="e">
        <f>IF($Q365&lt;&gt;3,VLOOKUP(G365,'Points Table A'!C$3:$F$33,4),VLOOKUP(G365,'Points Table A'!I$3:$L$33,4))</f>
        <v>#N/A</v>
      </c>
      <c r="X365" s="4" t="e">
        <f>IF($Q365&lt;&gt;3,VLOOKUP(H365,'Points Table A'!D$3:$F$28,3),VLOOKUP(H365,'Points Table A'!J$3:$L$33,3))</f>
        <v>#N/A</v>
      </c>
      <c r="Y365" s="4" t="e">
        <f>IF($Q365&lt;&gt;3,VLOOKUP(I365,'Points Table A'!E$3:$F$33,2),VLOOKUP(I365,'Points Table A'!K$3:$L$33,2))</f>
        <v>#N/A</v>
      </c>
      <c r="Z365" s="4" t="e">
        <f t="shared" si="35"/>
        <v>#N/A</v>
      </c>
      <c r="AA365" s="4">
        <f>IF($S365=Lookups!$B$113,VLOOKUP(L365,'Points Table C'!A$3:$E$11,5),VLOOKUP(U365,'Points Table C'!B$3:$E$11,4))</f>
        <v>0</v>
      </c>
      <c r="AB365" s="4" t="e">
        <f>IF($Q365=1,0,VLOOKUP($J365,'Points Table C'!$C$3:$E$18,3))</f>
        <v>#N/A</v>
      </c>
      <c r="AC365" s="4">
        <f>VLOOKUP($K365,'Points Table C'!$D$3:$E$18,2)</f>
        <v>0</v>
      </c>
      <c r="AD365" s="4" t="e">
        <f>IF($Z365&lt;Lookups!$C$106,($AA365+AB365+AC365),IF($AA365&gt;=Lookups!$C$120,($AA365+AB365+AC365),$AA365+$AB365))</f>
        <v>#N/A</v>
      </c>
      <c r="AF365" s="7"/>
      <c r="AG365" s="7"/>
      <c r="AH365" s="7"/>
      <c r="AI365" s="7"/>
      <c r="AJ365" s="7"/>
      <c r="AK365" s="7"/>
      <c r="AL365" s="7"/>
      <c r="AM365" s="7"/>
      <c r="AN365" s="7"/>
      <c r="AO365" s="7"/>
      <c r="AP365" s="7"/>
      <c r="AQ365" s="7"/>
      <c r="AR365" s="7"/>
      <c r="AS365" s="7"/>
      <c r="AT365" s="7"/>
      <c r="AU365" s="7"/>
      <c r="AV365" s="7"/>
      <c r="AW365" s="7"/>
      <c r="AY365" s="7"/>
      <c r="AZ365" s="7"/>
      <c r="BA365" s="7"/>
      <c r="BB365" s="7"/>
    </row>
    <row r="366" spans="2:54" x14ac:dyDescent="0.2">
      <c r="B366" s="174"/>
      <c r="C366" s="176"/>
      <c r="F366" s="5">
        <v>0</v>
      </c>
      <c r="G366" s="192">
        <v>0</v>
      </c>
      <c r="H366" s="192">
        <v>0</v>
      </c>
      <c r="I366" s="5">
        <v>0</v>
      </c>
      <c r="J366" s="192">
        <v>0</v>
      </c>
      <c r="K366" s="192">
        <v>0</v>
      </c>
      <c r="L366" s="5">
        <v>0</v>
      </c>
      <c r="M366" s="5">
        <v>0</v>
      </c>
      <c r="N366" s="4" t="e">
        <f t="shared" si="31"/>
        <v>#N/A</v>
      </c>
      <c r="O366" s="4" t="e">
        <f>IF(ROUND(10.499-(((N366-VLOOKUP($C366,Lookups!$A$55:$D$64,3))/(VLOOKUP($C366,Lookups!$A$55:$D$64,4))*VLOOKUP($C366,Lookups!$C$2:$D$11,2))),0)&lt;1,1,IF(ROUND(10.499-(((N366-VLOOKUP($C366,Lookups!$A$55:$D$64,3))/(VLOOKUP($C366,Lookups!$A$55:$D$64,4))*VLOOKUP($C366,Lookups!$C$2:$D$11,2))),0)&lt;11,ROUND(10.499-(((N366-VLOOKUP($C366,Lookups!$A$55:$D$64,3))/(VLOOKUP($C366,Lookups!$A$55:$D$64,4))*VLOOKUP($C366,Lookups!$C$2:$D$11,2))),0),10))</f>
        <v>#N/A</v>
      </c>
      <c r="P366" s="13" t="str">
        <f>IF((SUM(F366:M366)=0),"J",VLOOKUP(O366,Lookups!$A$1:$B$11,2))</f>
        <v>J</v>
      </c>
      <c r="Q366" s="8" t="e">
        <f>VLOOKUP(C366,Lookups!$A$136:$C$144,3)</f>
        <v>#N/A</v>
      </c>
      <c r="R366" s="8" t="e">
        <f>VLOOKUP(C366,Lookups!$A$136:$C$144,2)</f>
        <v>#N/A</v>
      </c>
      <c r="S366" s="4" t="str">
        <f t="shared" si="32"/>
        <v>No</v>
      </c>
      <c r="T366" s="125">
        <f t="shared" si="33"/>
        <v>0</v>
      </c>
      <c r="U366" s="125">
        <f t="shared" si="34"/>
        <v>0</v>
      </c>
      <c r="V366" s="4" t="e">
        <f>IF($Q366&lt;&gt;3,VLOOKUP(F366,'Points Table A'!B$3:$F$33,5),VLOOKUP(F366,'Points Table A'!H$3:$L$33,5))</f>
        <v>#N/A</v>
      </c>
      <c r="W366" s="4" t="e">
        <f>IF($Q366&lt;&gt;3,VLOOKUP(G366,'Points Table A'!C$3:$F$33,4),VLOOKUP(G366,'Points Table A'!I$3:$L$33,4))</f>
        <v>#N/A</v>
      </c>
      <c r="X366" s="4" t="e">
        <f>IF($Q366&lt;&gt;3,VLOOKUP(H366,'Points Table A'!D$3:$F$28,3),VLOOKUP(H366,'Points Table A'!J$3:$L$33,3))</f>
        <v>#N/A</v>
      </c>
      <c r="Y366" s="4" t="e">
        <f>IF($Q366&lt;&gt;3,VLOOKUP(I366,'Points Table A'!E$3:$F$33,2),VLOOKUP(I366,'Points Table A'!K$3:$L$33,2))</f>
        <v>#N/A</v>
      </c>
      <c r="Z366" s="4" t="e">
        <f t="shared" si="35"/>
        <v>#N/A</v>
      </c>
      <c r="AA366" s="4">
        <f>IF($S366=Lookups!$B$113,VLOOKUP(L366,'Points Table C'!A$3:$E$11,5),VLOOKUP(U366,'Points Table C'!B$3:$E$11,4))</f>
        <v>0</v>
      </c>
      <c r="AB366" s="4" t="e">
        <f>IF($Q366=1,0,VLOOKUP($J366,'Points Table C'!$C$3:$E$18,3))</f>
        <v>#N/A</v>
      </c>
      <c r="AC366" s="4">
        <f>VLOOKUP($K366,'Points Table C'!$D$3:$E$18,2)</f>
        <v>0</v>
      </c>
      <c r="AD366" s="4" t="e">
        <f>IF($Z366&lt;Lookups!$C$106,($AA366+AB366+AC366),IF($AA366&gt;=Lookups!$C$120,($AA366+AB366+AC366),$AA366+$AB366))</f>
        <v>#N/A</v>
      </c>
      <c r="AF366" s="7"/>
      <c r="AG366" s="7"/>
      <c r="AH366" s="7"/>
      <c r="AI366" s="7"/>
      <c r="AJ366" s="7"/>
      <c r="AK366" s="7"/>
      <c r="AL366" s="7"/>
      <c r="AM366" s="7"/>
      <c r="AN366" s="7"/>
      <c r="AO366" s="7"/>
      <c r="AP366" s="7"/>
      <c r="AQ366" s="7"/>
      <c r="AR366" s="7"/>
      <c r="AS366" s="7"/>
      <c r="AT366" s="7"/>
      <c r="AU366" s="7"/>
      <c r="AV366" s="7"/>
      <c r="AW366" s="7"/>
      <c r="AY366" s="7"/>
      <c r="AZ366" s="7"/>
      <c r="BA366" s="7"/>
      <c r="BB366" s="7"/>
    </row>
    <row r="367" spans="2:54" x14ac:dyDescent="0.2">
      <c r="B367" s="174"/>
      <c r="C367" s="176"/>
      <c r="F367" s="5">
        <v>0</v>
      </c>
      <c r="G367" s="192">
        <v>0</v>
      </c>
      <c r="H367" s="192">
        <v>0</v>
      </c>
      <c r="I367" s="5">
        <v>0</v>
      </c>
      <c r="J367" s="192">
        <v>0</v>
      </c>
      <c r="K367" s="192">
        <v>0</v>
      </c>
      <c r="L367" s="5">
        <v>0</v>
      </c>
      <c r="M367" s="5">
        <v>0</v>
      </c>
      <c r="N367" s="4" t="e">
        <f t="shared" si="31"/>
        <v>#N/A</v>
      </c>
      <c r="O367" s="4" t="e">
        <f>IF(ROUND(10.499-(((N367-VLOOKUP($C367,Lookups!$A$55:$D$64,3))/(VLOOKUP($C367,Lookups!$A$55:$D$64,4))*VLOOKUP($C367,Lookups!$C$2:$D$11,2))),0)&lt;1,1,IF(ROUND(10.499-(((N367-VLOOKUP($C367,Lookups!$A$55:$D$64,3))/(VLOOKUP($C367,Lookups!$A$55:$D$64,4))*VLOOKUP($C367,Lookups!$C$2:$D$11,2))),0)&lt;11,ROUND(10.499-(((N367-VLOOKUP($C367,Lookups!$A$55:$D$64,3))/(VLOOKUP($C367,Lookups!$A$55:$D$64,4))*VLOOKUP($C367,Lookups!$C$2:$D$11,2))),0),10))</f>
        <v>#N/A</v>
      </c>
      <c r="P367" s="13" t="str">
        <f>IF((SUM(F367:M367)=0),"J",VLOOKUP(O367,Lookups!$A$1:$B$11,2))</f>
        <v>J</v>
      </c>
      <c r="Q367" s="8" t="e">
        <f>VLOOKUP(C367,Lookups!$A$136:$C$144,3)</f>
        <v>#N/A</v>
      </c>
      <c r="R367" s="8" t="e">
        <f>VLOOKUP(C367,Lookups!$A$136:$C$144,2)</f>
        <v>#N/A</v>
      </c>
      <c r="S367" s="4" t="str">
        <f t="shared" si="32"/>
        <v>No</v>
      </c>
      <c r="T367" s="125">
        <f t="shared" si="33"/>
        <v>0</v>
      </c>
      <c r="U367" s="125">
        <f t="shared" si="34"/>
        <v>0</v>
      </c>
      <c r="V367" s="4" t="e">
        <f>IF($Q367&lt;&gt;3,VLOOKUP(F367,'Points Table A'!B$3:$F$33,5),VLOOKUP(F367,'Points Table A'!H$3:$L$33,5))</f>
        <v>#N/A</v>
      </c>
      <c r="W367" s="4" t="e">
        <f>IF($Q367&lt;&gt;3,VLOOKUP(G367,'Points Table A'!C$3:$F$33,4),VLOOKUP(G367,'Points Table A'!I$3:$L$33,4))</f>
        <v>#N/A</v>
      </c>
      <c r="X367" s="4" t="e">
        <f>IF($Q367&lt;&gt;3,VLOOKUP(H367,'Points Table A'!D$3:$F$28,3),VLOOKUP(H367,'Points Table A'!J$3:$L$33,3))</f>
        <v>#N/A</v>
      </c>
      <c r="Y367" s="4" t="e">
        <f>IF($Q367&lt;&gt;3,VLOOKUP(I367,'Points Table A'!E$3:$F$33,2),VLOOKUP(I367,'Points Table A'!K$3:$L$33,2))</f>
        <v>#N/A</v>
      </c>
      <c r="Z367" s="4" t="e">
        <f t="shared" si="35"/>
        <v>#N/A</v>
      </c>
      <c r="AA367" s="4">
        <f>IF($S367=Lookups!$B$113,VLOOKUP(L367,'Points Table C'!A$3:$E$11,5),VLOOKUP(U367,'Points Table C'!B$3:$E$11,4))</f>
        <v>0</v>
      </c>
      <c r="AB367" s="4" t="e">
        <f>IF($Q367=1,0,VLOOKUP($J367,'Points Table C'!$C$3:$E$18,3))</f>
        <v>#N/A</v>
      </c>
      <c r="AC367" s="4">
        <f>VLOOKUP($K367,'Points Table C'!$D$3:$E$18,2)</f>
        <v>0</v>
      </c>
      <c r="AD367" s="4" t="e">
        <f>IF($Z367&lt;Lookups!$C$106,($AA367+AB367+AC367),IF($AA367&gt;=Lookups!$C$120,($AA367+AB367+AC367),$AA367+$AB367))</f>
        <v>#N/A</v>
      </c>
      <c r="AF367" s="7"/>
      <c r="AG367" s="7"/>
      <c r="AH367" s="7"/>
      <c r="AI367" s="7"/>
      <c r="AJ367" s="7"/>
      <c r="AK367" s="7"/>
      <c r="AL367" s="7"/>
      <c r="AM367" s="7"/>
      <c r="AN367" s="7"/>
      <c r="AO367" s="7"/>
      <c r="AP367" s="7"/>
      <c r="AQ367" s="7"/>
      <c r="AR367" s="7"/>
      <c r="AS367" s="7"/>
      <c r="AT367" s="7"/>
      <c r="AU367" s="7"/>
      <c r="AV367" s="7"/>
      <c r="AW367" s="7"/>
      <c r="AY367" s="7"/>
      <c r="AZ367" s="7"/>
      <c r="BA367" s="7"/>
      <c r="BB367" s="7"/>
    </row>
    <row r="368" spans="2:54" x14ac:dyDescent="0.2">
      <c r="B368" s="174"/>
      <c r="C368" s="176"/>
      <c r="F368" s="5">
        <v>0</v>
      </c>
      <c r="G368" s="192">
        <v>0</v>
      </c>
      <c r="H368" s="192">
        <v>0</v>
      </c>
      <c r="I368" s="5">
        <v>0</v>
      </c>
      <c r="J368" s="192">
        <v>0</v>
      </c>
      <c r="K368" s="192">
        <v>0</v>
      </c>
      <c r="L368" s="5">
        <v>0</v>
      </c>
      <c r="M368" s="5">
        <v>0</v>
      </c>
      <c r="N368" s="4" t="e">
        <f t="shared" si="31"/>
        <v>#N/A</v>
      </c>
      <c r="O368" s="4" t="e">
        <f>IF(ROUND(10.499-(((N368-VLOOKUP($C368,Lookups!$A$55:$D$64,3))/(VLOOKUP($C368,Lookups!$A$55:$D$64,4))*VLOOKUP($C368,Lookups!$C$2:$D$11,2))),0)&lt;1,1,IF(ROUND(10.499-(((N368-VLOOKUP($C368,Lookups!$A$55:$D$64,3))/(VLOOKUP($C368,Lookups!$A$55:$D$64,4))*VLOOKUP($C368,Lookups!$C$2:$D$11,2))),0)&lt;11,ROUND(10.499-(((N368-VLOOKUP($C368,Lookups!$A$55:$D$64,3))/(VLOOKUP($C368,Lookups!$A$55:$D$64,4))*VLOOKUP($C368,Lookups!$C$2:$D$11,2))),0),10))</f>
        <v>#N/A</v>
      </c>
      <c r="P368" s="13" t="str">
        <f>IF((SUM(F368:M368)=0),"J",VLOOKUP(O368,Lookups!$A$1:$B$11,2))</f>
        <v>J</v>
      </c>
      <c r="Q368" s="8" t="e">
        <f>VLOOKUP(C368,Lookups!$A$136:$C$144,3)</f>
        <v>#N/A</v>
      </c>
      <c r="R368" s="8" t="e">
        <f>VLOOKUP(C368,Lookups!$A$136:$C$144,2)</f>
        <v>#N/A</v>
      </c>
      <c r="S368" s="4" t="str">
        <f t="shared" si="32"/>
        <v>No</v>
      </c>
      <c r="T368" s="125">
        <f t="shared" si="33"/>
        <v>0</v>
      </c>
      <c r="U368" s="125">
        <f t="shared" si="34"/>
        <v>0</v>
      </c>
      <c r="V368" s="4" t="e">
        <f>IF($Q368&lt;&gt;3,VLOOKUP(F368,'Points Table A'!B$3:$F$33,5),VLOOKUP(F368,'Points Table A'!H$3:$L$33,5))</f>
        <v>#N/A</v>
      </c>
      <c r="W368" s="4" t="e">
        <f>IF($Q368&lt;&gt;3,VLOOKUP(G368,'Points Table A'!C$3:$F$33,4),VLOOKUP(G368,'Points Table A'!I$3:$L$33,4))</f>
        <v>#N/A</v>
      </c>
      <c r="X368" s="4" t="e">
        <f>IF($Q368&lt;&gt;3,VLOOKUP(H368,'Points Table A'!D$3:$F$28,3),VLOOKUP(H368,'Points Table A'!J$3:$L$33,3))</f>
        <v>#N/A</v>
      </c>
      <c r="Y368" s="4" t="e">
        <f>IF($Q368&lt;&gt;3,VLOOKUP(I368,'Points Table A'!E$3:$F$33,2),VLOOKUP(I368,'Points Table A'!K$3:$L$33,2))</f>
        <v>#N/A</v>
      </c>
      <c r="Z368" s="4" t="e">
        <f t="shared" si="35"/>
        <v>#N/A</v>
      </c>
      <c r="AA368" s="4">
        <f>IF($S368=Lookups!$B$113,VLOOKUP(L368,'Points Table C'!A$3:$E$11,5),VLOOKUP(U368,'Points Table C'!B$3:$E$11,4))</f>
        <v>0</v>
      </c>
      <c r="AB368" s="4" t="e">
        <f>IF($Q368=1,0,VLOOKUP($J368,'Points Table C'!$C$3:$E$18,3))</f>
        <v>#N/A</v>
      </c>
      <c r="AC368" s="4">
        <f>VLOOKUP($K368,'Points Table C'!$D$3:$E$18,2)</f>
        <v>0</v>
      </c>
      <c r="AD368" s="4" t="e">
        <f>IF($Z368&lt;Lookups!$C$106,($AA368+AB368+AC368),IF($AA368&gt;=Lookups!$C$120,($AA368+AB368+AC368),$AA368+$AB368))</f>
        <v>#N/A</v>
      </c>
      <c r="AF368" s="7"/>
      <c r="AG368" s="7"/>
      <c r="AH368" s="7"/>
      <c r="AI368" s="7"/>
      <c r="AJ368" s="7"/>
      <c r="AK368" s="7"/>
      <c r="AL368" s="7"/>
      <c r="AM368" s="7"/>
      <c r="AN368" s="7"/>
      <c r="AO368" s="7"/>
      <c r="AP368" s="7"/>
      <c r="AQ368" s="7"/>
      <c r="AR368" s="7"/>
      <c r="AS368" s="7"/>
      <c r="AT368" s="7"/>
      <c r="AU368" s="7"/>
      <c r="AV368" s="7"/>
      <c r="AW368" s="7"/>
      <c r="AY368" s="7"/>
      <c r="AZ368" s="7"/>
      <c r="BA368" s="7"/>
      <c r="BB368" s="7"/>
    </row>
    <row r="369" spans="2:54" x14ac:dyDescent="0.2">
      <c r="B369" s="174"/>
      <c r="C369" s="176"/>
      <c r="F369" s="5">
        <v>0</v>
      </c>
      <c r="G369" s="192">
        <v>0</v>
      </c>
      <c r="H369" s="192">
        <v>0</v>
      </c>
      <c r="I369" s="5">
        <v>0</v>
      </c>
      <c r="J369" s="192">
        <v>0</v>
      </c>
      <c r="K369" s="192">
        <v>0</v>
      </c>
      <c r="L369" s="5">
        <v>0</v>
      </c>
      <c r="M369" s="5">
        <v>0</v>
      </c>
      <c r="N369" s="4" t="e">
        <f t="shared" si="31"/>
        <v>#N/A</v>
      </c>
      <c r="O369" s="4" t="e">
        <f>IF(ROUND(10.499-(((N369-VLOOKUP($C369,Lookups!$A$55:$D$64,3))/(VLOOKUP($C369,Lookups!$A$55:$D$64,4))*VLOOKUP($C369,Lookups!$C$2:$D$11,2))),0)&lt;1,1,IF(ROUND(10.499-(((N369-VLOOKUP($C369,Lookups!$A$55:$D$64,3))/(VLOOKUP($C369,Lookups!$A$55:$D$64,4))*VLOOKUP($C369,Lookups!$C$2:$D$11,2))),0)&lt;11,ROUND(10.499-(((N369-VLOOKUP($C369,Lookups!$A$55:$D$64,3))/(VLOOKUP($C369,Lookups!$A$55:$D$64,4))*VLOOKUP($C369,Lookups!$C$2:$D$11,2))),0),10))</f>
        <v>#N/A</v>
      </c>
      <c r="P369" s="13" t="str">
        <f>IF((SUM(F369:M369)=0),"J",VLOOKUP(O369,Lookups!$A$1:$B$11,2))</f>
        <v>J</v>
      </c>
      <c r="Q369" s="8" t="e">
        <f>VLOOKUP(C369,Lookups!$A$136:$C$144,3)</f>
        <v>#N/A</v>
      </c>
      <c r="R369" s="8" t="e">
        <f>VLOOKUP(C369,Lookups!$A$136:$C$144,2)</f>
        <v>#N/A</v>
      </c>
      <c r="S369" s="4" t="str">
        <f t="shared" si="32"/>
        <v>No</v>
      </c>
      <c r="T369" s="125">
        <f t="shared" si="33"/>
        <v>0</v>
      </c>
      <c r="U369" s="125">
        <f t="shared" si="34"/>
        <v>0</v>
      </c>
      <c r="V369" s="4" t="e">
        <f>IF($Q369&lt;&gt;3,VLOOKUP(F369,'Points Table A'!B$3:$F$33,5),VLOOKUP(F369,'Points Table A'!H$3:$L$33,5))</f>
        <v>#N/A</v>
      </c>
      <c r="W369" s="4" t="e">
        <f>IF($Q369&lt;&gt;3,VLOOKUP(G369,'Points Table A'!C$3:$F$33,4),VLOOKUP(G369,'Points Table A'!I$3:$L$33,4))</f>
        <v>#N/A</v>
      </c>
      <c r="X369" s="4" t="e">
        <f>IF($Q369&lt;&gt;3,VLOOKUP(H369,'Points Table A'!D$3:$F$28,3),VLOOKUP(H369,'Points Table A'!J$3:$L$33,3))</f>
        <v>#N/A</v>
      </c>
      <c r="Y369" s="4" t="e">
        <f>IF($Q369&lt;&gt;3,VLOOKUP(I369,'Points Table A'!E$3:$F$33,2),VLOOKUP(I369,'Points Table A'!K$3:$L$33,2))</f>
        <v>#N/A</v>
      </c>
      <c r="Z369" s="4" t="e">
        <f t="shared" si="35"/>
        <v>#N/A</v>
      </c>
      <c r="AA369" s="4">
        <f>IF($S369=Lookups!$B$113,VLOOKUP(L369,'Points Table C'!A$3:$E$11,5),VLOOKUP(U369,'Points Table C'!B$3:$E$11,4))</f>
        <v>0</v>
      </c>
      <c r="AB369" s="4" t="e">
        <f>IF($Q369=1,0,VLOOKUP($J369,'Points Table C'!$C$3:$E$18,3))</f>
        <v>#N/A</v>
      </c>
      <c r="AC369" s="4">
        <f>VLOOKUP($K369,'Points Table C'!$D$3:$E$18,2)</f>
        <v>0</v>
      </c>
      <c r="AD369" s="4" t="e">
        <f>IF($Z369&lt;Lookups!$C$106,($AA369+AB369+AC369),IF($AA369&gt;=Lookups!$C$120,($AA369+AB369+AC369),$AA369+$AB369))</f>
        <v>#N/A</v>
      </c>
      <c r="AF369" s="7"/>
      <c r="AG369" s="7"/>
      <c r="AH369" s="7"/>
      <c r="AI369" s="7"/>
      <c r="AJ369" s="7"/>
      <c r="AK369" s="7"/>
      <c r="AL369" s="7"/>
      <c r="AM369" s="7"/>
      <c r="AN369" s="7"/>
      <c r="AO369" s="7"/>
      <c r="AP369" s="7"/>
      <c r="AQ369" s="7"/>
      <c r="AR369" s="7"/>
      <c r="AS369" s="7"/>
      <c r="AT369" s="7"/>
      <c r="AU369" s="7"/>
      <c r="AV369" s="7"/>
      <c r="AW369" s="7"/>
      <c r="AY369" s="7"/>
      <c r="AZ369" s="7"/>
      <c r="BA369" s="7"/>
      <c r="BB369" s="7"/>
    </row>
    <row r="370" spans="2:54" x14ac:dyDescent="0.2">
      <c r="B370" s="174"/>
      <c r="C370" s="176"/>
      <c r="F370" s="5">
        <v>0</v>
      </c>
      <c r="G370" s="192">
        <v>0</v>
      </c>
      <c r="H370" s="192">
        <v>0</v>
      </c>
      <c r="I370" s="5">
        <v>0</v>
      </c>
      <c r="J370" s="192">
        <v>0</v>
      </c>
      <c r="K370" s="192">
        <v>0</v>
      </c>
      <c r="L370" s="5">
        <v>0</v>
      </c>
      <c r="M370" s="5">
        <v>0</v>
      </c>
      <c r="N370" s="4" t="e">
        <f t="shared" si="31"/>
        <v>#N/A</v>
      </c>
      <c r="O370" s="4" t="e">
        <f>IF(ROUND(10.499-(((N370-VLOOKUP($C370,Lookups!$A$55:$D$64,3))/(VLOOKUP($C370,Lookups!$A$55:$D$64,4))*VLOOKUP($C370,Lookups!$C$2:$D$11,2))),0)&lt;1,1,IF(ROUND(10.499-(((N370-VLOOKUP($C370,Lookups!$A$55:$D$64,3))/(VLOOKUP($C370,Lookups!$A$55:$D$64,4))*VLOOKUP($C370,Lookups!$C$2:$D$11,2))),0)&lt;11,ROUND(10.499-(((N370-VLOOKUP($C370,Lookups!$A$55:$D$64,3))/(VLOOKUP($C370,Lookups!$A$55:$D$64,4))*VLOOKUP($C370,Lookups!$C$2:$D$11,2))),0),10))</f>
        <v>#N/A</v>
      </c>
      <c r="P370" s="13" t="str">
        <f>IF((SUM(F370:M370)=0),"J",VLOOKUP(O370,Lookups!$A$1:$B$11,2))</f>
        <v>J</v>
      </c>
      <c r="Q370" s="8" t="e">
        <f>VLOOKUP(C370,Lookups!$A$136:$C$144,3)</f>
        <v>#N/A</v>
      </c>
      <c r="R370" s="8" t="e">
        <f>VLOOKUP(C370,Lookups!$A$136:$C$144,2)</f>
        <v>#N/A</v>
      </c>
      <c r="S370" s="4" t="str">
        <f t="shared" si="32"/>
        <v>No</v>
      </c>
      <c r="T370" s="125">
        <f t="shared" si="33"/>
        <v>0</v>
      </c>
      <c r="U370" s="125">
        <f t="shared" si="34"/>
        <v>0</v>
      </c>
      <c r="V370" s="4" t="e">
        <f>IF($Q370&lt;&gt;3,VLOOKUP(F370,'Points Table A'!B$3:$F$33,5),VLOOKUP(F370,'Points Table A'!H$3:$L$33,5))</f>
        <v>#N/A</v>
      </c>
      <c r="W370" s="4" t="e">
        <f>IF($Q370&lt;&gt;3,VLOOKUP(G370,'Points Table A'!C$3:$F$33,4),VLOOKUP(G370,'Points Table A'!I$3:$L$33,4))</f>
        <v>#N/A</v>
      </c>
      <c r="X370" s="4" t="e">
        <f>IF($Q370&lt;&gt;3,VLOOKUP(H370,'Points Table A'!D$3:$F$28,3),VLOOKUP(H370,'Points Table A'!J$3:$L$33,3))</f>
        <v>#N/A</v>
      </c>
      <c r="Y370" s="4" t="e">
        <f>IF($Q370&lt;&gt;3,VLOOKUP(I370,'Points Table A'!E$3:$F$33,2),VLOOKUP(I370,'Points Table A'!K$3:$L$33,2))</f>
        <v>#N/A</v>
      </c>
      <c r="Z370" s="4" t="e">
        <f t="shared" si="35"/>
        <v>#N/A</v>
      </c>
      <c r="AA370" s="4">
        <f>IF($S370=Lookups!$B$113,VLOOKUP(L370,'Points Table C'!A$3:$E$11,5),VLOOKUP(U370,'Points Table C'!B$3:$E$11,4))</f>
        <v>0</v>
      </c>
      <c r="AB370" s="4" t="e">
        <f>IF($Q370=1,0,VLOOKUP($J370,'Points Table C'!$C$3:$E$18,3))</f>
        <v>#N/A</v>
      </c>
      <c r="AC370" s="4">
        <f>VLOOKUP($K370,'Points Table C'!$D$3:$E$18,2)</f>
        <v>0</v>
      </c>
      <c r="AD370" s="4" t="e">
        <f>IF($Z370&lt;Lookups!$C$106,($AA370+AB370+AC370),IF($AA370&gt;=Lookups!$C$120,($AA370+AB370+AC370),$AA370+$AB370))</f>
        <v>#N/A</v>
      </c>
      <c r="AF370" s="7"/>
      <c r="AG370" s="7"/>
      <c r="AH370" s="7"/>
      <c r="AI370" s="7"/>
      <c r="AJ370" s="7"/>
      <c r="AK370" s="7"/>
      <c r="AL370" s="7"/>
      <c r="AM370" s="7"/>
      <c r="AN370" s="7"/>
      <c r="AO370" s="7"/>
      <c r="AP370" s="7"/>
      <c r="AQ370" s="7"/>
      <c r="AR370" s="7"/>
      <c r="AS370" s="7"/>
      <c r="AT370" s="7"/>
      <c r="AU370" s="7"/>
      <c r="AV370" s="7"/>
      <c r="AW370" s="7"/>
      <c r="AY370" s="7"/>
      <c r="AZ370" s="7"/>
      <c r="BA370" s="7"/>
      <c r="BB370" s="7"/>
    </row>
    <row r="371" spans="2:54" x14ac:dyDescent="0.2">
      <c r="B371" s="174"/>
      <c r="C371" s="176"/>
      <c r="F371" s="5">
        <v>0</v>
      </c>
      <c r="G371" s="192">
        <v>0</v>
      </c>
      <c r="H371" s="192">
        <v>0</v>
      </c>
      <c r="I371" s="5">
        <v>0</v>
      </c>
      <c r="J371" s="192">
        <v>0</v>
      </c>
      <c r="K371" s="192">
        <v>0</v>
      </c>
      <c r="L371" s="5">
        <v>0</v>
      </c>
      <c r="M371" s="5">
        <v>0</v>
      </c>
      <c r="N371" s="4" t="e">
        <f t="shared" si="31"/>
        <v>#N/A</v>
      </c>
      <c r="O371" s="4" t="e">
        <f>IF(ROUND(10.499-(((N371-VLOOKUP($C371,Lookups!$A$55:$D$64,3))/(VLOOKUP($C371,Lookups!$A$55:$D$64,4))*VLOOKUP($C371,Lookups!$C$2:$D$11,2))),0)&lt;1,1,IF(ROUND(10.499-(((N371-VLOOKUP($C371,Lookups!$A$55:$D$64,3))/(VLOOKUP($C371,Lookups!$A$55:$D$64,4))*VLOOKUP($C371,Lookups!$C$2:$D$11,2))),0)&lt;11,ROUND(10.499-(((N371-VLOOKUP($C371,Lookups!$A$55:$D$64,3))/(VLOOKUP($C371,Lookups!$A$55:$D$64,4))*VLOOKUP($C371,Lookups!$C$2:$D$11,2))),0),10))</f>
        <v>#N/A</v>
      </c>
      <c r="P371" s="13" t="str">
        <f>IF((SUM(F371:M371)=0),"J",VLOOKUP(O371,Lookups!$A$1:$B$11,2))</f>
        <v>J</v>
      </c>
      <c r="Q371" s="8" t="e">
        <f>VLOOKUP(C371,Lookups!$A$136:$C$144,3)</f>
        <v>#N/A</v>
      </c>
      <c r="R371" s="8" t="e">
        <f>VLOOKUP(C371,Lookups!$A$136:$C$144,2)</f>
        <v>#N/A</v>
      </c>
      <c r="S371" s="4" t="str">
        <f t="shared" si="32"/>
        <v>No</v>
      </c>
      <c r="T371" s="125">
        <f t="shared" si="33"/>
        <v>0</v>
      </c>
      <c r="U371" s="125">
        <f t="shared" si="34"/>
        <v>0</v>
      </c>
      <c r="V371" s="4" t="e">
        <f>IF($Q371&lt;&gt;3,VLOOKUP(F371,'Points Table A'!B$3:$F$33,5),VLOOKUP(F371,'Points Table A'!H$3:$L$33,5))</f>
        <v>#N/A</v>
      </c>
      <c r="W371" s="4" t="e">
        <f>IF($Q371&lt;&gt;3,VLOOKUP(G371,'Points Table A'!C$3:$F$33,4),VLOOKUP(G371,'Points Table A'!I$3:$L$33,4))</f>
        <v>#N/A</v>
      </c>
      <c r="X371" s="4" t="e">
        <f>IF($Q371&lt;&gt;3,VLOOKUP(H371,'Points Table A'!D$3:$F$28,3),VLOOKUP(H371,'Points Table A'!J$3:$L$33,3))</f>
        <v>#N/A</v>
      </c>
      <c r="Y371" s="4" t="e">
        <f>IF($Q371&lt;&gt;3,VLOOKUP(I371,'Points Table A'!E$3:$F$33,2),VLOOKUP(I371,'Points Table A'!K$3:$L$33,2))</f>
        <v>#N/A</v>
      </c>
      <c r="Z371" s="4" t="e">
        <f t="shared" si="35"/>
        <v>#N/A</v>
      </c>
      <c r="AA371" s="4">
        <f>IF($S371=Lookups!$B$113,VLOOKUP(L371,'Points Table C'!A$3:$E$11,5),VLOOKUP(U371,'Points Table C'!B$3:$E$11,4))</f>
        <v>0</v>
      </c>
      <c r="AB371" s="4" t="e">
        <f>IF($Q371=1,0,VLOOKUP($J371,'Points Table C'!$C$3:$E$18,3))</f>
        <v>#N/A</v>
      </c>
      <c r="AC371" s="4">
        <f>VLOOKUP($K371,'Points Table C'!$D$3:$E$18,2)</f>
        <v>0</v>
      </c>
      <c r="AD371" s="4" t="e">
        <f>IF($Z371&lt;Lookups!$C$106,($AA371+AB371+AC371),IF($AA371&gt;=Lookups!$C$120,($AA371+AB371+AC371),$AA371+$AB371))</f>
        <v>#N/A</v>
      </c>
      <c r="AF371" s="7"/>
      <c r="AG371" s="7"/>
      <c r="AH371" s="7"/>
      <c r="AI371" s="7"/>
      <c r="AJ371" s="7"/>
      <c r="AK371" s="7"/>
      <c r="AL371" s="7"/>
      <c r="AM371" s="7"/>
      <c r="AN371" s="7"/>
      <c r="AO371" s="7"/>
      <c r="AP371" s="7"/>
      <c r="AQ371" s="7"/>
      <c r="AR371" s="7"/>
      <c r="AS371" s="7"/>
      <c r="AT371" s="7"/>
      <c r="AU371" s="7"/>
      <c r="AV371" s="7"/>
      <c r="AW371" s="7"/>
      <c r="AY371" s="7"/>
      <c r="AZ371" s="7"/>
      <c r="BA371" s="7"/>
      <c r="BB371" s="7"/>
    </row>
    <row r="372" spans="2:54" x14ac:dyDescent="0.2">
      <c r="B372" s="174"/>
      <c r="C372" s="176"/>
      <c r="F372" s="5">
        <v>0</v>
      </c>
      <c r="G372" s="192">
        <v>0</v>
      </c>
      <c r="H372" s="192">
        <v>0</v>
      </c>
      <c r="I372" s="5">
        <v>0</v>
      </c>
      <c r="J372" s="192">
        <v>0</v>
      </c>
      <c r="K372" s="192">
        <v>0</v>
      </c>
      <c r="L372" s="5">
        <v>0</v>
      </c>
      <c r="M372" s="5">
        <v>0</v>
      </c>
      <c r="N372" s="4" t="e">
        <f t="shared" si="31"/>
        <v>#N/A</v>
      </c>
      <c r="O372" s="4" t="e">
        <f>IF(ROUND(10.499-(((N372-VLOOKUP($C372,Lookups!$A$55:$D$64,3))/(VLOOKUP($C372,Lookups!$A$55:$D$64,4))*VLOOKUP($C372,Lookups!$C$2:$D$11,2))),0)&lt;1,1,IF(ROUND(10.499-(((N372-VLOOKUP($C372,Lookups!$A$55:$D$64,3))/(VLOOKUP($C372,Lookups!$A$55:$D$64,4))*VLOOKUP($C372,Lookups!$C$2:$D$11,2))),0)&lt;11,ROUND(10.499-(((N372-VLOOKUP($C372,Lookups!$A$55:$D$64,3))/(VLOOKUP($C372,Lookups!$A$55:$D$64,4))*VLOOKUP($C372,Lookups!$C$2:$D$11,2))),0),10))</f>
        <v>#N/A</v>
      </c>
      <c r="P372" s="13" t="str">
        <f>IF((SUM(F372:M372)=0),"J",VLOOKUP(O372,Lookups!$A$1:$B$11,2))</f>
        <v>J</v>
      </c>
      <c r="Q372" s="8" t="e">
        <f>VLOOKUP(C372,Lookups!$A$136:$C$144,3)</f>
        <v>#N/A</v>
      </c>
      <c r="R372" s="8" t="e">
        <f>VLOOKUP(C372,Lookups!$A$136:$C$144,2)</f>
        <v>#N/A</v>
      </c>
      <c r="S372" s="4" t="str">
        <f t="shared" si="32"/>
        <v>No</v>
      </c>
      <c r="T372" s="125">
        <f t="shared" si="33"/>
        <v>0</v>
      </c>
      <c r="U372" s="125">
        <f t="shared" si="34"/>
        <v>0</v>
      </c>
      <c r="V372" s="4" t="e">
        <f>IF($Q372&lt;&gt;3,VLOOKUP(F372,'Points Table A'!B$3:$F$33,5),VLOOKUP(F372,'Points Table A'!H$3:$L$33,5))</f>
        <v>#N/A</v>
      </c>
      <c r="W372" s="4" t="e">
        <f>IF($Q372&lt;&gt;3,VLOOKUP(G372,'Points Table A'!C$3:$F$33,4),VLOOKUP(G372,'Points Table A'!I$3:$L$33,4))</f>
        <v>#N/A</v>
      </c>
      <c r="X372" s="4" t="e">
        <f>IF($Q372&lt;&gt;3,VLOOKUP(H372,'Points Table A'!D$3:$F$28,3),VLOOKUP(H372,'Points Table A'!J$3:$L$33,3))</f>
        <v>#N/A</v>
      </c>
      <c r="Y372" s="4" t="e">
        <f>IF($Q372&lt;&gt;3,VLOOKUP(I372,'Points Table A'!E$3:$F$33,2),VLOOKUP(I372,'Points Table A'!K$3:$L$33,2))</f>
        <v>#N/A</v>
      </c>
      <c r="Z372" s="4" t="e">
        <f t="shared" si="35"/>
        <v>#N/A</v>
      </c>
      <c r="AA372" s="4">
        <f>IF($S372=Lookups!$B$113,VLOOKUP(L372,'Points Table C'!A$3:$E$11,5),VLOOKUP(U372,'Points Table C'!B$3:$E$11,4))</f>
        <v>0</v>
      </c>
      <c r="AB372" s="4" t="e">
        <f>IF($Q372=1,0,VLOOKUP($J372,'Points Table C'!$C$3:$E$18,3))</f>
        <v>#N/A</v>
      </c>
      <c r="AC372" s="4">
        <f>VLOOKUP($K372,'Points Table C'!$D$3:$E$18,2)</f>
        <v>0</v>
      </c>
      <c r="AD372" s="4" t="e">
        <f>IF($Z372&lt;Lookups!$C$106,($AA372+AB372+AC372),IF($AA372&gt;=Lookups!$C$120,($AA372+AB372+AC372),$AA372+$AB372))</f>
        <v>#N/A</v>
      </c>
      <c r="AF372" s="7"/>
      <c r="AG372" s="7"/>
      <c r="AH372" s="7"/>
      <c r="AI372" s="7"/>
      <c r="AJ372" s="7"/>
      <c r="AK372" s="7"/>
      <c r="AL372" s="7"/>
      <c r="AM372" s="7"/>
      <c r="AN372" s="7"/>
      <c r="AO372" s="7"/>
      <c r="AP372" s="7"/>
      <c r="AQ372" s="7"/>
      <c r="AR372" s="7"/>
      <c r="AS372" s="7"/>
      <c r="AT372" s="7"/>
      <c r="AU372" s="7"/>
      <c r="AV372" s="7"/>
      <c r="AW372" s="7"/>
      <c r="AY372" s="7"/>
      <c r="AZ372" s="7"/>
      <c r="BA372" s="7"/>
      <c r="BB372" s="7"/>
    </row>
    <row r="373" spans="2:54" x14ac:dyDescent="0.2">
      <c r="B373" s="174"/>
      <c r="C373" s="176"/>
      <c r="F373" s="5">
        <v>0</v>
      </c>
      <c r="G373" s="192">
        <v>0</v>
      </c>
      <c r="H373" s="192">
        <v>0</v>
      </c>
      <c r="I373" s="5">
        <v>0</v>
      </c>
      <c r="J373" s="192">
        <v>0</v>
      </c>
      <c r="K373" s="192">
        <v>0</v>
      </c>
      <c r="L373" s="5">
        <v>0</v>
      </c>
      <c r="M373" s="5">
        <v>0</v>
      </c>
      <c r="N373" s="4" t="e">
        <f t="shared" si="31"/>
        <v>#N/A</v>
      </c>
      <c r="O373" s="4" t="e">
        <f>IF(ROUND(10.499-(((N373-VLOOKUP($C373,Lookups!$A$55:$D$64,3))/(VLOOKUP($C373,Lookups!$A$55:$D$64,4))*VLOOKUP($C373,Lookups!$C$2:$D$11,2))),0)&lt;1,1,IF(ROUND(10.499-(((N373-VLOOKUP($C373,Lookups!$A$55:$D$64,3))/(VLOOKUP($C373,Lookups!$A$55:$D$64,4))*VLOOKUP($C373,Lookups!$C$2:$D$11,2))),0)&lt;11,ROUND(10.499-(((N373-VLOOKUP($C373,Lookups!$A$55:$D$64,3))/(VLOOKUP($C373,Lookups!$A$55:$D$64,4))*VLOOKUP($C373,Lookups!$C$2:$D$11,2))),0),10))</f>
        <v>#N/A</v>
      </c>
      <c r="P373" s="13" t="str">
        <f>IF((SUM(F373:M373)=0),"J",VLOOKUP(O373,Lookups!$A$1:$B$11,2))</f>
        <v>J</v>
      </c>
      <c r="Q373" s="8" t="e">
        <f>VLOOKUP(C373,Lookups!$A$136:$C$144,3)</f>
        <v>#N/A</v>
      </c>
      <c r="R373" s="8" t="e">
        <f>VLOOKUP(C373,Lookups!$A$136:$C$144,2)</f>
        <v>#N/A</v>
      </c>
      <c r="S373" s="4" t="str">
        <f t="shared" si="32"/>
        <v>No</v>
      </c>
      <c r="T373" s="125">
        <f t="shared" si="33"/>
        <v>0</v>
      </c>
      <c r="U373" s="125">
        <f t="shared" si="34"/>
        <v>0</v>
      </c>
      <c r="V373" s="4" t="e">
        <f>IF($Q373&lt;&gt;3,VLOOKUP(F373,'Points Table A'!B$3:$F$33,5),VLOOKUP(F373,'Points Table A'!H$3:$L$33,5))</f>
        <v>#N/A</v>
      </c>
      <c r="W373" s="4" t="e">
        <f>IF($Q373&lt;&gt;3,VLOOKUP(G373,'Points Table A'!C$3:$F$33,4),VLOOKUP(G373,'Points Table A'!I$3:$L$33,4))</f>
        <v>#N/A</v>
      </c>
      <c r="X373" s="4" t="e">
        <f>IF($Q373&lt;&gt;3,VLOOKUP(H373,'Points Table A'!D$3:$F$28,3),VLOOKUP(H373,'Points Table A'!J$3:$L$33,3))</f>
        <v>#N/A</v>
      </c>
      <c r="Y373" s="4" t="e">
        <f>IF($Q373&lt;&gt;3,VLOOKUP(I373,'Points Table A'!E$3:$F$33,2),VLOOKUP(I373,'Points Table A'!K$3:$L$33,2))</f>
        <v>#N/A</v>
      </c>
      <c r="Z373" s="4" t="e">
        <f t="shared" si="35"/>
        <v>#N/A</v>
      </c>
      <c r="AA373" s="4">
        <f>IF($S373=Lookups!$B$113,VLOOKUP(L373,'Points Table C'!A$3:$E$11,5),VLOOKUP(U373,'Points Table C'!B$3:$E$11,4))</f>
        <v>0</v>
      </c>
      <c r="AB373" s="4" t="e">
        <f>IF($Q373=1,0,VLOOKUP($J373,'Points Table C'!$C$3:$E$18,3))</f>
        <v>#N/A</v>
      </c>
      <c r="AC373" s="4">
        <f>VLOOKUP($K373,'Points Table C'!$D$3:$E$18,2)</f>
        <v>0</v>
      </c>
      <c r="AD373" s="4" t="e">
        <f>IF($Z373&lt;Lookups!$C$106,($AA373+AB373+AC373),IF($AA373&gt;=Lookups!$C$120,($AA373+AB373+AC373),$AA373+$AB373))</f>
        <v>#N/A</v>
      </c>
      <c r="AF373" s="7"/>
      <c r="AG373" s="7"/>
      <c r="AH373" s="7"/>
      <c r="AI373" s="7"/>
      <c r="AJ373" s="7"/>
      <c r="AK373" s="7"/>
      <c r="AL373" s="7"/>
      <c r="AM373" s="7"/>
      <c r="AN373" s="7"/>
      <c r="AO373" s="7"/>
      <c r="AP373" s="7"/>
      <c r="AQ373" s="7"/>
      <c r="AR373" s="7"/>
      <c r="AS373" s="7"/>
      <c r="AT373" s="7"/>
      <c r="AU373" s="7"/>
      <c r="AV373" s="7"/>
      <c r="AW373" s="7"/>
      <c r="AY373" s="7"/>
      <c r="AZ373" s="7"/>
      <c r="BA373" s="7"/>
      <c r="BB373" s="7"/>
    </row>
    <row r="374" spans="2:54" x14ac:dyDescent="0.2">
      <c r="B374" s="174"/>
      <c r="C374" s="176"/>
      <c r="F374" s="5">
        <v>0</v>
      </c>
      <c r="G374" s="192">
        <v>0</v>
      </c>
      <c r="H374" s="192">
        <v>0</v>
      </c>
      <c r="I374" s="5">
        <v>0</v>
      </c>
      <c r="J374" s="192">
        <v>0</v>
      </c>
      <c r="K374" s="192">
        <v>0</v>
      </c>
      <c r="L374" s="5">
        <v>0</v>
      </c>
      <c r="M374" s="5">
        <v>0</v>
      </c>
      <c r="N374" s="4" t="e">
        <f t="shared" si="31"/>
        <v>#N/A</v>
      </c>
      <c r="O374" s="4" t="e">
        <f>IF(ROUND(10.499-(((N374-VLOOKUP($C374,Lookups!$A$55:$D$64,3))/(VLOOKUP($C374,Lookups!$A$55:$D$64,4))*VLOOKUP($C374,Lookups!$C$2:$D$11,2))),0)&lt;1,1,IF(ROUND(10.499-(((N374-VLOOKUP($C374,Lookups!$A$55:$D$64,3))/(VLOOKUP($C374,Lookups!$A$55:$D$64,4))*VLOOKUP($C374,Lookups!$C$2:$D$11,2))),0)&lt;11,ROUND(10.499-(((N374-VLOOKUP($C374,Lookups!$A$55:$D$64,3))/(VLOOKUP($C374,Lookups!$A$55:$D$64,4))*VLOOKUP($C374,Lookups!$C$2:$D$11,2))),0),10))</f>
        <v>#N/A</v>
      </c>
      <c r="P374" s="13" t="str">
        <f>IF((SUM(F374:M374)=0),"J",VLOOKUP(O374,Lookups!$A$1:$B$11,2))</f>
        <v>J</v>
      </c>
      <c r="Q374" s="8" t="e">
        <f>VLOOKUP(C374,Lookups!$A$136:$C$144,3)</f>
        <v>#N/A</v>
      </c>
      <c r="R374" s="8" t="e">
        <f>VLOOKUP(C374,Lookups!$A$136:$C$144,2)</f>
        <v>#N/A</v>
      </c>
      <c r="S374" s="4" t="str">
        <f t="shared" si="32"/>
        <v>No</v>
      </c>
      <c r="T374" s="125">
        <f t="shared" si="33"/>
        <v>0</v>
      </c>
      <c r="U374" s="125">
        <f t="shared" si="34"/>
        <v>0</v>
      </c>
      <c r="V374" s="4" t="e">
        <f>IF($Q374&lt;&gt;3,VLOOKUP(F374,'Points Table A'!B$3:$F$33,5),VLOOKUP(F374,'Points Table A'!H$3:$L$33,5))</f>
        <v>#N/A</v>
      </c>
      <c r="W374" s="4" t="e">
        <f>IF($Q374&lt;&gt;3,VLOOKUP(G374,'Points Table A'!C$3:$F$33,4),VLOOKUP(G374,'Points Table A'!I$3:$L$33,4))</f>
        <v>#N/A</v>
      </c>
      <c r="X374" s="4" t="e">
        <f>IF($Q374&lt;&gt;3,VLOOKUP(H374,'Points Table A'!D$3:$F$28,3),VLOOKUP(H374,'Points Table A'!J$3:$L$33,3))</f>
        <v>#N/A</v>
      </c>
      <c r="Y374" s="4" t="e">
        <f>IF($Q374&lt;&gt;3,VLOOKUP(I374,'Points Table A'!E$3:$F$33,2),VLOOKUP(I374,'Points Table A'!K$3:$L$33,2))</f>
        <v>#N/A</v>
      </c>
      <c r="Z374" s="4" t="e">
        <f t="shared" si="35"/>
        <v>#N/A</v>
      </c>
      <c r="AA374" s="4">
        <f>IF($S374=Lookups!$B$113,VLOOKUP(L374,'Points Table C'!A$3:$E$11,5),VLOOKUP(U374,'Points Table C'!B$3:$E$11,4))</f>
        <v>0</v>
      </c>
      <c r="AB374" s="4" t="e">
        <f>IF($Q374=1,0,VLOOKUP($J374,'Points Table C'!$C$3:$E$18,3))</f>
        <v>#N/A</v>
      </c>
      <c r="AC374" s="4">
        <f>VLOOKUP($K374,'Points Table C'!$D$3:$E$18,2)</f>
        <v>0</v>
      </c>
      <c r="AD374" s="4" t="e">
        <f>IF($Z374&lt;Lookups!$C$106,($AA374+AB374+AC374),IF($AA374&gt;=Lookups!$C$120,($AA374+AB374+AC374),$AA374+$AB374))</f>
        <v>#N/A</v>
      </c>
      <c r="AF374" s="7"/>
      <c r="AG374" s="7"/>
      <c r="AH374" s="7"/>
      <c r="AI374" s="7"/>
      <c r="AJ374" s="7"/>
      <c r="AK374" s="7"/>
      <c r="AL374" s="7"/>
      <c r="AM374" s="7"/>
      <c r="AN374" s="7"/>
      <c r="AO374" s="7"/>
      <c r="AP374" s="7"/>
      <c r="AQ374" s="7"/>
      <c r="AR374" s="7"/>
      <c r="AS374" s="7"/>
      <c r="AT374" s="7"/>
      <c r="AU374" s="7"/>
      <c r="AV374" s="7"/>
      <c r="AW374" s="7"/>
      <c r="AY374" s="7"/>
      <c r="AZ374" s="7"/>
      <c r="BA374" s="7"/>
      <c r="BB374" s="7"/>
    </row>
    <row r="375" spans="2:54" x14ac:dyDescent="0.2">
      <c r="B375" s="174"/>
      <c r="C375" s="176"/>
      <c r="F375" s="5">
        <v>0</v>
      </c>
      <c r="G375" s="192">
        <v>0</v>
      </c>
      <c r="H375" s="192">
        <v>0</v>
      </c>
      <c r="I375" s="5">
        <v>0</v>
      </c>
      <c r="J375" s="192">
        <v>0</v>
      </c>
      <c r="K375" s="192">
        <v>0</v>
      </c>
      <c r="L375" s="5">
        <v>0</v>
      </c>
      <c r="M375" s="5">
        <v>0</v>
      </c>
      <c r="N375" s="4" t="e">
        <f t="shared" si="31"/>
        <v>#N/A</v>
      </c>
      <c r="O375" s="4" t="e">
        <f>IF(ROUND(10.499-(((N375-VLOOKUP($C375,Lookups!$A$55:$D$64,3))/(VLOOKUP($C375,Lookups!$A$55:$D$64,4))*VLOOKUP($C375,Lookups!$C$2:$D$11,2))),0)&lt;1,1,IF(ROUND(10.499-(((N375-VLOOKUP($C375,Lookups!$A$55:$D$64,3))/(VLOOKUP($C375,Lookups!$A$55:$D$64,4))*VLOOKUP($C375,Lookups!$C$2:$D$11,2))),0)&lt;11,ROUND(10.499-(((N375-VLOOKUP($C375,Lookups!$A$55:$D$64,3))/(VLOOKUP($C375,Lookups!$A$55:$D$64,4))*VLOOKUP($C375,Lookups!$C$2:$D$11,2))),0),10))</f>
        <v>#N/A</v>
      </c>
      <c r="P375" s="13" t="str">
        <f>IF((SUM(F375:M375)=0),"J",VLOOKUP(O375,Lookups!$A$1:$B$11,2))</f>
        <v>J</v>
      </c>
      <c r="Q375" s="8" t="e">
        <f>VLOOKUP(C375,Lookups!$A$136:$C$144,3)</f>
        <v>#N/A</v>
      </c>
      <c r="R375" s="8" t="e">
        <f>VLOOKUP(C375,Lookups!$A$136:$C$144,2)</f>
        <v>#N/A</v>
      </c>
      <c r="S375" s="4" t="str">
        <f t="shared" si="32"/>
        <v>No</v>
      </c>
      <c r="T375" s="125">
        <f t="shared" si="33"/>
        <v>0</v>
      </c>
      <c r="U375" s="125">
        <f t="shared" si="34"/>
        <v>0</v>
      </c>
      <c r="V375" s="4" t="e">
        <f>IF($Q375&lt;&gt;3,VLOOKUP(F375,'Points Table A'!B$3:$F$33,5),VLOOKUP(F375,'Points Table A'!H$3:$L$33,5))</f>
        <v>#N/A</v>
      </c>
      <c r="W375" s="4" t="e">
        <f>IF($Q375&lt;&gt;3,VLOOKUP(G375,'Points Table A'!C$3:$F$33,4),VLOOKUP(G375,'Points Table A'!I$3:$L$33,4))</f>
        <v>#N/A</v>
      </c>
      <c r="X375" s="4" t="e">
        <f>IF($Q375&lt;&gt;3,VLOOKUP(H375,'Points Table A'!D$3:$F$28,3),VLOOKUP(H375,'Points Table A'!J$3:$L$33,3))</f>
        <v>#N/A</v>
      </c>
      <c r="Y375" s="4" t="e">
        <f>IF($Q375&lt;&gt;3,VLOOKUP(I375,'Points Table A'!E$3:$F$33,2),VLOOKUP(I375,'Points Table A'!K$3:$L$33,2))</f>
        <v>#N/A</v>
      </c>
      <c r="Z375" s="4" t="e">
        <f t="shared" si="35"/>
        <v>#N/A</v>
      </c>
      <c r="AA375" s="4">
        <f>IF($S375=Lookups!$B$113,VLOOKUP(L375,'Points Table C'!A$3:$E$11,5),VLOOKUP(U375,'Points Table C'!B$3:$E$11,4))</f>
        <v>0</v>
      </c>
      <c r="AB375" s="4" t="e">
        <f>IF($Q375=1,0,VLOOKUP($J375,'Points Table C'!$C$3:$E$18,3))</f>
        <v>#N/A</v>
      </c>
      <c r="AC375" s="4">
        <f>VLOOKUP($K375,'Points Table C'!$D$3:$E$18,2)</f>
        <v>0</v>
      </c>
      <c r="AD375" s="4" t="e">
        <f>IF($Z375&lt;Lookups!$C$106,($AA375+AB375+AC375),IF($AA375&gt;=Lookups!$C$120,($AA375+AB375+AC375),$AA375+$AB375))</f>
        <v>#N/A</v>
      </c>
      <c r="AF375" s="7"/>
      <c r="AG375" s="7"/>
      <c r="AH375" s="7"/>
      <c r="AI375" s="7"/>
      <c r="AJ375" s="7"/>
      <c r="AK375" s="7"/>
      <c r="AL375" s="7"/>
      <c r="AM375" s="7"/>
      <c r="AN375" s="7"/>
      <c r="AO375" s="7"/>
      <c r="AP375" s="7"/>
      <c r="AQ375" s="7"/>
      <c r="AR375" s="7"/>
      <c r="AS375" s="7"/>
      <c r="AT375" s="7"/>
      <c r="AU375" s="7"/>
      <c r="AV375" s="7"/>
      <c r="AW375" s="7"/>
      <c r="AY375" s="7"/>
      <c r="AZ375" s="7"/>
      <c r="BA375" s="7"/>
      <c r="BB375" s="7"/>
    </row>
    <row r="376" spans="2:54" x14ac:dyDescent="0.2">
      <c r="B376" s="174"/>
      <c r="C376" s="176"/>
      <c r="F376" s="5">
        <v>0</v>
      </c>
      <c r="G376" s="192">
        <v>0</v>
      </c>
      <c r="H376" s="192">
        <v>0</v>
      </c>
      <c r="I376" s="5">
        <v>0</v>
      </c>
      <c r="J376" s="192">
        <v>0</v>
      </c>
      <c r="K376" s="192">
        <v>0</v>
      </c>
      <c r="L376" s="5">
        <v>0</v>
      </c>
      <c r="M376" s="5">
        <v>0</v>
      </c>
      <c r="N376" s="4" t="e">
        <f t="shared" si="31"/>
        <v>#N/A</v>
      </c>
      <c r="O376" s="4" t="e">
        <f>IF(ROUND(10.499-(((N376-VLOOKUP($C376,Lookups!$A$55:$D$64,3))/(VLOOKUP($C376,Lookups!$A$55:$D$64,4))*VLOOKUP($C376,Lookups!$C$2:$D$11,2))),0)&lt;1,1,IF(ROUND(10.499-(((N376-VLOOKUP($C376,Lookups!$A$55:$D$64,3))/(VLOOKUP($C376,Lookups!$A$55:$D$64,4))*VLOOKUP($C376,Lookups!$C$2:$D$11,2))),0)&lt;11,ROUND(10.499-(((N376-VLOOKUP($C376,Lookups!$A$55:$D$64,3))/(VLOOKUP($C376,Lookups!$A$55:$D$64,4))*VLOOKUP($C376,Lookups!$C$2:$D$11,2))),0),10))</f>
        <v>#N/A</v>
      </c>
      <c r="P376" s="13" t="str">
        <f>IF((SUM(F376:M376)=0),"J",VLOOKUP(O376,Lookups!$A$1:$B$11,2))</f>
        <v>J</v>
      </c>
      <c r="Q376" s="8" t="e">
        <f>VLOOKUP(C376,Lookups!$A$136:$C$144,3)</f>
        <v>#N/A</v>
      </c>
      <c r="R376" s="8" t="e">
        <f>VLOOKUP(C376,Lookups!$A$136:$C$144,2)</f>
        <v>#N/A</v>
      </c>
      <c r="S376" s="4" t="str">
        <f t="shared" si="32"/>
        <v>No</v>
      </c>
      <c r="T376" s="125">
        <f t="shared" si="33"/>
        <v>0</v>
      </c>
      <c r="U376" s="125">
        <f t="shared" si="34"/>
        <v>0</v>
      </c>
      <c r="V376" s="4" t="e">
        <f>IF($Q376&lt;&gt;3,VLOOKUP(F376,'Points Table A'!B$3:$F$33,5),VLOOKUP(F376,'Points Table A'!H$3:$L$33,5))</f>
        <v>#N/A</v>
      </c>
      <c r="W376" s="4" t="e">
        <f>IF($Q376&lt;&gt;3,VLOOKUP(G376,'Points Table A'!C$3:$F$33,4),VLOOKUP(G376,'Points Table A'!I$3:$L$33,4))</f>
        <v>#N/A</v>
      </c>
      <c r="X376" s="4" t="e">
        <f>IF($Q376&lt;&gt;3,VLOOKUP(H376,'Points Table A'!D$3:$F$28,3),VLOOKUP(H376,'Points Table A'!J$3:$L$33,3))</f>
        <v>#N/A</v>
      </c>
      <c r="Y376" s="4" t="e">
        <f>IF($Q376&lt;&gt;3,VLOOKUP(I376,'Points Table A'!E$3:$F$33,2),VLOOKUP(I376,'Points Table A'!K$3:$L$33,2))</f>
        <v>#N/A</v>
      </c>
      <c r="Z376" s="4" t="e">
        <f t="shared" si="35"/>
        <v>#N/A</v>
      </c>
      <c r="AA376" s="4">
        <f>IF($S376=Lookups!$B$113,VLOOKUP(L376,'Points Table C'!A$3:$E$11,5),VLOOKUP(U376,'Points Table C'!B$3:$E$11,4))</f>
        <v>0</v>
      </c>
      <c r="AB376" s="4" t="e">
        <f>IF($Q376=1,0,VLOOKUP($J376,'Points Table C'!$C$3:$E$18,3))</f>
        <v>#N/A</v>
      </c>
      <c r="AC376" s="4">
        <f>VLOOKUP($K376,'Points Table C'!$D$3:$E$18,2)</f>
        <v>0</v>
      </c>
      <c r="AD376" s="4" t="e">
        <f>IF($Z376&lt;Lookups!$C$106,($AA376+AB376+AC376),IF($AA376&gt;=Lookups!$C$120,($AA376+AB376+AC376),$AA376+$AB376))</f>
        <v>#N/A</v>
      </c>
      <c r="AF376" s="7"/>
      <c r="AG376" s="7"/>
      <c r="AH376" s="7"/>
      <c r="AI376" s="7"/>
      <c r="AJ376" s="7"/>
      <c r="AK376" s="7"/>
      <c r="AL376" s="7"/>
      <c r="AM376" s="7"/>
      <c r="AN376" s="7"/>
      <c r="AO376" s="7"/>
      <c r="AP376" s="7"/>
      <c r="AQ376" s="7"/>
      <c r="AR376" s="7"/>
      <c r="AS376" s="7"/>
      <c r="AT376" s="7"/>
      <c r="AU376" s="7"/>
      <c r="AV376" s="7"/>
      <c r="AW376" s="7"/>
      <c r="AY376" s="7"/>
      <c r="AZ376" s="7"/>
      <c r="BA376" s="7"/>
      <c r="BB376" s="7"/>
    </row>
    <row r="377" spans="2:54" x14ac:dyDescent="0.2">
      <c r="B377" s="174"/>
      <c r="C377" s="176"/>
      <c r="F377" s="5">
        <v>0</v>
      </c>
      <c r="G377" s="192">
        <v>0</v>
      </c>
      <c r="H377" s="192">
        <v>0</v>
      </c>
      <c r="I377" s="5">
        <v>0</v>
      </c>
      <c r="J377" s="192">
        <v>0</v>
      </c>
      <c r="K377" s="192">
        <v>0</v>
      </c>
      <c r="L377" s="5">
        <v>0</v>
      </c>
      <c r="M377" s="5">
        <v>0</v>
      </c>
      <c r="N377" s="4" t="e">
        <f t="shared" ref="N377:N440" si="36">$Z377-$AD377</f>
        <v>#N/A</v>
      </c>
      <c r="O377" s="4" t="e">
        <f>IF(ROUND(10.499-(((N377-VLOOKUP($C377,Lookups!$A$55:$D$64,3))/(VLOOKUP($C377,Lookups!$A$55:$D$64,4))*VLOOKUP($C377,Lookups!$C$2:$D$11,2))),0)&lt;1,1,IF(ROUND(10.499-(((N377-VLOOKUP($C377,Lookups!$A$55:$D$64,3))/(VLOOKUP($C377,Lookups!$A$55:$D$64,4))*VLOOKUP($C377,Lookups!$C$2:$D$11,2))),0)&lt;11,ROUND(10.499-(((N377-VLOOKUP($C377,Lookups!$A$55:$D$64,3))/(VLOOKUP($C377,Lookups!$A$55:$D$64,4))*VLOOKUP($C377,Lookups!$C$2:$D$11,2))),0),10))</f>
        <v>#N/A</v>
      </c>
      <c r="P377" s="13" t="str">
        <f>IF((SUM(F377:M377)=0),"J",VLOOKUP(O377,Lookups!$A$1:$B$11,2))</f>
        <v>J</v>
      </c>
      <c r="Q377" s="8" t="e">
        <f>VLOOKUP(C377,Lookups!$A$136:$C$144,3)</f>
        <v>#N/A</v>
      </c>
      <c r="R377" s="8" t="e">
        <f>VLOOKUP(C377,Lookups!$A$136:$C$144,2)</f>
        <v>#N/A</v>
      </c>
      <c r="S377" s="4" t="str">
        <f t="shared" si="32"/>
        <v>No</v>
      </c>
      <c r="T377" s="125">
        <f t="shared" si="33"/>
        <v>0</v>
      </c>
      <c r="U377" s="125">
        <f t="shared" si="34"/>
        <v>0</v>
      </c>
      <c r="V377" s="4" t="e">
        <f>IF($Q377&lt;&gt;3,VLOOKUP(F377,'Points Table A'!B$3:$F$33,5),VLOOKUP(F377,'Points Table A'!H$3:$L$33,5))</f>
        <v>#N/A</v>
      </c>
      <c r="W377" s="4" t="e">
        <f>IF($Q377&lt;&gt;3,VLOOKUP(G377,'Points Table A'!C$3:$F$33,4),VLOOKUP(G377,'Points Table A'!I$3:$L$33,4))</f>
        <v>#N/A</v>
      </c>
      <c r="X377" s="4" t="e">
        <f>IF($Q377&lt;&gt;3,VLOOKUP(H377,'Points Table A'!D$3:$F$28,3),VLOOKUP(H377,'Points Table A'!J$3:$L$33,3))</f>
        <v>#N/A</v>
      </c>
      <c r="Y377" s="4" t="e">
        <f>IF($Q377&lt;&gt;3,VLOOKUP(I377,'Points Table A'!E$3:$F$33,2),VLOOKUP(I377,'Points Table A'!K$3:$L$33,2))</f>
        <v>#N/A</v>
      </c>
      <c r="Z377" s="4" t="e">
        <f t="shared" si="35"/>
        <v>#N/A</v>
      </c>
      <c r="AA377" s="4">
        <f>IF($S377=Lookups!$B$113,VLOOKUP(L377,'Points Table C'!A$3:$E$11,5),VLOOKUP(U377,'Points Table C'!B$3:$E$11,4))</f>
        <v>0</v>
      </c>
      <c r="AB377" s="4" t="e">
        <f>IF($Q377=1,0,VLOOKUP($J377,'Points Table C'!$C$3:$E$18,3))</f>
        <v>#N/A</v>
      </c>
      <c r="AC377" s="4">
        <f>VLOOKUP($K377,'Points Table C'!$D$3:$E$18,2)</f>
        <v>0</v>
      </c>
      <c r="AD377" s="4" t="e">
        <f>IF($Z377&lt;Lookups!$C$106,($AA377+AB377+AC377),IF($AA377&gt;=Lookups!$C$120,($AA377+AB377+AC377),$AA377+$AB377))</f>
        <v>#N/A</v>
      </c>
      <c r="AF377" s="7"/>
      <c r="AG377" s="7"/>
      <c r="AH377" s="7"/>
      <c r="AI377" s="7"/>
      <c r="AJ377" s="7"/>
      <c r="AK377" s="7"/>
      <c r="AL377" s="7"/>
      <c r="AM377" s="7"/>
      <c r="AN377" s="7"/>
      <c r="AO377" s="7"/>
      <c r="AP377" s="7"/>
      <c r="AQ377" s="7"/>
      <c r="AR377" s="7"/>
      <c r="AS377" s="7"/>
      <c r="AT377" s="7"/>
      <c r="AU377" s="7"/>
      <c r="AV377" s="7"/>
      <c r="AW377" s="7"/>
      <c r="AY377" s="7"/>
      <c r="AZ377" s="7"/>
      <c r="BA377" s="7"/>
      <c r="BB377" s="7"/>
    </row>
    <row r="378" spans="2:54" x14ac:dyDescent="0.2">
      <c r="B378" s="174"/>
      <c r="C378" s="176"/>
      <c r="F378" s="5">
        <v>0</v>
      </c>
      <c r="G378" s="192">
        <v>0</v>
      </c>
      <c r="H378" s="192">
        <v>0</v>
      </c>
      <c r="I378" s="5">
        <v>0</v>
      </c>
      <c r="J378" s="192">
        <v>0</v>
      </c>
      <c r="K378" s="192">
        <v>0</v>
      </c>
      <c r="L378" s="5">
        <v>0</v>
      </c>
      <c r="M378" s="5">
        <v>0</v>
      </c>
      <c r="N378" s="4" t="e">
        <f t="shared" si="36"/>
        <v>#N/A</v>
      </c>
      <c r="O378" s="4" t="e">
        <f>IF(ROUND(10.499-(((N378-VLOOKUP($C378,Lookups!$A$55:$D$64,3))/(VLOOKUP($C378,Lookups!$A$55:$D$64,4))*VLOOKUP($C378,Lookups!$C$2:$D$11,2))),0)&lt;1,1,IF(ROUND(10.499-(((N378-VLOOKUP($C378,Lookups!$A$55:$D$64,3))/(VLOOKUP($C378,Lookups!$A$55:$D$64,4))*VLOOKUP($C378,Lookups!$C$2:$D$11,2))),0)&lt;11,ROUND(10.499-(((N378-VLOOKUP($C378,Lookups!$A$55:$D$64,3))/(VLOOKUP($C378,Lookups!$A$55:$D$64,4))*VLOOKUP($C378,Lookups!$C$2:$D$11,2))),0),10))</f>
        <v>#N/A</v>
      </c>
      <c r="P378" s="13" t="str">
        <f>IF((SUM(F378:M378)=0),"J",VLOOKUP(O378,Lookups!$A$1:$B$11,2))</f>
        <v>J</v>
      </c>
      <c r="Q378" s="8" t="e">
        <f>VLOOKUP(C378,Lookups!$A$136:$C$144,3)</f>
        <v>#N/A</v>
      </c>
      <c r="R378" s="8" t="e">
        <f>VLOOKUP(C378,Lookups!$A$136:$C$144,2)</f>
        <v>#N/A</v>
      </c>
      <c r="S378" s="4" t="str">
        <f t="shared" si="32"/>
        <v>No</v>
      </c>
      <c r="T378" s="125">
        <f t="shared" si="33"/>
        <v>0</v>
      </c>
      <c r="U378" s="125">
        <f t="shared" si="34"/>
        <v>0</v>
      </c>
      <c r="V378" s="4" t="e">
        <f>IF($Q378&lt;&gt;3,VLOOKUP(F378,'Points Table A'!B$3:$F$33,5),VLOOKUP(F378,'Points Table A'!H$3:$L$33,5))</f>
        <v>#N/A</v>
      </c>
      <c r="W378" s="4" t="e">
        <f>IF($Q378&lt;&gt;3,VLOOKUP(G378,'Points Table A'!C$3:$F$33,4),VLOOKUP(G378,'Points Table A'!I$3:$L$33,4))</f>
        <v>#N/A</v>
      </c>
      <c r="X378" s="4" t="e">
        <f>IF($Q378&lt;&gt;3,VLOOKUP(H378,'Points Table A'!D$3:$F$28,3),VLOOKUP(H378,'Points Table A'!J$3:$L$33,3))</f>
        <v>#N/A</v>
      </c>
      <c r="Y378" s="4" t="e">
        <f>IF($Q378&lt;&gt;3,VLOOKUP(I378,'Points Table A'!E$3:$F$33,2),VLOOKUP(I378,'Points Table A'!K$3:$L$33,2))</f>
        <v>#N/A</v>
      </c>
      <c r="Z378" s="4" t="e">
        <f t="shared" si="35"/>
        <v>#N/A</v>
      </c>
      <c r="AA378" s="4">
        <f>IF($S378=Lookups!$B$113,VLOOKUP(L378,'Points Table C'!A$3:$E$11,5),VLOOKUP(U378,'Points Table C'!B$3:$E$11,4))</f>
        <v>0</v>
      </c>
      <c r="AB378" s="4" t="e">
        <f>IF($Q378=1,0,VLOOKUP($J378,'Points Table C'!$C$3:$E$18,3))</f>
        <v>#N/A</v>
      </c>
      <c r="AC378" s="4">
        <f>VLOOKUP($K378,'Points Table C'!$D$3:$E$18,2)</f>
        <v>0</v>
      </c>
      <c r="AD378" s="4" t="e">
        <f>IF($Z378&lt;Lookups!$C$106,($AA378+AB378+AC378),IF($AA378&gt;=Lookups!$C$120,($AA378+AB378+AC378),$AA378+$AB378))</f>
        <v>#N/A</v>
      </c>
      <c r="AF378" s="7"/>
      <c r="AG378" s="7"/>
      <c r="AH378" s="7"/>
      <c r="AI378" s="7"/>
      <c r="AJ378" s="7"/>
      <c r="AK378" s="7"/>
      <c r="AL378" s="7"/>
      <c r="AM378" s="7"/>
      <c r="AN378" s="7"/>
      <c r="AO378" s="7"/>
      <c r="AP378" s="7"/>
      <c r="AQ378" s="7"/>
      <c r="AR378" s="7"/>
      <c r="AS378" s="7"/>
      <c r="AT378" s="7"/>
      <c r="AU378" s="7"/>
      <c r="AV378" s="7"/>
      <c r="AW378" s="7"/>
      <c r="AY378" s="7"/>
      <c r="AZ378" s="7"/>
      <c r="BA378" s="7"/>
      <c r="BB378" s="7"/>
    </row>
    <row r="379" spans="2:54" x14ac:dyDescent="0.2">
      <c r="B379" s="174"/>
      <c r="C379" s="176"/>
      <c r="F379" s="5">
        <v>0</v>
      </c>
      <c r="G379" s="192">
        <v>0</v>
      </c>
      <c r="H379" s="192">
        <v>0</v>
      </c>
      <c r="I379" s="5">
        <v>0</v>
      </c>
      <c r="J379" s="192">
        <v>0</v>
      </c>
      <c r="K379" s="192">
        <v>0</v>
      </c>
      <c r="L379" s="5">
        <v>0</v>
      </c>
      <c r="M379" s="5">
        <v>0</v>
      </c>
      <c r="N379" s="4" t="e">
        <f t="shared" si="36"/>
        <v>#N/A</v>
      </c>
      <c r="O379" s="4" t="e">
        <f>IF(ROUND(10.499-(((N379-VLOOKUP($C379,Lookups!$A$55:$D$64,3))/(VLOOKUP($C379,Lookups!$A$55:$D$64,4))*VLOOKUP($C379,Lookups!$C$2:$D$11,2))),0)&lt;1,1,IF(ROUND(10.499-(((N379-VLOOKUP($C379,Lookups!$A$55:$D$64,3))/(VLOOKUP($C379,Lookups!$A$55:$D$64,4))*VLOOKUP($C379,Lookups!$C$2:$D$11,2))),0)&lt;11,ROUND(10.499-(((N379-VLOOKUP($C379,Lookups!$A$55:$D$64,3))/(VLOOKUP($C379,Lookups!$A$55:$D$64,4))*VLOOKUP($C379,Lookups!$C$2:$D$11,2))),0),10))</f>
        <v>#N/A</v>
      </c>
      <c r="P379" s="13" t="str">
        <f>IF((SUM(F379:M379)=0),"J",VLOOKUP(O379,Lookups!$A$1:$B$11,2))</f>
        <v>J</v>
      </c>
      <c r="Q379" s="8" t="e">
        <f>VLOOKUP(C379,Lookups!$A$136:$C$144,3)</f>
        <v>#N/A</v>
      </c>
      <c r="R379" s="8" t="e">
        <f>VLOOKUP(C379,Lookups!$A$136:$C$144,2)</f>
        <v>#N/A</v>
      </c>
      <c r="S379" s="4" t="str">
        <f t="shared" si="32"/>
        <v>No</v>
      </c>
      <c r="T379" s="125">
        <f t="shared" si="33"/>
        <v>0</v>
      </c>
      <c r="U379" s="125">
        <f t="shared" si="34"/>
        <v>0</v>
      </c>
      <c r="V379" s="4" t="e">
        <f>IF($Q379&lt;&gt;3,VLOOKUP(F379,'Points Table A'!B$3:$F$33,5),VLOOKUP(F379,'Points Table A'!H$3:$L$33,5))</f>
        <v>#N/A</v>
      </c>
      <c r="W379" s="4" t="e">
        <f>IF($Q379&lt;&gt;3,VLOOKUP(G379,'Points Table A'!C$3:$F$33,4),VLOOKUP(G379,'Points Table A'!I$3:$L$33,4))</f>
        <v>#N/A</v>
      </c>
      <c r="X379" s="4" t="e">
        <f>IF($Q379&lt;&gt;3,VLOOKUP(H379,'Points Table A'!D$3:$F$28,3),VLOOKUP(H379,'Points Table A'!J$3:$L$33,3))</f>
        <v>#N/A</v>
      </c>
      <c r="Y379" s="4" t="e">
        <f>IF($Q379&lt;&gt;3,VLOOKUP(I379,'Points Table A'!E$3:$F$33,2),VLOOKUP(I379,'Points Table A'!K$3:$L$33,2))</f>
        <v>#N/A</v>
      </c>
      <c r="Z379" s="4" t="e">
        <f t="shared" si="35"/>
        <v>#N/A</v>
      </c>
      <c r="AA379" s="4">
        <f>IF($S379=Lookups!$B$113,VLOOKUP(L379,'Points Table C'!A$3:$E$11,5),VLOOKUP(U379,'Points Table C'!B$3:$E$11,4))</f>
        <v>0</v>
      </c>
      <c r="AB379" s="4" t="e">
        <f>IF($Q379=1,0,VLOOKUP($J379,'Points Table C'!$C$3:$E$18,3))</f>
        <v>#N/A</v>
      </c>
      <c r="AC379" s="4">
        <f>VLOOKUP($K379,'Points Table C'!$D$3:$E$18,2)</f>
        <v>0</v>
      </c>
      <c r="AD379" s="4" t="e">
        <f>IF($Z379&lt;Lookups!$C$106,($AA379+AB379+AC379),IF($AA379&gt;=Lookups!$C$120,($AA379+AB379+AC379),$AA379+$AB379))</f>
        <v>#N/A</v>
      </c>
      <c r="AF379" s="7"/>
      <c r="AG379" s="7"/>
      <c r="AH379" s="7"/>
      <c r="AI379" s="7"/>
      <c r="AJ379" s="7"/>
      <c r="AK379" s="7"/>
      <c r="AL379" s="7"/>
      <c r="AM379" s="7"/>
      <c r="AN379" s="7"/>
      <c r="AO379" s="7"/>
      <c r="AP379" s="7"/>
      <c r="AQ379" s="7"/>
      <c r="AR379" s="7"/>
      <c r="AS379" s="7"/>
      <c r="AT379" s="7"/>
      <c r="AU379" s="7"/>
      <c r="AV379" s="7"/>
      <c r="AW379" s="7"/>
      <c r="AY379" s="7"/>
      <c r="AZ379" s="7"/>
      <c r="BA379" s="7"/>
      <c r="BB379" s="7"/>
    </row>
    <row r="380" spans="2:54" x14ac:dyDescent="0.2">
      <c r="B380" s="174"/>
      <c r="C380" s="176"/>
      <c r="F380" s="5">
        <v>0</v>
      </c>
      <c r="G380" s="192">
        <v>0</v>
      </c>
      <c r="H380" s="192">
        <v>0</v>
      </c>
      <c r="I380" s="5">
        <v>0</v>
      </c>
      <c r="J380" s="192">
        <v>0</v>
      </c>
      <c r="K380" s="192">
        <v>0</v>
      </c>
      <c r="L380" s="5">
        <v>0</v>
      </c>
      <c r="M380" s="5">
        <v>0</v>
      </c>
      <c r="N380" s="4" t="e">
        <f t="shared" si="36"/>
        <v>#N/A</v>
      </c>
      <c r="O380" s="4" t="e">
        <f>IF(ROUND(10.499-(((N380-VLOOKUP($C380,Lookups!$A$55:$D$64,3))/(VLOOKUP($C380,Lookups!$A$55:$D$64,4))*VLOOKUP($C380,Lookups!$C$2:$D$11,2))),0)&lt;1,1,IF(ROUND(10.499-(((N380-VLOOKUP($C380,Lookups!$A$55:$D$64,3))/(VLOOKUP($C380,Lookups!$A$55:$D$64,4))*VLOOKUP($C380,Lookups!$C$2:$D$11,2))),0)&lt;11,ROUND(10.499-(((N380-VLOOKUP($C380,Lookups!$A$55:$D$64,3))/(VLOOKUP($C380,Lookups!$A$55:$D$64,4))*VLOOKUP($C380,Lookups!$C$2:$D$11,2))),0),10))</f>
        <v>#N/A</v>
      </c>
      <c r="P380" s="13" t="str">
        <f>IF((SUM(F380:M380)=0),"J",VLOOKUP(O380,Lookups!$A$1:$B$11,2))</f>
        <v>J</v>
      </c>
      <c r="Q380" s="8" t="e">
        <f>VLOOKUP(C380,Lookups!$A$136:$C$144,3)</f>
        <v>#N/A</v>
      </c>
      <c r="R380" s="8" t="e">
        <f>VLOOKUP(C380,Lookups!$A$136:$C$144,2)</f>
        <v>#N/A</v>
      </c>
      <c r="S380" s="4" t="str">
        <f t="shared" si="32"/>
        <v>No</v>
      </c>
      <c r="T380" s="125">
        <f t="shared" si="33"/>
        <v>0</v>
      </c>
      <c r="U380" s="125">
        <f t="shared" si="34"/>
        <v>0</v>
      </c>
      <c r="V380" s="4" t="e">
        <f>IF($Q380&lt;&gt;3,VLOOKUP(F380,'Points Table A'!B$3:$F$33,5),VLOOKUP(F380,'Points Table A'!H$3:$L$33,5))</f>
        <v>#N/A</v>
      </c>
      <c r="W380" s="4" t="e">
        <f>IF($Q380&lt;&gt;3,VLOOKUP(G380,'Points Table A'!C$3:$F$33,4),VLOOKUP(G380,'Points Table A'!I$3:$L$33,4))</f>
        <v>#N/A</v>
      </c>
      <c r="X380" s="4" t="e">
        <f>IF($Q380&lt;&gt;3,VLOOKUP(H380,'Points Table A'!D$3:$F$28,3),VLOOKUP(H380,'Points Table A'!J$3:$L$33,3))</f>
        <v>#N/A</v>
      </c>
      <c r="Y380" s="4" t="e">
        <f>IF($Q380&lt;&gt;3,VLOOKUP(I380,'Points Table A'!E$3:$F$33,2),VLOOKUP(I380,'Points Table A'!K$3:$L$33,2))</f>
        <v>#N/A</v>
      </c>
      <c r="Z380" s="4" t="e">
        <f t="shared" si="35"/>
        <v>#N/A</v>
      </c>
      <c r="AA380" s="4">
        <f>IF($S380=Lookups!$B$113,VLOOKUP(L380,'Points Table C'!A$3:$E$11,5),VLOOKUP(U380,'Points Table C'!B$3:$E$11,4))</f>
        <v>0</v>
      </c>
      <c r="AB380" s="4" t="e">
        <f>IF($Q380=1,0,VLOOKUP($J380,'Points Table C'!$C$3:$E$18,3))</f>
        <v>#N/A</v>
      </c>
      <c r="AC380" s="4">
        <f>VLOOKUP($K380,'Points Table C'!$D$3:$E$18,2)</f>
        <v>0</v>
      </c>
      <c r="AD380" s="4" t="e">
        <f>IF($Z380&lt;Lookups!$C$106,($AA380+AB380+AC380),IF($AA380&gt;=Lookups!$C$120,($AA380+AB380+AC380),$AA380+$AB380))</f>
        <v>#N/A</v>
      </c>
      <c r="AF380" s="7"/>
      <c r="AG380" s="7"/>
      <c r="AH380" s="7"/>
      <c r="AI380" s="7"/>
      <c r="AJ380" s="7"/>
      <c r="AK380" s="7"/>
      <c r="AL380" s="7"/>
      <c r="AM380" s="7"/>
      <c r="AN380" s="7"/>
      <c r="AO380" s="7"/>
      <c r="AP380" s="7"/>
      <c r="AQ380" s="7"/>
      <c r="AR380" s="7"/>
      <c r="AS380" s="7"/>
      <c r="AT380" s="7"/>
      <c r="AU380" s="7"/>
      <c r="AV380" s="7"/>
      <c r="AW380" s="7"/>
      <c r="AY380" s="7"/>
      <c r="AZ380" s="7"/>
      <c r="BA380" s="7"/>
      <c r="BB380" s="7"/>
    </row>
    <row r="381" spans="2:54" x14ac:dyDescent="0.2">
      <c r="B381" s="174"/>
      <c r="C381" s="176"/>
      <c r="F381" s="5">
        <v>0</v>
      </c>
      <c r="G381" s="192">
        <v>0</v>
      </c>
      <c r="H381" s="192">
        <v>0</v>
      </c>
      <c r="I381" s="5">
        <v>0</v>
      </c>
      <c r="J381" s="192">
        <v>0</v>
      </c>
      <c r="K381" s="192">
        <v>0</v>
      </c>
      <c r="L381" s="5">
        <v>0</v>
      </c>
      <c r="M381" s="5">
        <v>0</v>
      </c>
      <c r="N381" s="4" t="e">
        <f t="shared" si="36"/>
        <v>#N/A</v>
      </c>
      <c r="O381" s="4" t="e">
        <f>IF(ROUND(10.499-(((N381-VLOOKUP($C381,Lookups!$A$55:$D$64,3))/(VLOOKUP($C381,Lookups!$A$55:$D$64,4))*VLOOKUP($C381,Lookups!$C$2:$D$11,2))),0)&lt;1,1,IF(ROUND(10.499-(((N381-VLOOKUP($C381,Lookups!$A$55:$D$64,3))/(VLOOKUP($C381,Lookups!$A$55:$D$64,4))*VLOOKUP($C381,Lookups!$C$2:$D$11,2))),0)&lt;11,ROUND(10.499-(((N381-VLOOKUP($C381,Lookups!$A$55:$D$64,3))/(VLOOKUP($C381,Lookups!$A$55:$D$64,4))*VLOOKUP($C381,Lookups!$C$2:$D$11,2))),0),10))</f>
        <v>#N/A</v>
      </c>
      <c r="P381" s="13" t="str">
        <f>IF((SUM(F381:M381)=0),"J",VLOOKUP(O381,Lookups!$A$1:$B$11,2))</f>
        <v>J</v>
      </c>
      <c r="Q381" s="8" t="e">
        <f>VLOOKUP(C381,Lookups!$A$136:$C$144,3)</f>
        <v>#N/A</v>
      </c>
      <c r="R381" s="8" t="e">
        <f>VLOOKUP(C381,Lookups!$A$136:$C$144,2)</f>
        <v>#N/A</v>
      </c>
      <c r="S381" s="4" t="str">
        <f t="shared" si="32"/>
        <v>No</v>
      </c>
      <c r="T381" s="125">
        <f t="shared" si="33"/>
        <v>0</v>
      </c>
      <c r="U381" s="125">
        <f t="shared" si="34"/>
        <v>0</v>
      </c>
      <c r="V381" s="4" t="e">
        <f>IF($Q381&lt;&gt;3,VLOOKUP(F381,'Points Table A'!B$3:$F$33,5),VLOOKUP(F381,'Points Table A'!H$3:$L$33,5))</f>
        <v>#N/A</v>
      </c>
      <c r="W381" s="4" t="e">
        <f>IF($Q381&lt;&gt;3,VLOOKUP(G381,'Points Table A'!C$3:$F$33,4),VLOOKUP(G381,'Points Table A'!I$3:$L$33,4))</f>
        <v>#N/A</v>
      </c>
      <c r="X381" s="4" t="e">
        <f>IF($Q381&lt;&gt;3,VLOOKUP(H381,'Points Table A'!D$3:$F$28,3),VLOOKUP(H381,'Points Table A'!J$3:$L$33,3))</f>
        <v>#N/A</v>
      </c>
      <c r="Y381" s="4" t="e">
        <f>IF($Q381&lt;&gt;3,VLOOKUP(I381,'Points Table A'!E$3:$F$33,2),VLOOKUP(I381,'Points Table A'!K$3:$L$33,2))</f>
        <v>#N/A</v>
      </c>
      <c r="Z381" s="4" t="e">
        <f t="shared" si="35"/>
        <v>#N/A</v>
      </c>
      <c r="AA381" s="4">
        <f>IF($S381=Lookups!$B$113,VLOOKUP(L381,'Points Table C'!A$3:$E$11,5),VLOOKUP(U381,'Points Table C'!B$3:$E$11,4))</f>
        <v>0</v>
      </c>
      <c r="AB381" s="4" t="e">
        <f>IF($Q381=1,0,VLOOKUP($J381,'Points Table C'!$C$3:$E$18,3))</f>
        <v>#N/A</v>
      </c>
      <c r="AC381" s="4">
        <f>VLOOKUP($K381,'Points Table C'!$D$3:$E$18,2)</f>
        <v>0</v>
      </c>
      <c r="AD381" s="4" t="e">
        <f>IF($Z381&lt;Lookups!$C$106,($AA381+AB381+AC381),IF($AA381&gt;=Lookups!$C$120,($AA381+AB381+AC381),$AA381+$AB381))</f>
        <v>#N/A</v>
      </c>
      <c r="AF381" s="7"/>
      <c r="AG381" s="7"/>
      <c r="AH381" s="7"/>
      <c r="AI381" s="7"/>
      <c r="AJ381" s="7"/>
      <c r="AK381" s="7"/>
      <c r="AL381" s="7"/>
      <c r="AM381" s="7"/>
      <c r="AN381" s="7"/>
      <c r="AO381" s="7"/>
      <c r="AP381" s="7"/>
      <c r="AQ381" s="7"/>
      <c r="AR381" s="7"/>
      <c r="AS381" s="7"/>
      <c r="AT381" s="7"/>
      <c r="AU381" s="7"/>
      <c r="AV381" s="7"/>
      <c r="AW381" s="7"/>
      <c r="AY381" s="7"/>
      <c r="AZ381" s="7"/>
      <c r="BA381" s="7"/>
      <c r="BB381" s="7"/>
    </row>
    <row r="382" spans="2:54" x14ac:dyDescent="0.2">
      <c r="B382" s="174"/>
      <c r="C382" s="176"/>
      <c r="F382" s="5">
        <v>0</v>
      </c>
      <c r="G382" s="192">
        <v>0</v>
      </c>
      <c r="H382" s="192">
        <v>0</v>
      </c>
      <c r="I382" s="5">
        <v>0</v>
      </c>
      <c r="J382" s="192">
        <v>0</v>
      </c>
      <c r="K382" s="192">
        <v>0</v>
      </c>
      <c r="L382" s="5">
        <v>0</v>
      </c>
      <c r="M382" s="5">
        <v>0</v>
      </c>
      <c r="N382" s="4" t="e">
        <f t="shared" si="36"/>
        <v>#N/A</v>
      </c>
      <c r="O382" s="4" t="e">
        <f>IF(ROUND(10.499-(((N382-VLOOKUP($C382,Lookups!$A$55:$D$64,3))/(VLOOKUP($C382,Lookups!$A$55:$D$64,4))*VLOOKUP($C382,Lookups!$C$2:$D$11,2))),0)&lt;1,1,IF(ROUND(10.499-(((N382-VLOOKUP($C382,Lookups!$A$55:$D$64,3))/(VLOOKUP($C382,Lookups!$A$55:$D$64,4))*VLOOKUP($C382,Lookups!$C$2:$D$11,2))),0)&lt;11,ROUND(10.499-(((N382-VLOOKUP($C382,Lookups!$A$55:$D$64,3))/(VLOOKUP($C382,Lookups!$A$55:$D$64,4))*VLOOKUP($C382,Lookups!$C$2:$D$11,2))),0),10))</f>
        <v>#N/A</v>
      </c>
      <c r="P382" s="13" t="str">
        <f>IF((SUM(F382:M382)=0),"J",VLOOKUP(O382,Lookups!$A$1:$B$11,2))</f>
        <v>J</v>
      </c>
      <c r="Q382" s="8" t="e">
        <f>VLOOKUP(C382,Lookups!$A$136:$C$144,3)</f>
        <v>#N/A</v>
      </c>
      <c r="R382" s="8" t="e">
        <f>VLOOKUP(C382,Lookups!$A$136:$C$144,2)</f>
        <v>#N/A</v>
      </c>
      <c r="S382" s="4" t="str">
        <f t="shared" si="32"/>
        <v>No</v>
      </c>
      <c r="T382" s="125">
        <f t="shared" si="33"/>
        <v>0</v>
      </c>
      <c r="U382" s="125">
        <f t="shared" si="34"/>
        <v>0</v>
      </c>
      <c r="V382" s="4" t="e">
        <f>IF($Q382&lt;&gt;3,VLOOKUP(F382,'Points Table A'!B$3:$F$33,5),VLOOKUP(F382,'Points Table A'!H$3:$L$33,5))</f>
        <v>#N/A</v>
      </c>
      <c r="W382" s="4" t="e">
        <f>IF($Q382&lt;&gt;3,VLOOKUP(G382,'Points Table A'!C$3:$F$33,4),VLOOKUP(G382,'Points Table A'!I$3:$L$33,4))</f>
        <v>#N/A</v>
      </c>
      <c r="X382" s="4" t="e">
        <f>IF($Q382&lt;&gt;3,VLOOKUP(H382,'Points Table A'!D$3:$F$28,3),VLOOKUP(H382,'Points Table A'!J$3:$L$33,3))</f>
        <v>#N/A</v>
      </c>
      <c r="Y382" s="4" t="e">
        <f>IF($Q382&lt;&gt;3,VLOOKUP(I382,'Points Table A'!E$3:$F$33,2),VLOOKUP(I382,'Points Table A'!K$3:$L$33,2))</f>
        <v>#N/A</v>
      </c>
      <c r="Z382" s="4" t="e">
        <f t="shared" si="35"/>
        <v>#N/A</v>
      </c>
      <c r="AA382" s="4">
        <f>IF($S382=Lookups!$B$113,VLOOKUP(L382,'Points Table C'!A$3:$E$11,5),VLOOKUP(U382,'Points Table C'!B$3:$E$11,4))</f>
        <v>0</v>
      </c>
      <c r="AB382" s="4" t="e">
        <f>IF($Q382=1,0,VLOOKUP($J382,'Points Table C'!$C$3:$E$18,3))</f>
        <v>#N/A</v>
      </c>
      <c r="AC382" s="4">
        <f>VLOOKUP($K382,'Points Table C'!$D$3:$E$18,2)</f>
        <v>0</v>
      </c>
      <c r="AD382" s="4" t="e">
        <f>IF($Z382&lt;Lookups!$C$106,($AA382+AB382+AC382),IF($AA382&gt;=Lookups!$C$120,($AA382+AB382+AC382),$AA382+$AB382))</f>
        <v>#N/A</v>
      </c>
      <c r="AF382" s="7"/>
      <c r="AG382" s="7"/>
      <c r="AH382" s="7"/>
      <c r="AI382" s="7"/>
      <c r="AJ382" s="7"/>
      <c r="AK382" s="7"/>
      <c r="AL382" s="7"/>
      <c r="AM382" s="7"/>
      <c r="AN382" s="7"/>
      <c r="AO382" s="7"/>
      <c r="AP382" s="7"/>
      <c r="AQ382" s="7"/>
      <c r="AR382" s="7"/>
      <c r="AS382" s="7"/>
      <c r="AT382" s="7"/>
      <c r="AU382" s="7"/>
      <c r="AV382" s="7"/>
      <c r="AW382" s="7"/>
      <c r="AY382" s="7"/>
      <c r="AZ382" s="7"/>
      <c r="BA382" s="7"/>
      <c r="BB382" s="7"/>
    </row>
    <row r="383" spans="2:54" x14ac:dyDescent="0.2">
      <c r="B383" s="174"/>
      <c r="C383" s="176"/>
      <c r="F383" s="5">
        <v>0</v>
      </c>
      <c r="G383" s="192">
        <v>0</v>
      </c>
      <c r="H383" s="192">
        <v>0</v>
      </c>
      <c r="I383" s="5">
        <v>0</v>
      </c>
      <c r="J383" s="192">
        <v>0</v>
      </c>
      <c r="K383" s="192">
        <v>0</v>
      </c>
      <c r="L383" s="5">
        <v>0</v>
      </c>
      <c r="M383" s="5">
        <v>0</v>
      </c>
      <c r="N383" s="4" t="e">
        <f t="shared" si="36"/>
        <v>#N/A</v>
      </c>
      <c r="O383" s="4" t="e">
        <f>IF(ROUND(10.499-(((N383-VLOOKUP($C383,Lookups!$A$55:$D$64,3))/(VLOOKUP($C383,Lookups!$A$55:$D$64,4))*VLOOKUP($C383,Lookups!$C$2:$D$11,2))),0)&lt;1,1,IF(ROUND(10.499-(((N383-VLOOKUP($C383,Lookups!$A$55:$D$64,3))/(VLOOKUP($C383,Lookups!$A$55:$D$64,4))*VLOOKUP($C383,Lookups!$C$2:$D$11,2))),0)&lt;11,ROUND(10.499-(((N383-VLOOKUP($C383,Lookups!$A$55:$D$64,3))/(VLOOKUP($C383,Lookups!$A$55:$D$64,4))*VLOOKUP($C383,Lookups!$C$2:$D$11,2))),0),10))</f>
        <v>#N/A</v>
      </c>
      <c r="P383" s="13" t="str">
        <f>IF((SUM(F383:M383)=0),"J",VLOOKUP(O383,Lookups!$A$1:$B$11,2))</f>
        <v>J</v>
      </c>
      <c r="Q383" s="8" t="e">
        <f>VLOOKUP(C383,Lookups!$A$136:$C$144,3)</f>
        <v>#N/A</v>
      </c>
      <c r="R383" s="8" t="e">
        <f>VLOOKUP(C383,Lookups!$A$136:$C$144,2)</f>
        <v>#N/A</v>
      </c>
      <c r="S383" s="4" t="str">
        <f t="shared" si="32"/>
        <v>No</v>
      </c>
      <c r="T383" s="125">
        <f t="shared" si="33"/>
        <v>0</v>
      </c>
      <c r="U383" s="125">
        <f t="shared" si="34"/>
        <v>0</v>
      </c>
      <c r="V383" s="4" t="e">
        <f>IF($Q383&lt;&gt;3,VLOOKUP(F383,'Points Table A'!B$3:$F$33,5),VLOOKUP(F383,'Points Table A'!H$3:$L$33,5))</f>
        <v>#N/A</v>
      </c>
      <c r="W383" s="4" t="e">
        <f>IF($Q383&lt;&gt;3,VLOOKUP(G383,'Points Table A'!C$3:$F$33,4),VLOOKUP(G383,'Points Table A'!I$3:$L$33,4))</f>
        <v>#N/A</v>
      </c>
      <c r="X383" s="4" t="e">
        <f>IF($Q383&lt;&gt;3,VLOOKUP(H383,'Points Table A'!D$3:$F$28,3),VLOOKUP(H383,'Points Table A'!J$3:$L$33,3))</f>
        <v>#N/A</v>
      </c>
      <c r="Y383" s="4" t="e">
        <f>IF($Q383&lt;&gt;3,VLOOKUP(I383,'Points Table A'!E$3:$F$33,2),VLOOKUP(I383,'Points Table A'!K$3:$L$33,2))</f>
        <v>#N/A</v>
      </c>
      <c r="Z383" s="4" t="e">
        <f t="shared" si="35"/>
        <v>#N/A</v>
      </c>
      <c r="AA383" s="4">
        <f>IF($S383=Lookups!$B$113,VLOOKUP(L383,'Points Table C'!A$3:$E$11,5),VLOOKUP(U383,'Points Table C'!B$3:$E$11,4))</f>
        <v>0</v>
      </c>
      <c r="AB383" s="4" t="e">
        <f>IF($Q383=1,0,VLOOKUP($J383,'Points Table C'!$C$3:$E$18,3))</f>
        <v>#N/A</v>
      </c>
      <c r="AC383" s="4">
        <f>VLOOKUP($K383,'Points Table C'!$D$3:$E$18,2)</f>
        <v>0</v>
      </c>
      <c r="AD383" s="4" t="e">
        <f>IF($Z383&lt;Lookups!$C$106,($AA383+AB383+AC383),IF($AA383&gt;=Lookups!$C$120,($AA383+AB383+AC383),$AA383+$AB383))</f>
        <v>#N/A</v>
      </c>
      <c r="AF383" s="7"/>
      <c r="AG383" s="7"/>
      <c r="AH383" s="7"/>
      <c r="AI383" s="7"/>
      <c r="AJ383" s="7"/>
      <c r="AK383" s="7"/>
      <c r="AL383" s="7"/>
      <c r="AM383" s="7"/>
      <c r="AN383" s="7"/>
      <c r="AO383" s="7"/>
      <c r="AP383" s="7"/>
      <c r="AQ383" s="7"/>
      <c r="AR383" s="7"/>
      <c r="AS383" s="7"/>
      <c r="AT383" s="7"/>
      <c r="AU383" s="7"/>
      <c r="AV383" s="7"/>
      <c r="AW383" s="7"/>
      <c r="AY383" s="7"/>
      <c r="AZ383" s="7"/>
      <c r="BA383" s="7"/>
      <c r="BB383" s="7"/>
    </row>
    <row r="384" spans="2:54" x14ac:dyDescent="0.2">
      <c r="B384" s="174"/>
      <c r="C384" s="176"/>
      <c r="F384" s="5">
        <v>0</v>
      </c>
      <c r="G384" s="192">
        <v>0</v>
      </c>
      <c r="H384" s="192">
        <v>0</v>
      </c>
      <c r="I384" s="5">
        <v>0</v>
      </c>
      <c r="J384" s="192">
        <v>0</v>
      </c>
      <c r="K384" s="192">
        <v>0</v>
      </c>
      <c r="L384" s="5">
        <v>0</v>
      </c>
      <c r="M384" s="5">
        <v>0</v>
      </c>
      <c r="N384" s="4" t="e">
        <f t="shared" si="36"/>
        <v>#N/A</v>
      </c>
      <c r="O384" s="4" t="e">
        <f>IF(ROUND(10.499-(((N384-VLOOKUP($C384,Lookups!$A$55:$D$64,3))/(VLOOKUP($C384,Lookups!$A$55:$D$64,4))*VLOOKUP($C384,Lookups!$C$2:$D$11,2))),0)&lt;1,1,IF(ROUND(10.499-(((N384-VLOOKUP($C384,Lookups!$A$55:$D$64,3))/(VLOOKUP($C384,Lookups!$A$55:$D$64,4))*VLOOKUP($C384,Lookups!$C$2:$D$11,2))),0)&lt;11,ROUND(10.499-(((N384-VLOOKUP($C384,Lookups!$A$55:$D$64,3))/(VLOOKUP($C384,Lookups!$A$55:$D$64,4))*VLOOKUP($C384,Lookups!$C$2:$D$11,2))),0),10))</f>
        <v>#N/A</v>
      </c>
      <c r="P384" s="13" t="str">
        <f>IF((SUM(F384:M384)=0),"J",VLOOKUP(O384,Lookups!$A$1:$B$11,2))</f>
        <v>J</v>
      </c>
      <c r="Q384" s="8" t="e">
        <f>VLOOKUP(C384,Lookups!$A$136:$C$144,3)</f>
        <v>#N/A</v>
      </c>
      <c r="R384" s="8" t="e">
        <f>VLOOKUP(C384,Lookups!$A$136:$C$144,2)</f>
        <v>#N/A</v>
      </c>
      <c r="S384" s="4" t="str">
        <f t="shared" si="32"/>
        <v>No</v>
      </c>
      <c r="T384" s="125">
        <f t="shared" si="33"/>
        <v>0</v>
      </c>
      <c r="U384" s="125">
        <f t="shared" si="34"/>
        <v>0</v>
      </c>
      <c r="V384" s="4" t="e">
        <f>IF($Q384&lt;&gt;3,VLOOKUP(F384,'Points Table A'!B$3:$F$33,5),VLOOKUP(F384,'Points Table A'!H$3:$L$33,5))</f>
        <v>#N/A</v>
      </c>
      <c r="W384" s="4" t="e">
        <f>IF($Q384&lt;&gt;3,VLOOKUP(G384,'Points Table A'!C$3:$F$33,4),VLOOKUP(G384,'Points Table A'!I$3:$L$33,4))</f>
        <v>#N/A</v>
      </c>
      <c r="X384" s="4" t="e">
        <f>IF($Q384&lt;&gt;3,VLOOKUP(H384,'Points Table A'!D$3:$F$28,3),VLOOKUP(H384,'Points Table A'!J$3:$L$33,3))</f>
        <v>#N/A</v>
      </c>
      <c r="Y384" s="4" t="e">
        <f>IF($Q384&lt;&gt;3,VLOOKUP(I384,'Points Table A'!E$3:$F$33,2),VLOOKUP(I384,'Points Table A'!K$3:$L$33,2))</f>
        <v>#N/A</v>
      </c>
      <c r="Z384" s="4" t="e">
        <f t="shared" si="35"/>
        <v>#N/A</v>
      </c>
      <c r="AA384" s="4">
        <f>IF($S384=Lookups!$B$113,VLOOKUP(L384,'Points Table C'!A$3:$E$11,5),VLOOKUP(U384,'Points Table C'!B$3:$E$11,4))</f>
        <v>0</v>
      </c>
      <c r="AB384" s="4" t="e">
        <f>IF($Q384=1,0,VLOOKUP($J384,'Points Table C'!$C$3:$E$18,3))</f>
        <v>#N/A</v>
      </c>
      <c r="AC384" s="4">
        <f>VLOOKUP($K384,'Points Table C'!$D$3:$E$18,2)</f>
        <v>0</v>
      </c>
      <c r="AD384" s="4" t="e">
        <f>IF($Z384&lt;Lookups!$C$106,($AA384+AB384+AC384),IF($AA384&gt;=Lookups!$C$120,($AA384+AB384+AC384),$AA384+$AB384))</f>
        <v>#N/A</v>
      </c>
      <c r="AF384" s="7"/>
      <c r="AG384" s="7"/>
      <c r="AH384" s="7"/>
      <c r="AI384" s="7"/>
      <c r="AJ384" s="7"/>
      <c r="AK384" s="7"/>
      <c r="AL384" s="7"/>
      <c r="AM384" s="7"/>
      <c r="AN384" s="7"/>
      <c r="AO384" s="7"/>
      <c r="AP384" s="7"/>
      <c r="AQ384" s="7"/>
      <c r="AR384" s="7"/>
      <c r="AS384" s="7"/>
      <c r="AT384" s="7"/>
      <c r="AU384" s="7"/>
      <c r="AV384" s="7"/>
      <c r="AW384" s="7"/>
      <c r="AY384" s="7"/>
      <c r="AZ384" s="7"/>
      <c r="BA384" s="7"/>
      <c r="BB384" s="7"/>
    </row>
    <row r="385" spans="2:54" x14ac:dyDescent="0.2">
      <c r="B385" s="174"/>
      <c r="C385" s="176"/>
      <c r="F385" s="5">
        <v>0</v>
      </c>
      <c r="G385" s="192">
        <v>0</v>
      </c>
      <c r="H385" s="192">
        <v>0</v>
      </c>
      <c r="I385" s="5">
        <v>0</v>
      </c>
      <c r="J385" s="192">
        <v>0</v>
      </c>
      <c r="K385" s="192">
        <v>0</v>
      </c>
      <c r="L385" s="5">
        <v>0</v>
      </c>
      <c r="M385" s="5">
        <v>0</v>
      </c>
      <c r="N385" s="4" t="e">
        <f t="shared" si="36"/>
        <v>#N/A</v>
      </c>
      <c r="O385" s="4" t="e">
        <f>IF(ROUND(10.499-(((N385-VLOOKUP($C385,Lookups!$A$55:$D$64,3))/(VLOOKUP($C385,Lookups!$A$55:$D$64,4))*VLOOKUP($C385,Lookups!$C$2:$D$11,2))),0)&lt;1,1,IF(ROUND(10.499-(((N385-VLOOKUP($C385,Lookups!$A$55:$D$64,3))/(VLOOKUP($C385,Lookups!$A$55:$D$64,4))*VLOOKUP($C385,Lookups!$C$2:$D$11,2))),0)&lt;11,ROUND(10.499-(((N385-VLOOKUP($C385,Lookups!$A$55:$D$64,3))/(VLOOKUP($C385,Lookups!$A$55:$D$64,4))*VLOOKUP($C385,Lookups!$C$2:$D$11,2))),0),10))</f>
        <v>#N/A</v>
      </c>
      <c r="P385" s="13" t="str">
        <f>IF((SUM(F385:M385)=0),"J",VLOOKUP(O385,Lookups!$A$1:$B$11,2))</f>
        <v>J</v>
      </c>
      <c r="Q385" s="8" t="e">
        <f>VLOOKUP(C385,Lookups!$A$136:$C$144,3)</f>
        <v>#N/A</v>
      </c>
      <c r="R385" s="8" t="e">
        <f>VLOOKUP(C385,Lookups!$A$136:$C$144,2)</f>
        <v>#N/A</v>
      </c>
      <c r="S385" s="4" t="str">
        <f t="shared" si="32"/>
        <v>No</v>
      </c>
      <c r="T385" s="125">
        <f t="shared" si="33"/>
        <v>0</v>
      </c>
      <c r="U385" s="125">
        <f t="shared" si="34"/>
        <v>0</v>
      </c>
      <c r="V385" s="4" t="e">
        <f>IF($Q385&lt;&gt;3,VLOOKUP(F385,'Points Table A'!B$3:$F$33,5),VLOOKUP(F385,'Points Table A'!H$3:$L$33,5))</f>
        <v>#N/A</v>
      </c>
      <c r="W385" s="4" t="e">
        <f>IF($Q385&lt;&gt;3,VLOOKUP(G385,'Points Table A'!C$3:$F$33,4),VLOOKUP(G385,'Points Table A'!I$3:$L$33,4))</f>
        <v>#N/A</v>
      </c>
      <c r="X385" s="4" t="e">
        <f>IF($Q385&lt;&gt;3,VLOOKUP(H385,'Points Table A'!D$3:$F$28,3),VLOOKUP(H385,'Points Table A'!J$3:$L$33,3))</f>
        <v>#N/A</v>
      </c>
      <c r="Y385" s="4" t="e">
        <f>IF($Q385&lt;&gt;3,VLOOKUP(I385,'Points Table A'!E$3:$F$33,2),VLOOKUP(I385,'Points Table A'!K$3:$L$33,2))</f>
        <v>#N/A</v>
      </c>
      <c r="Z385" s="4" t="e">
        <f t="shared" si="35"/>
        <v>#N/A</v>
      </c>
      <c r="AA385" s="4">
        <f>IF($S385=Lookups!$B$113,VLOOKUP(L385,'Points Table C'!A$3:$E$11,5),VLOOKUP(U385,'Points Table C'!B$3:$E$11,4))</f>
        <v>0</v>
      </c>
      <c r="AB385" s="4" t="e">
        <f>IF($Q385=1,0,VLOOKUP($J385,'Points Table C'!$C$3:$E$18,3))</f>
        <v>#N/A</v>
      </c>
      <c r="AC385" s="4">
        <f>VLOOKUP($K385,'Points Table C'!$D$3:$E$18,2)</f>
        <v>0</v>
      </c>
      <c r="AD385" s="4" t="e">
        <f>IF($Z385&lt;Lookups!$C$106,($AA385+AB385+AC385),IF($AA385&gt;=Lookups!$C$120,($AA385+AB385+AC385),$AA385+$AB385))</f>
        <v>#N/A</v>
      </c>
      <c r="AF385" s="7"/>
      <c r="AG385" s="7"/>
      <c r="AH385" s="7"/>
      <c r="AI385" s="7"/>
      <c r="AJ385" s="7"/>
      <c r="AK385" s="7"/>
      <c r="AL385" s="7"/>
      <c r="AM385" s="7"/>
      <c r="AN385" s="7"/>
      <c r="AO385" s="7"/>
      <c r="AP385" s="7"/>
      <c r="AQ385" s="7"/>
      <c r="AR385" s="7"/>
      <c r="AS385" s="7"/>
      <c r="AT385" s="7"/>
      <c r="AU385" s="7"/>
      <c r="AV385" s="7"/>
      <c r="AW385" s="7"/>
      <c r="AY385" s="7"/>
      <c r="AZ385" s="7"/>
      <c r="BA385" s="7"/>
      <c r="BB385" s="7"/>
    </row>
    <row r="386" spans="2:54" x14ac:dyDescent="0.2">
      <c r="B386" s="174"/>
      <c r="C386" s="176"/>
      <c r="F386" s="5">
        <v>0</v>
      </c>
      <c r="G386" s="192">
        <v>0</v>
      </c>
      <c r="H386" s="192">
        <v>0</v>
      </c>
      <c r="I386" s="5">
        <v>0</v>
      </c>
      <c r="J386" s="192">
        <v>0</v>
      </c>
      <c r="K386" s="192">
        <v>0</v>
      </c>
      <c r="L386" s="5">
        <v>0</v>
      </c>
      <c r="M386" s="5">
        <v>0</v>
      </c>
      <c r="N386" s="4" t="e">
        <f t="shared" si="36"/>
        <v>#N/A</v>
      </c>
      <c r="O386" s="4" t="e">
        <f>IF(ROUND(10.499-(((N386-VLOOKUP($C386,Lookups!$A$55:$D$64,3))/(VLOOKUP($C386,Lookups!$A$55:$D$64,4))*VLOOKUP($C386,Lookups!$C$2:$D$11,2))),0)&lt;1,1,IF(ROUND(10.499-(((N386-VLOOKUP($C386,Lookups!$A$55:$D$64,3))/(VLOOKUP($C386,Lookups!$A$55:$D$64,4))*VLOOKUP($C386,Lookups!$C$2:$D$11,2))),0)&lt;11,ROUND(10.499-(((N386-VLOOKUP($C386,Lookups!$A$55:$D$64,3))/(VLOOKUP($C386,Lookups!$A$55:$D$64,4))*VLOOKUP($C386,Lookups!$C$2:$D$11,2))),0),10))</f>
        <v>#N/A</v>
      </c>
      <c r="P386" s="13" t="str">
        <f>IF((SUM(F386:M386)=0),"J",VLOOKUP(O386,Lookups!$A$1:$B$11,2))</f>
        <v>J</v>
      </c>
      <c r="Q386" s="8" t="e">
        <f>VLOOKUP(C386,Lookups!$A$136:$C$144,3)</f>
        <v>#N/A</v>
      </c>
      <c r="R386" s="8" t="e">
        <f>VLOOKUP(C386,Lookups!$A$136:$C$144,2)</f>
        <v>#N/A</v>
      </c>
      <c r="S386" s="4" t="str">
        <f t="shared" si="32"/>
        <v>No</v>
      </c>
      <c r="T386" s="125">
        <f t="shared" si="33"/>
        <v>0</v>
      </c>
      <c r="U386" s="125">
        <f t="shared" si="34"/>
        <v>0</v>
      </c>
      <c r="V386" s="4" t="e">
        <f>IF($Q386&lt;&gt;3,VLOOKUP(F386,'Points Table A'!B$3:$F$33,5),VLOOKUP(F386,'Points Table A'!H$3:$L$33,5))</f>
        <v>#N/A</v>
      </c>
      <c r="W386" s="4" t="e">
        <f>IF($Q386&lt;&gt;3,VLOOKUP(G386,'Points Table A'!C$3:$F$33,4),VLOOKUP(G386,'Points Table A'!I$3:$L$33,4))</f>
        <v>#N/A</v>
      </c>
      <c r="X386" s="4" t="e">
        <f>IF($Q386&lt;&gt;3,VLOOKUP(H386,'Points Table A'!D$3:$F$28,3),VLOOKUP(H386,'Points Table A'!J$3:$L$33,3))</f>
        <v>#N/A</v>
      </c>
      <c r="Y386" s="4" t="e">
        <f>IF($Q386&lt;&gt;3,VLOOKUP(I386,'Points Table A'!E$3:$F$33,2),VLOOKUP(I386,'Points Table A'!K$3:$L$33,2))</f>
        <v>#N/A</v>
      </c>
      <c r="Z386" s="4" t="e">
        <f t="shared" si="35"/>
        <v>#N/A</v>
      </c>
      <c r="AA386" s="4">
        <f>IF($S386=Lookups!$B$113,VLOOKUP(L386,'Points Table C'!A$3:$E$11,5),VLOOKUP(U386,'Points Table C'!B$3:$E$11,4))</f>
        <v>0</v>
      </c>
      <c r="AB386" s="4" t="e">
        <f>IF($Q386=1,0,VLOOKUP($J386,'Points Table C'!$C$3:$E$18,3))</f>
        <v>#N/A</v>
      </c>
      <c r="AC386" s="4">
        <f>VLOOKUP($K386,'Points Table C'!$D$3:$E$18,2)</f>
        <v>0</v>
      </c>
      <c r="AD386" s="4" t="e">
        <f>IF($Z386&lt;Lookups!$C$106,($AA386+AB386+AC386),IF($AA386&gt;=Lookups!$C$120,($AA386+AB386+AC386),$AA386+$AB386))</f>
        <v>#N/A</v>
      </c>
      <c r="AF386" s="7"/>
      <c r="AG386" s="7"/>
      <c r="AH386" s="7"/>
      <c r="AI386" s="7"/>
      <c r="AJ386" s="7"/>
      <c r="AK386" s="7"/>
      <c r="AL386" s="7"/>
      <c r="AM386" s="7"/>
      <c r="AN386" s="7"/>
      <c r="AO386" s="7"/>
      <c r="AP386" s="7"/>
      <c r="AQ386" s="7"/>
      <c r="AR386" s="7"/>
      <c r="AS386" s="7"/>
      <c r="AT386" s="7"/>
      <c r="AU386" s="7"/>
      <c r="AV386" s="7"/>
      <c r="AW386" s="7"/>
      <c r="AY386" s="7"/>
      <c r="AZ386" s="7"/>
      <c r="BA386" s="7"/>
      <c r="BB386" s="7"/>
    </row>
    <row r="387" spans="2:54" x14ac:dyDescent="0.2">
      <c r="B387" s="174"/>
      <c r="C387" s="176"/>
      <c r="F387" s="5">
        <v>0</v>
      </c>
      <c r="G387" s="192">
        <v>0</v>
      </c>
      <c r="H387" s="192">
        <v>0</v>
      </c>
      <c r="I387" s="5">
        <v>0</v>
      </c>
      <c r="J387" s="192">
        <v>0</v>
      </c>
      <c r="K387" s="192">
        <v>0</v>
      </c>
      <c r="L387" s="5">
        <v>0</v>
      </c>
      <c r="M387" s="5">
        <v>0</v>
      </c>
      <c r="N387" s="4" t="e">
        <f t="shared" si="36"/>
        <v>#N/A</v>
      </c>
      <c r="O387" s="4" t="e">
        <f>IF(ROUND(10.499-(((N387-VLOOKUP($C387,Lookups!$A$55:$D$64,3))/(VLOOKUP($C387,Lookups!$A$55:$D$64,4))*VLOOKUP($C387,Lookups!$C$2:$D$11,2))),0)&lt;1,1,IF(ROUND(10.499-(((N387-VLOOKUP($C387,Lookups!$A$55:$D$64,3))/(VLOOKUP($C387,Lookups!$A$55:$D$64,4))*VLOOKUP($C387,Lookups!$C$2:$D$11,2))),0)&lt;11,ROUND(10.499-(((N387-VLOOKUP($C387,Lookups!$A$55:$D$64,3))/(VLOOKUP($C387,Lookups!$A$55:$D$64,4))*VLOOKUP($C387,Lookups!$C$2:$D$11,2))),0),10))</f>
        <v>#N/A</v>
      </c>
      <c r="P387" s="13" t="str">
        <f>IF((SUM(F387:M387)=0),"J",VLOOKUP(O387,Lookups!$A$1:$B$11,2))</f>
        <v>J</v>
      </c>
      <c r="Q387" s="8" t="e">
        <f>VLOOKUP(C387,Lookups!$A$136:$C$144,3)</f>
        <v>#N/A</v>
      </c>
      <c r="R387" s="8" t="e">
        <f>VLOOKUP(C387,Lookups!$A$136:$C$144,2)</f>
        <v>#N/A</v>
      </c>
      <c r="S387" s="4" t="str">
        <f t="shared" si="32"/>
        <v>No</v>
      </c>
      <c r="T387" s="125">
        <f t="shared" si="33"/>
        <v>0</v>
      </c>
      <c r="U387" s="125">
        <f t="shared" si="34"/>
        <v>0</v>
      </c>
      <c r="V387" s="4" t="e">
        <f>IF($Q387&lt;&gt;3,VLOOKUP(F387,'Points Table A'!B$3:$F$33,5),VLOOKUP(F387,'Points Table A'!H$3:$L$33,5))</f>
        <v>#N/A</v>
      </c>
      <c r="W387" s="4" t="e">
        <f>IF($Q387&lt;&gt;3,VLOOKUP(G387,'Points Table A'!C$3:$F$33,4),VLOOKUP(G387,'Points Table A'!I$3:$L$33,4))</f>
        <v>#N/A</v>
      </c>
      <c r="X387" s="4" t="e">
        <f>IF($Q387&lt;&gt;3,VLOOKUP(H387,'Points Table A'!D$3:$F$28,3),VLOOKUP(H387,'Points Table A'!J$3:$L$33,3))</f>
        <v>#N/A</v>
      </c>
      <c r="Y387" s="4" t="e">
        <f>IF($Q387&lt;&gt;3,VLOOKUP(I387,'Points Table A'!E$3:$F$33,2),VLOOKUP(I387,'Points Table A'!K$3:$L$33,2))</f>
        <v>#N/A</v>
      </c>
      <c r="Z387" s="4" t="e">
        <f t="shared" si="35"/>
        <v>#N/A</v>
      </c>
      <c r="AA387" s="4">
        <f>IF($S387=Lookups!$B$113,VLOOKUP(L387,'Points Table C'!A$3:$E$11,5),VLOOKUP(U387,'Points Table C'!B$3:$E$11,4))</f>
        <v>0</v>
      </c>
      <c r="AB387" s="4" t="e">
        <f>IF($Q387=1,0,VLOOKUP($J387,'Points Table C'!$C$3:$E$18,3))</f>
        <v>#N/A</v>
      </c>
      <c r="AC387" s="4">
        <f>VLOOKUP($K387,'Points Table C'!$D$3:$E$18,2)</f>
        <v>0</v>
      </c>
      <c r="AD387" s="4" t="e">
        <f>IF($Z387&lt;Lookups!$C$106,($AA387+AB387+AC387),IF($AA387&gt;=Lookups!$C$120,($AA387+AB387+AC387),$AA387+$AB387))</f>
        <v>#N/A</v>
      </c>
      <c r="AF387" s="7"/>
      <c r="AG387" s="7"/>
      <c r="AH387" s="7"/>
      <c r="AI387" s="7"/>
      <c r="AJ387" s="7"/>
      <c r="AK387" s="7"/>
      <c r="AL387" s="7"/>
      <c r="AM387" s="7"/>
      <c r="AN387" s="7"/>
      <c r="AO387" s="7"/>
      <c r="AP387" s="7"/>
      <c r="AQ387" s="7"/>
      <c r="AR387" s="7"/>
      <c r="AS387" s="7"/>
      <c r="AT387" s="7"/>
      <c r="AU387" s="7"/>
      <c r="AV387" s="7"/>
      <c r="AW387" s="7"/>
      <c r="AY387" s="7"/>
      <c r="AZ387" s="7"/>
      <c r="BA387" s="7"/>
      <c r="BB387" s="7"/>
    </row>
    <row r="388" spans="2:54" x14ac:dyDescent="0.2">
      <c r="B388" s="174"/>
      <c r="C388" s="176"/>
      <c r="F388" s="5">
        <v>0</v>
      </c>
      <c r="G388" s="192">
        <v>0</v>
      </c>
      <c r="H388" s="192">
        <v>0</v>
      </c>
      <c r="I388" s="5">
        <v>0</v>
      </c>
      <c r="J388" s="192">
        <v>0</v>
      </c>
      <c r="K388" s="192">
        <v>0</v>
      </c>
      <c r="L388" s="5">
        <v>0</v>
      </c>
      <c r="M388" s="5">
        <v>0</v>
      </c>
      <c r="N388" s="4" t="e">
        <f t="shared" si="36"/>
        <v>#N/A</v>
      </c>
      <c r="O388" s="4" t="e">
        <f>IF(ROUND(10.499-(((N388-VLOOKUP($C388,Lookups!$A$55:$D$64,3))/(VLOOKUP($C388,Lookups!$A$55:$D$64,4))*VLOOKUP($C388,Lookups!$C$2:$D$11,2))),0)&lt;1,1,IF(ROUND(10.499-(((N388-VLOOKUP($C388,Lookups!$A$55:$D$64,3))/(VLOOKUP($C388,Lookups!$A$55:$D$64,4))*VLOOKUP($C388,Lookups!$C$2:$D$11,2))),0)&lt;11,ROUND(10.499-(((N388-VLOOKUP($C388,Lookups!$A$55:$D$64,3))/(VLOOKUP($C388,Lookups!$A$55:$D$64,4))*VLOOKUP($C388,Lookups!$C$2:$D$11,2))),0),10))</f>
        <v>#N/A</v>
      </c>
      <c r="P388" s="13" t="str">
        <f>IF((SUM(F388:M388)=0),"J",VLOOKUP(O388,Lookups!$A$1:$B$11,2))</f>
        <v>J</v>
      </c>
      <c r="Q388" s="8" t="e">
        <f>VLOOKUP(C388,Lookups!$A$136:$C$144,3)</f>
        <v>#N/A</v>
      </c>
      <c r="R388" s="8" t="e">
        <f>VLOOKUP(C388,Lookups!$A$136:$C$144,2)</f>
        <v>#N/A</v>
      </c>
      <c r="S388" s="4" t="str">
        <f t="shared" si="32"/>
        <v>No</v>
      </c>
      <c r="T388" s="125">
        <f t="shared" si="33"/>
        <v>0</v>
      </c>
      <c r="U388" s="125">
        <f t="shared" si="34"/>
        <v>0</v>
      </c>
      <c r="V388" s="4" t="e">
        <f>IF($Q388&lt;&gt;3,VLOOKUP(F388,'Points Table A'!B$3:$F$33,5),VLOOKUP(F388,'Points Table A'!H$3:$L$33,5))</f>
        <v>#N/A</v>
      </c>
      <c r="W388" s="4" t="e">
        <f>IF($Q388&lt;&gt;3,VLOOKUP(G388,'Points Table A'!C$3:$F$33,4),VLOOKUP(G388,'Points Table A'!I$3:$L$33,4))</f>
        <v>#N/A</v>
      </c>
      <c r="X388" s="4" t="e">
        <f>IF($Q388&lt;&gt;3,VLOOKUP(H388,'Points Table A'!D$3:$F$28,3),VLOOKUP(H388,'Points Table A'!J$3:$L$33,3))</f>
        <v>#N/A</v>
      </c>
      <c r="Y388" s="4" t="e">
        <f>IF($Q388&lt;&gt;3,VLOOKUP(I388,'Points Table A'!E$3:$F$33,2),VLOOKUP(I388,'Points Table A'!K$3:$L$33,2))</f>
        <v>#N/A</v>
      </c>
      <c r="Z388" s="4" t="e">
        <f t="shared" si="35"/>
        <v>#N/A</v>
      </c>
      <c r="AA388" s="4">
        <f>IF($S388=Lookups!$B$113,VLOOKUP(L388,'Points Table C'!A$3:$E$11,5),VLOOKUP(U388,'Points Table C'!B$3:$E$11,4))</f>
        <v>0</v>
      </c>
      <c r="AB388" s="4" t="e">
        <f>IF($Q388=1,0,VLOOKUP($J388,'Points Table C'!$C$3:$E$18,3))</f>
        <v>#N/A</v>
      </c>
      <c r="AC388" s="4">
        <f>VLOOKUP($K388,'Points Table C'!$D$3:$E$18,2)</f>
        <v>0</v>
      </c>
      <c r="AD388" s="4" t="e">
        <f>IF($Z388&lt;Lookups!$C$106,($AA388+AB388+AC388),IF($AA388&gt;=Lookups!$C$120,($AA388+AB388+AC388),$AA388+$AB388))</f>
        <v>#N/A</v>
      </c>
      <c r="AF388" s="7"/>
      <c r="AG388" s="7"/>
      <c r="AH388" s="7"/>
      <c r="AI388" s="7"/>
      <c r="AJ388" s="7"/>
      <c r="AK388" s="7"/>
      <c r="AL388" s="7"/>
      <c r="AM388" s="7"/>
      <c r="AN388" s="7"/>
      <c r="AO388" s="7"/>
      <c r="AP388" s="7"/>
      <c r="AQ388" s="7"/>
      <c r="AR388" s="7"/>
      <c r="AS388" s="7"/>
      <c r="AT388" s="7"/>
      <c r="AU388" s="7"/>
      <c r="AV388" s="7"/>
      <c r="AW388" s="7"/>
      <c r="AY388" s="7"/>
      <c r="AZ388" s="7"/>
      <c r="BA388" s="7"/>
      <c r="BB388" s="7"/>
    </row>
    <row r="389" spans="2:54" x14ac:dyDescent="0.2">
      <c r="B389" s="174"/>
      <c r="C389" s="176"/>
      <c r="F389" s="5">
        <v>0</v>
      </c>
      <c r="G389" s="192">
        <v>0</v>
      </c>
      <c r="H389" s="192">
        <v>0</v>
      </c>
      <c r="I389" s="5">
        <v>0</v>
      </c>
      <c r="J389" s="192">
        <v>0</v>
      </c>
      <c r="K389" s="192">
        <v>0</v>
      </c>
      <c r="L389" s="5">
        <v>0</v>
      </c>
      <c r="M389" s="5">
        <v>0</v>
      </c>
      <c r="N389" s="4" t="e">
        <f t="shared" si="36"/>
        <v>#N/A</v>
      </c>
      <c r="O389" s="4" t="e">
        <f>IF(ROUND(10.499-(((N389-VLOOKUP($C389,Lookups!$A$55:$D$64,3))/(VLOOKUP($C389,Lookups!$A$55:$D$64,4))*VLOOKUP($C389,Lookups!$C$2:$D$11,2))),0)&lt;1,1,IF(ROUND(10.499-(((N389-VLOOKUP($C389,Lookups!$A$55:$D$64,3))/(VLOOKUP($C389,Lookups!$A$55:$D$64,4))*VLOOKUP($C389,Lookups!$C$2:$D$11,2))),0)&lt;11,ROUND(10.499-(((N389-VLOOKUP($C389,Lookups!$A$55:$D$64,3))/(VLOOKUP($C389,Lookups!$A$55:$D$64,4))*VLOOKUP($C389,Lookups!$C$2:$D$11,2))),0),10))</f>
        <v>#N/A</v>
      </c>
      <c r="P389" s="13" t="str">
        <f>IF((SUM(F389:M389)=0),"J",VLOOKUP(O389,Lookups!$A$1:$B$11,2))</f>
        <v>J</v>
      </c>
      <c r="Q389" s="8" t="e">
        <f>VLOOKUP(C389,Lookups!$A$136:$C$144,3)</f>
        <v>#N/A</v>
      </c>
      <c r="R389" s="8" t="e">
        <f>VLOOKUP(C389,Lookups!$A$136:$C$144,2)</f>
        <v>#N/A</v>
      </c>
      <c r="S389" s="4" t="str">
        <f t="shared" si="32"/>
        <v>No</v>
      </c>
      <c r="T389" s="125">
        <f t="shared" si="33"/>
        <v>0</v>
      </c>
      <c r="U389" s="125">
        <f t="shared" si="34"/>
        <v>0</v>
      </c>
      <c r="V389" s="4" t="e">
        <f>IF($Q389&lt;&gt;3,VLOOKUP(F389,'Points Table A'!B$3:$F$33,5),VLOOKUP(F389,'Points Table A'!H$3:$L$33,5))</f>
        <v>#N/A</v>
      </c>
      <c r="W389" s="4" t="e">
        <f>IF($Q389&lt;&gt;3,VLOOKUP(G389,'Points Table A'!C$3:$F$33,4),VLOOKUP(G389,'Points Table A'!I$3:$L$33,4))</f>
        <v>#N/A</v>
      </c>
      <c r="X389" s="4" t="e">
        <f>IF($Q389&lt;&gt;3,VLOOKUP(H389,'Points Table A'!D$3:$F$28,3),VLOOKUP(H389,'Points Table A'!J$3:$L$33,3))</f>
        <v>#N/A</v>
      </c>
      <c r="Y389" s="4" t="e">
        <f>IF($Q389&lt;&gt;3,VLOOKUP(I389,'Points Table A'!E$3:$F$33,2),VLOOKUP(I389,'Points Table A'!K$3:$L$33,2))</f>
        <v>#N/A</v>
      </c>
      <c r="Z389" s="4" t="e">
        <f t="shared" si="35"/>
        <v>#N/A</v>
      </c>
      <c r="AA389" s="4">
        <f>IF($S389=Lookups!$B$113,VLOOKUP(L389,'Points Table C'!A$3:$E$11,5),VLOOKUP(U389,'Points Table C'!B$3:$E$11,4))</f>
        <v>0</v>
      </c>
      <c r="AB389" s="4" t="e">
        <f>IF($Q389=1,0,VLOOKUP($J389,'Points Table C'!$C$3:$E$18,3))</f>
        <v>#N/A</v>
      </c>
      <c r="AC389" s="4">
        <f>VLOOKUP($K389,'Points Table C'!$D$3:$E$18,2)</f>
        <v>0</v>
      </c>
      <c r="AD389" s="4" t="e">
        <f>IF($Z389&lt;Lookups!$C$106,($AA389+AB389+AC389),IF($AA389&gt;=Lookups!$C$120,($AA389+AB389+AC389),$AA389+$AB389))</f>
        <v>#N/A</v>
      </c>
      <c r="AF389" s="7"/>
      <c r="AG389" s="7"/>
      <c r="AH389" s="7"/>
      <c r="AI389" s="7"/>
      <c r="AJ389" s="7"/>
      <c r="AK389" s="7"/>
      <c r="AL389" s="7"/>
      <c r="AM389" s="7"/>
      <c r="AN389" s="7"/>
      <c r="AO389" s="7"/>
      <c r="AP389" s="7"/>
      <c r="AQ389" s="7"/>
      <c r="AR389" s="7"/>
      <c r="AS389" s="7"/>
      <c r="AT389" s="7"/>
      <c r="AU389" s="7"/>
      <c r="AV389" s="7"/>
      <c r="AW389" s="7"/>
      <c r="AY389" s="7"/>
      <c r="AZ389" s="7"/>
      <c r="BA389" s="7"/>
      <c r="BB389" s="7"/>
    </row>
    <row r="390" spans="2:54" x14ac:dyDescent="0.2">
      <c r="B390" s="174"/>
      <c r="C390" s="176"/>
      <c r="F390" s="5">
        <v>0</v>
      </c>
      <c r="G390" s="192">
        <v>0</v>
      </c>
      <c r="H390" s="192">
        <v>0</v>
      </c>
      <c r="I390" s="5">
        <v>0</v>
      </c>
      <c r="J390" s="192">
        <v>0</v>
      </c>
      <c r="K390" s="192">
        <v>0</v>
      </c>
      <c r="L390" s="5">
        <v>0</v>
      </c>
      <c r="M390" s="5">
        <v>0</v>
      </c>
      <c r="N390" s="4" t="e">
        <f t="shared" si="36"/>
        <v>#N/A</v>
      </c>
      <c r="O390" s="4" t="e">
        <f>IF(ROUND(10.499-(((N390-VLOOKUP($C390,Lookups!$A$55:$D$64,3))/(VLOOKUP($C390,Lookups!$A$55:$D$64,4))*VLOOKUP($C390,Lookups!$C$2:$D$11,2))),0)&lt;1,1,IF(ROUND(10.499-(((N390-VLOOKUP($C390,Lookups!$A$55:$D$64,3))/(VLOOKUP($C390,Lookups!$A$55:$D$64,4))*VLOOKUP($C390,Lookups!$C$2:$D$11,2))),0)&lt;11,ROUND(10.499-(((N390-VLOOKUP($C390,Lookups!$A$55:$D$64,3))/(VLOOKUP($C390,Lookups!$A$55:$D$64,4))*VLOOKUP($C390,Lookups!$C$2:$D$11,2))),0),10))</f>
        <v>#N/A</v>
      </c>
      <c r="P390" s="13" t="str">
        <f>IF((SUM(F390:M390)=0),"J",VLOOKUP(O390,Lookups!$A$1:$B$11,2))</f>
        <v>J</v>
      </c>
      <c r="Q390" s="8" t="e">
        <f>VLOOKUP(C390,Lookups!$A$136:$C$144,3)</f>
        <v>#N/A</v>
      </c>
      <c r="R390" s="8" t="e">
        <f>VLOOKUP(C390,Lookups!$A$136:$C$144,2)</f>
        <v>#N/A</v>
      </c>
      <c r="S390" s="4" t="str">
        <f t="shared" si="32"/>
        <v>No</v>
      </c>
      <c r="T390" s="125">
        <f t="shared" si="33"/>
        <v>0</v>
      </c>
      <c r="U390" s="125">
        <f t="shared" si="34"/>
        <v>0</v>
      </c>
      <c r="V390" s="4" t="e">
        <f>IF($Q390&lt;&gt;3,VLOOKUP(F390,'Points Table A'!B$3:$F$33,5),VLOOKUP(F390,'Points Table A'!H$3:$L$33,5))</f>
        <v>#N/A</v>
      </c>
      <c r="W390" s="4" t="e">
        <f>IF($Q390&lt;&gt;3,VLOOKUP(G390,'Points Table A'!C$3:$F$33,4),VLOOKUP(G390,'Points Table A'!I$3:$L$33,4))</f>
        <v>#N/A</v>
      </c>
      <c r="X390" s="4" t="e">
        <f>IF($Q390&lt;&gt;3,VLOOKUP(H390,'Points Table A'!D$3:$F$28,3),VLOOKUP(H390,'Points Table A'!J$3:$L$33,3))</f>
        <v>#N/A</v>
      </c>
      <c r="Y390" s="4" t="e">
        <f>IF($Q390&lt;&gt;3,VLOOKUP(I390,'Points Table A'!E$3:$F$33,2),VLOOKUP(I390,'Points Table A'!K$3:$L$33,2))</f>
        <v>#N/A</v>
      </c>
      <c r="Z390" s="4" t="e">
        <f t="shared" si="35"/>
        <v>#N/A</v>
      </c>
      <c r="AA390" s="4">
        <f>IF($S390=Lookups!$B$113,VLOOKUP(L390,'Points Table C'!A$3:$E$11,5),VLOOKUP(U390,'Points Table C'!B$3:$E$11,4))</f>
        <v>0</v>
      </c>
      <c r="AB390" s="4" t="e">
        <f>IF($Q390=1,0,VLOOKUP($J390,'Points Table C'!$C$3:$E$18,3))</f>
        <v>#N/A</v>
      </c>
      <c r="AC390" s="4">
        <f>VLOOKUP($K390,'Points Table C'!$D$3:$E$18,2)</f>
        <v>0</v>
      </c>
      <c r="AD390" s="4" t="e">
        <f>IF($Z390&lt;Lookups!$C$106,($AA390+AB390+AC390),IF($AA390&gt;=Lookups!$C$120,($AA390+AB390+AC390),$AA390+$AB390))</f>
        <v>#N/A</v>
      </c>
      <c r="AF390" s="7"/>
      <c r="AG390" s="7"/>
      <c r="AH390" s="7"/>
      <c r="AI390" s="7"/>
      <c r="AJ390" s="7"/>
      <c r="AK390" s="7"/>
      <c r="AL390" s="7"/>
      <c r="AM390" s="7"/>
      <c r="AN390" s="7"/>
      <c r="AO390" s="7"/>
      <c r="AP390" s="7"/>
      <c r="AQ390" s="7"/>
      <c r="AR390" s="7"/>
      <c r="AS390" s="7"/>
      <c r="AT390" s="7"/>
      <c r="AU390" s="7"/>
      <c r="AV390" s="7"/>
      <c r="AW390" s="7"/>
      <c r="AY390" s="7"/>
      <c r="AZ390" s="7"/>
      <c r="BA390" s="7"/>
      <c r="BB390" s="7"/>
    </row>
    <row r="391" spans="2:54" x14ac:dyDescent="0.2">
      <c r="B391" s="174"/>
      <c r="C391" s="176"/>
      <c r="F391" s="5">
        <v>0</v>
      </c>
      <c r="G391" s="192">
        <v>0</v>
      </c>
      <c r="H391" s="192">
        <v>0</v>
      </c>
      <c r="I391" s="5">
        <v>0</v>
      </c>
      <c r="J391" s="192">
        <v>0</v>
      </c>
      <c r="K391" s="192">
        <v>0</v>
      </c>
      <c r="L391" s="5">
        <v>0</v>
      </c>
      <c r="M391" s="5">
        <v>0</v>
      </c>
      <c r="N391" s="4" t="e">
        <f t="shared" si="36"/>
        <v>#N/A</v>
      </c>
      <c r="O391" s="4" t="e">
        <f>IF(ROUND(10.499-(((N391-VLOOKUP($C391,Lookups!$A$55:$D$64,3))/(VLOOKUP($C391,Lookups!$A$55:$D$64,4))*VLOOKUP($C391,Lookups!$C$2:$D$11,2))),0)&lt;1,1,IF(ROUND(10.499-(((N391-VLOOKUP($C391,Lookups!$A$55:$D$64,3))/(VLOOKUP($C391,Lookups!$A$55:$D$64,4))*VLOOKUP($C391,Lookups!$C$2:$D$11,2))),0)&lt;11,ROUND(10.499-(((N391-VLOOKUP($C391,Lookups!$A$55:$D$64,3))/(VLOOKUP($C391,Lookups!$A$55:$D$64,4))*VLOOKUP($C391,Lookups!$C$2:$D$11,2))),0),10))</f>
        <v>#N/A</v>
      </c>
      <c r="P391" s="13" t="str">
        <f>IF((SUM(F391:M391)=0),"J",VLOOKUP(O391,Lookups!$A$1:$B$11,2))</f>
        <v>J</v>
      </c>
      <c r="Q391" s="8" t="e">
        <f>VLOOKUP(C391,Lookups!$A$136:$C$144,3)</f>
        <v>#N/A</v>
      </c>
      <c r="R391" s="8" t="e">
        <f>VLOOKUP(C391,Lookups!$A$136:$C$144,2)</f>
        <v>#N/A</v>
      </c>
      <c r="S391" s="4" t="str">
        <f t="shared" si="32"/>
        <v>No</v>
      </c>
      <c r="T391" s="125">
        <f t="shared" si="33"/>
        <v>0</v>
      </c>
      <c r="U391" s="125">
        <f t="shared" si="34"/>
        <v>0</v>
      </c>
      <c r="V391" s="4" t="e">
        <f>IF($Q391&lt;&gt;3,VLOOKUP(F391,'Points Table A'!B$3:$F$33,5),VLOOKUP(F391,'Points Table A'!H$3:$L$33,5))</f>
        <v>#N/A</v>
      </c>
      <c r="W391" s="4" t="e">
        <f>IF($Q391&lt;&gt;3,VLOOKUP(G391,'Points Table A'!C$3:$F$33,4),VLOOKUP(G391,'Points Table A'!I$3:$L$33,4))</f>
        <v>#N/A</v>
      </c>
      <c r="X391" s="4" t="e">
        <f>IF($Q391&lt;&gt;3,VLOOKUP(H391,'Points Table A'!D$3:$F$28,3),VLOOKUP(H391,'Points Table A'!J$3:$L$33,3))</f>
        <v>#N/A</v>
      </c>
      <c r="Y391" s="4" t="e">
        <f>IF($Q391&lt;&gt;3,VLOOKUP(I391,'Points Table A'!E$3:$F$33,2),VLOOKUP(I391,'Points Table A'!K$3:$L$33,2))</f>
        <v>#N/A</v>
      </c>
      <c r="Z391" s="4" t="e">
        <f t="shared" si="35"/>
        <v>#N/A</v>
      </c>
      <c r="AA391" s="4">
        <f>IF($S391=Lookups!$B$113,VLOOKUP(L391,'Points Table C'!A$3:$E$11,5),VLOOKUP(U391,'Points Table C'!B$3:$E$11,4))</f>
        <v>0</v>
      </c>
      <c r="AB391" s="4" t="e">
        <f>IF($Q391=1,0,VLOOKUP($J391,'Points Table C'!$C$3:$E$18,3))</f>
        <v>#N/A</v>
      </c>
      <c r="AC391" s="4">
        <f>VLOOKUP($K391,'Points Table C'!$D$3:$E$18,2)</f>
        <v>0</v>
      </c>
      <c r="AD391" s="4" t="e">
        <f>IF($Z391&lt;Lookups!$C$106,($AA391+AB391+AC391),IF($AA391&gt;=Lookups!$C$120,($AA391+AB391+AC391),$AA391+$AB391))</f>
        <v>#N/A</v>
      </c>
      <c r="AF391" s="7"/>
      <c r="AG391" s="7"/>
      <c r="AH391" s="7"/>
      <c r="AI391" s="7"/>
      <c r="AJ391" s="7"/>
      <c r="AK391" s="7"/>
      <c r="AL391" s="7"/>
      <c r="AM391" s="7"/>
      <c r="AN391" s="7"/>
      <c r="AO391" s="7"/>
      <c r="AP391" s="7"/>
      <c r="AQ391" s="7"/>
      <c r="AR391" s="7"/>
      <c r="AS391" s="7"/>
      <c r="AT391" s="7"/>
      <c r="AU391" s="7"/>
      <c r="AV391" s="7"/>
      <c r="AW391" s="7"/>
      <c r="AY391" s="7"/>
      <c r="AZ391" s="7"/>
      <c r="BA391" s="7"/>
      <c r="BB391" s="7"/>
    </row>
    <row r="392" spans="2:54" x14ac:dyDescent="0.2">
      <c r="B392" s="174"/>
      <c r="C392" s="176"/>
      <c r="F392" s="5">
        <v>0</v>
      </c>
      <c r="G392" s="192">
        <v>0</v>
      </c>
      <c r="H392" s="192">
        <v>0</v>
      </c>
      <c r="I392" s="5">
        <v>0</v>
      </c>
      <c r="J392" s="192">
        <v>0</v>
      </c>
      <c r="K392" s="192">
        <v>0</v>
      </c>
      <c r="L392" s="5">
        <v>0</v>
      </c>
      <c r="M392" s="5">
        <v>0</v>
      </c>
      <c r="N392" s="4" t="e">
        <f t="shared" si="36"/>
        <v>#N/A</v>
      </c>
      <c r="O392" s="4" t="e">
        <f>IF(ROUND(10.499-(((N392-VLOOKUP($C392,Lookups!$A$55:$D$64,3))/(VLOOKUP($C392,Lookups!$A$55:$D$64,4))*VLOOKUP($C392,Lookups!$C$2:$D$11,2))),0)&lt;1,1,IF(ROUND(10.499-(((N392-VLOOKUP($C392,Lookups!$A$55:$D$64,3))/(VLOOKUP($C392,Lookups!$A$55:$D$64,4))*VLOOKUP($C392,Lookups!$C$2:$D$11,2))),0)&lt;11,ROUND(10.499-(((N392-VLOOKUP($C392,Lookups!$A$55:$D$64,3))/(VLOOKUP($C392,Lookups!$A$55:$D$64,4))*VLOOKUP($C392,Lookups!$C$2:$D$11,2))),0),10))</f>
        <v>#N/A</v>
      </c>
      <c r="P392" s="13" t="str">
        <f>IF((SUM(F392:M392)=0),"J",VLOOKUP(O392,Lookups!$A$1:$B$11,2))</f>
        <v>J</v>
      </c>
      <c r="Q392" s="8" t="e">
        <f>VLOOKUP(C392,Lookups!$A$136:$C$144,3)</f>
        <v>#N/A</v>
      </c>
      <c r="R392" s="8" t="e">
        <f>VLOOKUP(C392,Lookups!$A$136:$C$144,2)</f>
        <v>#N/A</v>
      </c>
      <c r="S392" s="4" t="str">
        <f t="shared" si="32"/>
        <v>No</v>
      </c>
      <c r="T392" s="125">
        <f t="shared" si="33"/>
        <v>0</v>
      </c>
      <c r="U392" s="125">
        <f t="shared" si="34"/>
        <v>0</v>
      </c>
      <c r="V392" s="4" t="e">
        <f>IF($Q392&lt;&gt;3,VLOOKUP(F392,'Points Table A'!B$3:$F$33,5),VLOOKUP(F392,'Points Table A'!H$3:$L$33,5))</f>
        <v>#N/A</v>
      </c>
      <c r="W392" s="4" t="e">
        <f>IF($Q392&lt;&gt;3,VLOOKUP(G392,'Points Table A'!C$3:$F$33,4),VLOOKUP(G392,'Points Table A'!I$3:$L$33,4))</f>
        <v>#N/A</v>
      </c>
      <c r="X392" s="4" t="e">
        <f>IF($Q392&lt;&gt;3,VLOOKUP(H392,'Points Table A'!D$3:$F$28,3),VLOOKUP(H392,'Points Table A'!J$3:$L$33,3))</f>
        <v>#N/A</v>
      </c>
      <c r="Y392" s="4" t="e">
        <f>IF($Q392&lt;&gt;3,VLOOKUP(I392,'Points Table A'!E$3:$F$33,2),VLOOKUP(I392,'Points Table A'!K$3:$L$33,2))</f>
        <v>#N/A</v>
      </c>
      <c r="Z392" s="4" t="e">
        <f t="shared" si="35"/>
        <v>#N/A</v>
      </c>
      <c r="AA392" s="4">
        <f>IF($S392=Lookups!$B$113,VLOOKUP(L392,'Points Table C'!A$3:$E$11,5),VLOOKUP(U392,'Points Table C'!B$3:$E$11,4))</f>
        <v>0</v>
      </c>
      <c r="AB392" s="4" t="e">
        <f>IF($Q392=1,0,VLOOKUP($J392,'Points Table C'!$C$3:$E$18,3))</f>
        <v>#N/A</v>
      </c>
      <c r="AC392" s="4">
        <f>VLOOKUP($K392,'Points Table C'!$D$3:$E$18,2)</f>
        <v>0</v>
      </c>
      <c r="AD392" s="4" t="e">
        <f>IF($Z392&lt;Lookups!$C$106,($AA392+AB392+AC392),IF($AA392&gt;=Lookups!$C$120,($AA392+AB392+AC392),$AA392+$AB392))</f>
        <v>#N/A</v>
      </c>
      <c r="AF392" s="7"/>
      <c r="AG392" s="7"/>
      <c r="AH392" s="7"/>
      <c r="AI392" s="7"/>
      <c r="AJ392" s="7"/>
      <c r="AK392" s="7"/>
      <c r="AL392" s="7"/>
      <c r="AM392" s="7"/>
      <c r="AN392" s="7"/>
      <c r="AO392" s="7"/>
      <c r="AP392" s="7"/>
      <c r="AQ392" s="7"/>
      <c r="AR392" s="7"/>
      <c r="AS392" s="7"/>
      <c r="AT392" s="7"/>
      <c r="AU392" s="7"/>
      <c r="AV392" s="7"/>
      <c r="AW392" s="7"/>
      <c r="AY392" s="7"/>
      <c r="AZ392" s="7"/>
      <c r="BA392" s="7"/>
      <c r="BB392" s="7"/>
    </row>
    <row r="393" spans="2:54" x14ac:dyDescent="0.2">
      <c r="B393" s="174"/>
      <c r="C393" s="176"/>
      <c r="F393" s="5">
        <v>0</v>
      </c>
      <c r="G393" s="192">
        <v>0</v>
      </c>
      <c r="H393" s="192">
        <v>0</v>
      </c>
      <c r="I393" s="5">
        <v>0</v>
      </c>
      <c r="J393" s="192">
        <v>0</v>
      </c>
      <c r="K393" s="192">
        <v>0</v>
      </c>
      <c r="L393" s="5">
        <v>0</v>
      </c>
      <c r="M393" s="5">
        <v>0</v>
      </c>
      <c r="N393" s="4" t="e">
        <f t="shared" si="36"/>
        <v>#N/A</v>
      </c>
      <c r="O393" s="4" t="e">
        <f>IF(ROUND(10.499-(((N393-VLOOKUP($C393,Lookups!$A$55:$D$64,3))/(VLOOKUP($C393,Lookups!$A$55:$D$64,4))*VLOOKUP($C393,Lookups!$C$2:$D$11,2))),0)&lt;1,1,IF(ROUND(10.499-(((N393-VLOOKUP($C393,Lookups!$A$55:$D$64,3))/(VLOOKUP($C393,Lookups!$A$55:$D$64,4))*VLOOKUP($C393,Lookups!$C$2:$D$11,2))),0)&lt;11,ROUND(10.499-(((N393-VLOOKUP($C393,Lookups!$A$55:$D$64,3))/(VLOOKUP($C393,Lookups!$A$55:$D$64,4))*VLOOKUP($C393,Lookups!$C$2:$D$11,2))),0),10))</f>
        <v>#N/A</v>
      </c>
      <c r="P393" s="13" t="str">
        <f>IF((SUM(F393:M393)=0),"J",VLOOKUP(O393,Lookups!$A$1:$B$11,2))</f>
        <v>J</v>
      </c>
      <c r="Q393" s="8" t="e">
        <f>VLOOKUP(C393,Lookups!$A$136:$C$144,3)</f>
        <v>#N/A</v>
      </c>
      <c r="R393" s="8" t="e">
        <f>VLOOKUP(C393,Lookups!$A$136:$C$144,2)</f>
        <v>#N/A</v>
      </c>
      <c r="S393" s="4" t="str">
        <f t="shared" si="32"/>
        <v>No</v>
      </c>
      <c r="T393" s="125">
        <f t="shared" si="33"/>
        <v>0</v>
      </c>
      <c r="U393" s="125">
        <f t="shared" si="34"/>
        <v>0</v>
      </c>
      <c r="V393" s="4" t="e">
        <f>IF($Q393&lt;&gt;3,VLOOKUP(F393,'Points Table A'!B$3:$F$33,5),VLOOKUP(F393,'Points Table A'!H$3:$L$33,5))</f>
        <v>#N/A</v>
      </c>
      <c r="W393" s="4" t="e">
        <f>IF($Q393&lt;&gt;3,VLOOKUP(G393,'Points Table A'!C$3:$F$33,4),VLOOKUP(G393,'Points Table A'!I$3:$L$33,4))</f>
        <v>#N/A</v>
      </c>
      <c r="X393" s="4" t="e">
        <f>IF($Q393&lt;&gt;3,VLOOKUP(H393,'Points Table A'!D$3:$F$28,3),VLOOKUP(H393,'Points Table A'!J$3:$L$33,3))</f>
        <v>#N/A</v>
      </c>
      <c r="Y393" s="4" t="e">
        <f>IF($Q393&lt;&gt;3,VLOOKUP(I393,'Points Table A'!E$3:$F$33,2),VLOOKUP(I393,'Points Table A'!K$3:$L$33,2))</f>
        <v>#N/A</v>
      </c>
      <c r="Z393" s="4" t="e">
        <f t="shared" si="35"/>
        <v>#N/A</v>
      </c>
      <c r="AA393" s="4">
        <f>IF($S393=Lookups!$B$113,VLOOKUP(L393,'Points Table C'!A$3:$E$11,5),VLOOKUP(U393,'Points Table C'!B$3:$E$11,4))</f>
        <v>0</v>
      </c>
      <c r="AB393" s="4" t="e">
        <f>IF($Q393=1,0,VLOOKUP($J393,'Points Table C'!$C$3:$E$18,3))</f>
        <v>#N/A</v>
      </c>
      <c r="AC393" s="4">
        <f>VLOOKUP($K393,'Points Table C'!$D$3:$E$18,2)</f>
        <v>0</v>
      </c>
      <c r="AD393" s="4" t="e">
        <f>IF($Z393&lt;Lookups!$C$106,($AA393+AB393+AC393),IF($AA393&gt;=Lookups!$C$120,($AA393+AB393+AC393),$AA393+$AB393))</f>
        <v>#N/A</v>
      </c>
      <c r="AF393" s="7"/>
      <c r="AG393" s="7"/>
      <c r="AH393" s="7"/>
      <c r="AI393" s="7"/>
      <c r="AJ393" s="7"/>
      <c r="AK393" s="7"/>
      <c r="AL393" s="7"/>
      <c r="AM393" s="7"/>
      <c r="AN393" s="7"/>
      <c r="AO393" s="7"/>
      <c r="AP393" s="7"/>
      <c r="AQ393" s="7"/>
      <c r="AR393" s="7"/>
      <c r="AS393" s="7"/>
      <c r="AT393" s="7"/>
      <c r="AU393" s="7"/>
      <c r="AV393" s="7"/>
      <c r="AW393" s="7"/>
      <c r="AY393" s="7"/>
      <c r="AZ393" s="7"/>
      <c r="BA393" s="7"/>
      <c r="BB393" s="7"/>
    </row>
    <row r="394" spans="2:54" x14ac:dyDescent="0.2">
      <c r="B394" s="174"/>
      <c r="C394" s="176"/>
      <c r="F394" s="5">
        <v>0</v>
      </c>
      <c r="G394" s="192">
        <v>0</v>
      </c>
      <c r="H394" s="192">
        <v>0</v>
      </c>
      <c r="I394" s="5">
        <v>0</v>
      </c>
      <c r="J394" s="192">
        <v>0</v>
      </c>
      <c r="K394" s="192">
        <v>0</v>
      </c>
      <c r="L394" s="5">
        <v>0</v>
      </c>
      <c r="M394" s="5">
        <v>0</v>
      </c>
      <c r="N394" s="4" t="e">
        <f t="shared" si="36"/>
        <v>#N/A</v>
      </c>
      <c r="O394" s="4" t="e">
        <f>IF(ROUND(10.499-(((N394-VLOOKUP($C394,Lookups!$A$55:$D$64,3))/(VLOOKUP($C394,Lookups!$A$55:$D$64,4))*VLOOKUP($C394,Lookups!$C$2:$D$11,2))),0)&lt;1,1,IF(ROUND(10.499-(((N394-VLOOKUP($C394,Lookups!$A$55:$D$64,3))/(VLOOKUP($C394,Lookups!$A$55:$D$64,4))*VLOOKUP($C394,Lookups!$C$2:$D$11,2))),0)&lt;11,ROUND(10.499-(((N394-VLOOKUP($C394,Lookups!$A$55:$D$64,3))/(VLOOKUP($C394,Lookups!$A$55:$D$64,4))*VLOOKUP($C394,Lookups!$C$2:$D$11,2))),0),10))</f>
        <v>#N/A</v>
      </c>
      <c r="P394" s="13" t="str">
        <f>IF((SUM(F394:M394)=0),"J",VLOOKUP(O394,Lookups!$A$1:$B$11,2))</f>
        <v>J</v>
      </c>
      <c r="Q394" s="8" t="e">
        <f>VLOOKUP(C394,Lookups!$A$136:$C$144,3)</f>
        <v>#N/A</v>
      </c>
      <c r="R394" s="8" t="e">
        <f>VLOOKUP(C394,Lookups!$A$136:$C$144,2)</f>
        <v>#N/A</v>
      </c>
      <c r="S394" s="4" t="str">
        <f t="shared" si="32"/>
        <v>No</v>
      </c>
      <c r="T394" s="125">
        <f t="shared" si="33"/>
        <v>0</v>
      </c>
      <c r="U394" s="125">
        <f t="shared" si="34"/>
        <v>0</v>
      </c>
      <c r="V394" s="4" t="e">
        <f>IF($Q394&lt;&gt;3,VLOOKUP(F394,'Points Table A'!B$3:$F$33,5),VLOOKUP(F394,'Points Table A'!H$3:$L$33,5))</f>
        <v>#N/A</v>
      </c>
      <c r="W394" s="4" t="e">
        <f>IF($Q394&lt;&gt;3,VLOOKUP(G394,'Points Table A'!C$3:$F$33,4),VLOOKUP(G394,'Points Table A'!I$3:$L$33,4))</f>
        <v>#N/A</v>
      </c>
      <c r="X394" s="4" t="e">
        <f>IF($Q394&lt;&gt;3,VLOOKUP(H394,'Points Table A'!D$3:$F$28,3),VLOOKUP(H394,'Points Table A'!J$3:$L$33,3))</f>
        <v>#N/A</v>
      </c>
      <c r="Y394" s="4" t="e">
        <f>IF($Q394&lt;&gt;3,VLOOKUP(I394,'Points Table A'!E$3:$F$33,2),VLOOKUP(I394,'Points Table A'!K$3:$L$33,2))</f>
        <v>#N/A</v>
      </c>
      <c r="Z394" s="4" t="e">
        <f t="shared" si="35"/>
        <v>#N/A</v>
      </c>
      <c r="AA394" s="4">
        <f>IF($S394=Lookups!$B$113,VLOOKUP(L394,'Points Table C'!A$3:$E$11,5),VLOOKUP(U394,'Points Table C'!B$3:$E$11,4))</f>
        <v>0</v>
      </c>
      <c r="AB394" s="4" t="e">
        <f>IF($Q394=1,0,VLOOKUP($J394,'Points Table C'!$C$3:$E$18,3))</f>
        <v>#N/A</v>
      </c>
      <c r="AC394" s="4">
        <f>VLOOKUP($K394,'Points Table C'!$D$3:$E$18,2)</f>
        <v>0</v>
      </c>
      <c r="AD394" s="4" t="e">
        <f>IF($Z394&lt;Lookups!$C$106,($AA394+AB394+AC394),IF($AA394&gt;=Lookups!$C$120,($AA394+AB394+AC394),$AA394+$AB394))</f>
        <v>#N/A</v>
      </c>
      <c r="AF394" s="7"/>
      <c r="AG394" s="7"/>
      <c r="AH394" s="7"/>
      <c r="AI394" s="7"/>
      <c r="AJ394" s="7"/>
      <c r="AK394" s="7"/>
      <c r="AL394" s="7"/>
      <c r="AM394" s="7"/>
      <c r="AN394" s="7"/>
      <c r="AO394" s="7"/>
      <c r="AP394" s="7"/>
      <c r="AQ394" s="7"/>
      <c r="AR394" s="7"/>
      <c r="AS394" s="7"/>
      <c r="AT394" s="7"/>
      <c r="AU394" s="7"/>
      <c r="AV394" s="7"/>
      <c r="AW394" s="7"/>
      <c r="AY394" s="7"/>
      <c r="AZ394" s="7"/>
      <c r="BA394" s="7"/>
      <c r="BB394" s="7"/>
    </row>
    <row r="395" spans="2:54" x14ac:dyDescent="0.2">
      <c r="B395" s="174"/>
      <c r="C395" s="176"/>
      <c r="F395" s="5">
        <v>0</v>
      </c>
      <c r="G395" s="192">
        <v>0</v>
      </c>
      <c r="H395" s="192">
        <v>0</v>
      </c>
      <c r="I395" s="5">
        <v>0</v>
      </c>
      <c r="J395" s="192">
        <v>0</v>
      </c>
      <c r="K395" s="192">
        <v>0</v>
      </c>
      <c r="L395" s="5">
        <v>0</v>
      </c>
      <c r="M395" s="5">
        <v>0</v>
      </c>
      <c r="N395" s="4" t="e">
        <f t="shared" si="36"/>
        <v>#N/A</v>
      </c>
      <c r="O395" s="4" t="e">
        <f>IF(ROUND(10.499-(((N395-VLOOKUP($C395,Lookups!$A$55:$D$64,3))/(VLOOKUP($C395,Lookups!$A$55:$D$64,4))*VLOOKUP($C395,Lookups!$C$2:$D$11,2))),0)&lt;1,1,IF(ROUND(10.499-(((N395-VLOOKUP($C395,Lookups!$A$55:$D$64,3))/(VLOOKUP($C395,Lookups!$A$55:$D$64,4))*VLOOKUP($C395,Lookups!$C$2:$D$11,2))),0)&lt;11,ROUND(10.499-(((N395-VLOOKUP($C395,Lookups!$A$55:$D$64,3))/(VLOOKUP($C395,Lookups!$A$55:$D$64,4))*VLOOKUP($C395,Lookups!$C$2:$D$11,2))),0),10))</f>
        <v>#N/A</v>
      </c>
      <c r="P395" s="13" t="str">
        <f>IF((SUM(F395:M395)=0),"J",VLOOKUP(O395,Lookups!$A$1:$B$11,2))</f>
        <v>J</v>
      </c>
      <c r="Q395" s="8" t="e">
        <f>VLOOKUP(C395,Lookups!$A$136:$C$144,3)</f>
        <v>#N/A</v>
      </c>
      <c r="R395" s="8" t="e">
        <f>VLOOKUP(C395,Lookups!$A$136:$C$144,2)</f>
        <v>#N/A</v>
      </c>
      <c r="S395" s="4" t="str">
        <f t="shared" si="32"/>
        <v>No</v>
      </c>
      <c r="T395" s="125">
        <f t="shared" si="33"/>
        <v>0</v>
      </c>
      <c r="U395" s="125">
        <f t="shared" si="34"/>
        <v>0</v>
      </c>
      <c r="V395" s="4" t="e">
        <f>IF($Q395&lt;&gt;3,VLOOKUP(F395,'Points Table A'!B$3:$F$33,5),VLOOKUP(F395,'Points Table A'!H$3:$L$33,5))</f>
        <v>#N/A</v>
      </c>
      <c r="W395" s="4" t="e">
        <f>IF($Q395&lt;&gt;3,VLOOKUP(G395,'Points Table A'!C$3:$F$33,4),VLOOKUP(G395,'Points Table A'!I$3:$L$33,4))</f>
        <v>#N/A</v>
      </c>
      <c r="X395" s="4" t="e">
        <f>IF($Q395&lt;&gt;3,VLOOKUP(H395,'Points Table A'!D$3:$F$28,3),VLOOKUP(H395,'Points Table A'!J$3:$L$33,3))</f>
        <v>#N/A</v>
      </c>
      <c r="Y395" s="4" t="e">
        <f>IF($Q395&lt;&gt;3,VLOOKUP(I395,'Points Table A'!E$3:$F$33,2),VLOOKUP(I395,'Points Table A'!K$3:$L$33,2))</f>
        <v>#N/A</v>
      </c>
      <c r="Z395" s="4" t="e">
        <f t="shared" si="35"/>
        <v>#N/A</v>
      </c>
      <c r="AA395" s="4">
        <f>IF($S395=Lookups!$B$113,VLOOKUP(L395,'Points Table C'!A$3:$E$11,5),VLOOKUP(U395,'Points Table C'!B$3:$E$11,4))</f>
        <v>0</v>
      </c>
      <c r="AB395" s="4" t="e">
        <f>IF($Q395=1,0,VLOOKUP($J395,'Points Table C'!$C$3:$E$18,3))</f>
        <v>#N/A</v>
      </c>
      <c r="AC395" s="4">
        <f>VLOOKUP($K395,'Points Table C'!$D$3:$E$18,2)</f>
        <v>0</v>
      </c>
      <c r="AD395" s="4" t="e">
        <f>IF($Z395&lt;Lookups!$C$106,($AA395+AB395+AC395),IF($AA395&gt;=Lookups!$C$120,($AA395+AB395+AC395),$AA395+$AB395))</f>
        <v>#N/A</v>
      </c>
      <c r="AF395" s="7"/>
      <c r="AG395" s="7"/>
      <c r="AH395" s="7"/>
      <c r="AI395" s="7"/>
      <c r="AJ395" s="7"/>
      <c r="AK395" s="7"/>
      <c r="AL395" s="7"/>
      <c r="AM395" s="7"/>
      <c r="AN395" s="7"/>
      <c r="AO395" s="7"/>
      <c r="AP395" s="7"/>
      <c r="AQ395" s="7"/>
      <c r="AR395" s="7"/>
      <c r="AS395" s="7"/>
      <c r="AT395" s="7"/>
      <c r="AU395" s="7"/>
      <c r="AV395" s="7"/>
      <c r="AW395" s="7"/>
      <c r="AY395" s="7"/>
      <c r="AZ395" s="7"/>
      <c r="BA395" s="7"/>
      <c r="BB395" s="7"/>
    </row>
    <row r="396" spans="2:54" x14ac:dyDescent="0.2">
      <c r="B396" s="174"/>
      <c r="C396" s="176"/>
      <c r="F396" s="5">
        <v>0</v>
      </c>
      <c r="G396" s="192">
        <v>0</v>
      </c>
      <c r="H396" s="192">
        <v>0</v>
      </c>
      <c r="I396" s="5">
        <v>0</v>
      </c>
      <c r="J396" s="192">
        <v>0</v>
      </c>
      <c r="K396" s="192">
        <v>0</v>
      </c>
      <c r="L396" s="5">
        <v>0</v>
      </c>
      <c r="M396" s="5">
        <v>0</v>
      </c>
      <c r="N396" s="4" t="e">
        <f t="shared" si="36"/>
        <v>#N/A</v>
      </c>
      <c r="O396" s="4" t="e">
        <f>IF(ROUND(10.499-(((N396-VLOOKUP($C396,Lookups!$A$55:$D$64,3))/(VLOOKUP($C396,Lookups!$A$55:$D$64,4))*VLOOKUP($C396,Lookups!$C$2:$D$11,2))),0)&lt;1,1,IF(ROUND(10.499-(((N396-VLOOKUP($C396,Lookups!$A$55:$D$64,3))/(VLOOKUP($C396,Lookups!$A$55:$D$64,4))*VLOOKUP($C396,Lookups!$C$2:$D$11,2))),0)&lt;11,ROUND(10.499-(((N396-VLOOKUP($C396,Lookups!$A$55:$D$64,3))/(VLOOKUP($C396,Lookups!$A$55:$D$64,4))*VLOOKUP($C396,Lookups!$C$2:$D$11,2))),0),10))</f>
        <v>#N/A</v>
      </c>
      <c r="P396" s="13" t="str">
        <f>IF((SUM(F396:M396)=0),"J",VLOOKUP(O396,Lookups!$A$1:$B$11,2))</f>
        <v>J</v>
      </c>
      <c r="Q396" s="8" t="e">
        <f>VLOOKUP(C396,Lookups!$A$136:$C$144,3)</f>
        <v>#N/A</v>
      </c>
      <c r="R396" s="8" t="e">
        <f>VLOOKUP(C396,Lookups!$A$136:$C$144,2)</f>
        <v>#N/A</v>
      </c>
      <c r="S396" s="4" t="str">
        <f t="shared" si="32"/>
        <v>No</v>
      </c>
      <c r="T396" s="125">
        <f t="shared" si="33"/>
        <v>0</v>
      </c>
      <c r="U396" s="125">
        <f t="shared" si="34"/>
        <v>0</v>
      </c>
      <c r="V396" s="4" t="e">
        <f>IF($Q396&lt;&gt;3,VLOOKUP(F396,'Points Table A'!B$3:$F$33,5),VLOOKUP(F396,'Points Table A'!H$3:$L$33,5))</f>
        <v>#N/A</v>
      </c>
      <c r="W396" s="4" t="e">
        <f>IF($Q396&lt;&gt;3,VLOOKUP(G396,'Points Table A'!C$3:$F$33,4),VLOOKUP(G396,'Points Table A'!I$3:$L$33,4))</f>
        <v>#N/A</v>
      </c>
      <c r="X396" s="4" t="e">
        <f>IF($Q396&lt;&gt;3,VLOOKUP(H396,'Points Table A'!D$3:$F$28,3),VLOOKUP(H396,'Points Table A'!J$3:$L$33,3))</f>
        <v>#N/A</v>
      </c>
      <c r="Y396" s="4" t="e">
        <f>IF($Q396&lt;&gt;3,VLOOKUP(I396,'Points Table A'!E$3:$F$33,2),VLOOKUP(I396,'Points Table A'!K$3:$L$33,2))</f>
        <v>#N/A</v>
      </c>
      <c r="Z396" s="4" t="e">
        <f t="shared" si="35"/>
        <v>#N/A</v>
      </c>
      <c r="AA396" s="4">
        <f>IF($S396=Lookups!$B$113,VLOOKUP(L396,'Points Table C'!A$3:$E$11,5),VLOOKUP(U396,'Points Table C'!B$3:$E$11,4))</f>
        <v>0</v>
      </c>
      <c r="AB396" s="4" t="e">
        <f>IF($Q396=1,0,VLOOKUP($J396,'Points Table C'!$C$3:$E$18,3))</f>
        <v>#N/A</v>
      </c>
      <c r="AC396" s="4">
        <f>VLOOKUP($K396,'Points Table C'!$D$3:$E$18,2)</f>
        <v>0</v>
      </c>
      <c r="AD396" s="4" t="e">
        <f>IF($Z396&lt;Lookups!$C$106,($AA396+AB396+AC396),IF($AA396&gt;=Lookups!$C$120,($AA396+AB396+AC396),$AA396+$AB396))</f>
        <v>#N/A</v>
      </c>
      <c r="AF396" s="7"/>
      <c r="AG396" s="7"/>
      <c r="AH396" s="7"/>
      <c r="AI396" s="7"/>
      <c r="AJ396" s="7"/>
      <c r="AK396" s="7"/>
      <c r="AL396" s="7"/>
      <c r="AM396" s="7"/>
      <c r="AN396" s="7"/>
      <c r="AO396" s="7"/>
      <c r="AP396" s="7"/>
      <c r="AQ396" s="7"/>
      <c r="AR396" s="7"/>
      <c r="AS396" s="7"/>
      <c r="AT396" s="7"/>
      <c r="AU396" s="7"/>
      <c r="AV396" s="7"/>
      <c r="AW396" s="7"/>
      <c r="AY396" s="7"/>
      <c r="AZ396" s="7"/>
      <c r="BA396" s="7"/>
      <c r="BB396" s="7"/>
    </row>
    <row r="397" spans="2:54" x14ac:dyDescent="0.2">
      <c r="B397" s="174"/>
      <c r="C397" s="176"/>
      <c r="F397" s="5">
        <v>0</v>
      </c>
      <c r="G397" s="192">
        <v>0</v>
      </c>
      <c r="H397" s="192">
        <v>0</v>
      </c>
      <c r="I397" s="5">
        <v>0</v>
      </c>
      <c r="J397" s="192">
        <v>0</v>
      </c>
      <c r="K397" s="192">
        <v>0</v>
      </c>
      <c r="L397" s="5">
        <v>0</v>
      </c>
      <c r="M397" s="5">
        <v>0</v>
      </c>
      <c r="N397" s="4" t="e">
        <f t="shared" si="36"/>
        <v>#N/A</v>
      </c>
      <c r="O397" s="4" t="e">
        <f>IF(ROUND(10.499-(((N397-VLOOKUP($C397,Lookups!$A$55:$D$64,3))/(VLOOKUP($C397,Lookups!$A$55:$D$64,4))*VLOOKUP($C397,Lookups!$C$2:$D$11,2))),0)&lt;1,1,IF(ROUND(10.499-(((N397-VLOOKUP($C397,Lookups!$A$55:$D$64,3))/(VLOOKUP($C397,Lookups!$A$55:$D$64,4))*VLOOKUP($C397,Lookups!$C$2:$D$11,2))),0)&lt;11,ROUND(10.499-(((N397-VLOOKUP($C397,Lookups!$A$55:$D$64,3))/(VLOOKUP($C397,Lookups!$A$55:$D$64,4))*VLOOKUP($C397,Lookups!$C$2:$D$11,2))),0),10))</f>
        <v>#N/A</v>
      </c>
      <c r="P397" s="13" t="str">
        <f>IF((SUM(F397:M397)=0),"J",VLOOKUP(O397,Lookups!$A$1:$B$11,2))</f>
        <v>J</v>
      </c>
      <c r="Q397" s="8" t="e">
        <f>VLOOKUP(C397,Lookups!$A$136:$C$144,3)</f>
        <v>#N/A</v>
      </c>
      <c r="R397" s="8" t="e">
        <f>VLOOKUP(C397,Lookups!$A$136:$C$144,2)</f>
        <v>#N/A</v>
      </c>
      <c r="S397" s="4" t="str">
        <f t="shared" si="32"/>
        <v>No</v>
      </c>
      <c r="T397" s="125">
        <f t="shared" si="33"/>
        <v>0</v>
      </c>
      <c r="U397" s="125">
        <f t="shared" si="34"/>
        <v>0</v>
      </c>
      <c r="V397" s="4" t="e">
        <f>IF($Q397&lt;&gt;3,VLOOKUP(F397,'Points Table A'!B$3:$F$33,5),VLOOKUP(F397,'Points Table A'!H$3:$L$33,5))</f>
        <v>#N/A</v>
      </c>
      <c r="W397" s="4" t="e">
        <f>IF($Q397&lt;&gt;3,VLOOKUP(G397,'Points Table A'!C$3:$F$33,4),VLOOKUP(G397,'Points Table A'!I$3:$L$33,4))</f>
        <v>#N/A</v>
      </c>
      <c r="X397" s="4" t="e">
        <f>IF($Q397&lt;&gt;3,VLOOKUP(H397,'Points Table A'!D$3:$F$28,3),VLOOKUP(H397,'Points Table A'!J$3:$L$33,3))</f>
        <v>#N/A</v>
      </c>
      <c r="Y397" s="4" t="e">
        <f>IF($Q397&lt;&gt;3,VLOOKUP(I397,'Points Table A'!E$3:$F$33,2),VLOOKUP(I397,'Points Table A'!K$3:$L$33,2))</f>
        <v>#N/A</v>
      </c>
      <c r="Z397" s="4" t="e">
        <f t="shared" si="35"/>
        <v>#N/A</v>
      </c>
      <c r="AA397" s="4">
        <f>IF($S397=Lookups!$B$113,VLOOKUP(L397,'Points Table C'!A$3:$E$11,5),VLOOKUP(U397,'Points Table C'!B$3:$E$11,4))</f>
        <v>0</v>
      </c>
      <c r="AB397" s="4" t="e">
        <f>IF($Q397=1,0,VLOOKUP($J397,'Points Table C'!$C$3:$E$18,3))</f>
        <v>#N/A</v>
      </c>
      <c r="AC397" s="4">
        <f>VLOOKUP($K397,'Points Table C'!$D$3:$E$18,2)</f>
        <v>0</v>
      </c>
      <c r="AD397" s="4" t="e">
        <f>IF($Z397&lt;Lookups!$C$106,($AA397+AB397+AC397),IF($AA397&gt;=Lookups!$C$120,($AA397+AB397+AC397),$AA397+$AB397))</f>
        <v>#N/A</v>
      </c>
      <c r="AF397" s="7"/>
      <c r="AG397" s="7"/>
      <c r="AH397" s="7"/>
      <c r="AI397" s="7"/>
      <c r="AJ397" s="7"/>
      <c r="AK397" s="7"/>
      <c r="AL397" s="7"/>
      <c r="AM397" s="7"/>
      <c r="AN397" s="7"/>
      <c r="AO397" s="7"/>
      <c r="AP397" s="7"/>
      <c r="AQ397" s="7"/>
      <c r="AR397" s="7"/>
      <c r="AS397" s="7"/>
      <c r="AT397" s="7"/>
      <c r="AU397" s="7"/>
      <c r="AV397" s="7"/>
      <c r="AW397" s="7"/>
      <c r="AY397" s="7"/>
      <c r="AZ397" s="7"/>
      <c r="BA397" s="7"/>
      <c r="BB397" s="7"/>
    </row>
    <row r="398" spans="2:54" x14ac:dyDescent="0.2">
      <c r="B398" s="174"/>
      <c r="C398" s="176"/>
      <c r="F398" s="5">
        <v>0</v>
      </c>
      <c r="G398" s="192">
        <v>0</v>
      </c>
      <c r="H398" s="192">
        <v>0</v>
      </c>
      <c r="I398" s="5">
        <v>0</v>
      </c>
      <c r="J398" s="192">
        <v>0</v>
      </c>
      <c r="K398" s="192">
        <v>0</v>
      </c>
      <c r="L398" s="5">
        <v>0</v>
      </c>
      <c r="M398" s="5">
        <v>0</v>
      </c>
      <c r="N398" s="4" t="e">
        <f t="shared" si="36"/>
        <v>#N/A</v>
      </c>
      <c r="O398" s="4" t="e">
        <f>IF(ROUND(10.499-(((N398-VLOOKUP($C398,Lookups!$A$55:$D$64,3))/(VLOOKUP($C398,Lookups!$A$55:$D$64,4))*VLOOKUP($C398,Lookups!$C$2:$D$11,2))),0)&lt;1,1,IF(ROUND(10.499-(((N398-VLOOKUP($C398,Lookups!$A$55:$D$64,3))/(VLOOKUP($C398,Lookups!$A$55:$D$64,4))*VLOOKUP($C398,Lookups!$C$2:$D$11,2))),0)&lt;11,ROUND(10.499-(((N398-VLOOKUP($C398,Lookups!$A$55:$D$64,3))/(VLOOKUP($C398,Lookups!$A$55:$D$64,4))*VLOOKUP($C398,Lookups!$C$2:$D$11,2))),0),10))</f>
        <v>#N/A</v>
      </c>
      <c r="P398" s="13" t="str">
        <f>IF((SUM(F398:M398)=0),"J",VLOOKUP(O398,Lookups!$A$1:$B$11,2))</f>
        <v>J</v>
      </c>
      <c r="Q398" s="8" t="e">
        <f>VLOOKUP(C398,Lookups!$A$136:$C$144,3)</f>
        <v>#N/A</v>
      </c>
      <c r="R398" s="8" t="e">
        <f>VLOOKUP(C398,Lookups!$A$136:$C$144,2)</f>
        <v>#N/A</v>
      </c>
      <c r="S398" s="4" t="str">
        <f t="shared" si="32"/>
        <v>No</v>
      </c>
      <c r="T398" s="125">
        <f t="shared" si="33"/>
        <v>0</v>
      </c>
      <c r="U398" s="125">
        <f t="shared" si="34"/>
        <v>0</v>
      </c>
      <c r="V398" s="4" t="e">
        <f>IF($Q398&lt;&gt;3,VLOOKUP(F398,'Points Table A'!B$3:$F$33,5),VLOOKUP(F398,'Points Table A'!H$3:$L$33,5))</f>
        <v>#N/A</v>
      </c>
      <c r="W398" s="4" t="e">
        <f>IF($Q398&lt;&gt;3,VLOOKUP(G398,'Points Table A'!C$3:$F$33,4),VLOOKUP(G398,'Points Table A'!I$3:$L$33,4))</f>
        <v>#N/A</v>
      </c>
      <c r="X398" s="4" t="e">
        <f>IF($Q398&lt;&gt;3,VLOOKUP(H398,'Points Table A'!D$3:$F$28,3),VLOOKUP(H398,'Points Table A'!J$3:$L$33,3))</f>
        <v>#N/A</v>
      </c>
      <c r="Y398" s="4" t="e">
        <f>IF($Q398&lt;&gt;3,VLOOKUP(I398,'Points Table A'!E$3:$F$33,2),VLOOKUP(I398,'Points Table A'!K$3:$L$33,2))</f>
        <v>#N/A</v>
      </c>
      <c r="Z398" s="4" t="e">
        <f t="shared" si="35"/>
        <v>#N/A</v>
      </c>
      <c r="AA398" s="4">
        <f>IF($S398=Lookups!$B$113,VLOOKUP(L398,'Points Table C'!A$3:$E$11,5),VLOOKUP(U398,'Points Table C'!B$3:$E$11,4))</f>
        <v>0</v>
      </c>
      <c r="AB398" s="4" t="e">
        <f>IF($Q398=1,0,VLOOKUP($J398,'Points Table C'!$C$3:$E$18,3))</f>
        <v>#N/A</v>
      </c>
      <c r="AC398" s="4">
        <f>VLOOKUP($K398,'Points Table C'!$D$3:$E$18,2)</f>
        <v>0</v>
      </c>
      <c r="AD398" s="4" t="e">
        <f>IF($Z398&lt;Lookups!$C$106,($AA398+AB398+AC398),IF($AA398&gt;=Lookups!$C$120,($AA398+AB398+AC398),$AA398+$AB398))</f>
        <v>#N/A</v>
      </c>
      <c r="AF398" s="7"/>
      <c r="AG398" s="7"/>
      <c r="AH398" s="7"/>
      <c r="AI398" s="7"/>
      <c r="AJ398" s="7"/>
      <c r="AK398" s="7"/>
      <c r="AL398" s="7"/>
      <c r="AM398" s="7"/>
      <c r="AN398" s="7"/>
      <c r="AO398" s="7"/>
      <c r="AP398" s="7"/>
      <c r="AQ398" s="7"/>
      <c r="AR398" s="7"/>
      <c r="AS398" s="7"/>
      <c r="AT398" s="7"/>
      <c r="AU398" s="7"/>
      <c r="AV398" s="7"/>
      <c r="AW398" s="7"/>
      <c r="AY398" s="7"/>
      <c r="AZ398" s="7"/>
      <c r="BA398" s="7"/>
      <c r="BB398" s="7"/>
    </row>
    <row r="399" spans="2:54" x14ac:dyDescent="0.2">
      <c r="B399" s="174"/>
      <c r="C399" s="176"/>
      <c r="F399" s="5">
        <v>0</v>
      </c>
      <c r="G399" s="192">
        <v>0</v>
      </c>
      <c r="H399" s="192">
        <v>0</v>
      </c>
      <c r="I399" s="5">
        <v>0</v>
      </c>
      <c r="J399" s="192">
        <v>0</v>
      </c>
      <c r="K399" s="192">
        <v>0</v>
      </c>
      <c r="L399" s="5">
        <v>0</v>
      </c>
      <c r="M399" s="5">
        <v>0</v>
      </c>
      <c r="N399" s="4" t="e">
        <f t="shared" si="36"/>
        <v>#N/A</v>
      </c>
      <c r="O399" s="4" t="e">
        <f>IF(ROUND(10.499-(((N399-VLOOKUP($C399,Lookups!$A$55:$D$64,3))/(VLOOKUP($C399,Lookups!$A$55:$D$64,4))*VLOOKUP($C399,Lookups!$C$2:$D$11,2))),0)&lt;1,1,IF(ROUND(10.499-(((N399-VLOOKUP($C399,Lookups!$A$55:$D$64,3))/(VLOOKUP($C399,Lookups!$A$55:$D$64,4))*VLOOKUP($C399,Lookups!$C$2:$D$11,2))),0)&lt;11,ROUND(10.499-(((N399-VLOOKUP($C399,Lookups!$A$55:$D$64,3))/(VLOOKUP($C399,Lookups!$A$55:$D$64,4))*VLOOKUP($C399,Lookups!$C$2:$D$11,2))),0),10))</f>
        <v>#N/A</v>
      </c>
      <c r="P399" s="13" t="str">
        <f>IF((SUM(F399:M399)=0),"J",VLOOKUP(O399,Lookups!$A$1:$B$11,2))</f>
        <v>J</v>
      </c>
      <c r="Q399" s="8" t="e">
        <f>VLOOKUP(C399,Lookups!$A$136:$C$144,3)</f>
        <v>#N/A</v>
      </c>
      <c r="R399" s="8" t="e">
        <f>VLOOKUP(C399,Lookups!$A$136:$C$144,2)</f>
        <v>#N/A</v>
      </c>
      <c r="S399" s="4" t="str">
        <f t="shared" ref="S399:S462" si="37">IF(AND(L399&gt;0,M399=0),"Yes","No")</f>
        <v>No</v>
      </c>
      <c r="T399" s="125">
        <f t="shared" ref="T399:T462" si="38">L399+M399</f>
        <v>0</v>
      </c>
      <c r="U399" s="125">
        <f t="shared" ref="U399:U462" si="39">ROUND(100*(M399+2*L399)/(M399+2*L399+(100-L399-M399)),2)</f>
        <v>0</v>
      </c>
      <c r="V399" s="4" t="e">
        <f>IF($Q399&lt;&gt;3,VLOOKUP(F399,'Points Table A'!B$3:$F$33,5),VLOOKUP(F399,'Points Table A'!H$3:$L$33,5))</f>
        <v>#N/A</v>
      </c>
      <c r="W399" s="4" t="e">
        <f>IF($Q399&lt;&gt;3,VLOOKUP(G399,'Points Table A'!C$3:$F$33,4),VLOOKUP(G399,'Points Table A'!I$3:$L$33,4))</f>
        <v>#N/A</v>
      </c>
      <c r="X399" s="4" t="e">
        <f>IF($Q399&lt;&gt;3,VLOOKUP(H399,'Points Table A'!D$3:$F$28,3),VLOOKUP(H399,'Points Table A'!J$3:$L$33,3))</f>
        <v>#N/A</v>
      </c>
      <c r="Y399" s="4" t="e">
        <f>IF($Q399&lt;&gt;3,VLOOKUP(I399,'Points Table A'!E$3:$F$33,2),VLOOKUP(I399,'Points Table A'!K$3:$L$33,2))</f>
        <v>#N/A</v>
      </c>
      <c r="Z399" s="4" t="e">
        <f t="shared" ref="Z399:Z462" si="40">SUM(V399:Y399)</f>
        <v>#N/A</v>
      </c>
      <c r="AA399" s="4">
        <f>IF($S399=Lookups!$B$113,VLOOKUP(L399,'Points Table C'!A$3:$E$11,5),VLOOKUP(U399,'Points Table C'!B$3:$E$11,4))</f>
        <v>0</v>
      </c>
      <c r="AB399" s="4" t="e">
        <f>IF($Q399=1,0,VLOOKUP($J399,'Points Table C'!$C$3:$E$18,3))</f>
        <v>#N/A</v>
      </c>
      <c r="AC399" s="4">
        <f>VLOOKUP($K399,'Points Table C'!$D$3:$E$18,2)</f>
        <v>0</v>
      </c>
      <c r="AD399" s="4" t="e">
        <f>IF($Z399&lt;Lookups!$C$106,($AA399+AB399+AC399),IF($AA399&gt;=Lookups!$C$120,($AA399+AB399+AC399),$AA399+$AB399))</f>
        <v>#N/A</v>
      </c>
      <c r="AF399" s="7"/>
      <c r="AG399" s="7"/>
      <c r="AH399" s="7"/>
      <c r="AI399" s="7"/>
      <c r="AJ399" s="7"/>
      <c r="AK399" s="7"/>
      <c r="AL399" s="7"/>
      <c r="AM399" s="7"/>
      <c r="AN399" s="7"/>
      <c r="AO399" s="7"/>
      <c r="AP399" s="7"/>
      <c r="AQ399" s="7"/>
      <c r="AR399" s="7"/>
      <c r="AS399" s="7"/>
      <c r="AT399" s="7"/>
      <c r="AU399" s="7"/>
      <c r="AV399" s="7"/>
      <c r="AW399" s="7"/>
      <c r="AY399" s="7"/>
      <c r="AZ399" s="7"/>
      <c r="BA399" s="7"/>
      <c r="BB399" s="7"/>
    </row>
    <row r="400" spans="2:54" x14ac:dyDescent="0.2">
      <c r="B400" s="174"/>
      <c r="C400" s="176"/>
      <c r="F400" s="5">
        <v>0</v>
      </c>
      <c r="G400" s="192">
        <v>0</v>
      </c>
      <c r="H400" s="192">
        <v>0</v>
      </c>
      <c r="I400" s="5">
        <v>0</v>
      </c>
      <c r="J400" s="192">
        <v>0</v>
      </c>
      <c r="K400" s="192">
        <v>0</v>
      </c>
      <c r="L400" s="5">
        <v>0</v>
      </c>
      <c r="M400" s="5">
        <v>0</v>
      </c>
      <c r="N400" s="4" t="e">
        <f t="shared" si="36"/>
        <v>#N/A</v>
      </c>
      <c r="O400" s="4" t="e">
        <f>IF(ROUND(10.499-(((N400-VLOOKUP($C400,Lookups!$A$55:$D$64,3))/(VLOOKUP($C400,Lookups!$A$55:$D$64,4))*VLOOKUP($C400,Lookups!$C$2:$D$11,2))),0)&lt;1,1,IF(ROUND(10.499-(((N400-VLOOKUP($C400,Lookups!$A$55:$D$64,3))/(VLOOKUP($C400,Lookups!$A$55:$D$64,4))*VLOOKUP($C400,Lookups!$C$2:$D$11,2))),0)&lt;11,ROUND(10.499-(((N400-VLOOKUP($C400,Lookups!$A$55:$D$64,3))/(VLOOKUP($C400,Lookups!$A$55:$D$64,4))*VLOOKUP($C400,Lookups!$C$2:$D$11,2))),0),10))</f>
        <v>#N/A</v>
      </c>
      <c r="P400" s="13" t="str">
        <f>IF((SUM(F400:M400)=0),"J",VLOOKUP(O400,Lookups!$A$1:$B$11,2))</f>
        <v>J</v>
      </c>
      <c r="Q400" s="8" t="e">
        <f>VLOOKUP(C400,Lookups!$A$136:$C$144,3)</f>
        <v>#N/A</v>
      </c>
      <c r="R400" s="8" t="e">
        <f>VLOOKUP(C400,Lookups!$A$136:$C$144,2)</f>
        <v>#N/A</v>
      </c>
      <c r="S400" s="4" t="str">
        <f t="shared" si="37"/>
        <v>No</v>
      </c>
      <c r="T400" s="125">
        <f t="shared" si="38"/>
        <v>0</v>
      </c>
      <c r="U400" s="125">
        <f t="shared" si="39"/>
        <v>0</v>
      </c>
      <c r="V400" s="4" t="e">
        <f>IF($Q400&lt;&gt;3,VLOOKUP(F400,'Points Table A'!B$3:$F$33,5),VLOOKUP(F400,'Points Table A'!H$3:$L$33,5))</f>
        <v>#N/A</v>
      </c>
      <c r="W400" s="4" t="e">
        <f>IF($Q400&lt;&gt;3,VLOOKUP(G400,'Points Table A'!C$3:$F$33,4),VLOOKUP(G400,'Points Table A'!I$3:$L$33,4))</f>
        <v>#N/A</v>
      </c>
      <c r="X400" s="4" t="e">
        <f>IF($Q400&lt;&gt;3,VLOOKUP(H400,'Points Table A'!D$3:$F$28,3),VLOOKUP(H400,'Points Table A'!J$3:$L$33,3))</f>
        <v>#N/A</v>
      </c>
      <c r="Y400" s="4" t="e">
        <f>IF($Q400&lt;&gt;3,VLOOKUP(I400,'Points Table A'!E$3:$F$33,2),VLOOKUP(I400,'Points Table A'!K$3:$L$33,2))</f>
        <v>#N/A</v>
      </c>
      <c r="Z400" s="4" t="e">
        <f t="shared" si="40"/>
        <v>#N/A</v>
      </c>
      <c r="AA400" s="4">
        <f>IF($S400=Lookups!$B$113,VLOOKUP(L400,'Points Table C'!A$3:$E$11,5),VLOOKUP(U400,'Points Table C'!B$3:$E$11,4))</f>
        <v>0</v>
      </c>
      <c r="AB400" s="4" t="e">
        <f>IF($Q400=1,0,VLOOKUP($J400,'Points Table C'!$C$3:$E$18,3))</f>
        <v>#N/A</v>
      </c>
      <c r="AC400" s="4">
        <f>VLOOKUP($K400,'Points Table C'!$D$3:$E$18,2)</f>
        <v>0</v>
      </c>
      <c r="AD400" s="4" t="e">
        <f>IF($Z400&lt;Lookups!$C$106,($AA400+AB400+AC400),IF($AA400&gt;=Lookups!$C$120,($AA400+AB400+AC400),$AA400+$AB400))</f>
        <v>#N/A</v>
      </c>
      <c r="AF400" s="7"/>
      <c r="AG400" s="7"/>
      <c r="AH400" s="7"/>
      <c r="AI400" s="7"/>
      <c r="AJ400" s="7"/>
      <c r="AK400" s="7"/>
      <c r="AL400" s="7"/>
      <c r="AM400" s="7"/>
      <c r="AN400" s="7"/>
      <c r="AO400" s="7"/>
      <c r="AP400" s="7"/>
      <c r="AQ400" s="7"/>
      <c r="AR400" s="7"/>
      <c r="AS400" s="7"/>
      <c r="AT400" s="7"/>
      <c r="AU400" s="7"/>
      <c r="AV400" s="7"/>
      <c r="AW400" s="7"/>
      <c r="AY400" s="7"/>
      <c r="AZ400" s="7"/>
      <c r="BA400" s="7"/>
      <c r="BB400" s="7"/>
    </row>
    <row r="401" spans="2:54" x14ac:dyDescent="0.2">
      <c r="B401" s="174"/>
      <c r="C401" s="176"/>
      <c r="F401" s="5">
        <v>0</v>
      </c>
      <c r="G401" s="192">
        <v>0</v>
      </c>
      <c r="H401" s="192">
        <v>0</v>
      </c>
      <c r="I401" s="5">
        <v>0</v>
      </c>
      <c r="J401" s="192">
        <v>0</v>
      </c>
      <c r="K401" s="192">
        <v>0</v>
      </c>
      <c r="L401" s="5">
        <v>0</v>
      </c>
      <c r="M401" s="5">
        <v>0</v>
      </c>
      <c r="N401" s="4" t="e">
        <f t="shared" si="36"/>
        <v>#N/A</v>
      </c>
      <c r="O401" s="4" t="e">
        <f>IF(ROUND(10.499-(((N401-VLOOKUP($C401,Lookups!$A$55:$D$64,3))/(VLOOKUP($C401,Lookups!$A$55:$D$64,4))*VLOOKUP($C401,Lookups!$C$2:$D$11,2))),0)&lt;1,1,IF(ROUND(10.499-(((N401-VLOOKUP($C401,Lookups!$A$55:$D$64,3))/(VLOOKUP($C401,Lookups!$A$55:$D$64,4))*VLOOKUP($C401,Lookups!$C$2:$D$11,2))),0)&lt;11,ROUND(10.499-(((N401-VLOOKUP($C401,Lookups!$A$55:$D$64,3))/(VLOOKUP($C401,Lookups!$A$55:$D$64,4))*VLOOKUP($C401,Lookups!$C$2:$D$11,2))),0),10))</f>
        <v>#N/A</v>
      </c>
      <c r="P401" s="13" t="str">
        <f>IF((SUM(F401:M401)=0),"J",VLOOKUP(O401,Lookups!$A$1:$B$11,2))</f>
        <v>J</v>
      </c>
      <c r="Q401" s="8" t="e">
        <f>VLOOKUP(C401,Lookups!$A$136:$C$144,3)</f>
        <v>#N/A</v>
      </c>
      <c r="R401" s="8" t="e">
        <f>VLOOKUP(C401,Lookups!$A$136:$C$144,2)</f>
        <v>#N/A</v>
      </c>
      <c r="S401" s="4" t="str">
        <f t="shared" si="37"/>
        <v>No</v>
      </c>
      <c r="T401" s="125">
        <f t="shared" si="38"/>
        <v>0</v>
      </c>
      <c r="U401" s="125">
        <f t="shared" si="39"/>
        <v>0</v>
      </c>
      <c r="V401" s="4" t="e">
        <f>IF($Q401&lt;&gt;3,VLOOKUP(F401,'Points Table A'!B$3:$F$33,5),VLOOKUP(F401,'Points Table A'!H$3:$L$33,5))</f>
        <v>#N/A</v>
      </c>
      <c r="W401" s="4" t="e">
        <f>IF($Q401&lt;&gt;3,VLOOKUP(G401,'Points Table A'!C$3:$F$33,4),VLOOKUP(G401,'Points Table A'!I$3:$L$33,4))</f>
        <v>#N/A</v>
      </c>
      <c r="X401" s="4" t="e">
        <f>IF($Q401&lt;&gt;3,VLOOKUP(H401,'Points Table A'!D$3:$F$28,3),VLOOKUP(H401,'Points Table A'!J$3:$L$33,3))</f>
        <v>#N/A</v>
      </c>
      <c r="Y401" s="4" t="e">
        <f>IF($Q401&lt;&gt;3,VLOOKUP(I401,'Points Table A'!E$3:$F$33,2),VLOOKUP(I401,'Points Table A'!K$3:$L$33,2))</f>
        <v>#N/A</v>
      </c>
      <c r="Z401" s="4" t="e">
        <f t="shared" si="40"/>
        <v>#N/A</v>
      </c>
      <c r="AA401" s="4">
        <f>IF($S401=Lookups!$B$113,VLOOKUP(L401,'Points Table C'!A$3:$E$11,5),VLOOKUP(U401,'Points Table C'!B$3:$E$11,4))</f>
        <v>0</v>
      </c>
      <c r="AB401" s="4" t="e">
        <f>IF($Q401=1,0,VLOOKUP($J401,'Points Table C'!$C$3:$E$18,3))</f>
        <v>#N/A</v>
      </c>
      <c r="AC401" s="4">
        <f>VLOOKUP($K401,'Points Table C'!$D$3:$E$18,2)</f>
        <v>0</v>
      </c>
      <c r="AD401" s="4" t="e">
        <f>IF($Z401&lt;Lookups!$C$106,($AA401+AB401+AC401),IF($AA401&gt;=Lookups!$C$120,($AA401+AB401+AC401),$AA401+$AB401))</f>
        <v>#N/A</v>
      </c>
      <c r="AF401" s="7"/>
      <c r="AG401" s="7"/>
      <c r="AH401" s="7"/>
      <c r="AI401" s="7"/>
      <c r="AJ401" s="7"/>
      <c r="AK401" s="7"/>
      <c r="AL401" s="7"/>
      <c r="AM401" s="7"/>
      <c r="AN401" s="7"/>
      <c r="AO401" s="7"/>
      <c r="AP401" s="7"/>
      <c r="AQ401" s="7"/>
      <c r="AR401" s="7"/>
      <c r="AS401" s="7"/>
      <c r="AT401" s="7"/>
      <c r="AU401" s="7"/>
      <c r="AV401" s="7"/>
      <c r="AW401" s="7"/>
      <c r="AY401" s="7"/>
      <c r="AZ401" s="7"/>
      <c r="BA401" s="7"/>
      <c r="BB401" s="7"/>
    </row>
    <row r="402" spans="2:54" x14ac:dyDescent="0.2">
      <c r="B402" s="174"/>
      <c r="C402" s="176"/>
      <c r="F402" s="5">
        <v>0</v>
      </c>
      <c r="G402" s="192">
        <v>0</v>
      </c>
      <c r="H402" s="192">
        <v>0</v>
      </c>
      <c r="I402" s="5">
        <v>0</v>
      </c>
      <c r="J402" s="192">
        <v>0</v>
      </c>
      <c r="K402" s="192">
        <v>0</v>
      </c>
      <c r="L402" s="5">
        <v>0</v>
      </c>
      <c r="M402" s="5">
        <v>0</v>
      </c>
      <c r="N402" s="4" t="e">
        <f t="shared" si="36"/>
        <v>#N/A</v>
      </c>
      <c r="O402" s="4" t="e">
        <f>IF(ROUND(10.499-(((N402-VLOOKUP($C402,Lookups!$A$55:$D$64,3))/(VLOOKUP($C402,Lookups!$A$55:$D$64,4))*VLOOKUP($C402,Lookups!$C$2:$D$11,2))),0)&lt;1,1,IF(ROUND(10.499-(((N402-VLOOKUP($C402,Lookups!$A$55:$D$64,3))/(VLOOKUP($C402,Lookups!$A$55:$D$64,4))*VLOOKUP($C402,Lookups!$C$2:$D$11,2))),0)&lt;11,ROUND(10.499-(((N402-VLOOKUP($C402,Lookups!$A$55:$D$64,3))/(VLOOKUP($C402,Lookups!$A$55:$D$64,4))*VLOOKUP($C402,Lookups!$C$2:$D$11,2))),0),10))</f>
        <v>#N/A</v>
      </c>
      <c r="P402" s="13" t="str">
        <f>IF((SUM(F402:M402)=0),"J",VLOOKUP(O402,Lookups!$A$1:$B$11,2))</f>
        <v>J</v>
      </c>
      <c r="Q402" s="8" t="e">
        <f>VLOOKUP(C402,Lookups!$A$136:$C$144,3)</f>
        <v>#N/A</v>
      </c>
      <c r="R402" s="8" t="e">
        <f>VLOOKUP(C402,Lookups!$A$136:$C$144,2)</f>
        <v>#N/A</v>
      </c>
      <c r="S402" s="4" t="str">
        <f t="shared" si="37"/>
        <v>No</v>
      </c>
      <c r="T402" s="125">
        <f t="shared" si="38"/>
        <v>0</v>
      </c>
      <c r="U402" s="125">
        <f t="shared" si="39"/>
        <v>0</v>
      </c>
      <c r="V402" s="4" t="e">
        <f>IF($Q402&lt;&gt;3,VLOOKUP(F402,'Points Table A'!B$3:$F$33,5),VLOOKUP(F402,'Points Table A'!H$3:$L$33,5))</f>
        <v>#N/A</v>
      </c>
      <c r="W402" s="4" t="e">
        <f>IF($Q402&lt;&gt;3,VLOOKUP(G402,'Points Table A'!C$3:$F$33,4),VLOOKUP(G402,'Points Table A'!I$3:$L$33,4))</f>
        <v>#N/A</v>
      </c>
      <c r="X402" s="4" t="e">
        <f>IF($Q402&lt;&gt;3,VLOOKUP(H402,'Points Table A'!D$3:$F$28,3),VLOOKUP(H402,'Points Table A'!J$3:$L$33,3))</f>
        <v>#N/A</v>
      </c>
      <c r="Y402" s="4" t="e">
        <f>IF($Q402&lt;&gt;3,VLOOKUP(I402,'Points Table A'!E$3:$F$33,2),VLOOKUP(I402,'Points Table A'!K$3:$L$33,2))</f>
        <v>#N/A</v>
      </c>
      <c r="Z402" s="4" t="e">
        <f t="shared" si="40"/>
        <v>#N/A</v>
      </c>
      <c r="AA402" s="4">
        <f>IF($S402=Lookups!$B$113,VLOOKUP(L402,'Points Table C'!A$3:$E$11,5),VLOOKUP(U402,'Points Table C'!B$3:$E$11,4))</f>
        <v>0</v>
      </c>
      <c r="AB402" s="4" t="e">
        <f>IF($Q402=1,0,VLOOKUP($J402,'Points Table C'!$C$3:$E$18,3))</f>
        <v>#N/A</v>
      </c>
      <c r="AC402" s="4">
        <f>VLOOKUP($K402,'Points Table C'!$D$3:$E$18,2)</f>
        <v>0</v>
      </c>
      <c r="AD402" s="4" t="e">
        <f>IF($Z402&lt;Lookups!$C$106,($AA402+AB402+AC402),IF($AA402&gt;=Lookups!$C$120,($AA402+AB402+AC402),$AA402+$AB402))</f>
        <v>#N/A</v>
      </c>
      <c r="AF402" s="7"/>
      <c r="AG402" s="7"/>
      <c r="AH402" s="7"/>
      <c r="AI402" s="7"/>
      <c r="AJ402" s="7"/>
      <c r="AK402" s="7"/>
      <c r="AL402" s="7"/>
      <c r="AM402" s="7"/>
      <c r="AN402" s="7"/>
      <c r="AO402" s="7"/>
      <c r="AP402" s="7"/>
      <c r="AQ402" s="7"/>
      <c r="AR402" s="7"/>
      <c r="AS402" s="7"/>
      <c r="AT402" s="7"/>
      <c r="AU402" s="7"/>
      <c r="AV402" s="7"/>
      <c r="AW402" s="7"/>
      <c r="AY402" s="7"/>
      <c r="AZ402" s="7"/>
      <c r="BA402" s="7"/>
      <c r="BB402" s="7"/>
    </row>
    <row r="403" spans="2:54" x14ac:dyDescent="0.2">
      <c r="B403" s="174"/>
      <c r="C403" s="176"/>
      <c r="F403" s="5">
        <v>0</v>
      </c>
      <c r="G403" s="192">
        <v>0</v>
      </c>
      <c r="H403" s="192">
        <v>0</v>
      </c>
      <c r="I403" s="5">
        <v>0</v>
      </c>
      <c r="J403" s="192">
        <v>0</v>
      </c>
      <c r="K403" s="192">
        <v>0</v>
      </c>
      <c r="L403" s="5">
        <v>0</v>
      </c>
      <c r="M403" s="5">
        <v>0</v>
      </c>
      <c r="N403" s="4" t="e">
        <f t="shared" si="36"/>
        <v>#N/A</v>
      </c>
      <c r="O403" s="4" t="e">
        <f>IF(ROUND(10.499-(((N403-VLOOKUP($C403,Lookups!$A$55:$D$64,3))/(VLOOKUP($C403,Lookups!$A$55:$D$64,4))*VLOOKUP($C403,Lookups!$C$2:$D$11,2))),0)&lt;1,1,IF(ROUND(10.499-(((N403-VLOOKUP($C403,Lookups!$A$55:$D$64,3))/(VLOOKUP($C403,Lookups!$A$55:$D$64,4))*VLOOKUP($C403,Lookups!$C$2:$D$11,2))),0)&lt;11,ROUND(10.499-(((N403-VLOOKUP($C403,Lookups!$A$55:$D$64,3))/(VLOOKUP($C403,Lookups!$A$55:$D$64,4))*VLOOKUP($C403,Lookups!$C$2:$D$11,2))),0),10))</f>
        <v>#N/A</v>
      </c>
      <c r="P403" s="13" t="str">
        <f>IF((SUM(F403:M403)=0),"J",VLOOKUP(O403,Lookups!$A$1:$B$11,2))</f>
        <v>J</v>
      </c>
      <c r="Q403" s="8" t="e">
        <f>VLOOKUP(C403,Lookups!$A$136:$C$144,3)</f>
        <v>#N/A</v>
      </c>
      <c r="R403" s="8" t="e">
        <f>VLOOKUP(C403,Lookups!$A$136:$C$144,2)</f>
        <v>#N/A</v>
      </c>
      <c r="S403" s="4" t="str">
        <f t="shared" si="37"/>
        <v>No</v>
      </c>
      <c r="T403" s="125">
        <f t="shared" si="38"/>
        <v>0</v>
      </c>
      <c r="U403" s="125">
        <f t="shared" si="39"/>
        <v>0</v>
      </c>
      <c r="V403" s="4" t="e">
        <f>IF($Q403&lt;&gt;3,VLOOKUP(F403,'Points Table A'!B$3:$F$33,5),VLOOKUP(F403,'Points Table A'!H$3:$L$33,5))</f>
        <v>#N/A</v>
      </c>
      <c r="W403" s="4" t="e">
        <f>IF($Q403&lt;&gt;3,VLOOKUP(G403,'Points Table A'!C$3:$F$33,4),VLOOKUP(G403,'Points Table A'!I$3:$L$33,4))</f>
        <v>#N/A</v>
      </c>
      <c r="X403" s="4" t="e">
        <f>IF($Q403&lt;&gt;3,VLOOKUP(H403,'Points Table A'!D$3:$F$28,3),VLOOKUP(H403,'Points Table A'!J$3:$L$33,3))</f>
        <v>#N/A</v>
      </c>
      <c r="Y403" s="4" t="e">
        <f>IF($Q403&lt;&gt;3,VLOOKUP(I403,'Points Table A'!E$3:$F$33,2),VLOOKUP(I403,'Points Table A'!K$3:$L$33,2))</f>
        <v>#N/A</v>
      </c>
      <c r="Z403" s="4" t="e">
        <f t="shared" si="40"/>
        <v>#N/A</v>
      </c>
      <c r="AA403" s="4">
        <f>IF($S403=Lookups!$B$113,VLOOKUP(L403,'Points Table C'!A$3:$E$11,5),VLOOKUP(U403,'Points Table C'!B$3:$E$11,4))</f>
        <v>0</v>
      </c>
      <c r="AB403" s="4" t="e">
        <f>IF($Q403=1,0,VLOOKUP($J403,'Points Table C'!$C$3:$E$18,3))</f>
        <v>#N/A</v>
      </c>
      <c r="AC403" s="4">
        <f>VLOOKUP($K403,'Points Table C'!$D$3:$E$18,2)</f>
        <v>0</v>
      </c>
      <c r="AD403" s="4" t="e">
        <f>IF($Z403&lt;Lookups!$C$106,($AA403+AB403+AC403),IF($AA403&gt;=Lookups!$C$120,($AA403+AB403+AC403),$AA403+$AB403))</f>
        <v>#N/A</v>
      </c>
      <c r="AF403" s="7"/>
      <c r="AG403" s="7"/>
      <c r="AH403" s="7"/>
      <c r="AI403" s="7"/>
      <c r="AJ403" s="7"/>
      <c r="AK403" s="7"/>
      <c r="AL403" s="7"/>
      <c r="AM403" s="7"/>
      <c r="AN403" s="7"/>
      <c r="AO403" s="7"/>
      <c r="AP403" s="7"/>
      <c r="AQ403" s="7"/>
      <c r="AR403" s="7"/>
      <c r="AS403" s="7"/>
      <c r="AT403" s="7"/>
      <c r="AU403" s="7"/>
      <c r="AV403" s="7"/>
      <c r="AW403" s="7"/>
      <c r="AY403" s="7"/>
      <c r="AZ403" s="7"/>
      <c r="BA403" s="7"/>
      <c r="BB403" s="7"/>
    </row>
    <row r="404" spans="2:54" x14ac:dyDescent="0.2">
      <c r="B404" s="174"/>
      <c r="C404" s="176"/>
      <c r="F404" s="5">
        <v>0</v>
      </c>
      <c r="G404" s="192">
        <v>0</v>
      </c>
      <c r="H404" s="192">
        <v>0</v>
      </c>
      <c r="I404" s="5">
        <v>0</v>
      </c>
      <c r="J404" s="192">
        <v>0</v>
      </c>
      <c r="K404" s="192">
        <v>0</v>
      </c>
      <c r="L404" s="5">
        <v>0</v>
      </c>
      <c r="M404" s="5">
        <v>0</v>
      </c>
      <c r="N404" s="4" t="e">
        <f t="shared" si="36"/>
        <v>#N/A</v>
      </c>
      <c r="O404" s="4" t="e">
        <f>IF(ROUND(10.499-(((N404-VLOOKUP($C404,Lookups!$A$55:$D$64,3))/(VLOOKUP($C404,Lookups!$A$55:$D$64,4))*VLOOKUP($C404,Lookups!$C$2:$D$11,2))),0)&lt;1,1,IF(ROUND(10.499-(((N404-VLOOKUP($C404,Lookups!$A$55:$D$64,3))/(VLOOKUP($C404,Lookups!$A$55:$D$64,4))*VLOOKUP($C404,Lookups!$C$2:$D$11,2))),0)&lt;11,ROUND(10.499-(((N404-VLOOKUP($C404,Lookups!$A$55:$D$64,3))/(VLOOKUP($C404,Lookups!$A$55:$D$64,4))*VLOOKUP($C404,Lookups!$C$2:$D$11,2))),0),10))</f>
        <v>#N/A</v>
      </c>
      <c r="P404" s="13" t="str">
        <f>IF((SUM(F404:M404)=0),"J",VLOOKUP(O404,Lookups!$A$1:$B$11,2))</f>
        <v>J</v>
      </c>
      <c r="Q404" s="8" t="e">
        <f>VLOOKUP(C404,Lookups!$A$136:$C$144,3)</f>
        <v>#N/A</v>
      </c>
      <c r="R404" s="8" t="e">
        <f>VLOOKUP(C404,Lookups!$A$136:$C$144,2)</f>
        <v>#N/A</v>
      </c>
      <c r="S404" s="4" t="str">
        <f t="shared" si="37"/>
        <v>No</v>
      </c>
      <c r="T404" s="125">
        <f t="shared" si="38"/>
        <v>0</v>
      </c>
      <c r="U404" s="125">
        <f t="shared" si="39"/>
        <v>0</v>
      </c>
      <c r="V404" s="4" t="e">
        <f>IF($Q404&lt;&gt;3,VLOOKUP(F404,'Points Table A'!B$3:$F$33,5),VLOOKUP(F404,'Points Table A'!H$3:$L$33,5))</f>
        <v>#N/A</v>
      </c>
      <c r="W404" s="4" t="e">
        <f>IF($Q404&lt;&gt;3,VLOOKUP(G404,'Points Table A'!C$3:$F$33,4),VLOOKUP(G404,'Points Table A'!I$3:$L$33,4))</f>
        <v>#N/A</v>
      </c>
      <c r="X404" s="4" t="e">
        <f>IF($Q404&lt;&gt;3,VLOOKUP(H404,'Points Table A'!D$3:$F$28,3),VLOOKUP(H404,'Points Table A'!J$3:$L$33,3))</f>
        <v>#N/A</v>
      </c>
      <c r="Y404" s="4" t="e">
        <f>IF($Q404&lt;&gt;3,VLOOKUP(I404,'Points Table A'!E$3:$F$33,2),VLOOKUP(I404,'Points Table A'!K$3:$L$33,2))</f>
        <v>#N/A</v>
      </c>
      <c r="Z404" s="4" t="e">
        <f t="shared" si="40"/>
        <v>#N/A</v>
      </c>
      <c r="AA404" s="4">
        <f>IF($S404=Lookups!$B$113,VLOOKUP(L404,'Points Table C'!A$3:$E$11,5),VLOOKUP(U404,'Points Table C'!B$3:$E$11,4))</f>
        <v>0</v>
      </c>
      <c r="AB404" s="4" t="e">
        <f>IF($Q404=1,0,VLOOKUP($J404,'Points Table C'!$C$3:$E$18,3))</f>
        <v>#N/A</v>
      </c>
      <c r="AC404" s="4">
        <f>VLOOKUP($K404,'Points Table C'!$D$3:$E$18,2)</f>
        <v>0</v>
      </c>
      <c r="AD404" s="4" t="e">
        <f>IF($Z404&lt;Lookups!$C$106,($AA404+AB404+AC404),IF($AA404&gt;=Lookups!$C$120,($AA404+AB404+AC404),$AA404+$AB404))</f>
        <v>#N/A</v>
      </c>
      <c r="AF404" s="7"/>
      <c r="AG404" s="7"/>
      <c r="AH404" s="7"/>
      <c r="AI404" s="7"/>
      <c r="AJ404" s="7"/>
      <c r="AK404" s="7"/>
      <c r="AL404" s="7"/>
      <c r="AM404" s="7"/>
      <c r="AN404" s="7"/>
      <c r="AO404" s="7"/>
      <c r="AP404" s="7"/>
      <c r="AQ404" s="7"/>
      <c r="AR404" s="7"/>
      <c r="AS404" s="7"/>
      <c r="AT404" s="7"/>
      <c r="AU404" s="7"/>
      <c r="AV404" s="7"/>
      <c r="AW404" s="7"/>
      <c r="AY404" s="7"/>
      <c r="AZ404" s="7"/>
      <c r="BA404" s="7"/>
      <c r="BB404" s="7"/>
    </row>
    <row r="405" spans="2:54" x14ac:dyDescent="0.2">
      <c r="B405" s="174"/>
      <c r="C405" s="176"/>
      <c r="F405" s="5">
        <v>0</v>
      </c>
      <c r="G405" s="192">
        <v>0</v>
      </c>
      <c r="H405" s="192">
        <v>0</v>
      </c>
      <c r="I405" s="5">
        <v>0</v>
      </c>
      <c r="J405" s="192">
        <v>0</v>
      </c>
      <c r="K405" s="192">
        <v>0</v>
      </c>
      <c r="L405" s="5">
        <v>0</v>
      </c>
      <c r="M405" s="5">
        <v>0</v>
      </c>
      <c r="N405" s="4" t="e">
        <f t="shared" si="36"/>
        <v>#N/A</v>
      </c>
      <c r="O405" s="4" t="e">
        <f>IF(ROUND(10.499-(((N405-VLOOKUP($C405,Lookups!$A$55:$D$64,3))/(VLOOKUP($C405,Lookups!$A$55:$D$64,4))*VLOOKUP($C405,Lookups!$C$2:$D$11,2))),0)&lt;1,1,IF(ROUND(10.499-(((N405-VLOOKUP($C405,Lookups!$A$55:$D$64,3))/(VLOOKUP($C405,Lookups!$A$55:$D$64,4))*VLOOKUP($C405,Lookups!$C$2:$D$11,2))),0)&lt;11,ROUND(10.499-(((N405-VLOOKUP($C405,Lookups!$A$55:$D$64,3))/(VLOOKUP($C405,Lookups!$A$55:$D$64,4))*VLOOKUP($C405,Lookups!$C$2:$D$11,2))),0),10))</f>
        <v>#N/A</v>
      </c>
      <c r="P405" s="13" t="str">
        <f>IF((SUM(F405:M405)=0),"J",VLOOKUP(O405,Lookups!$A$1:$B$11,2))</f>
        <v>J</v>
      </c>
      <c r="Q405" s="8" t="e">
        <f>VLOOKUP(C405,Lookups!$A$136:$C$144,3)</f>
        <v>#N/A</v>
      </c>
      <c r="R405" s="8" t="e">
        <f>VLOOKUP(C405,Lookups!$A$136:$C$144,2)</f>
        <v>#N/A</v>
      </c>
      <c r="S405" s="4" t="str">
        <f t="shared" si="37"/>
        <v>No</v>
      </c>
      <c r="T405" s="125">
        <f t="shared" si="38"/>
        <v>0</v>
      </c>
      <c r="U405" s="125">
        <f t="shared" si="39"/>
        <v>0</v>
      </c>
      <c r="V405" s="4" t="e">
        <f>IF($Q405&lt;&gt;3,VLOOKUP(F405,'Points Table A'!B$3:$F$33,5),VLOOKUP(F405,'Points Table A'!H$3:$L$33,5))</f>
        <v>#N/A</v>
      </c>
      <c r="W405" s="4" t="e">
        <f>IF($Q405&lt;&gt;3,VLOOKUP(G405,'Points Table A'!C$3:$F$33,4),VLOOKUP(G405,'Points Table A'!I$3:$L$33,4))</f>
        <v>#N/A</v>
      </c>
      <c r="X405" s="4" t="e">
        <f>IF($Q405&lt;&gt;3,VLOOKUP(H405,'Points Table A'!D$3:$F$28,3),VLOOKUP(H405,'Points Table A'!J$3:$L$33,3))</f>
        <v>#N/A</v>
      </c>
      <c r="Y405" s="4" t="e">
        <f>IF($Q405&lt;&gt;3,VLOOKUP(I405,'Points Table A'!E$3:$F$33,2),VLOOKUP(I405,'Points Table A'!K$3:$L$33,2))</f>
        <v>#N/A</v>
      </c>
      <c r="Z405" s="4" t="e">
        <f t="shared" si="40"/>
        <v>#N/A</v>
      </c>
      <c r="AA405" s="4">
        <f>IF($S405=Lookups!$B$113,VLOOKUP(L405,'Points Table C'!A$3:$E$11,5),VLOOKUP(U405,'Points Table C'!B$3:$E$11,4))</f>
        <v>0</v>
      </c>
      <c r="AB405" s="4" t="e">
        <f>IF($Q405=1,0,VLOOKUP($J405,'Points Table C'!$C$3:$E$18,3))</f>
        <v>#N/A</v>
      </c>
      <c r="AC405" s="4">
        <f>VLOOKUP($K405,'Points Table C'!$D$3:$E$18,2)</f>
        <v>0</v>
      </c>
      <c r="AD405" s="4" t="e">
        <f>IF($Z405&lt;Lookups!$C$106,($AA405+AB405+AC405),IF($AA405&gt;=Lookups!$C$120,($AA405+AB405+AC405),$AA405+$AB405))</f>
        <v>#N/A</v>
      </c>
      <c r="AF405" s="7"/>
      <c r="AG405" s="7"/>
      <c r="AH405" s="7"/>
      <c r="AI405" s="7"/>
      <c r="AJ405" s="7"/>
      <c r="AK405" s="7"/>
      <c r="AL405" s="7"/>
      <c r="AM405" s="7"/>
      <c r="AN405" s="7"/>
      <c r="AO405" s="7"/>
      <c r="AP405" s="7"/>
      <c r="AQ405" s="7"/>
      <c r="AR405" s="7"/>
      <c r="AS405" s="7"/>
      <c r="AT405" s="7"/>
      <c r="AU405" s="7"/>
      <c r="AV405" s="7"/>
      <c r="AW405" s="7"/>
      <c r="AY405" s="7"/>
      <c r="AZ405" s="7"/>
      <c r="BA405" s="7"/>
      <c r="BB405" s="7"/>
    </row>
    <row r="406" spans="2:54" x14ac:dyDescent="0.2">
      <c r="B406" s="174"/>
      <c r="C406" s="176"/>
      <c r="F406" s="5">
        <v>0</v>
      </c>
      <c r="G406" s="192">
        <v>0</v>
      </c>
      <c r="H406" s="192">
        <v>0</v>
      </c>
      <c r="I406" s="5">
        <v>0</v>
      </c>
      <c r="J406" s="192">
        <v>0</v>
      </c>
      <c r="K406" s="192">
        <v>0</v>
      </c>
      <c r="L406" s="5">
        <v>0</v>
      </c>
      <c r="M406" s="5">
        <v>0</v>
      </c>
      <c r="N406" s="4" t="e">
        <f t="shared" si="36"/>
        <v>#N/A</v>
      </c>
      <c r="O406" s="4" t="e">
        <f>IF(ROUND(10.499-(((N406-VLOOKUP($C406,Lookups!$A$55:$D$64,3))/(VLOOKUP($C406,Lookups!$A$55:$D$64,4))*VLOOKUP($C406,Lookups!$C$2:$D$11,2))),0)&lt;1,1,IF(ROUND(10.499-(((N406-VLOOKUP($C406,Lookups!$A$55:$D$64,3))/(VLOOKUP($C406,Lookups!$A$55:$D$64,4))*VLOOKUP($C406,Lookups!$C$2:$D$11,2))),0)&lt;11,ROUND(10.499-(((N406-VLOOKUP($C406,Lookups!$A$55:$D$64,3))/(VLOOKUP($C406,Lookups!$A$55:$D$64,4))*VLOOKUP($C406,Lookups!$C$2:$D$11,2))),0),10))</f>
        <v>#N/A</v>
      </c>
      <c r="P406" s="13" t="str">
        <f>IF((SUM(F406:M406)=0),"J",VLOOKUP(O406,Lookups!$A$1:$B$11,2))</f>
        <v>J</v>
      </c>
      <c r="Q406" s="8" t="e">
        <f>VLOOKUP(C406,Lookups!$A$136:$C$144,3)</f>
        <v>#N/A</v>
      </c>
      <c r="R406" s="8" t="e">
        <f>VLOOKUP(C406,Lookups!$A$136:$C$144,2)</f>
        <v>#N/A</v>
      </c>
      <c r="S406" s="4" t="str">
        <f t="shared" si="37"/>
        <v>No</v>
      </c>
      <c r="T406" s="125">
        <f t="shared" si="38"/>
        <v>0</v>
      </c>
      <c r="U406" s="125">
        <f t="shared" si="39"/>
        <v>0</v>
      </c>
      <c r="V406" s="4" t="e">
        <f>IF($Q406&lt;&gt;3,VLOOKUP(F406,'Points Table A'!B$3:$F$33,5),VLOOKUP(F406,'Points Table A'!H$3:$L$33,5))</f>
        <v>#N/A</v>
      </c>
      <c r="W406" s="4" t="e">
        <f>IF($Q406&lt;&gt;3,VLOOKUP(G406,'Points Table A'!C$3:$F$33,4),VLOOKUP(G406,'Points Table A'!I$3:$L$33,4))</f>
        <v>#N/A</v>
      </c>
      <c r="X406" s="4" t="e">
        <f>IF($Q406&lt;&gt;3,VLOOKUP(H406,'Points Table A'!D$3:$F$28,3),VLOOKUP(H406,'Points Table A'!J$3:$L$33,3))</f>
        <v>#N/A</v>
      </c>
      <c r="Y406" s="4" t="e">
        <f>IF($Q406&lt;&gt;3,VLOOKUP(I406,'Points Table A'!E$3:$F$33,2),VLOOKUP(I406,'Points Table A'!K$3:$L$33,2))</f>
        <v>#N/A</v>
      </c>
      <c r="Z406" s="4" t="e">
        <f t="shared" si="40"/>
        <v>#N/A</v>
      </c>
      <c r="AA406" s="4">
        <f>IF($S406=Lookups!$B$113,VLOOKUP(L406,'Points Table C'!A$3:$E$11,5),VLOOKUP(U406,'Points Table C'!B$3:$E$11,4))</f>
        <v>0</v>
      </c>
      <c r="AB406" s="4" t="e">
        <f>IF($Q406=1,0,VLOOKUP($J406,'Points Table C'!$C$3:$E$18,3))</f>
        <v>#N/A</v>
      </c>
      <c r="AC406" s="4">
        <f>VLOOKUP($K406,'Points Table C'!$D$3:$E$18,2)</f>
        <v>0</v>
      </c>
      <c r="AD406" s="4" t="e">
        <f>IF($Z406&lt;Lookups!$C$106,($AA406+AB406+AC406),IF($AA406&gt;=Lookups!$C$120,($AA406+AB406+AC406),$AA406+$AB406))</f>
        <v>#N/A</v>
      </c>
      <c r="AF406" s="7"/>
      <c r="AG406" s="7"/>
      <c r="AH406" s="7"/>
      <c r="AI406" s="7"/>
      <c r="AJ406" s="7"/>
      <c r="AK406" s="7"/>
      <c r="AL406" s="7"/>
      <c r="AM406" s="7"/>
      <c r="AN406" s="7"/>
      <c r="AO406" s="7"/>
      <c r="AP406" s="7"/>
      <c r="AQ406" s="7"/>
      <c r="AR406" s="7"/>
      <c r="AS406" s="7"/>
      <c r="AT406" s="7"/>
      <c r="AU406" s="7"/>
      <c r="AV406" s="7"/>
      <c r="AW406" s="7"/>
      <c r="AY406" s="7"/>
      <c r="AZ406" s="7"/>
      <c r="BA406" s="7"/>
      <c r="BB406" s="7"/>
    </row>
    <row r="407" spans="2:54" x14ac:dyDescent="0.2">
      <c r="B407" s="174"/>
      <c r="C407" s="176"/>
      <c r="F407" s="5">
        <v>0</v>
      </c>
      <c r="G407" s="192">
        <v>0</v>
      </c>
      <c r="H407" s="192">
        <v>0</v>
      </c>
      <c r="I407" s="5">
        <v>0</v>
      </c>
      <c r="J407" s="192">
        <v>0</v>
      </c>
      <c r="K407" s="192">
        <v>0</v>
      </c>
      <c r="L407" s="5">
        <v>0</v>
      </c>
      <c r="M407" s="5">
        <v>0</v>
      </c>
      <c r="N407" s="4" t="e">
        <f t="shared" si="36"/>
        <v>#N/A</v>
      </c>
      <c r="O407" s="4" t="e">
        <f>IF(ROUND(10.499-(((N407-VLOOKUP($C407,Lookups!$A$55:$D$64,3))/(VLOOKUP($C407,Lookups!$A$55:$D$64,4))*VLOOKUP($C407,Lookups!$C$2:$D$11,2))),0)&lt;1,1,IF(ROUND(10.499-(((N407-VLOOKUP($C407,Lookups!$A$55:$D$64,3))/(VLOOKUP($C407,Lookups!$A$55:$D$64,4))*VLOOKUP($C407,Lookups!$C$2:$D$11,2))),0)&lt;11,ROUND(10.499-(((N407-VLOOKUP($C407,Lookups!$A$55:$D$64,3))/(VLOOKUP($C407,Lookups!$A$55:$D$64,4))*VLOOKUP($C407,Lookups!$C$2:$D$11,2))),0),10))</f>
        <v>#N/A</v>
      </c>
      <c r="P407" s="13" t="str">
        <f>IF((SUM(F407:M407)=0),"J",VLOOKUP(O407,Lookups!$A$1:$B$11,2))</f>
        <v>J</v>
      </c>
      <c r="Q407" s="8" t="e">
        <f>VLOOKUP(C407,Lookups!$A$136:$C$144,3)</f>
        <v>#N/A</v>
      </c>
      <c r="R407" s="8" t="e">
        <f>VLOOKUP(C407,Lookups!$A$136:$C$144,2)</f>
        <v>#N/A</v>
      </c>
      <c r="S407" s="4" t="str">
        <f t="shared" si="37"/>
        <v>No</v>
      </c>
      <c r="T407" s="125">
        <f t="shared" si="38"/>
        <v>0</v>
      </c>
      <c r="U407" s="125">
        <f t="shared" si="39"/>
        <v>0</v>
      </c>
      <c r="V407" s="4" t="e">
        <f>IF($Q407&lt;&gt;3,VLOOKUP(F407,'Points Table A'!B$3:$F$33,5),VLOOKUP(F407,'Points Table A'!H$3:$L$33,5))</f>
        <v>#N/A</v>
      </c>
      <c r="W407" s="4" t="e">
        <f>IF($Q407&lt;&gt;3,VLOOKUP(G407,'Points Table A'!C$3:$F$33,4),VLOOKUP(G407,'Points Table A'!I$3:$L$33,4))</f>
        <v>#N/A</v>
      </c>
      <c r="X407" s="4" t="e">
        <f>IF($Q407&lt;&gt;3,VLOOKUP(H407,'Points Table A'!D$3:$F$28,3),VLOOKUP(H407,'Points Table A'!J$3:$L$33,3))</f>
        <v>#N/A</v>
      </c>
      <c r="Y407" s="4" t="e">
        <f>IF($Q407&lt;&gt;3,VLOOKUP(I407,'Points Table A'!E$3:$F$33,2),VLOOKUP(I407,'Points Table A'!K$3:$L$33,2))</f>
        <v>#N/A</v>
      </c>
      <c r="Z407" s="4" t="e">
        <f t="shared" si="40"/>
        <v>#N/A</v>
      </c>
      <c r="AA407" s="4">
        <f>IF($S407=Lookups!$B$113,VLOOKUP(L407,'Points Table C'!A$3:$E$11,5),VLOOKUP(U407,'Points Table C'!B$3:$E$11,4))</f>
        <v>0</v>
      </c>
      <c r="AB407" s="4" t="e">
        <f>IF($Q407=1,0,VLOOKUP($J407,'Points Table C'!$C$3:$E$18,3))</f>
        <v>#N/A</v>
      </c>
      <c r="AC407" s="4">
        <f>VLOOKUP($K407,'Points Table C'!$D$3:$E$18,2)</f>
        <v>0</v>
      </c>
      <c r="AD407" s="4" t="e">
        <f>IF($Z407&lt;Lookups!$C$106,($AA407+AB407+AC407),IF($AA407&gt;=Lookups!$C$120,($AA407+AB407+AC407),$AA407+$AB407))</f>
        <v>#N/A</v>
      </c>
      <c r="AF407" s="7"/>
      <c r="AG407" s="7"/>
      <c r="AH407" s="7"/>
      <c r="AI407" s="7"/>
      <c r="AJ407" s="7"/>
      <c r="AK407" s="7"/>
      <c r="AL407" s="7"/>
      <c r="AM407" s="7"/>
      <c r="AN407" s="7"/>
      <c r="AO407" s="7"/>
      <c r="AP407" s="7"/>
      <c r="AQ407" s="7"/>
      <c r="AR407" s="7"/>
      <c r="AS407" s="7"/>
      <c r="AT407" s="7"/>
      <c r="AU407" s="7"/>
      <c r="AV407" s="7"/>
      <c r="AW407" s="7"/>
      <c r="AY407" s="7"/>
      <c r="AZ407" s="7"/>
      <c r="BA407" s="7"/>
      <c r="BB407" s="7"/>
    </row>
    <row r="408" spans="2:54" x14ac:dyDescent="0.2">
      <c r="B408" s="174"/>
      <c r="C408" s="176"/>
      <c r="F408" s="5">
        <v>0</v>
      </c>
      <c r="G408" s="192">
        <v>0</v>
      </c>
      <c r="H408" s="192">
        <v>0</v>
      </c>
      <c r="I408" s="5">
        <v>0</v>
      </c>
      <c r="J408" s="192">
        <v>0</v>
      </c>
      <c r="K408" s="192">
        <v>0</v>
      </c>
      <c r="L408" s="5">
        <v>0</v>
      </c>
      <c r="M408" s="5">
        <v>0</v>
      </c>
      <c r="N408" s="4" t="e">
        <f t="shared" si="36"/>
        <v>#N/A</v>
      </c>
      <c r="O408" s="4" t="e">
        <f>IF(ROUND(10.499-(((N408-VLOOKUP($C408,Lookups!$A$55:$D$64,3))/(VLOOKUP($C408,Lookups!$A$55:$D$64,4))*VLOOKUP($C408,Lookups!$C$2:$D$11,2))),0)&lt;1,1,IF(ROUND(10.499-(((N408-VLOOKUP($C408,Lookups!$A$55:$D$64,3))/(VLOOKUP($C408,Lookups!$A$55:$D$64,4))*VLOOKUP($C408,Lookups!$C$2:$D$11,2))),0)&lt;11,ROUND(10.499-(((N408-VLOOKUP($C408,Lookups!$A$55:$D$64,3))/(VLOOKUP($C408,Lookups!$A$55:$D$64,4))*VLOOKUP($C408,Lookups!$C$2:$D$11,2))),0),10))</f>
        <v>#N/A</v>
      </c>
      <c r="P408" s="13" t="str">
        <f>IF((SUM(F408:M408)=0),"J",VLOOKUP(O408,Lookups!$A$1:$B$11,2))</f>
        <v>J</v>
      </c>
      <c r="Q408" s="8" t="e">
        <f>VLOOKUP(C408,Lookups!$A$136:$C$144,3)</f>
        <v>#N/A</v>
      </c>
      <c r="R408" s="8" t="e">
        <f>VLOOKUP(C408,Lookups!$A$136:$C$144,2)</f>
        <v>#N/A</v>
      </c>
      <c r="S408" s="4" t="str">
        <f t="shared" si="37"/>
        <v>No</v>
      </c>
      <c r="T408" s="125">
        <f t="shared" si="38"/>
        <v>0</v>
      </c>
      <c r="U408" s="125">
        <f t="shared" si="39"/>
        <v>0</v>
      </c>
      <c r="V408" s="4" t="e">
        <f>IF($Q408&lt;&gt;3,VLOOKUP(F408,'Points Table A'!B$3:$F$33,5),VLOOKUP(F408,'Points Table A'!H$3:$L$33,5))</f>
        <v>#N/A</v>
      </c>
      <c r="W408" s="4" t="e">
        <f>IF($Q408&lt;&gt;3,VLOOKUP(G408,'Points Table A'!C$3:$F$33,4),VLOOKUP(G408,'Points Table A'!I$3:$L$33,4))</f>
        <v>#N/A</v>
      </c>
      <c r="X408" s="4" t="e">
        <f>IF($Q408&lt;&gt;3,VLOOKUP(H408,'Points Table A'!D$3:$F$28,3),VLOOKUP(H408,'Points Table A'!J$3:$L$33,3))</f>
        <v>#N/A</v>
      </c>
      <c r="Y408" s="4" t="e">
        <f>IF($Q408&lt;&gt;3,VLOOKUP(I408,'Points Table A'!E$3:$F$33,2),VLOOKUP(I408,'Points Table A'!K$3:$L$33,2))</f>
        <v>#N/A</v>
      </c>
      <c r="Z408" s="4" t="e">
        <f t="shared" si="40"/>
        <v>#N/A</v>
      </c>
      <c r="AA408" s="4">
        <f>IF($S408=Lookups!$B$113,VLOOKUP(L408,'Points Table C'!A$3:$E$11,5),VLOOKUP(U408,'Points Table C'!B$3:$E$11,4))</f>
        <v>0</v>
      </c>
      <c r="AB408" s="4" t="e">
        <f>IF($Q408=1,0,VLOOKUP($J408,'Points Table C'!$C$3:$E$18,3))</f>
        <v>#N/A</v>
      </c>
      <c r="AC408" s="4">
        <f>VLOOKUP($K408,'Points Table C'!$D$3:$E$18,2)</f>
        <v>0</v>
      </c>
      <c r="AD408" s="4" t="e">
        <f>IF($Z408&lt;Lookups!$C$106,($AA408+AB408+AC408),IF($AA408&gt;=Lookups!$C$120,($AA408+AB408+AC408),$AA408+$AB408))</f>
        <v>#N/A</v>
      </c>
      <c r="AF408" s="7"/>
      <c r="AG408" s="7"/>
      <c r="AH408" s="7"/>
      <c r="AI408" s="7"/>
      <c r="AJ408" s="7"/>
      <c r="AK408" s="7"/>
      <c r="AL408" s="7"/>
      <c r="AM408" s="7"/>
      <c r="AN408" s="7"/>
      <c r="AO408" s="7"/>
      <c r="AP408" s="7"/>
      <c r="AQ408" s="7"/>
      <c r="AR408" s="7"/>
      <c r="AS408" s="7"/>
      <c r="AT408" s="7"/>
      <c r="AU408" s="7"/>
      <c r="AV408" s="7"/>
      <c r="AW408" s="7"/>
      <c r="AY408" s="7"/>
      <c r="AZ408" s="7"/>
      <c r="BA408" s="7"/>
      <c r="BB408" s="7"/>
    </row>
    <row r="409" spans="2:54" x14ac:dyDescent="0.2">
      <c r="B409" s="174"/>
      <c r="C409" s="176"/>
      <c r="F409" s="5">
        <v>0</v>
      </c>
      <c r="G409" s="192">
        <v>0</v>
      </c>
      <c r="H409" s="192">
        <v>0</v>
      </c>
      <c r="I409" s="5">
        <v>0</v>
      </c>
      <c r="J409" s="192">
        <v>0</v>
      </c>
      <c r="K409" s="192">
        <v>0</v>
      </c>
      <c r="L409" s="5">
        <v>0</v>
      </c>
      <c r="M409" s="5">
        <v>0</v>
      </c>
      <c r="N409" s="4" t="e">
        <f t="shared" si="36"/>
        <v>#N/A</v>
      </c>
      <c r="O409" s="4" t="e">
        <f>IF(ROUND(10.499-(((N409-VLOOKUP($C409,Lookups!$A$55:$D$64,3))/(VLOOKUP($C409,Lookups!$A$55:$D$64,4))*VLOOKUP($C409,Lookups!$C$2:$D$11,2))),0)&lt;1,1,IF(ROUND(10.499-(((N409-VLOOKUP($C409,Lookups!$A$55:$D$64,3))/(VLOOKUP($C409,Lookups!$A$55:$D$64,4))*VLOOKUP($C409,Lookups!$C$2:$D$11,2))),0)&lt;11,ROUND(10.499-(((N409-VLOOKUP($C409,Lookups!$A$55:$D$64,3))/(VLOOKUP($C409,Lookups!$A$55:$D$64,4))*VLOOKUP($C409,Lookups!$C$2:$D$11,2))),0),10))</f>
        <v>#N/A</v>
      </c>
      <c r="P409" s="13" t="str">
        <f>IF((SUM(F409:M409)=0),"J",VLOOKUP(O409,Lookups!$A$1:$B$11,2))</f>
        <v>J</v>
      </c>
      <c r="Q409" s="8" t="e">
        <f>VLOOKUP(C409,Lookups!$A$136:$C$144,3)</f>
        <v>#N/A</v>
      </c>
      <c r="R409" s="8" t="e">
        <f>VLOOKUP(C409,Lookups!$A$136:$C$144,2)</f>
        <v>#N/A</v>
      </c>
      <c r="S409" s="4" t="str">
        <f t="shared" si="37"/>
        <v>No</v>
      </c>
      <c r="T409" s="125">
        <f t="shared" si="38"/>
        <v>0</v>
      </c>
      <c r="U409" s="125">
        <f t="shared" si="39"/>
        <v>0</v>
      </c>
      <c r="V409" s="4" t="e">
        <f>IF($Q409&lt;&gt;3,VLOOKUP(F409,'Points Table A'!B$3:$F$33,5),VLOOKUP(F409,'Points Table A'!H$3:$L$33,5))</f>
        <v>#N/A</v>
      </c>
      <c r="W409" s="4" t="e">
        <f>IF($Q409&lt;&gt;3,VLOOKUP(G409,'Points Table A'!C$3:$F$33,4),VLOOKUP(G409,'Points Table A'!I$3:$L$33,4))</f>
        <v>#N/A</v>
      </c>
      <c r="X409" s="4" t="e">
        <f>IF($Q409&lt;&gt;3,VLOOKUP(H409,'Points Table A'!D$3:$F$28,3),VLOOKUP(H409,'Points Table A'!J$3:$L$33,3))</f>
        <v>#N/A</v>
      </c>
      <c r="Y409" s="4" t="e">
        <f>IF($Q409&lt;&gt;3,VLOOKUP(I409,'Points Table A'!E$3:$F$33,2),VLOOKUP(I409,'Points Table A'!K$3:$L$33,2))</f>
        <v>#N/A</v>
      </c>
      <c r="Z409" s="4" t="e">
        <f t="shared" si="40"/>
        <v>#N/A</v>
      </c>
      <c r="AA409" s="4">
        <f>IF($S409=Lookups!$B$113,VLOOKUP(L409,'Points Table C'!A$3:$E$11,5),VLOOKUP(U409,'Points Table C'!B$3:$E$11,4))</f>
        <v>0</v>
      </c>
      <c r="AB409" s="4" t="e">
        <f>IF($Q409=1,0,VLOOKUP($J409,'Points Table C'!$C$3:$E$18,3))</f>
        <v>#N/A</v>
      </c>
      <c r="AC409" s="4">
        <f>VLOOKUP($K409,'Points Table C'!$D$3:$E$18,2)</f>
        <v>0</v>
      </c>
      <c r="AD409" s="4" t="e">
        <f>IF($Z409&lt;Lookups!$C$106,($AA409+AB409+AC409),IF($AA409&gt;=Lookups!$C$120,($AA409+AB409+AC409),$AA409+$AB409))</f>
        <v>#N/A</v>
      </c>
      <c r="AF409" s="7"/>
      <c r="AG409" s="7"/>
      <c r="AH409" s="7"/>
      <c r="AI409" s="7"/>
      <c r="AJ409" s="7"/>
      <c r="AK409" s="7"/>
      <c r="AL409" s="7"/>
      <c r="AM409" s="7"/>
      <c r="AN409" s="7"/>
      <c r="AO409" s="7"/>
      <c r="AP409" s="7"/>
      <c r="AQ409" s="7"/>
      <c r="AR409" s="7"/>
      <c r="AS409" s="7"/>
      <c r="AT409" s="7"/>
      <c r="AU409" s="7"/>
      <c r="AV409" s="7"/>
      <c r="AW409" s="7"/>
      <c r="AY409" s="7"/>
      <c r="AZ409" s="7"/>
      <c r="BA409" s="7"/>
      <c r="BB409" s="7"/>
    </row>
    <row r="410" spans="2:54" x14ac:dyDescent="0.2">
      <c r="B410" s="174"/>
      <c r="C410" s="176"/>
      <c r="F410" s="5">
        <v>0</v>
      </c>
      <c r="G410" s="192">
        <v>0</v>
      </c>
      <c r="H410" s="192">
        <v>0</v>
      </c>
      <c r="I410" s="5">
        <v>0</v>
      </c>
      <c r="J410" s="192">
        <v>0</v>
      </c>
      <c r="K410" s="192">
        <v>0</v>
      </c>
      <c r="L410" s="5">
        <v>0</v>
      </c>
      <c r="M410" s="5">
        <v>0</v>
      </c>
      <c r="N410" s="4" t="e">
        <f t="shared" si="36"/>
        <v>#N/A</v>
      </c>
      <c r="O410" s="4" t="e">
        <f>IF(ROUND(10.499-(((N410-VLOOKUP($C410,Lookups!$A$55:$D$64,3))/(VLOOKUP($C410,Lookups!$A$55:$D$64,4))*VLOOKUP($C410,Lookups!$C$2:$D$11,2))),0)&lt;1,1,IF(ROUND(10.499-(((N410-VLOOKUP($C410,Lookups!$A$55:$D$64,3))/(VLOOKUP($C410,Lookups!$A$55:$D$64,4))*VLOOKUP($C410,Lookups!$C$2:$D$11,2))),0)&lt;11,ROUND(10.499-(((N410-VLOOKUP($C410,Lookups!$A$55:$D$64,3))/(VLOOKUP($C410,Lookups!$A$55:$D$64,4))*VLOOKUP($C410,Lookups!$C$2:$D$11,2))),0),10))</f>
        <v>#N/A</v>
      </c>
      <c r="P410" s="13" t="str">
        <f>IF((SUM(F410:M410)=0),"J",VLOOKUP(O410,Lookups!$A$1:$B$11,2))</f>
        <v>J</v>
      </c>
      <c r="Q410" s="8" t="e">
        <f>VLOOKUP(C410,Lookups!$A$136:$C$144,3)</f>
        <v>#N/A</v>
      </c>
      <c r="R410" s="8" t="e">
        <f>VLOOKUP(C410,Lookups!$A$136:$C$144,2)</f>
        <v>#N/A</v>
      </c>
      <c r="S410" s="4" t="str">
        <f t="shared" si="37"/>
        <v>No</v>
      </c>
      <c r="T410" s="125">
        <f t="shared" si="38"/>
        <v>0</v>
      </c>
      <c r="U410" s="125">
        <f t="shared" si="39"/>
        <v>0</v>
      </c>
      <c r="V410" s="4" t="e">
        <f>IF($Q410&lt;&gt;3,VLOOKUP(F410,'Points Table A'!B$3:$F$33,5),VLOOKUP(F410,'Points Table A'!H$3:$L$33,5))</f>
        <v>#N/A</v>
      </c>
      <c r="W410" s="4" t="e">
        <f>IF($Q410&lt;&gt;3,VLOOKUP(G410,'Points Table A'!C$3:$F$33,4),VLOOKUP(G410,'Points Table A'!I$3:$L$33,4))</f>
        <v>#N/A</v>
      </c>
      <c r="X410" s="4" t="e">
        <f>IF($Q410&lt;&gt;3,VLOOKUP(H410,'Points Table A'!D$3:$F$28,3),VLOOKUP(H410,'Points Table A'!J$3:$L$33,3))</f>
        <v>#N/A</v>
      </c>
      <c r="Y410" s="4" t="e">
        <f>IF($Q410&lt;&gt;3,VLOOKUP(I410,'Points Table A'!E$3:$F$33,2),VLOOKUP(I410,'Points Table A'!K$3:$L$33,2))</f>
        <v>#N/A</v>
      </c>
      <c r="Z410" s="4" t="e">
        <f t="shared" si="40"/>
        <v>#N/A</v>
      </c>
      <c r="AA410" s="4">
        <f>IF($S410=Lookups!$B$113,VLOOKUP(L410,'Points Table C'!A$3:$E$11,5),VLOOKUP(U410,'Points Table C'!B$3:$E$11,4))</f>
        <v>0</v>
      </c>
      <c r="AB410" s="4" t="e">
        <f>IF($Q410=1,0,VLOOKUP($J410,'Points Table C'!$C$3:$E$18,3))</f>
        <v>#N/A</v>
      </c>
      <c r="AC410" s="4">
        <f>VLOOKUP($K410,'Points Table C'!$D$3:$E$18,2)</f>
        <v>0</v>
      </c>
      <c r="AD410" s="4" t="e">
        <f>IF($Z410&lt;Lookups!$C$106,($AA410+AB410+AC410),IF($AA410&gt;=Lookups!$C$120,($AA410+AB410+AC410),$AA410+$AB410))</f>
        <v>#N/A</v>
      </c>
      <c r="AF410" s="7"/>
      <c r="AG410" s="7"/>
      <c r="AH410" s="7"/>
      <c r="AI410" s="7"/>
      <c r="AJ410" s="7"/>
      <c r="AK410" s="7"/>
      <c r="AL410" s="7"/>
      <c r="AM410" s="7"/>
      <c r="AN410" s="7"/>
      <c r="AO410" s="7"/>
      <c r="AP410" s="7"/>
      <c r="AQ410" s="7"/>
      <c r="AR410" s="7"/>
      <c r="AS410" s="7"/>
      <c r="AT410" s="7"/>
      <c r="AU410" s="7"/>
      <c r="AV410" s="7"/>
      <c r="AW410" s="7"/>
      <c r="AY410" s="7"/>
      <c r="AZ410" s="7"/>
      <c r="BA410" s="7"/>
      <c r="BB410" s="7"/>
    </row>
    <row r="411" spans="2:54" x14ac:dyDescent="0.2">
      <c r="B411" s="174"/>
      <c r="C411" s="176"/>
      <c r="F411" s="5">
        <v>0</v>
      </c>
      <c r="G411" s="192">
        <v>0</v>
      </c>
      <c r="H411" s="192">
        <v>0</v>
      </c>
      <c r="I411" s="5">
        <v>0</v>
      </c>
      <c r="J411" s="192">
        <v>0</v>
      </c>
      <c r="K411" s="192">
        <v>0</v>
      </c>
      <c r="L411" s="5">
        <v>0</v>
      </c>
      <c r="M411" s="5">
        <v>0</v>
      </c>
      <c r="N411" s="4" t="e">
        <f t="shared" si="36"/>
        <v>#N/A</v>
      </c>
      <c r="O411" s="4" t="e">
        <f>IF(ROUND(10.499-(((N411-VLOOKUP($C411,Lookups!$A$55:$D$64,3))/(VLOOKUP($C411,Lookups!$A$55:$D$64,4))*VLOOKUP($C411,Lookups!$C$2:$D$11,2))),0)&lt;1,1,IF(ROUND(10.499-(((N411-VLOOKUP($C411,Lookups!$A$55:$D$64,3))/(VLOOKUP($C411,Lookups!$A$55:$D$64,4))*VLOOKUP($C411,Lookups!$C$2:$D$11,2))),0)&lt;11,ROUND(10.499-(((N411-VLOOKUP($C411,Lookups!$A$55:$D$64,3))/(VLOOKUP($C411,Lookups!$A$55:$D$64,4))*VLOOKUP($C411,Lookups!$C$2:$D$11,2))),0),10))</f>
        <v>#N/A</v>
      </c>
      <c r="P411" s="13" t="str">
        <f>IF((SUM(F411:M411)=0),"J",VLOOKUP(O411,Lookups!$A$1:$B$11,2))</f>
        <v>J</v>
      </c>
      <c r="Q411" s="8" t="e">
        <f>VLOOKUP(C411,Lookups!$A$136:$C$144,3)</f>
        <v>#N/A</v>
      </c>
      <c r="R411" s="8" t="e">
        <f>VLOOKUP(C411,Lookups!$A$136:$C$144,2)</f>
        <v>#N/A</v>
      </c>
      <c r="S411" s="4" t="str">
        <f t="shared" si="37"/>
        <v>No</v>
      </c>
      <c r="T411" s="125">
        <f t="shared" si="38"/>
        <v>0</v>
      </c>
      <c r="U411" s="125">
        <f t="shared" si="39"/>
        <v>0</v>
      </c>
      <c r="V411" s="4" t="e">
        <f>IF($Q411&lt;&gt;3,VLOOKUP(F411,'Points Table A'!B$3:$F$33,5),VLOOKUP(F411,'Points Table A'!H$3:$L$33,5))</f>
        <v>#N/A</v>
      </c>
      <c r="W411" s="4" t="e">
        <f>IF($Q411&lt;&gt;3,VLOOKUP(G411,'Points Table A'!C$3:$F$33,4),VLOOKUP(G411,'Points Table A'!I$3:$L$33,4))</f>
        <v>#N/A</v>
      </c>
      <c r="X411" s="4" t="e">
        <f>IF($Q411&lt;&gt;3,VLOOKUP(H411,'Points Table A'!D$3:$F$28,3),VLOOKUP(H411,'Points Table A'!J$3:$L$33,3))</f>
        <v>#N/A</v>
      </c>
      <c r="Y411" s="4" t="e">
        <f>IF($Q411&lt;&gt;3,VLOOKUP(I411,'Points Table A'!E$3:$F$33,2),VLOOKUP(I411,'Points Table A'!K$3:$L$33,2))</f>
        <v>#N/A</v>
      </c>
      <c r="Z411" s="4" t="e">
        <f t="shared" si="40"/>
        <v>#N/A</v>
      </c>
      <c r="AA411" s="4">
        <f>IF($S411=Lookups!$B$113,VLOOKUP(L411,'Points Table C'!A$3:$E$11,5),VLOOKUP(U411,'Points Table C'!B$3:$E$11,4))</f>
        <v>0</v>
      </c>
      <c r="AB411" s="4" t="e">
        <f>IF($Q411=1,0,VLOOKUP($J411,'Points Table C'!$C$3:$E$18,3))</f>
        <v>#N/A</v>
      </c>
      <c r="AC411" s="4">
        <f>VLOOKUP($K411,'Points Table C'!$D$3:$E$18,2)</f>
        <v>0</v>
      </c>
      <c r="AD411" s="4" t="e">
        <f>IF($Z411&lt;Lookups!$C$106,($AA411+AB411+AC411),IF($AA411&gt;=Lookups!$C$120,($AA411+AB411+AC411),$AA411+$AB411))</f>
        <v>#N/A</v>
      </c>
      <c r="AF411" s="7"/>
      <c r="AG411" s="7"/>
      <c r="AH411" s="7"/>
      <c r="AI411" s="7"/>
      <c r="AJ411" s="7"/>
      <c r="AK411" s="7"/>
      <c r="AL411" s="7"/>
      <c r="AM411" s="7"/>
      <c r="AN411" s="7"/>
      <c r="AO411" s="7"/>
      <c r="AP411" s="7"/>
      <c r="AQ411" s="7"/>
      <c r="AR411" s="7"/>
      <c r="AS411" s="7"/>
      <c r="AT411" s="7"/>
      <c r="AU411" s="7"/>
      <c r="AV411" s="7"/>
      <c r="AW411" s="7"/>
      <c r="AY411" s="7"/>
      <c r="AZ411" s="7"/>
      <c r="BA411" s="7"/>
      <c r="BB411" s="7"/>
    </row>
    <row r="412" spans="2:54" x14ac:dyDescent="0.2">
      <c r="B412" s="174"/>
      <c r="C412" s="176"/>
      <c r="F412" s="5">
        <v>0</v>
      </c>
      <c r="G412" s="192">
        <v>0</v>
      </c>
      <c r="H412" s="192">
        <v>0</v>
      </c>
      <c r="I412" s="5">
        <v>0</v>
      </c>
      <c r="J412" s="192">
        <v>0</v>
      </c>
      <c r="K412" s="192">
        <v>0</v>
      </c>
      <c r="L412" s="5">
        <v>0</v>
      </c>
      <c r="M412" s="5">
        <v>0</v>
      </c>
      <c r="N412" s="4" t="e">
        <f t="shared" si="36"/>
        <v>#N/A</v>
      </c>
      <c r="O412" s="4" t="e">
        <f>IF(ROUND(10.499-(((N412-VLOOKUP($C412,Lookups!$A$55:$D$64,3))/(VLOOKUP($C412,Lookups!$A$55:$D$64,4))*VLOOKUP($C412,Lookups!$C$2:$D$11,2))),0)&lt;1,1,IF(ROUND(10.499-(((N412-VLOOKUP($C412,Lookups!$A$55:$D$64,3))/(VLOOKUP($C412,Lookups!$A$55:$D$64,4))*VLOOKUP($C412,Lookups!$C$2:$D$11,2))),0)&lt;11,ROUND(10.499-(((N412-VLOOKUP($C412,Lookups!$A$55:$D$64,3))/(VLOOKUP($C412,Lookups!$A$55:$D$64,4))*VLOOKUP($C412,Lookups!$C$2:$D$11,2))),0),10))</f>
        <v>#N/A</v>
      </c>
      <c r="P412" s="13" t="str">
        <f>IF((SUM(F412:M412)=0),"J",VLOOKUP(O412,Lookups!$A$1:$B$11,2))</f>
        <v>J</v>
      </c>
      <c r="Q412" s="8" t="e">
        <f>VLOOKUP(C412,Lookups!$A$136:$C$144,3)</f>
        <v>#N/A</v>
      </c>
      <c r="R412" s="8" t="e">
        <f>VLOOKUP(C412,Lookups!$A$136:$C$144,2)</f>
        <v>#N/A</v>
      </c>
      <c r="S412" s="4" t="str">
        <f t="shared" si="37"/>
        <v>No</v>
      </c>
      <c r="T412" s="125">
        <f t="shared" si="38"/>
        <v>0</v>
      </c>
      <c r="U412" s="125">
        <f t="shared" si="39"/>
        <v>0</v>
      </c>
      <c r="V412" s="4" t="e">
        <f>IF($Q412&lt;&gt;3,VLOOKUP(F412,'Points Table A'!B$3:$F$33,5),VLOOKUP(F412,'Points Table A'!H$3:$L$33,5))</f>
        <v>#N/A</v>
      </c>
      <c r="W412" s="4" t="e">
        <f>IF($Q412&lt;&gt;3,VLOOKUP(G412,'Points Table A'!C$3:$F$33,4),VLOOKUP(G412,'Points Table A'!I$3:$L$33,4))</f>
        <v>#N/A</v>
      </c>
      <c r="X412" s="4" t="e">
        <f>IF($Q412&lt;&gt;3,VLOOKUP(H412,'Points Table A'!D$3:$F$28,3),VLOOKUP(H412,'Points Table A'!J$3:$L$33,3))</f>
        <v>#N/A</v>
      </c>
      <c r="Y412" s="4" t="e">
        <f>IF($Q412&lt;&gt;3,VLOOKUP(I412,'Points Table A'!E$3:$F$33,2),VLOOKUP(I412,'Points Table A'!K$3:$L$33,2))</f>
        <v>#N/A</v>
      </c>
      <c r="Z412" s="4" t="e">
        <f t="shared" si="40"/>
        <v>#N/A</v>
      </c>
      <c r="AA412" s="4">
        <f>IF($S412=Lookups!$B$113,VLOOKUP(L412,'Points Table C'!A$3:$E$11,5),VLOOKUP(U412,'Points Table C'!B$3:$E$11,4))</f>
        <v>0</v>
      </c>
      <c r="AB412" s="4" t="e">
        <f>IF($Q412=1,0,VLOOKUP($J412,'Points Table C'!$C$3:$E$18,3))</f>
        <v>#N/A</v>
      </c>
      <c r="AC412" s="4">
        <f>VLOOKUP($K412,'Points Table C'!$D$3:$E$18,2)</f>
        <v>0</v>
      </c>
      <c r="AD412" s="4" t="e">
        <f>IF($Z412&lt;Lookups!$C$106,($AA412+AB412+AC412),IF($AA412&gt;=Lookups!$C$120,($AA412+AB412+AC412),$AA412+$AB412))</f>
        <v>#N/A</v>
      </c>
      <c r="AF412" s="7"/>
      <c r="AG412" s="7"/>
      <c r="AH412" s="7"/>
      <c r="AI412" s="7"/>
      <c r="AJ412" s="7"/>
      <c r="AK412" s="7"/>
      <c r="AL412" s="7"/>
      <c r="AM412" s="7"/>
      <c r="AN412" s="7"/>
      <c r="AO412" s="7"/>
      <c r="AP412" s="7"/>
      <c r="AQ412" s="7"/>
      <c r="AR412" s="7"/>
      <c r="AS412" s="7"/>
      <c r="AT412" s="7"/>
      <c r="AU412" s="7"/>
      <c r="AV412" s="7"/>
      <c r="AW412" s="7"/>
      <c r="AY412" s="7"/>
      <c r="AZ412" s="7"/>
      <c r="BA412" s="7"/>
      <c r="BB412" s="7"/>
    </row>
    <row r="413" spans="2:54" x14ac:dyDescent="0.2">
      <c r="B413" s="174"/>
      <c r="C413" s="176"/>
      <c r="F413" s="5">
        <v>0</v>
      </c>
      <c r="G413" s="192">
        <v>0</v>
      </c>
      <c r="H413" s="192">
        <v>0</v>
      </c>
      <c r="I413" s="5">
        <v>0</v>
      </c>
      <c r="J413" s="192">
        <v>0</v>
      </c>
      <c r="K413" s="192">
        <v>0</v>
      </c>
      <c r="L413" s="5">
        <v>0</v>
      </c>
      <c r="M413" s="5">
        <v>0</v>
      </c>
      <c r="N413" s="4" t="e">
        <f t="shared" si="36"/>
        <v>#N/A</v>
      </c>
      <c r="O413" s="4" t="e">
        <f>IF(ROUND(10.499-(((N413-VLOOKUP($C413,Lookups!$A$55:$D$64,3))/(VLOOKUP($C413,Lookups!$A$55:$D$64,4))*VLOOKUP($C413,Lookups!$C$2:$D$11,2))),0)&lt;1,1,IF(ROUND(10.499-(((N413-VLOOKUP($C413,Lookups!$A$55:$D$64,3))/(VLOOKUP($C413,Lookups!$A$55:$D$64,4))*VLOOKUP($C413,Lookups!$C$2:$D$11,2))),0)&lt;11,ROUND(10.499-(((N413-VLOOKUP($C413,Lookups!$A$55:$D$64,3))/(VLOOKUP($C413,Lookups!$A$55:$D$64,4))*VLOOKUP($C413,Lookups!$C$2:$D$11,2))),0),10))</f>
        <v>#N/A</v>
      </c>
      <c r="P413" s="13" t="str">
        <f>IF((SUM(F413:M413)=0),"J",VLOOKUP(O413,Lookups!$A$1:$B$11,2))</f>
        <v>J</v>
      </c>
      <c r="Q413" s="8" t="e">
        <f>VLOOKUP(C413,Lookups!$A$136:$C$144,3)</f>
        <v>#N/A</v>
      </c>
      <c r="R413" s="8" t="e">
        <f>VLOOKUP(C413,Lookups!$A$136:$C$144,2)</f>
        <v>#N/A</v>
      </c>
      <c r="S413" s="4" t="str">
        <f t="shared" si="37"/>
        <v>No</v>
      </c>
      <c r="T413" s="125">
        <f t="shared" si="38"/>
        <v>0</v>
      </c>
      <c r="U413" s="125">
        <f t="shared" si="39"/>
        <v>0</v>
      </c>
      <c r="V413" s="4" t="e">
        <f>IF($Q413&lt;&gt;3,VLOOKUP(F413,'Points Table A'!B$3:$F$33,5),VLOOKUP(F413,'Points Table A'!H$3:$L$33,5))</f>
        <v>#N/A</v>
      </c>
      <c r="W413" s="4" t="e">
        <f>IF($Q413&lt;&gt;3,VLOOKUP(G413,'Points Table A'!C$3:$F$33,4),VLOOKUP(G413,'Points Table A'!I$3:$L$33,4))</f>
        <v>#N/A</v>
      </c>
      <c r="X413" s="4" t="e">
        <f>IF($Q413&lt;&gt;3,VLOOKUP(H413,'Points Table A'!D$3:$F$28,3),VLOOKUP(H413,'Points Table A'!J$3:$L$33,3))</f>
        <v>#N/A</v>
      </c>
      <c r="Y413" s="4" t="e">
        <f>IF($Q413&lt;&gt;3,VLOOKUP(I413,'Points Table A'!E$3:$F$33,2),VLOOKUP(I413,'Points Table A'!K$3:$L$33,2))</f>
        <v>#N/A</v>
      </c>
      <c r="Z413" s="4" t="e">
        <f t="shared" si="40"/>
        <v>#N/A</v>
      </c>
      <c r="AA413" s="4">
        <f>IF($S413=Lookups!$B$113,VLOOKUP(L413,'Points Table C'!A$3:$E$11,5),VLOOKUP(U413,'Points Table C'!B$3:$E$11,4))</f>
        <v>0</v>
      </c>
      <c r="AB413" s="4" t="e">
        <f>IF($Q413=1,0,VLOOKUP($J413,'Points Table C'!$C$3:$E$18,3))</f>
        <v>#N/A</v>
      </c>
      <c r="AC413" s="4">
        <f>VLOOKUP($K413,'Points Table C'!$D$3:$E$18,2)</f>
        <v>0</v>
      </c>
      <c r="AD413" s="4" t="e">
        <f>IF($Z413&lt;Lookups!$C$106,($AA413+AB413+AC413),IF($AA413&gt;=Lookups!$C$120,($AA413+AB413+AC413),$AA413+$AB413))</f>
        <v>#N/A</v>
      </c>
      <c r="AF413" s="7"/>
      <c r="AG413" s="7"/>
      <c r="AH413" s="7"/>
      <c r="AI413" s="7"/>
      <c r="AJ413" s="7"/>
      <c r="AK413" s="7"/>
      <c r="AL413" s="7"/>
      <c r="AM413" s="7"/>
      <c r="AN413" s="7"/>
      <c r="AO413" s="7"/>
      <c r="AP413" s="7"/>
      <c r="AQ413" s="7"/>
      <c r="AR413" s="7"/>
      <c r="AS413" s="7"/>
      <c r="AT413" s="7"/>
      <c r="AU413" s="7"/>
      <c r="AV413" s="7"/>
      <c r="AW413" s="7"/>
      <c r="AY413" s="7"/>
      <c r="AZ413" s="7"/>
      <c r="BA413" s="7"/>
      <c r="BB413" s="7"/>
    </row>
    <row r="414" spans="2:54" x14ac:dyDescent="0.2">
      <c r="B414" s="174"/>
      <c r="C414" s="176"/>
      <c r="F414" s="5">
        <v>0</v>
      </c>
      <c r="G414" s="192">
        <v>0</v>
      </c>
      <c r="H414" s="192">
        <v>0</v>
      </c>
      <c r="I414" s="5">
        <v>0</v>
      </c>
      <c r="J414" s="192">
        <v>0</v>
      </c>
      <c r="K414" s="192">
        <v>0</v>
      </c>
      <c r="L414" s="5">
        <v>0</v>
      </c>
      <c r="M414" s="5">
        <v>0</v>
      </c>
      <c r="N414" s="4" t="e">
        <f t="shared" si="36"/>
        <v>#N/A</v>
      </c>
      <c r="O414" s="4" t="e">
        <f>IF(ROUND(10.499-(((N414-VLOOKUP($C414,Lookups!$A$55:$D$64,3))/(VLOOKUP($C414,Lookups!$A$55:$D$64,4))*VLOOKUP($C414,Lookups!$C$2:$D$11,2))),0)&lt;1,1,IF(ROUND(10.499-(((N414-VLOOKUP($C414,Lookups!$A$55:$D$64,3))/(VLOOKUP($C414,Lookups!$A$55:$D$64,4))*VLOOKUP($C414,Lookups!$C$2:$D$11,2))),0)&lt;11,ROUND(10.499-(((N414-VLOOKUP($C414,Lookups!$A$55:$D$64,3))/(VLOOKUP($C414,Lookups!$A$55:$D$64,4))*VLOOKUP($C414,Lookups!$C$2:$D$11,2))),0),10))</f>
        <v>#N/A</v>
      </c>
      <c r="P414" s="13" t="str">
        <f>IF((SUM(F414:M414)=0),"J",VLOOKUP(O414,Lookups!$A$1:$B$11,2))</f>
        <v>J</v>
      </c>
      <c r="Q414" s="8" t="e">
        <f>VLOOKUP(C414,Lookups!$A$136:$C$144,3)</f>
        <v>#N/A</v>
      </c>
      <c r="R414" s="8" t="e">
        <f>VLOOKUP(C414,Lookups!$A$136:$C$144,2)</f>
        <v>#N/A</v>
      </c>
      <c r="S414" s="4" t="str">
        <f t="shared" si="37"/>
        <v>No</v>
      </c>
      <c r="T414" s="125">
        <f t="shared" si="38"/>
        <v>0</v>
      </c>
      <c r="U414" s="125">
        <f t="shared" si="39"/>
        <v>0</v>
      </c>
      <c r="V414" s="4" t="e">
        <f>IF($Q414&lt;&gt;3,VLOOKUP(F414,'Points Table A'!B$3:$F$33,5),VLOOKUP(F414,'Points Table A'!H$3:$L$33,5))</f>
        <v>#N/A</v>
      </c>
      <c r="W414" s="4" t="e">
        <f>IF($Q414&lt;&gt;3,VLOOKUP(G414,'Points Table A'!C$3:$F$33,4),VLOOKUP(G414,'Points Table A'!I$3:$L$33,4))</f>
        <v>#N/A</v>
      </c>
      <c r="X414" s="4" t="e">
        <f>IF($Q414&lt;&gt;3,VLOOKUP(H414,'Points Table A'!D$3:$F$28,3),VLOOKUP(H414,'Points Table A'!J$3:$L$33,3))</f>
        <v>#N/A</v>
      </c>
      <c r="Y414" s="4" t="e">
        <f>IF($Q414&lt;&gt;3,VLOOKUP(I414,'Points Table A'!E$3:$F$33,2),VLOOKUP(I414,'Points Table A'!K$3:$L$33,2))</f>
        <v>#N/A</v>
      </c>
      <c r="Z414" s="4" t="e">
        <f t="shared" si="40"/>
        <v>#N/A</v>
      </c>
      <c r="AA414" s="4">
        <f>IF($S414=Lookups!$B$113,VLOOKUP(L414,'Points Table C'!A$3:$E$11,5),VLOOKUP(U414,'Points Table C'!B$3:$E$11,4))</f>
        <v>0</v>
      </c>
      <c r="AB414" s="4" t="e">
        <f>IF($Q414=1,0,VLOOKUP($J414,'Points Table C'!$C$3:$E$18,3))</f>
        <v>#N/A</v>
      </c>
      <c r="AC414" s="4">
        <f>VLOOKUP($K414,'Points Table C'!$D$3:$E$18,2)</f>
        <v>0</v>
      </c>
      <c r="AD414" s="4" t="e">
        <f>IF($Z414&lt;Lookups!$C$106,($AA414+AB414+AC414),IF($AA414&gt;=Lookups!$C$120,($AA414+AB414+AC414),$AA414+$AB414))</f>
        <v>#N/A</v>
      </c>
      <c r="AF414" s="7"/>
      <c r="AG414" s="7"/>
      <c r="AH414" s="7"/>
      <c r="AI414" s="7"/>
      <c r="AJ414" s="7"/>
      <c r="AK414" s="7"/>
      <c r="AL414" s="7"/>
      <c r="AM414" s="7"/>
      <c r="AN414" s="7"/>
      <c r="AO414" s="7"/>
      <c r="AP414" s="7"/>
      <c r="AQ414" s="7"/>
      <c r="AR414" s="7"/>
      <c r="AS414" s="7"/>
      <c r="AT414" s="7"/>
      <c r="AU414" s="7"/>
      <c r="AV414" s="7"/>
      <c r="AW414" s="7"/>
      <c r="AY414" s="7"/>
      <c r="AZ414" s="7"/>
      <c r="BA414" s="7"/>
      <c r="BB414" s="7"/>
    </row>
    <row r="415" spans="2:54" x14ac:dyDescent="0.2">
      <c r="B415" s="174"/>
      <c r="C415" s="176"/>
      <c r="F415" s="5">
        <v>0</v>
      </c>
      <c r="G415" s="192">
        <v>0</v>
      </c>
      <c r="H415" s="192">
        <v>0</v>
      </c>
      <c r="I415" s="5">
        <v>0</v>
      </c>
      <c r="J415" s="192">
        <v>0</v>
      </c>
      <c r="K415" s="192">
        <v>0</v>
      </c>
      <c r="L415" s="5">
        <v>0</v>
      </c>
      <c r="M415" s="5">
        <v>0</v>
      </c>
      <c r="N415" s="4" t="e">
        <f t="shared" si="36"/>
        <v>#N/A</v>
      </c>
      <c r="O415" s="4" t="e">
        <f>IF(ROUND(10.499-(((N415-VLOOKUP($C415,Lookups!$A$55:$D$64,3))/(VLOOKUP($C415,Lookups!$A$55:$D$64,4))*VLOOKUP($C415,Lookups!$C$2:$D$11,2))),0)&lt;1,1,IF(ROUND(10.499-(((N415-VLOOKUP($C415,Lookups!$A$55:$D$64,3))/(VLOOKUP($C415,Lookups!$A$55:$D$64,4))*VLOOKUP($C415,Lookups!$C$2:$D$11,2))),0)&lt;11,ROUND(10.499-(((N415-VLOOKUP($C415,Lookups!$A$55:$D$64,3))/(VLOOKUP($C415,Lookups!$A$55:$D$64,4))*VLOOKUP($C415,Lookups!$C$2:$D$11,2))),0),10))</f>
        <v>#N/A</v>
      </c>
      <c r="P415" s="13" t="str">
        <f>IF((SUM(F415:M415)=0),"J",VLOOKUP(O415,Lookups!$A$1:$B$11,2))</f>
        <v>J</v>
      </c>
      <c r="Q415" s="8" t="e">
        <f>VLOOKUP(C415,Lookups!$A$136:$C$144,3)</f>
        <v>#N/A</v>
      </c>
      <c r="R415" s="8" t="e">
        <f>VLOOKUP(C415,Lookups!$A$136:$C$144,2)</f>
        <v>#N/A</v>
      </c>
      <c r="S415" s="4" t="str">
        <f t="shared" si="37"/>
        <v>No</v>
      </c>
      <c r="T415" s="125">
        <f t="shared" si="38"/>
        <v>0</v>
      </c>
      <c r="U415" s="125">
        <f t="shared" si="39"/>
        <v>0</v>
      </c>
      <c r="V415" s="4" t="e">
        <f>IF($Q415&lt;&gt;3,VLOOKUP(F415,'Points Table A'!B$3:$F$33,5),VLOOKUP(F415,'Points Table A'!H$3:$L$33,5))</f>
        <v>#N/A</v>
      </c>
      <c r="W415" s="4" t="e">
        <f>IF($Q415&lt;&gt;3,VLOOKUP(G415,'Points Table A'!C$3:$F$33,4),VLOOKUP(G415,'Points Table A'!I$3:$L$33,4))</f>
        <v>#N/A</v>
      </c>
      <c r="X415" s="4" t="e">
        <f>IF($Q415&lt;&gt;3,VLOOKUP(H415,'Points Table A'!D$3:$F$28,3),VLOOKUP(H415,'Points Table A'!J$3:$L$33,3))</f>
        <v>#N/A</v>
      </c>
      <c r="Y415" s="4" t="e">
        <f>IF($Q415&lt;&gt;3,VLOOKUP(I415,'Points Table A'!E$3:$F$33,2),VLOOKUP(I415,'Points Table A'!K$3:$L$33,2))</f>
        <v>#N/A</v>
      </c>
      <c r="Z415" s="4" t="e">
        <f t="shared" si="40"/>
        <v>#N/A</v>
      </c>
      <c r="AA415" s="4">
        <f>IF($S415=Lookups!$B$113,VLOOKUP(L415,'Points Table C'!A$3:$E$11,5),VLOOKUP(U415,'Points Table C'!B$3:$E$11,4))</f>
        <v>0</v>
      </c>
      <c r="AB415" s="4" t="e">
        <f>IF($Q415=1,0,VLOOKUP($J415,'Points Table C'!$C$3:$E$18,3))</f>
        <v>#N/A</v>
      </c>
      <c r="AC415" s="4">
        <f>VLOOKUP($K415,'Points Table C'!$D$3:$E$18,2)</f>
        <v>0</v>
      </c>
      <c r="AD415" s="4" t="e">
        <f>IF($Z415&lt;Lookups!$C$106,($AA415+AB415+AC415),IF($AA415&gt;=Lookups!$C$120,($AA415+AB415+AC415),$AA415+$AB415))</f>
        <v>#N/A</v>
      </c>
      <c r="AF415" s="7"/>
      <c r="AG415" s="7"/>
      <c r="AH415" s="7"/>
      <c r="AI415" s="7"/>
      <c r="AJ415" s="7"/>
      <c r="AK415" s="7"/>
      <c r="AL415" s="7"/>
      <c r="AM415" s="7"/>
      <c r="AN415" s="7"/>
      <c r="AO415" s="7"/>
      <c r="AP415" s="7"/>
      <c r="AQ415" s="7"/>
      <c r="AR415" s="7"/>
      <c r="AS415" s="7"/>
      <c r="AT415" s="7"/>
      <c r="AU415" s="7"/>
      <c r="AV415" s="7"/>
      <c r="AW415" s="7"/>
      <c r="AY415" s="7"/>
      <c r="AZ415" s="7"/>
      <c r="BA415" s="7"/>
      <c r="BB415" s="7"/>
    </row>
    <row r="416" spans="2:54" x14ac:dyDescent="0.2">
      <c r="B416" s="174"/>
      <c r="C416" s="176"/>
      <c r="F416" s="5">
        <v>0</v>
      </c>
      <c r="G416" s="192">
        <v>0</v>
      </c>
      <c r="H416" s="192">
        <v>0</v>
      </c>
      <c r="I416" s="5">
        <v>0</v>
      </c>
      <c r="J416" s="192">
        <v>0</v>
      </c>
      <c r="K416" s="192">
        <v>0</v>
      </c>
      <c r="L416" s="5">
        <v>0</v>
      </c>
      <c r="M416" s="5">
        <v>0</v>
      </c>
      <c r="N416" s="4" t="e">
        <f t="shared" si="36"/>
        <v>#N/A</v>
      </c>
      <c r="O416" s="4" t="e">
        <f>IF(ROUND(10.499-(((N416-VLOOKUP($C416,Lookups!$A$55:$D$64,3))/(VLOOKUP($C416,Lookups!$A$55:$D$64,4))*VLOOKUP($C416,Lookups!$C$2:$D$11,2))),0)&lt;1,1,IF(ROUND(10.499-(((N416-VLOOKUP($C416,Lookups!$A$55:$D$64,3))/(VLOOKUP($C416,Lookups!$A$55:$D$64,4))*VLOOKUP($C416,Lookups!$C$2:$D$11,2))),0)&lt;11,ROUND(10.499-(((N416-VLOOKUP($C416,Lookups!$A$55:$D$64,3))/(VLOOKUP($C416,Lookups!$A$55:$D$64,4))*VLOOKUP($C416,Lookups!$C$2:$D$11,2))),0),10))</f>
        <v>#N/A</v>
      </c>
      <c r="P416" s="13" t="str">
        <f>IF((SUM(F416:M416)=0),"J",VLOOKUP(O416,Lookups!$A$1:$B$11,2))</f>
        <v>J</v>
      </c>
      <c r="Q416" s="8" t="e">
        <f>VLOOKUP(C416,Lookups!$A$136:$C$144,3)</f>
        <v>#N/A</v>
      </c>
      <c r="R416" s="8" t="e">
        <f>VLOOKUP(C416,Lookups!$A$136:$C$144,2)</f>
        <v>#N/A</v>
      </c>
      <c r="S416" s="4" t="str">
        <f t="shared" si="37"/>
        <v>No</v>
      </c>
      <c r="T416" s="125">
        <f t="shared" si="38"/>
        <v>0</v>
      </c>
      <c r="U416" s="125">
        <f t="shared" si="39"/>
        <v>0</v>
      </c>
      <c r="V416" s="4" t="e">
        <f>IF($Q416&lt;&gt;3,VLOOKUP(F416,'Points Table A'!B$3:$F$33,5),VLOOKUP(F416,'Points Table A'!H$3:$L$33,5))</f>
        <v>#N/A</v>
      </c>
      <c r="W416" s="4" t="e">
        <f>IF($Q416&lt;&gt;3,VLOOKUP(G416,'Points Table A'!C$3:$F$33,4),VLOOKUP(G416,'Points Table A'!I$3:$L$33,4))</f>
        <v>#N/A</v>
      </c>
      <c r="X416" s="4" t="e">
        <f>IF($Q416&lt;&gt;3,VLOOKUP(H416,'Points Table A'!D$3:$F$28,3),VLOOKUP(H416,'Points Table A'!J$3:$L$33,3))</f>
        <v>#N/A</v>
      </c>
      <c r="Y416" s="4" t="e">
        <f>IF($Q416&lt;&gt;3,VLOOKUP(I416,'Points Table A'!E$3:$F$33,2),VLOOKUP(I416,'Points Table A'!K$3:$L$33,2))</f>
        <v>#N/A</v>
      </c>
      <c r="Z416" s="4" t="e">
        <f t="shared" si="40"/>
        <v>#N/A</v>
      </c>
      <c r="AA416" s="4">
        <f>IF($S416=Lookups!$B$113,VLOOKUP(L416,'Points Table C'!A$3:$E$11,5),VLOOKUP(U416,'Points Table C'!B$3:$E$11,4))</f>
        <v>0</v>
      </c>
      <c r="AB416" s="4" t="e">
        <f>IF($Q416=1,0,VLOOKUP($J416,'Points Table C'!$C$3:$E$18,3))</f>
        <v>#N/A</v>
      </c>
      <c r="AC416" s="4">
        <f>VLOOKUP($K416,'Points Table C'!$D$3:$E$18,2)</f>
        <v>0</v>
      </c>
      <c r="AD416" s="4" t="e">
        <f>IF($Z416&lt;Lookups!$C$106,($AA416+AB416+AC416),IF($AA416&gt;=Lookups!$C$120,($AA416+AB416+AC416),$AA416+$AB416))</f>
        <v>#N/A</v>
      </c>
      <c r="AF416" s="7"/>
      <c r="AG416" s="7"/>
      <c r="AH416" s="7"/>
      <c r="AI416" s="7"/>
      <c r="AJ416" s="7"/>
      <c r="AK416" s="7"/>
      <c r="AL416" s="7"/>
      <c r="AM416" s="7"/>
      <c r="AN416" s="7"/>
      <c r="AO416" s="7"/>
      <c r="AP416" s="7"/>
      <c r="AQ416" s="7"/>
      <c r="AR416" s="7"/>
      <c r="AS416" s="7"/>
      <c r="AT416" s="7"/>
      <c r="AU416" s="7"/>
      <c r="AV416" s="7"/>
      <c r="AW416" s="7"/>
      <c r="AY416" s="7"/>
      <c r="AZ416" s="7"/>
      <c r="BA416" s="7"/>
      <c r="BB416" s="7"/>
    </row>
    <row r="417" spans="2:54" x14ac:dyDescent="0.2">
      <c r="B417" s="174"/>
      <c r="C417" s="176"/>
      <c r="F417" s="5">
        <v>0</v>
      </c>
      <c r="G417" s="192">
        <v>0</v>
      </c>
      <c r="H417" s="192">
        <v>0</v>
      </c>
      <c r="I417" s="5">
        <v>0</v>
      </c>
      <c r="J417" s="192">
        <v>0</v>
      </c>
      <c r="K417" s="192">
        <v>0</v>
      </c>
      <c r="L417" s="5">
        <v>0</v>
      </c>
      <c r="M417" s="5">
        <v>0</v>
      </c>
      <c r="N417" s="4" t="e">
        <f t="shared" si="36"/>
        <v>#N/A</v>
      </c>
      <c r="O417" s="4" t="e">
        <f>IF(ROUND(10.499-(((N417-VLOOKUP($C417,Lookups!$A$55:$D$64,3))/(VLOOKUP($C417,Lookups!$A$55:$D$64,4))*VLOOKUP($C417,Lookups!$C$2:$D$11,2))),0)&lt;1,1,IF(ROUND(10.499-(((N417-VLOOKUP($C417,Lookups!$A$55:$D$64,3))/(VLOOKUP($C417,Lookups!$A$55:$D$64,4))*VLOOKUP($C417,Lookups!$C$2:$D$11,2))),0)&lt;11,ROUND(10.499-(((N417-VLOOKUP($C417,Lookups!$A$55:$D$64,3))/(VLOOKUP($C417,Lookups!$A$55:$D$64,4))*VLOOKUP($C417,Lookups!$C$2:$D$11,2))),0),10))</f>
        <v>#N/A</v>
      </c>
      <c r="P417" s="13" t="str">
        <f>IF((SUM(F417:M417)=0),"J",VLOOKUP(O417,Lookups!$A$1:$B$11,2))</f>
        <v>J</v>
      </c>
      <c r="Q417" s="8" t="e">
        <f>VLOOKUP(C417,Lookups!$A$136:$C$144,3)</f>
        <v>#N/A</v>
      </c>
      <c r="R417" s="8" t="e">
        <f>VLOOKUP(C417,Lookups!$A$136:$C$144,2)</f>
        <v>#N/A</v>
      </c>
      <c r="S417" s="4" t="str">
        <f t="shared" si="37"/>
        <v>No</v>
      </c>
      <c r="T417" s="125">
        <f t="shared" si="38"/>
        <v>0</v>
      </c>
      <c r="U417" s="125">
        <f t="shared" si="39"/>
        <v>0</v>
      </c>
      <c r="V417" s="4" t="e">
        <f>IF($Q417&lt;&gt;3,VLOOKUP(F417,'Points Table A'!B$3:$F$33,5),VLOOKUP(F417,'Points Table A'!H$3:$L$33,5))</f>
        <v>#N/A</v>
      </c>
      <c r="W417" s="4" t="e">
        <f>IF($Q417&lt;&gt;3,VLOOKUP(G417,'Points Table A'!C$3:$F$33,4),VLOOKUP(G417,'Points Table A'!I$3:$L$33,4))</f>
        <v>#N/A</v>
      </c>
      <c r="X417" s="4" t="e">
        <f>IF($Q417&lt;&gt;3,VLOOKUP(H417,'Points Table A'!D$3:$F$28,3),VLOOKUP(H417,'Points Table A'!J$3:$L$33,3))</f>
        <v>#N/A</v>
      </c>
      <c r="Y417" s="4" t="e">
        <f>IF($Q417&lt;&gt;3,VLOOKUP(I417,'Points Table A'!E$3:$F$33,2),VLOOKUP(I417,'Points Table A'!K$3:$L$33,2))</f>
        <v>#N/A</v>
      </c>
      <c r="Z417" s="4" t="e">
        <f t="shared" si="40"/>
        <v>#N/A</v>
      </c>
      <c r="AA417" s="4">
        <f>IF($S417=Lookups!$B$113,VLOOKUP(L417,'Points Table C'!A$3:$E$11,5),VLOOKUP(U417,'Points Table C'!B$3:$E$11,4))</f>
        <v>0</v>
      </c>
      <c r="AB417" s="4" t="e">
        <f>IF($Q417=1,0,VLOOKUP($J417,'Points Table C'!$C$3:$E$18,3))</f>
        <v>#N/A</v>
      </c>
      <c r="AC417" s="4">
        <f>VLOOKUP($K417,'Points Table C'!$D$3:$E$18,2)</f>
        <v>0</v>
      </c>
      <c r="AD417" s="4" t="e">
        <f>IF($Z417&lt;Lookups!$C$106,($AA417+AB417+AC417),IF($AA417&gt;=Lookups!$C$120,($AA417+AB417+AC417),$AA417+$AB417))</f>
        <v>#N/A</v>
      </c>
      <c r="AF417" s="7"/>
      <c r="AG417" s="7"/>
      <c r="AH417" s="7"/>
      <c r="AI417" s="7"/>
      <c r="AJ417" s="7"/>
      <c r="AK417" s="7"/>
      <c r="AL417" s="7"/>
      <c r="AM417" s="7"/>
      <c r="AN417" s="7"/>
      <c r="AO417" s="7"/>
      <c r="AP417" s="7"/>
      <c r="AQ417" s="7"/>
      <c r="AR417" s="7"/>
      <c r="AS417" s="7"/>
      <c r="AT417" s="7"/>
      <c r="AU417" s="7"/>
      <c r="AV417" s="7"/>
      <c r="AW417" s="7"/>
      <c r="AY417" s="7"/>
      <c r="AZ417" s="7"/>
      <c r="BA417" s="7"/>
      <c r="BB417" s="7"/>
    </row>
    <row r="418" spans="2:54" x14ac:dyDescent="0.2">
      <c r="B418" s="174"/>
      <c r="C418" s="176"/>
      <c r="F418" s="5">
        <v>0</v>
      </c>
      <c r="G418" s="192">
        <v>0</v>
      </c>
      <c r="H418" s="192">
        <v>0</v>
      </c>
      <c r="I418" s="5">
        <v>0</v>
      </c>
      <c r="J418" s="192">
        <v>0</v>
      </c>
      <c r="K418" s="192">
        <v>0</v>
      </c>
      <c r="L418" s="5">
        <v>0</v>
      </c>
      <c r="M418" s="5">
        <v>0</v>
      </c>
      <c r="N418" s="4" t="e">
        <f t="shared" si="36"/>
        <v>#N/A</v>
      </c>
      <c r="O418" s="4" t="e">
        <f>IF(ROUND(10.499-(((N418-VLOOKUP($C418,Lookups!$A$55:$D$64,3))/(VLOOKUP($C418,Lookups!$A$55:$D$64,4))*VLOOKUP($C418,Lookups!$C$2:$D$11,2))),0)&lt;1,1,IF(ROUND(10.499-(((N418-VLOOKUP($C418,Lookups!$A$55:$D$64,3))/(VLOOKUP($C418,Lookups!$A$55:$D$64,4))*VLOOKUP($C418,Lookups!$C$2:$D$11,2))),0)&lt;11,ROUND(10.499-(((N418-VLOOKUP($C418,Lookups!$A$55:$D$64,3))/(VLOOKUP($C418,Lookups!$A$55:$D$64,4))*VLOOKUP($C418,Lookups!$C$2:$D$11,2))),0),10))</f>
        <v>#N/A</v>
      </c>
      <c r="P418" s="13" t="str">
        <f>IF((SUM(F418:M418)=0),"J",VLOOKUP(O418,Lookups!$A$1:$B$11,2))</f>
        <v>J</v>
      </c>
      <c r="Q418" s="8" t="e">
        <f>VLOOKUP(C418,Lookups!$A$136:$C$144,3)</f>
        <v>#N/A</v>
      </c>
      <c r="R418" s="8" t="e">
        <f>VLOOKUP(C418,Lookups!$A$136:$C$144,2)</f>
        <v>#N/A</v>
      </c>
      <c r="S418" s="4" t="str">
        <f t="shared" si="37"/>
        <v>No</v>
      </c>
      <c r="T418" s="125">
        <f t="shared" si="38"/>
        <v>0</v>
      </c>
      <c r="U418" s="125">
        <f t="shared" si="39"/>
        <v>0</v>
      </c>
      <c r="V418" s="4" t="e">
        <f>IF($Q418&lt;&gt;3,VLOOKUP(F418,'Points Table A'!B$3:$F$33,5),VLOOKUP(F418,'Points Table A'!H$3:$L$33,5))</f>
        <v>#N/A</v>
      </c>
      <c r="W418" s="4" t="e">
        <f>IF($Q418&lt;&gt;3,VLOOKUP(G418,'Points Table A'!C$3:$F$33,4),VLOOKUP(G418,'Points Table A'!I$3:$L$33,4))</f>
        <v>#N/A</v>
      </c>
      <c r="X418" s="4" t="e">
        <f>IF($Q418&lt;&gt;3,VLOOKUP(H418,'Points Table A'!D$3:$F$28,3),VLOOKUP(H418,'Points Table A'!J$3:$L$33,3))</f>
        <v>#N/A</v>
      </c>
      <c r="Y418" s="4" t="e">
        <f>IF($Q418&lt;&gt;3,VLOOKUP(I418,'Points Table A'!E$3:$F$33,2),VLOOKUP(I418,'Points Table A'!K$3:$L$33,2))</f>
        <v>#N/A</v>
      </c>
      <c r="Z418" s="4" t="e">
        <f t="shared" si="40"/>
        <v>#N/A</v>
      </c>
      <c r="AA418" s="4">
        <f>IF($S418=Lookups!$B$113,VLOOKUP(L418,'Points Table C'!A$3:$E$11,5),VLOOKUP(U418,'Points Table C'!B$3:$E$11,4))</f>
        <v>0</v>
      </c>
      <c r="AB418" s="4" t="e">
        <f>IF($Q418=1,0,VLOOKUP($J418,'Points Table C'!$C$3:$E$18,3))</f>
        <v>#N/A</v>
      </c>
      <c r="AC418" s="4">
        <f>VLOOKUP($K418,'Points Table C'!$D$3:$E$18,2)</f>
        <v>0</v>
      </c>
      <c r="AD418" s="4" t="e">
        <f>IF($Z418&lt;Lookups!$C$106,($AA418+AB418+AC418),IF($AA418&gt;=Lookups!$C$120,($AA418+AB418+AC418),$AA418+$AB418))</f>
        <v>#N/A</v>
      </c>
      <c r="AF418" s="7"/>
      <c r="AG418" s="7"/>
      <c r="AH418" s="7"/>
      <c r="AI418" s="7"/>
      <c r="AJ418" s="7"/>
      <c r="AK418" s="7"/>
      <c r="AL418" s="7"/>
      <c r="AM418" s="7"/>
      <c r="AN418" s="7"/>
      <c r="AO418" s="7"/>
      <c r="AP418" s="7"/>
      <c r="AQ418" s="7"/>
      <c r="AR418" s="7"/>
      <c r="AS418" s="7"/>
      <c r="AT418" s="7"/>
      <c r="AU418" s="7"/>
      <c r="AV418" s="7"/>
      <c r="AW418" s="7"/>
      <c r="AY418" s="7"/>
      <c r="AZ418" s="7"/>
      <c r="BA418" s="7"/>
      <c r="BB418" s="7"/>
    </row>
    <row r="419" spans="2:54" x14ac:dyDescent="0.2">
      <c r="B419" s="174"/>
      <c r="C419" s="176"/>
      <c r="F419" s="5">
        <v>0</v>
      </c>
      <c r="G419" s="192">
        <v>0</v>
      </c>
      <c r="H419" s="192">
        <v>0</v>
      </c>
      <c r="I419" s="5">
        <v>0</v>
      </c>
      <c r="J419" s="192">
        <v>0</v>
      </c>
      <c r="K419" s="192">
        <v>0</v>
      </c>
      <c r="L419" s="5">
        <v>0</v>
      </c>
      <c r="M419" s="5">
        <v>0</v>
      </c>
      <c r="N419" s="4" t="e">
        <f t="shared" si="36"/>
        <v>#N/A</v>
      </c>
      <c r="O419" s="4" t="e">
        <f>IF(ROUND(10.499-(((N419-VLOOKUP($C419,Lookups!$A$55:$D$64,3))/(VLOOKUP($C419,Lookups!$A$55:$D$64,4))*VLOOKUP($C419,Lookups!$C$2:$D$11,2))),0)&lt;1,1,IF(ROUND(10.499-(((N419-VLOOKUP($C419,Lookups!$A$55:$D$64,3))/(VLOOKUP($C419,Lookups!$A$55:$D$64,4))*VLOOKUP($C419,Lookups!$C$2:$D$11,2))),0)&lt;11,ROUND(10.499-(((N419-VLOOKUP($C419,Lookups!$A$55:$D$64,3))/(VLOOKUP($C419,Lookups!$A$55:$D$64,4))*VLOOKUP($C419,Lookups!$C$2:$D$11,2))),0),10))</f>
        <v>#N/A</v>
      </c>
      <c r="P419" s="13" t="str">
        <f>IF((SUM(F419:M419)=0),"J",VLOOKUP(O419,Lookups!$A$1:$B$11,2))</f>
        <v>J</v>
      </c>
      <c r="Q419" s="8" t="e">
        <f>VLOOKUP(C419,Lookups!$A$136:$C$144,3)</f>
        <v>#N/A</v>
      </c>
      <c r="R419" s="8" t="e">
        <f>VLOOKUP(C419,Lookups!$A$136:$C$144,2)</f>
        <v>#N/A</v>
      </c>
      <c r="S419" s="4" t="str">
        <f t="shared" si="37"/>
        <v>No</v>
      </c>
      <c r="T419" s="125">
        <f t="shared" si="38"/>
        <v>0</v>
      </c>
      <c r="U419" s="125">
        <f t="shared" si="39"/>
        <v>0</v>
      </c>
      <c r="V419" s="4" t="e">
        <f>IF($Q419&lt;&gt;3,VLOOKUP(F419,'Points Table A'!B$3:$F$33,5),VLOOKUP(F419,'Points Table A'!H$3:$L$33,5))</f>
        <v>#N/A</v>
      </c>
      <c r="W419" s="4" t="e">
        <f>IF($Q419&lt;&gt;3,VLOOKUP(G419,'Points Table A'!C$3:$F$33,4),VLOOKUP(G419,'Points Table A'!I$3:$L$33,4))</f>
        <v>#N/A</v>
      </c>
      <c r="X419" s="4" t="e">
        <f>IF($Q419&lt;&gt;3,VLOOKUP(H419,'Points Table A'!D$3:$F$28,3),VLOOKUP(H419,'Points Table A'!J$3:$L$33,3))</f>
        <v>#N/A</v>
      </c>
      <c r="Y419" s="4" t="e">
        <f>IF($Q419&lt;&gt;3,VLOOKUP(I419,'Points Table A'!E$3:$F$33,2),VLOOKUP(I419,'Points Table A'!K$3:$L$33,2))</f>
        <v>#N/A</v>
      </c>
      <c r="Z419" s="4" t="e">
        <f t="shared" si="40"/>
        <v>#N/A</v>
      </c>
      <c r="AA419" s="4">
        <f>IF($S419=Lookups!$B$113,VLOOKUP(L419,'Points Table C'!A$3:$E$11,5),VLOOKUP(U419,'Points Table C'!B$3:$E$11,4))</f>
        <v>0</v>
      </c>
      <c r="AB419" s="4" t="e">
        <f>IF($Q419=1,0,VLOOKUP($J419,'Points Table C'!$C$3:$E$18,3))</f>
        <v>#N/A</v>
      </c>
      <c r="AC419" s="4">
        <f>VLOOKUP($K419,'Points Table C'!$D$3:$E$18,2)</f>
        <v>0</v>
      </c>
      <c r="AD419" s="4" t="e">
        <f>IF($Z419&lt;Lookups!$C$106,($AA419+AB419+AC419),IF($AA419&gt;=Lookups!$C$120,($AA419+AB419+AC419),$AA419+$AB419))</f>
        <v>#N/A</v>
      </c>
      <c r="AF419" s="7"/>
      <c r="AG419" s="7"/>
      <c r="AH419" s="7"/>
      <c r="AI419" s="7"/>
      <c r="AJ419" s="7"/>
      <c r="AK419" s="7"/>
      <c r="AL419" s="7"/>
      <c r="AM419" s="7"/>
      <c r="AN419" s="7"/>
      <c r="AO419" s="7"/>
      <c r="AP419" s="7"/>
      <c r="AQ419" s="7"/>
      <c r="AR419" s="7"/>
      <c r="AS419" s="7"/>
      <c r="AT419" s="7"/>
      <c r="AU419" s="7"/>
      <c r="AV419" s="7"/>
      <c r="AW419" s="7"/>
      <c r="AY419" s="7"/>
      <c r="AZ419" s="7"/>
      <c r="BA419" s="7"/>
      <c r="BB419" s="7"/>
    </row>
    <row r="420" spans="2:54" x14ac:dyDescent="0.2">
      <c r="B420" s="174"/>
      <c r="C420" s="176"/>
      <c r="F420" s="5">
        <v>0</v>
      </c>
      <c r="G420" s="192">
        <v>0</v>
      </c>
      <c r="H420" s="192">
        <v>0</v>
      </c>
      <c r="I420" s="5">
        <v>0</v>
      </c>
      <c r="J420" s="192">
        <v>0</v>
      </c>
      <c r="K420" s="192">
        <v>0</v>
      </c>
      <c r="L420" s="5">
        <v>0</v>
      </c>
      <c r="M420" s="5">
        <v>0</v>
      </c>
      <c r="N420" s="4" t="e">
        <f t="shared" si="36"/>
        <v>#N/A</v>
      </c>
      <c r="O420" s="4" t="e">
        <f>IF(ROUND(10.499-(((N420-VLOOKUP($C420,Lookups!$A$55:$D$64,3))/(VLOOKUP($C420,Lookups!$A$55:$D$64,4))*VLOOKUP($C420,Lookups!$C$2:$D$11,2))),0)&lt;1,1,IF(ROUND(10.499-(((N420-VLOOKUP($C420,Lookups!$A$55:$D$64,3))/(VLOOKUP($C420,Lookups!$A$55:$D$64,4))*VLOOKUP($C420,Lookups!$C$2:$D$11,2))),0)&lt;11,ROUND(10.499-(((N420-VLOOKUP($C420,Lookups!$A$55:$D$64,3))/(VLOOKUP($C420,Lookups!$A$55:$D$64,4))*VLOOKUP($C420,Lookups!$C$2:$D$11,2))),0),10))</f>
        <v>#N/A</v>
      </c>
      <c r="P420" s="13" t="str">
        <f>IF((SUM(F420:M420)=0),"J",VLOOKUP(O420,Lookups!$A$1:$B$11,2))</f>
        <v>J</v>
      </c>
      <c r="Q420" s="8" t="e">
        <f>VLOOKUP(C420,Lookups!$A$136:$C$144,3)</f>
        <v>#N/A</v>
      </c>
      <c r="R420" s="8" t="e">
        <f>VLOOKUP(C420,Lookups!$A$136:$C$144,2)</f>
        <v>#N/A</v>
      </c>
      <c r="S420" s="4" t="str">
        <f t="shared" si="37"/>
        <v>No</v>
      </c>
      <c r="T420" s="125">
        <f t="shared" si="38"/>
        <v>0</v>
      </c>
      <c r="U420" s="125">
        <f t="shared" si="39"/>
        <v>0</v>
      </c>
      <c r="V420" s="4" t="e">
        <f>IF($Q420&lt;&gt;3,VLOOKUP(F420,'Points Table A'!B$3:$F$33,5),VLOOKUP(F420,'Points Table A'!H$3:$L$33,5))</f>
        <v>#N/A</v>
      </c>
      <c r="W420" s="4" t="e">
        <f>IF($Q420&lt;&gt;3,VLOOKUP(G420,'Points Table A'!C$3:$F$33,4),VLOOKUP(G420,'Points Table A'!I$3:$L$33,4))</f>
        <v>#N/A</v>
      </c>
      <c r="X420" s="4" t="e">
        <f>IF($Q420&lt;&gt;3,VLOOKUP(H420,'Points Table A'!D$3:$F$28,3),VLOOKUP(H420,'Points Table A'!J$3:$L$33,3))</f>
        <v>#N/A</v>
      </c>
      <c r="Y420" s="4" t="e">
        <f>IF($Q420&lt;&gt;3,VLOOKUP(I420,'Points Table A'!E$3:$F$33,2),VLOOKUP(I420,'Points Table A'!K$3:$L$33,2))</f>
        <v>#N/A</v>
      </c>
      <c r="Z420" s="4" t="e">
        <f t="shared" si="40"/>
        <v>#N/A</v>
      </c>
      <c r="AA420" s="4">
        <f>IF($S420=Lookups!$B$113,VLOOKUP(L420,'Points Table C'!A$3:$E$11,5),VLOOKUP(U420,'Points Table C'!B$3:$E$11,4))</f>
        <v>0</v>
      </c>
      <c r="AB420" s="4" t="e">
        <f>IF($Q420=1,0,VLOOKUP($J420,'Points Table C'!$C$3:$E$18,3))</f>
        <v>#N/A</v>
      </c>
      <c r="AC420" s="4">
        <f>VLOOKUP($K420,'Points Table C'!$D$3:$E$18,2)</f>
        <v>0</v>
      </c>
      <c r="AD420" s="4" t="e">
        <f>IF($Z420&lt;Lookups!$C$106,($AA420+AB420+AC420),IF($AA420&gt;=Lookups!$C$120,($AA420+AB420+AC420),$AA420+$AB420))</f>
        <v>#N/A</v>
      </c>
      <c r="AF420" s="7"/>
      <c r="AG420" s="7"/>
      <c r="AH420" s="7"/>
      <c r="AI420" s="7"/>
      <c r="AJ420" s="7"/>
      <c r="AK420" s="7"/>
      <c r="AL420" s="7"/>
      <c r="AM420" s="7"/>
      <c r="AN420" s="7"/>
      <c r="AO420" s="7"/>
      <c r="AP420" s="7"/>
      <c r="AQ420" s="7"/>
      <c r="AR420" s="7"/>
      <c r="AS420" s="7"/>
      <c r="AT420" s="7"/>
      <c r="AU420" s="7"/>
      <c r="AV420" s="7"/>
      <c r="AW420" s="7"/>
      <c r="AY420" s="7"/>
      <c r="AZ420" s="7"/>
      <c r="BA420" s="7"/>
      <c r="BB420" s="7"/>
    </row>
    <row r="421" spans="2:54" x14ac:dyDescent="0.2">
      <c r="B421" s="174"/>
      <c r="C421" s="176"/>
      <c r="F421" s="5">
        <v>0</v>
      </c>
      <c r="G421" s="192">
        <v>0</v>
      </c>
      <c r="H421" s="192">
        <v>0</v>
      </c>
      <c r="I421" s="5">
        <v>0</v>
      </c>
      <c r="J421" s="192">
        <v>0</v>
      </c>
      <c r="K421" s="192">
        <v>0</v>
      </c>
      <c r="L421" s="5">
        <v>0</v>
      </c>
      <c r="M421" s="5">
        <v>0</v>
      </c>
      <c r="N421" s="4" t="e">
        <f t="shared" si="36"/>
        <v>#N/A</v>
      </c>
      <c r="O421" s="4" t="e">
        <f>IF(ROUND(10.499-(((N421-VLOOKUP($C421,Lookups!$A$55:$D$64,3))/(VLOOKUP($C421,Lookups!$A$55:$D$64,4))*VLOOKUP($C421,Lookups!$C$2:$D$11,2))),0)&lt;1,1,IF(ROUND(10.499-(((N421-VLOOKUP($C421,Lookups!$A$55:$D$64,3))/(VLOOKUP($C421,Lookups!$A$55:$D$64,4))*VLOOKUP($C421,Lookups!$C$2:$D$11,2))),0)&lt;11,ROUND(10.499-(((N421-VLOOKUP($C421,Lookups!$A$55:$D$64,3))/(VLOOKUP($C421,Lookups!$A$55:$D$64,4))*VLOOKUP($C421,Lookups!$C$2:$D$11,2))),0),10))</f>
        <v>#N/A</v>
      </c>
      <c r="P421" s="13" t="str">
        <f>IF((SUM(F421:M421)=0),"J",VLOOKUP(O421,Lookups!$A$1:$B$11,2))</f>
        <v>J</v>
      </c>
      <c r="Q421" s="8" t="e">
        <f>VLOOKUP(C421,Lookups!$A$136:$C$144,3)</f>
        <v>#N/A</v>
      </c>
      <c r="R421" s="8" t="e">
        <f>VLOOKUP(C421,Lookups!$A$136:$C$144,2)</f>
        <v>#N/A</v>
      </c>
      <c r="S421" s="4" t="str">
        <f t="shared" si="37"/>
        <v>No</v>
      </c>
      <c r="T421" s="125">
        <f t="shared" si="38"/>
        <v>0</v>
      </c>
      <c r="U421" s="125">
        <f t="shared" si="39"/>
        <v>0</v>
      </c>
      <c r="V421" s="4" t="e">
        <f>IF($Q421&lt;&gt;3,VLOOKUP(F421,'Points Table A'!B$3:$F$33,5),VLOOKUP(F421,'Points Table A'!H$3:$L$33,5))</f>
        <v>#N/A</v>
      </c>
      <c r="W421" s="4" t="e">
        <f>IF($Q421&lt;&gt;3,VLOOKUP(G421,'Points Table A'!C$3:$F$33,4),VLOOKUP(G421,'Points Table A'!I$3:$L$33,4))</f>
        <v>#N/A</v>
      </c>
      <c r="X421" s="4" t="e">
        <f>IF($Q421&lt;&gt;3,VLOOKUP(H421,'Points Table A'!D$3:$F$28,3),VLOOKUP(H421,'Points Table A'!J$3:$L$33,3))</f>
        <v>#N/A</v>
      </c>
      <c r="Y421" s="4" t="e">
        <f>IF($Q421&lt;&gt;3,VLOOKUP(I421,'Points Table A'!E$3:$F$33,2),VLOOKUP(I421,'Points Table A'!K$3:$L$33,2))</f>
        <v>#N/A</v>
      </c>
      <c r="Z421" s="4" t="e">
        <f t="shared" si="40"/>
        <v>#N/A</v>
      </c>
      <c r="AA421" s="4">
        <f>IF($S421=Lookups!$B$113,VLOOKUP(L421,'Points Table C'!A$3:$E$11,5),VLOOKUP(U421,'Points Table C'!B$3:$E$11,4))</f>
        <v>0</v>
      </c>
      <c r="AB421" s="4" t="e">
        <f>IF($Q421=1,0,VLOOKUP($J421,'Points Table C'!$C$3:$E$18,3))</f>
        <v>#N/A</v>
      </c>
      <c r="AC421" s="4">
        <f>VLOOKUP($K421,'Points Table C'!$D$3:$E$18,2)</f>
        <v>0</v>
      </c>
      <c r="AD421" s="4" t="e">
        <f>IF($Z421&lt;Lookups!$C$106,($AA421+AB421+AC421),IF($AA421&gt;=Lookups!$C$120,($AA421+AB421+AC421),$AA421+$AB421))</f>
        <v>#N/A</v>
      </c>
      <c r="AF421" s="7"/>
      <c r="AG421" s="7"/>
      <c r="AH421" s="7"/>
      <c r="AI421" s="7"/>
      <c r="AJ421" s="7"/>
      <c r="AK421" s="7"/>
      <c r="AL421" s="7"/>
      <c r="AM421" s="7"/>
      <c r="AN421" s="7"/>
      <c r="AO421" s="7"/>
      <c r="AP421" s="7"/>
      <c r="AQ421" s="7"/>
      <c r="AR421" s="7"/>
      <c r="AS421" s="7"/>
      <c r="AT421" s="7"/>
      <c r="AU421" s="7"/>
      <c r="AV421" s="7"/>
      <c r="AW421" s="7"/>
      <c r="AY421" s="7"/>
      <c r="AZ421" s="7"/>
      <c r="BA421" s="7"/>
      <c r="BB421" s="7"/>
    </row>
    <row r="422" spans="2:54" x14ac:dyDescent="0.2">
      <c r="B422" s="174"/>
      <c r="C422" s="176"/>
      <c r="F422" s="5">
        <v>0</v>
      </c>
      <c r="G422" s="192">
        <v>0</v>
      </c>
      <c r="H422" s="192">
        <v>0</v>
      </c>
      <c r="I422" s="5">
        <v>0</v>
      </c>
      <c r="J422" s="192">
        <v>0</v>
      </c>
      <c r="K422" s="192">
        <v>0</v>
      </c>
      <c r="L422" s="5">
        <v>0</v>
      </c>
      <c r="M422" s="5">
        <v>0</v>
      </c>
      <c r="N422" s="4" t="e">
        <f t="shared" si="36"/>
        <v>#N/A</v>
      </c>
      <c r="O422" s="4" t="e">
        <f>IF(ROUND(10.499-(((N422-VLOOKUP($C422,Lookups!$A$55:$D$64,3))/(VLOOKUP($C422,Lookups!$A$55:$D$64,4))*VLOOKUP($C422,Lookups!$C$2:$D$11,2))),0)&lt;1,1,IF(ROUND(10.499-(((N422-VLOOKUP($C422,Lookups!$A$55:$D$64,3))/(VLOOKUP($C422,Lookups!$A$55:$D$64,4))*VLOOKUP($C422,Lookups!$C$2:$D$11,2))),0)&lt;11,ROUND(10.499-(((N422-VLOOKUP($C422,Lookups!$A$55:$D$64,3))/(VLOOKUP($C422,Lookups!$A$55:$D$64,4))*VLOOKUP($C422,Lookups!$C$2:$D$11,2))),0),10))</f>
        <v>#N/A</v>
      </c>
      <c r="P422" s="13" t="str">
        <f>IF((SUM(F422:M422)=0),"J",VLOOKUP(O422,Lookups!$A$1:$B$11,2))</f>
        <v>J</v>
      </c>
      <c r="Q422" s="8" t="e">
        <f>VLOOKUP(C422,Lookups!$A$136:$C$144,3)</f>
        <v>#N/A</v>
      </c>
      <c r="R422" s="8" t="e">
        <f>VLOOKUP(C422,Lookups!$A$136:$C$144,2)</f>
        <v>#N/A</v>
      </c>
      <c r="S422" s="4" t="str">
        <f t="shared" si="37"/>
        <v>No</v>
      </c>
      <c r="T422" s="125">
        <f t="shared" si="38"/>
        <v>0</v>
      </c>
      <c r="U422" s="125">
        <f t="shared" si="39"/>
        <v>0</v>
      </c>
      <c r="V422" s="4" t="e">
        <f>IF($Q422&lt;&gt;3,VLOOKUP(F422,'Points Table A'!B$3:$F$33,5),VLOOKUP(F422,'Points Table A'!H$3:$L$33,5))</f>
        <v>#N/A</v>
      </c>
      <c r="W422" s="4" t="e">
        <f>IF($Q422&lt;&gt;3,VLOOKUP(G422,'Points Table A'!C$3:$F$33,4),VLOOKUP(G422,'Points Table A'!I$3:$L$33,4))</f>
        <v>#N/A</v>
      </c>
      <c r="X422" s="4" t="e">
        <f>IF($Q422&lt;&gt;3,VLOOKUP(H422,'Points Table A'!D$3:$F$28,3),VLOOKUP(H422,'Points Table A'!J$3:$L$33,3))</f>
        <v>#N/A</v>
      </c>
      <c r="Y422" s="4" t="e">
        <f>IF($Q422&lt;&gt;3,VLOOKUP(I422,'Points Table A'!E$3:$F$33,2),VLOOKUP(I422,'Points Table A'!K$3:$L$33,2))</f>
        <v>#N/A</v>
      </c>
      <c r="Z422" s="4" t="e">
        <f t="shared" si="40"/>
        <v>#N/A</v>
      </c>
      <c r="AA422" s="4">
        <f>IF($S422=Lookups!$B$113,VLOOKUP(L422,'Points Table C'!A$3:$E$11,5),VLOOKUP(U422,'Points Table C'!B$3:$E$11,4))</f>
        <v>0</v>
      </c>
      <c r="AB422" s="4" t="e">
        <f>IF($Q422=1,0,VLOOKUP($J422,'Points Table C'!$C$3:$E$18,3))</f>
        <v>#N/A</v>
      </c>
      <c r="AC422" s="4">
        <f>VLOOKUP($K422,'Points Table C'!$D$3:$E$18,2)</f>
        <v>0</v>
      </c>
      <c r="AD422" s="4" t="e">
        <f>IF($Z422&lt;Lookups!$C$106,($AA422+AB422+AC422),IF($AA422&gt;=Lookups!$C$120,($AA422+AB422+AC422),$AA422+$AB422))</f>
        <v>#N/A</v>
      </c>
      <c r="AF422" s="7"/>
      <c r="AG422" s="7"/>
      <c r="AH422" s="7"/>
      <c r="AI422" s="7"/>
      <c r="AJ422" s="7"/>
      <c r="AK422" s="7"/>
      <c r="AL422" s="7"/>
      <c r="AM422" s="7"/>
      <c r="AN422" s="7"/>
      <c r="AO422" s="7"/>
      <c r="AP422" s="7"/>
      <c r="AQ422" s="7"/>
      <c r="AR422" s="7"/>
      <c r="AS422" s="7"/>
      <c r="AT422" s="7"/>
      <c r="AU422" s="7"/>
      <c r="AV422" s="7"/>
      <c r="AW422" s="7"/>
      <c r="AY422" s="7"/>
      <c r="AZ422" s="7"/>
      <c r="BA422" s="7"/>
      <c r="BB422" s="7"/>
    </row>
    <row r="423" spans="2:54" x14ac:dyDescent="0.2">
      <c r="B423" s="174"/>
      <c r="C423" s="176"/>
      <c r="F423" s="5">
        <v>0</v>
      </c>
      <c r="G423" s="192">
        <v>0</v>
      </c>
      <c r="H423" s="192">
        <v>0</v>
      </c>
      <c r="I423" s="5">
        <v>0</v>
      </c>
      <c r="J423" s="192">
        <v>0</v>
      </c>
      <c r="K423" s="192">
        <v>0</v>
      </c>
      <c r="L423" s="5">
        <v>0</v>
      </c>
      <c r="M423" s="5">
        <v>0</v>
      </c>
      <c r="N423" s="4" t="e">
        <f t="shared" si="36"/>
        <v>#N/A</v>
      </c>
      <c r="O423" s="4" t="e">
        <f>IF(ROUND(10.499-(((N423-VLOOKUP($C423,Lookups!$A$55:$D$64,3))/(VLOOKUP($C423,Lookups!$A$55:$D$64,4))*VLOOKUP($C423,Lookups!$C$2:$D$11,2))),0)&lt;1,1,IF(ROUND(10.499-(((N423-VLOOKUP($C423,Lookups!$A$55:$D$64,3))/(VLOOKUP($C423,Lookups!$A$55:$D$64,4))*VLOOKUP($C423,Lookups!$C$2:$D$11,2))),0)&lt;11,ROUND(10.499-(((N423-VLOOKUP($C423,Lookups!$A$55:$D$64,3))/(VLOOKUP($C423,Lookups!$A$55:$D$64,4))*VLOOKUP($C423,Lookups!$C$2:$D$11,2))),0),10))</f>
        <v>#N/A</v>
      </c>
      <c r="P423" s="13" t="str">
        <f>IF((SUM(F423:M423)=0),"J",VLOOKUP(O423,Lookups!$A$1:$B$11,2))</f>
        <v>J</v>
      </c>
      <c r="Q423" s="8" t="e">
        <f>VLOOKUP(C423,Lookups!$A$136:$C$144,3)</f>
        <v>#N/A</v>
      </c>
      <c r="R423" s="8" t="e">
        <f>VLOOKUP(C423,Lookups!$A$136:$C$144,2)</f>
        <v>#N/A</v>
      </c>
      <c r="S423" s="4" t="str">
        <f t="shared" si="37"/>
        <v>No</v>
      </c>
      <c r="T423" s="125">
        <f t="shared" si="38"/>
        <v>0</v>
      </c>
      <c r="U423" s="125">
        <f t="shared" si="39"/>
        <v>0</v>
      </c>
      <c r="V423" s="4" t="e">
        <f>IF($Q423&lt;&gt;3,VLOOKUP(F423,'Points Table A'!B$3:$F$33,5),VLOOKUP(F423,'Points Table A'!H$3:$L$33,5))</f>
        <v>#N/A</v>
      </c>
      <c r="W423" s="4" t="e">
        <f>IF($Q423&lt;&gt;3,VLOOKUP(G423,'Points Table A'!C$3:$F$33,4),VLOOKUP(G423,'Points Table A'!I$3:$L$33,4))</f>
        <v>#N/A</v>
      </c>
      <c r="X423" s="4" t="e">
        <f>IF($Q423&lt;&gt;3,VLOOKUP(H423,'Points Table A'!D$3:$F$28,3),VLOOKUP(H423,'Points Table A'!J$3:$L$33,3))</f>
        <v>#N/A</v>
      </c>
      <c r="Y423" s="4" t="e">
        <f>IF($Q423&lt;&gt;3,VLOOKUP(I423,'Points Table A'!E$3:$F$33,2),VLOOKUP(I423,'Points Table A'!K$3:$L$33,2))</f>
        <v>#N/A</v>
      </c>
      <c r="Z423" s="4" t="e">
        <f t="shared" si="40"/>
        <v>#N/A</v>
      </c>
      <c r="AA423" s="4">
        <f>IF($S423=Lookups!$B$113,VLOOKUP(L423,'Points Table C'!A$3:$E$11,5),VLOOKUP(U423,'Points Table C'!B$3:$E$11,4))</f>
        <v>0</v>
      </c>
      <c r="AB423" s="4" t="e">
        <f>IF($Q423=1,0,VLOOKUP($J423,'Points Table C'!$C$3:$E$18,3))</f>
        <v>#N/A</v>
      </c>
      <c r="AC423" s="4">
        <f>VLOOKUP($K423,'Points Table C'!$D$3:$E$18,2)</f>
        <v>0</v>
      </c>
      <c r="AD423" s="4" t="e">
        <f>IF($Z423&lt;Lookups!$C$106,($AA423+AB423+AC423),IF($AA423&gt;=Lookups!$C$120,($AA423+AB423+AC423),$AA423+$AB423))</f>
        <v>#N/A</v>
      </c>
      <c r="AF423" s="7"/>
      <c r="AG423" s="7"/>
      <c r="AH423" s="7"/>
      <c r="AI423" s="7"/>
      <c r="AJ423" s="7"/>
      <c r="AK423" s="7"/>
      <c r="AL423" s="7"/>
      <c r="AM423" s="7"/>
      <c r="AN423" s="7"/>
      <c r="AO423" s="7"/>
      <c r="AP423" s="7"/>
      <c r="AQ423" s="7"/>
      <c r="AR423" s="7"/>
      <c r="AS423" s="7"/>
      <c r="AT423" s="7"/>
      <c r="AU423" s="7"/>
      <c r="AV423" s="7"/>
      <c r="AW423" s="7"/>
      <c r="AY423" s="7"/>
      <c r="AZ423" s="7"/>
      <c r="BA423" s="7"/>
      <c r="BB423" s="7"/>
    </row>
    <row r="424" spans="2:54" x14ac:dyDescent="0.2">
      <c r="B424" s="174"/>
      <c r="C424" s="176"/>
      <c r="F424" s="5">
        <v>0</v>
      </c>
      <c r="G424" s="192">
        <v>0</v>
      </c>
      <c r="H424" s="192">
        <v>0</v>
      </c>
      <c r="I424" s="5">
        <v>0</v>
      </c>
      <c r="J424" s="192">
        <v>0</v>
      </c>
      <c r="K424" s="192">
        <v>0</v>
      </c>
      <c r="L424" s="5">
        <v>0</v>
      </c>
      <c r="M424" s="5">
        <v>0</v>
      </c>
      <c r="N424" s="4" t="e">
        <f t="shared" si="36"/>
        <v>#N/A</v>
      </c>
      <c r="O424" s="4" t="e">
        <f>IF(ROUND(10.499-(((N424-VLOOKUP($C424,Lookups!$A$55:$D$64,3))/(VLOOKUP($C424,Lookups!$A$55:$D$64,4))*VLOOKUP($C424,Lookups!$C$2:$D$11,2))),0)&lt;1,1,IF(ROUND(10.499-(((N424-VLOOKUP($C424,Lookups!$A$55:$D$64,3))/(VLOOKUP($C424,Lookups!$A$55:$D$64,4))*VLOOKUP($C424,Lookups!$C$2:$D$11,2))),0)&lt;11,ROUND(10.499-(((N424-VLOOKUP($C424,Lookups!$A$55:$D$64,3))/(VLOOKUP($C424,Lookups!$A$55:$D$64,4))*VLOOKUP($C424,Lookups!$C$2:$D$11,2))),0),10))</f>
        <v>#N/A</v>
      </c>
      <c r="P424" s="13" t="str">
        <f>IF((SUM(F424:M424)=0),"J",VLOOKUP(O424,Lookups!$A$1:$B$11,2))</f>
        <v>J</v>
      </c>
      <c r="Q424" s="8" t="e">
        <f>VLOOKUP(C424,Lookups!$A$136:$C$144,3)</f>
        <v>#N/A</v>
      </c>
      <c r="R424" s="8" t="e">
        <f>VLOOKUP(C424,Lookups!$A$136:$C$144,2)</f>
        <v>#N/A</v>
      </c>
      <c r="S424" s="4" t="str">
        <f t="shared" si="37"/>
        <v>No</v>
      </c>
      <c r="T424" s="125">
        <f t="shared" si="38"/>
        <v>0</v>
      </c>
      <c r="U424" s="125">
        <f t="shared" si="39"/>
        <v>0</v>
      </c>
      <c r="V424" s="4" t="e">
        <f>IF($Q424&lt;&gt;3,VLOOKUP(F424,'Points Table A'!B$3:$F$33,5),VLOOKUP(F424,'Points Table A'!H$3:$L$33,5))</f>
        <v>#N/A</v>
      </c>
      <c r="W424" s="4" t="e">
        <f>IF($Q424&lt;&gt;3,VLOOKUP(G424,'Points Table A'!C$3:$F$33,4),VLOOKUP(G424,'Points Table A'!I$3:$L$33,4))</f>
        <v>#N/A</v>
      </c>
      <c r="X424" s="4" t="e">
        <f>IF($Q424&lt;&gt;3,VLOOKUP(H424,'Points Table A'!D$3:$F$28,3),VLOOKUP(H424,'Points Table A'!J$3:$L$33,3))</f>
        <v>#N/A</v>
      </c>
      <c r="Y424" s="4" t="e">
        <f>IF($Q424&lt;&gt;3,VLOOKUP(I424,'Points Table A'!E$3:$F$33,2),VLOOKUP(I424,'Points Table A'!K$3:$L$33,2))</f>
        <v>#N/A</v>
      </c>
      <c r="Z424" s="4" t="e">
        <f t="shared" si="40"/>
        <v>#N/A</v>
      </c>
      <c r="AA424" s="4">
        <f>IF($S424=Lookups!$B$113,VLOOKUP(L424,'Points Table C'!A$3:$E$11,5),VLOOKUP(U424,'Points Table C'!B$3:$E$11,4))</f>
        <v>0</v>
      </c>
      <c r="AB424" s="4" t="e">
        <f>IF($Q424=1,0,VLOOKUP($J424,'Points Table C'!$C$3:$E$18,3))</f>
        <v>#N/A</v>
      </c>
      <c r="AC424" s="4">
        <f>VLOOKUP($K424,'Points Table C'!$D$3:$E$18,2)</f>
        <v>0</v>
      </c>
      <c r="AD424" s="4" t="e">
        <f>IF($Z424&lt;Lookups!$C$106,($AA424+AB424+AC424),IF($AA424&gt;=Lookups!$C$120,($AA424+AB424+AC424),$AA424+$AB424))</f>
        <v>#N/A</v>
      </c>
      <c r="AF424" s="7"/>
      <c r="AG424" s="7"/>
      <c r="AH424" s="7"/>
      <c r="AI424" s="7"/>
      <c r="AJ424" s="7"/>
      <c r="AK424" s="7"/>
      <c r="AL424" s="7"/>
      <c r="AM424" s="7"/>
      <c r="AN424" s="7"/>
      <c r="AO424" s="7"/>
      <c r="AP424" s="7"/>
      <c r="AQ424" s="7"/>
      <c r="AR424" s="7"/>
      <c r="AS424" s="7"/>
      <c r="AT424" s="7"/>
      <c r="AU424" s="7"/>
      <c r="AV424" s="7"/>
      <c r="AW424" s="7"/>
      <c r="AY424" s="7"/>
      <c r="AZ424" s="7"/>
      <c r="BA424" s="7"/>
      <c r="BB424" s="7"/>
    </row>
    <row r="425" spans="2:54" x14ac:dyDescent="0.2">
      <c r="B425" s="174"/>
      <c r="C425" s="176"/>
      <c r="F425" s="5">
        <v>0</v>
      </c>
      <c r="G425" s="192">
        <v>0</v>
      </c>
      <c r="H425" s="192">
        <v>0</v>
      </c>
      <c r="I425" s="5">
        <v>0</v>
      </c>
      <c r="J425" s="192">
        <v>0</v>
      </c>
      <c r="K425" s="192">
        <v>0</v>
      </c>
      <c r="L425" s="5">
        <v>0</v>
      </c>
      <c r="M425" s="5">
        <v>0</v>
      </c>
      <c r="N425" s="4" t="e">
        <f t="shared" si="36"/>
        <v>#N/A</v>
      </c>
      <c r="O425" s="4" t="e">
        <f>IF(ROUND(10.499-(((N425-VLOOKUP($C425,Lookups!$A$55:$D$64,3))/(VLOOKUP($C425,Lookups!$A$55:$D$64,4))*VLOOKUP($C425,Lookups!$C$2:$D$11,2))),0)&lt;1,1,IF(ROUND(10.499-(((N425-VLOOKUP($C425,Lookups!$A$55:$D$64,3))/(VLOOKUP($C425,Lookups!$A$55:$D$64,4))*VLOOKUP($C425,Lookups!$C$2:$D$11,2))),0)&lt;11,ROUND(10.499-(((N425-VLOOKUP($C425,Lookups!$A$55:$D$64,3))/(VLOOKUP($C425,Lookups!$A$55:$D$64,4))*VLOOKUP($C425,Lookups!$C$2:$D$11,2))),0),10))</f>
        <v>#N/A</v>
      </c>
      <c r="P425" s="13" t="str">
        <f>IF((SUM(F425:M425)=0),"J",VLOOKUP(O425,Lookups!$A$1:$B$11,2))</f>
        <v>J</v>
      </c>
      <c r="Q425" s="8" t="e">
        <f>VLOOKUP(C425,Lookups!$A$136:$C$144,3)</f>
        <v>#N/A</v>
      </c>
      <c r="R425" s="8" t="e">
        <f>VLOOKUP(C425,Lookups!$A$136:$C$144,2)</f>
        <v>#N/A</v>
      </c>
      <c r="S425" s="4" t="str">
        <f t="shared" si="37"/>
        <v>No</v>
      </c>
      <c r="T425" s="125">
        <f t="shared" si="38"/>
        <v>0</v>
      </c>
      <c r="U425" s="125">
        <f t="shared" si="39"/>
        <v>0</v>
      </c>
      <c r="V425" s="4" t="e">
        <f>IF($Q425&lt;&gt;3,VLOOKUP(F425,'Points Table A'!B$3:$F$33,5),VLOOKUP(F425,'Points Table A'!H$3:$L$33,5))</f>
        <v>#N/A</v>
      </c>
      <c r="W425" s="4" t="e">
        <f>IF($Q425&lt;&gt;3,VLOOKUP(G425,'Points Table A'!C$3:$F$33,4),VLOOKUP(G425,'Points Table A'!I$3:$L$33,4))</f>
        <v>#N/A</v>
      </c>
      <c r="X425" s="4" t="e">
        <f>IF($Q425&lt;&gt;3,VLOOKUP(H425,'Points Table A'!D$3:$F$28,3),VLOOKUP(H425,'Points Table A'!J$3:$L$33,3))</f>
        <v>#N/A</v>
      </c>
      <c r="Y425" s="4" t="e">
        <f>IF($Q425&lt;&gt;3,VLOOKUP(I425,'Points Table A'!E$3:$F$33,2),VLOOKUP(I425,'Points Table A'!K$3:$L$33,2))</f>
        <v>#N/A</v>
      </c>
      <c r="Z425" s="4" t="e">
        <f t="shared" si="40"/>
        <v>#N/A</v>
      </c>
      <c r="AA425" s="4">
        <f>IF($S425=Lookups!$B$113,VLOOKUP(L425,'Points Table C'!A$3:$E$11,5),VLOOKUP(U425,'Points Table C'!B$3:$E$11,4))</f>
        <v>0</v>
      </c>
      <c r="AB425" s="4" t="e">
        <f>IF($Q425=1,0,VLOOKUP($J425,'Points Table C'!$C$3:$E$18,3))</f>
        <v>#N/A</v>
      </c>
      <c r="AC425" s="4">
        <f>VLOOKUP($K425,'Points Table C'!$D$3:$E$18,2)</f>
        <v>0</v>
      </c>
      <c r="AD425" s="4" t="e">
        <f>IF($Z425&lt;Lookups!$C$106,($AA425+AB425+AC425),IF($AA425&gt;=Lookups!$C$120,($AA425+AB425+AC425),$AA425+$AB425))</f>
        <v>#N/A</v>
      </c>
      <c r="AF425" s="7"/>
      <c r="AG425" s="7"/>
      <c r="AH425" s="7"/>
      <c r="AI425" s="7"/>
      <c r="AJ425" s="7"/>
      <c r="AK425" s="7"/>
      <c r="AL425" s="7"/>
      <c r="AM425" s="7"/>
      <c r="AN425" s="7"/>
      <c r="AO425" s="7"/>
      <c r="AP425" s="7"/>
      <c r="AQ425" s="7"/>
      <c r="AR425" s="7"/>
      <c r="AS425" s="7"/>
      <c r="AT425" s="7"/>
      <c r="AU425" s="7"/>
      <c r="AV425" s="7"/>
      <c r="AW425" s="7"/>
      <c r="AY425" s="7"/>
      <c r="AZ425" s="7"/>
      <c r="BA425" s="7"/>
      <c r="BB425" s="7"/>
    </row>
    <row r="426" spans="2:54" x14ac:dyDescent="0.2">
      <c r="B426" s="174"/>
      <c r="C426" s="176"/>
      <c r="F426" s="5">
        <v>0</v>
      </c>
      <c r="G426" s="192">
        <v>0</v>
      </c>
      <c r="H426" s="192">
        <v>0</v>
      </c>
      <c r="I426" s="5">
        <v>0</v>
      </c>
      <c r="J426" s="192">
        <v>0</v>
      </c>
      <c r="K426" s="192">
        <v>0</v>
      </c>
      <c r="L426" s="5">
        <v>0</v>
      </c>
      <c r="M426" s="5">
        <v>0</v>
      </c>
      <c r="N426" s="4" t="e">
        <f t="shared" si="36"/>
        <v>#N/A</v>
      </c>
      <c r="O426" s="4" t="e">
        <f>IF(ROUND(10.499-(((N426-VLOOKUP($C426,Lookups!$A$55:$D$64,3))/(VLOOKUP($C426,Lookups!$A$55:$D$64,4))*VLOOKUP($C426,Lookups!$C$2:$D$11,2))),0)&lt;1,1,IF(ROUND(10.499-(((N426-VLOOKUP($C426,Lookups!$A$55:$D$64,3))/(VLOOKUP($C426,Lookups!$A$55:$D$64,4))*VLOOKUP($C426,Lookups!$C$2:$D$11,2))),0)&lt;11,ROUND(10.499-(((N426-VLOOKUP($C426,Lookups!$A$55:$D$64,3))/(VLOOKUP($C426,Lookups!$A$55:$D$64,4))*VLOOKUP($C426,Lookups!$C$2:$D$11,2))),0),10))</f>
        <v>#N/A</v>
      </c>
      <c r="P426" s="13" t="str">
        <f>IF((SUM(F426:M426)=0),"J",VLOOKUP(O426,Lookups!$A$1:$B$11,2))</f>
        <v>J</v>
      </c>
      <c r="Q426" s="8" t="e">
        <f>VLOOKUP(C426,Lookups!$A$136:$C$144,3)</f>
        <v>#N/A</v>
      </c>
      <c r="R426" s="8" t="e">
        <f>VLOOKUP(C426,Lookups!$A$136:$C$144,2)</f>
        <v>#N/A</v>
      </c>
      <c r="S426" s="4" t="str">
        <f t="shared" si="37"/>
        <v>No</v>
      </c>
      <c r="T426" s="125">
        <f t="shared" si="38"/>
        <v>0</v>
      </c>
      <c r="U426" s="125">
        <f t="shared" si="39"/>
        <v>0</v>
      </c>
      <c r="V426" s="4" t="e">
        <f>IF($Q426&lt;&gt;3,VLOOKUP(F426,'Points Table A'!B$3:$F$33,5),VLOOKUP(F426,'Points Table A'!H$3:$L$33,5))</f>
        <v>#N/A</v>
      </c>
      <c r="W426" s="4" t="e">
        <f>IF($Q426&lt;&gt;3,VLOOKUP(G426,'Points Table A'!C$3:$F$33,4),VLOOKUP(G426,'Points Table A'!I$3:$L$33,4))</f>
        <v>#N/A</v>
      </c>
      <c r="X426" s="4" t="e">
        <f>IF($Q426&lt;&gt;3,VLOOKUP(H426,'Points Table A'!D$3:$F$28,3),VLOOKUP(H426,'Points Table A'!J$3:$L$33,3))</f>
        <v>#N/A</v>
      </c>
      <c r="Y426" s="4" t="e">
        <f>IF($Q426&lt;&gt;3,VLOOKUP(I426,'Points Table A'!E$3:$F$33,2),VLOOKUP(I426,'Points Table A'!K$3:$L$33,2))</f>
        <v>#N/A</v>
      </c>
      <c r="Z426" s="4" t="e">
        <f t="shared" si="40"/>
        <v>#N/A</v>
      </c>
      <c r="AA426" s="4">
        <f>IF($S426=Lookups!$B$113,VLOOKUP(L426,'Points Table C'!A$3:$E$11,5),VLOOKUP(U426,'Points Table C'!B$3:$E$11,4))</f>
        <v>0</v>
      </c>
      <c r="AB426" s="4" t="e">
        <f>IF($Q426=1,0,VLOOKUP($J426,'Points Table C'!$C$3:$E$18,3))</f>
        <v>#N/A</v>
      </c>
      <c r="AC426" s="4">
        <f>VLOOKUP($K426,'Points Table C'!$D$3:$E$18,2)</f>
        <v>0</v>
      </c>
      <c r="AD426" s="4" t="e">
        <f>IF($Z426&lt;Lookups!$C$106,($AA426+AB426+AC426),IF($AA426&gt;=Lookups!$C$120,($AA426+AB426+AC426),$AA426+$AB426))</f>
        <v>#N/A</v>
      </c>
      <c r="AF426" s="7"/>
      <c r="AG426" s="7"/>
      <c r="AH426" s="7"/>
      <c r="AI426" s="7"/>
      <c r="AJ426" s="7"/>
      <c r="AK426" s="7"/>
      <c r="AL426" s="7"/>
      <c r="AM426" s="7"/>
      <c r="AN426" s="7"/>
      <c r="AO426" s="7"/>
      <c r="AP426" s="7"/>
      <c r="AQ426" s="7"/>
      <c r="AR426" s="7"/>
      <c r="AS426" s="7"/>
      <c r="AT426" s="7"/>
      <c r="AU426" s="7"/>
      <c r="AV426" s="7"/>
      <c r="AW426" s="7"/>
      <c r="AY426" s="7"/>
      <c r="AZ426" s="7"/>
      <c r="BA426" s="7"/>
      <c r="BB426" s="7"/>
    </row>
    <row r="427" spans="2:54" x14ac:dyDescent="0.2">
      <c r="B427" s="174"/>
      <c r="C427" s="176"/>
      <c r="F427" s="5">
        <v>0</v>
      </c>
      <c r="G427" s="192">
        <v>0</v>
      </c>
      <c r="H427" s="192">
        <v>0</v>
      </c>
      <c r="I427" s="5">
        <v>0</v>
      </c>
      <c r="J427" s="192">
        <v>0</v>
      </c>
      <c r="K427" s="192">
        <v>0</v>
      </c>
      <c r="L427" s="5">
        <v>0</v>
      </c>
      <c r="M427" s="5">
        <v>0</v>
      </c>
      <c r="N427" s="4" t="e">
        <f t="shared" si="36"/>
        <v>#N/A</v>
      </c>
      <c r="O427" s="4" t="e">
        <f>IF(ROUND(10.499-(((N427-VLOOKUP($C427,Lookups!$A$55:$D$64,3))/(VLOOKUP($C427,Lookups!$A$55:$D$64,4))*VLOOKUP($C427,Lookups!$C$2:$D$11,2))),0)&lt;1,1,IF(ROUND(10.499-(((N427-VLOOKUP($C427,Lookups!$A$55:$D$64,3))/(VLOOKUP($C427,Lookups!$A$55:$D$64,4))*VLOOKUP($C427,Lookups!$C$2:$D$11,2))),0)&lt;11,ROUND(10.499-(((N427-VLOOKUP($C427,Lookups!$A$55:$D$64,3))/(VLOOKUP($C427,Lookups!$A$55:$D$64,4))*VLOOKUP($C427,Lookups!$C$2:$D$11,2))),0),10))</f>
        <v>#N/A</v>
      </c>
      <c r="P427" s="13" t="str">
        <f>IF((SUM(F427:M427)=0),"J",VLOOKUP(O427,Lookups!$A$1:$B$11,2))</f>
        <v>J</v>
      </c>
      <c r="Q427" s="8" t="e">
        <f>VLOOKUP(C427,Lookups!$A$136:$C$144,3)</f>
        <v>#N/A</v>
      </c>
      <c r="R427" s="8" t="e">
        <f>VLOOKUP(C427,Lookups!$A$136:$C$144,2)</f>
        <v>#N/A</v>
      </c>
      <c r="S427" s="4" t="str">
        <f t="shared" si="37"/>
        <v>No</v>
      </c>
      <c r="T427" s="125">
        <f t="shared" si="38"/>
        <v>0</v>
      </c>
      <c r="U427" s="125">
        <f t="shared" si="39"/>
        <v>0</v>
      </c>
      <c r="V427" s="4" t="e">
        <f>IF($Q427&lt;&gt;3,VLOOKUP(F427,'Points Table A'!B$3:$F$33,5),VLOOKUP(F427,'Points Table A'!H$3:$L$33,5))</f>
        <v>#N/A</v>
      </c>
      <c r="W427" s="4" t="e">
        <f>IF($Q427&lt;&gt;3,VLOOKUP(G427,'Points Table A'!C$3:$F$33,4),VLOOKUP(G427,'Points Table A'!I$3:$L$33,4))</f>
        <v>#N/A</v>
      </c>
      <c r="X427" s="4" t="e">
        <f>IF($Q427&lt;&gt;3,VLOOKUP(H427,'Points Table A'!D$3:$F$28,3),VLOOKUP(H427,'Points Table A'!J$3:$L$33,3))</f>
        <v>#N/A</v>
      </c>
      <c r="Y427" s="4" t="e">
        <f>IF($Q427&lt;&gt;3,VLOOKUP(I427,'Points Table A'!E$3:$F$33,2),VLOOKUP(I427,'Points Table A'!K$3:$L$33,2))</f>
        <v>#N/A</v>
      </c>
      <c r="Z427" s="4" t="e">
        <f t="shared" si="40"/>
        <v>#N/A</v>
      </c>
      <c r="AA427" s="4">
        <f>IF($S427=Lookups!$B$113,VLOOKUP(L427,'Points Table C'!A$3:$E$11,5),VLOOKUP(U427,'Points Table C'!B$3:$E$11,4))</f>
        <v>0</v>
      </c>
      <c r="AB427" s="4" t="e">
        <f>IF($Q427=1,0,VLOOKUP($J427,'Points Table C'!$C$3:$E$18,3))</f>
        <v>#N/A</v>
      </c>
      <c r="AC427" s="4">
        <f>VLOOKUP($K427,'Points Table C'!$D$3:$E$18,2)</f>
        <v>0</v>
      </c>
      <c r="AD427" s="4" t="e">
        <f>IF($Z427&lt;Lookups!$C$106,($AA427+AB427+AC427),IF($AA427&gt;=Lookups!$C$120,($AA427+AB427+AC427),$AA427+$AB427))</f>
        <v>#N/A</v>
      </c>
      <c r="AF427" s="7"/>
      <c r="AG427" s="7"/>
      <c r="AH427" s="7"/>
      <c r="AI427" s="7"/>
      <c r="AJ427" s="7"/>
      <c r="AK427" s="7"/>
      <c r="AL427" s="7"/>
      <c r="AM427" s="7"/>
      <c r="AN427" s="7"/>
      <c r="AO427" s="7"/>
      <c r="AP427" s="7"/>
      <c r="AQ427" s="7"/>
      <c r="AR427" s="7"/>
      <c r="AS427" s="7"/>
      <c r="AT427" s="7"/>
      <c r="AU427" s="7"/>
      <c r="AV427" s="7"/>
      <c r="AW427" s="7"/>
      <c r="AY427" s="7"/>
      <c r="AZ427" s="7"/>
      <c r="BA427" s="7"/>
      <c r="BB427" s="7"/>
    </row>
    <row r="428" spans="2:54" x14ac:dyDescent="0.2">
      <c r="B428" s="174"/>
      <c r="C428" s="176"/>
      <c r="F428" s="5">
        <v>0</v>
      </c>
      <c r="G428" s="192">
        <v>0</v>
      </c>
      <c r="H428" s="192">
        <v>0</v>
      </c>
      <c r="I428" s="5">
        <v>0</v>
      </c>
      <c r="J428" s="192">
        <v>0</v>
      </c>
      <c r="K428" s="192">
        <v>0</v>
      </c>
      <c r="L428" s="5">
        <v>0</v>
      </c>
      <c r="M428" s="5">
        <v>0</v>
      </c>
      <c r="N428" s="4" t="e">
        <f t="shared" si="36"/>
        <v>#N/A</v>
      </c>
      <c r="O428" s="4" t="e">
        <f>IF(ROUND(10.499-(((N428-VLOOKUP($C428,Lookups!$A$55:$D$64,3))/(VLOOKUP($C428,Lookups!$A$55:$D$64,4))*VLOOKUP($C428,Lookups!$C$2:$D$11,2))),0)&lt;1,1,IF(ROUND(10.499-(((N428-VLOOKUP($C428,Lookups!$A$55:$D$64,3))/(VLOOKUP($C428,Lookups!$A$55:$D$64,4))*VLOOKUP($C428,Lookups!$C$2:$D$11,2))),0)&lt;11,ROUND(10.499-(((N428-VLOOKUP($C428,Lookups!$A$55:$D$64,3))/(VLOOKUP($C428,Lookups!$A$55:$D$64,4))*VLOOKUP($C428,Lookups!$C$2:$D$11,2))),0),10))</f>
        <v>#N/A</v>
      </c>
      <c r="P428" s="13" t="str">
        <f>IF((SUM(F428:M428)=0),"J",VLOOKUP(O428,Lookups!$A$1:$B$11,2))</f>
        <v>J</v>
      </c>
      <c r="Q428" s="8" t="e">
        <f>VLOOKUP(C428,Lookups!$A$136:$C$144,3)</f>
        <v>#N/A</v>
      </c>
      <c r="R428" s="8" t="e">
        <f>VLOOKUP(C428,Lookups!$A$136:$C$144,2)</f>
        <v>#N/A</v>
      </c>
      <c r="S428" s="4" t="str">
        <f t="shared" si="37"/>
        <v>No</v>
      </c>
      <c r="T428" s="125">
        <f t="shared" si="38"/>
        <v>0</v>
      </c>
      <c r="U428" s="125">
        <f t="shared" si="39"/>
        <v>0</v>
      </c>
      <c r="V428" s="4" t="e">
        <f>IF($Q428&lt;&gt;3,VLOOKUP(F428,'Points Table A'!B$3:$F$33,5),VLOOKUP(F428,'Points Table A'!H$3:$L$33,5))</f>
        <v>#N/A</v>
      </c>
      <c r="W428" s="4" t="e">
        <f>IF($Q428&lt;&gt;3,VLOOKUP(G428,'Points Table A'!C$3:$F$33,4),VLOOKUP(G428,'Points Table A'!I$3:$L$33,4))</f>
        <v>#N/A</v>
      </c>
      <c r="X428" s="4" t="e">
        <f>IF($Q428&lt;&gt;3,VLOOKUP(H428,'Points Table A'!D$3:$F$28,3),VLOOKUP(H428,'Points Table A'!J$3:$L$33,3))</f>
        <v>#N/A</v>
      </c>
      <c r="Y428" s="4" t="e">
        <f>IF($Q428&lt;&gt;3,VLOOKUP(I428,'Points Table A'!E$3:$F$33,2),VLOOKUP(I428,'Points Table A'!K$3:$L$33,2))</f>
        <v>#N/A</v>
      </c>
      <c r="Z428" s="4" t="e">
        <f t="shared" si="40"/>
        <v>#N/A</v>
      </c>
      <c r="AA428" s="4">
        <f>IF($S428=Lookups!$B$113,VLOOKUP(L428,'Points Table C'!A$3:$E$11,5),VLOOKUP(U428,'Points Table C'!B$3:$E$11,4))</f>
        <v>0</v>
      </c>
      <c r="AB428" s="4" t="e">
        <f>IF($Q428=1,0,VLOOKUP($J428,'Points Table C'!$C$3:$E$18,3))</f>
        <v>#N/A</v>
      </c>
      <c r="AC428" s="4">
        <f>VLOOKUP($K428,'Points Table C'!$D$3:$E$18,2)</f>
        <v>0</v>
      </c>
      <c r="AD428" s="4" t="e">
        <f>IF($Z428&lt;Lookups!$C$106,($AA428+AB428+AC428),IF($AA428&gt;=Lookups!$C$120,($AA428+AB428+AC428),$AA428+$AB428))</f>
        <v>#N/A</v>
      </c>
      <c r="AF428" s="7"/>
      <c r="AG428" s="7"/>
      <c r="AH428" s="7"/>
      <c r="AI428" s="7"/>
      <c r="AJ428" s="7"/>
      <c r="AK428" s="7"/>
      <c r="AL428" s="7"/>
      <c r="AM428" s="7"/>
      <c r="AN428" s="7"/>
      <c r="AO428" s="7"/>
      <c r="AP428" s="7"/>
      <c r="AQ428" s="7"/>
      <c r="AR428" s="7"/>
      <c r="AS428" s="7"/>
      <c r="AT428" s="7"/>
      <c r="AU428" s="7"/>
      <c r="AV428" s="7"/>
      <c r="AW428" s="7"/>
      <c r="AY428" s="7"/>
      <c r="AZ428" s="7"/>
      <c r="BA428" s="7"/>
      <c r="BB428" s="7"/>
    </row>
    <row r="429" spans="2:54" x14ac:dyDescent="0.2">
      <c r="B429" s="174"/>
      <c r="C429" s="176"/>
      <c r="F429" s="5">
        <v>0</v>
      </c>
      <c r="G429" s="192">
        <v>0</v>
      </c>
      <c r="H429" s="192">
        <v>0</v>
      </c>
      <c r="I429" s="5">
        <v>0</v>
      </c>
      <c r="J429" s="192">
        <v>0</v>
      </c>
      <c r="K429" s="192">
        <v>0</v>
      </c>
      <c r="L429" s="5">
        <v>0</v>
      </c>
      <c r="M429" s="5">
        <v>0</v>
      </c>
      <c r="N429" s="4" t="e">
        <f t="shared" si="36"/>
        <v>#N/A</v>
      </c>
      <c r="O429" s="4" t="e">
        <f>IF(ROUND(10.499-(((N429-VLOOKUP($C429,Lookups!$A$55:$D$64,3))/(VLOOKUP($C429,Lookups!$A$55:$D$64,4))*VLOOKUP($C429,Lookups!$C$2:$D$11,2))),0)&lt;1,1,IF(ROUND(10.499-(((N429-VLOOKUP($C429,Lookups!$A$55:$D$64,3))/(VLOOKUP($C429,Lookups!$A$55:$D$64,4))*VLOOKUP($C429,Lookups!$C$2:$D$11,2))),0)&lt;11,ROUND(10.499-(((N429-VLOOKUP($C429,Lookups!$A$55:$D$64,3))/(VLOOKUP($C429,Lookups!$A$55:$D$64,4))*VLOOKUP($C429,Lookups!$C$2:$D$11,2))),0),10))</f>
        <v>#N/A</v>
      </c>
      <c r="P429" s="13" t="str">
        <f>IF((SUM(F429:M429)=0),"J",VLOOKUP(O429,Lookups!$A$1:$B$11,2))</f>
        <v>J</v>
      </c>
      <c r="Q429" s="8" t="e">
        <f>VLOOKUP(C429,Lookups!$A$136:$C$144,3)</f>
        <v>#N/A</v>
      </c>
      <c r="R429" s="8" t="e">
        <f>VLOOKUP(C429,Lookups!$A$136:$C$144,2)</f>
        <v>#N/A</v>
      </c>
      <c r="S429" s="4" t="str">
        <f t="shared" si="37"/>
        <v>No</v>
      </c>
      <c r="T429" s="125">
        <f t="shared" si="38"/>
        <v>0</v>
      </c>
      <c r="U429" s="125">
        <f t="shared" si="39"/>
        <v>0</v>
      </c>
      <c r="V429" s="4" t="e">
        <f>IF($Q429&lt;&gt;3,VLOOKUP(F429,'Points Table A'!B$3:$F$33,5),VLOOKUP(F429,'Points Table A'!H$3:$L$33,5))</f>
        <v>#N/A</v>
      </c>
      <c r="W429" s="4" t="e">
        <f>IF($Q429&lt;&gt;3,VLOOKUP(G429,'Points Table A'!C$3:$F$33,4),VLOOKUP(G429,'Points Table A'!I$3:$L$33,4))</f>
        <v>#N/A</v>
      </c>
      <c r="X429" s="4" t="e">
        <f>IF($Q429&lt;&gt;3,VLOOKUP(H429,'Points Table A'!D$3:$F$28,3),VLOOKUP(H429,'Points Table A'!J$3:$L$33,3))</f>
        <v>#N/A</v>
      </c>
      <c r="Y429" s="4" t="e">
        <f>IF($Q429&lt;&gt;3,VLOOKUP(I429,'Points Table A'!E$3:$F$33,2),VLOOKUP(I429,'Points Table A'!K$3:$L$33,2))</f>
        <v>#N/A</v>
      </c>
      <c r="Z429" s="4" t="e">
        <f t="shared" si="40"/>
        <v>#N/A</v>
      </c>
      <c r="AA429" s="4">
        <f>IF($S429=Lookups!$B$113,VLOOKUP(L429,'Points Table C'!A$3:$E$11,5),VLOOKUP(U429,'Points Table C'!B$3:$E$11,4))</f>
        <v>0</v>
      </c>
      <c r="AB429" s="4" t="e">
        <f>IF($Q429=1,0,VLOOKUP($J429,'Points Table C'!$C$3:$E$18,3))</f>
        <v>#N/A</v>
      </c>
      <c r="AC429" s="4">
        <f>VLOOKUP($K429,'Points Table C'!$D$3:$E$18,2)</f>
        <v>0</v>
      </c>
      <c r="AD429" s="4" t="e">
        <f>IF($Z429&lt;Lookups!$C$106,($AA429+AB429+AC429),IF($AA429&gt;=Lookups!$C$120,($AA429+AB429+AC429),$AA429+$AB429))</f>
        <v>#N/A</v>
      </c>
      <c r="AF429" s="7"/>
      <c r="AG429" s="7"/>
      <c r="AH429" s="7"/>
      <c r="AI429" s="7"/>
      <c r="AJ429" s="7"/>
      <c r="AK429" s="7"/>
      <c r="AL429" s="7"/>
      <c r="AM429" s="7"/>
      <c r="AN429" s="7"/>
      <c r="AO429" s="7"/>
      <c r="AP429" s="7"/>
      <c r="AQ429" s="7"/>
      <c r="AR429" s="7"/>
      <c r="AS429" s="7"/>
      <c r="AT429" s="7"/>
      <c r="AU429" s="7"/>
      <c r="AV429" s="7"/>
      <c r="AW429" s="7"/>
      <c r="AY429" s="7"/>
      <c r="AZ429" s="7"/>
      <c r="BA429" s="7"/>
      <c r="BB429" s="7"/>
    </row>
    <row r="430" spans="2:54" x14ac:dyDescent="0.2">
      <c r="B430" s="174"/>
      <c r="C430" s="176"/>
      <c r="F430" s="5">
        <v>0</v>
      </c>
      <c r="G430" s="192">
        <v>0</v>
      </c>
      <c r="H430" s="192">
        <v>0</v>
      </c>
      <c r="I430" s="5">
        <v>0</v>
      </c>
      <c r="J430" s="192">
        <v>0</v>
      </c>
      <c r="K430" s="192">
        <v>0</v>
      </c>
      <c r="L430" s="5">
        <v>0</v>
      </c>
      <c r="M430" s="5">
        <v>0</v>
      </c>
      <c r="N430" s="4" t="e">
        <f t="shared" si="36"/>
        <v>#N/A</v>
      </c>
      <c r="O430" s="4" t="e">
        <f>IF(ROUND(10.499-(((N430-VLOOKUP($C430,Lookups!$A$55:$D$64,3))/(VLOOKUP($C430,Lookups!$A$55:$D$64,4))*VLOOKUP($C430,Lookups!$C$2:$D$11,2))),0)&lt;1,1,IF(ROUND(10.499-(((N430-VLOOKUP($C430,Lookups!$A$55:$D$64,3))/(VLOOKUP($C430,Lookups!$A$55:$D$64,4))*VLOOKUP($C430,Lookups!$C$2:$D$11,2))),0)&lt;11,ROUND(10.499-(((N430-VLOOKUP($C430,Lookups!$A$55:$D$64,3))/(VLOOKUP($C430,Lookups!$A$55:$D$64,4))*VLOOKUP($C430,Lookups!$C$2:$D$11,2))),0),10))</f>
        <v>#N/A</v>
      </c>
      <c r="P430" s="13" t="str">
        <f>IF((SUM(F430:M430)=0),"J",VLOOKUP(O430,Lookups!$A$1:$B$11,2))</f>
        <v>J</v>
      </c>
      <c r="Q430" s="8" t="e">
        <f>VLOOKUP(C430,Lookups!$A$136:$C$144,3)</f>
        <v>#N/A</v>
      </c>
      <c r="R430" s="8" t="e">
        <f>VLOOKUP(C430,Lookups!$A$136:$C$144,2)</f>
        <v>#N/A</v>
      </c>
      <c r="S430" s="4" t="str">
        <f t="shared" si="37"/>
        <v>No</v>
      </c>
      <c r="T430" s="125">
        <f t="shared" si="38"/>
        <v>0</v>
      </c>
      <c r="U430" s="125">
        <f t="shared" si="39"/>
        <v>0</v>
      </c>
      <c r="V430" s="4" t="e">
        <f>IF($Q430&lt;&gt;3,VLOOKUP(F430,'Points Table A'!B$3:$F$33,5),VLOOKUP(F430,'Points Table A'!H$3:$L$33,5))</f>
        <v>#N/A</v>
      </c>
      <c r="W430" s="4" t="e">
        <f>IF($Q430&lt;&gt;3,VLOOKUP(G430,'Points Table A'!C$3:$F$33,4),VLOOKUP(G430,'Points Table A'!I$3:$L$33,4))</f>
        <v>#N/A</v>
      </c>
      <c r="X430" s="4" t="e">
        <f>IF($Q430&lt;&gt;3,VLOOKUP(H430,'Points Table A'!D$3:$F$28,3),VLOOKUP(H430,'Points Table A'!J$3:$L$33,3))</f>
        <v>#N/A</v>
      </c>
      <c r="Y430" s="4" t="e">
        <f>IF($Q430&lt;&gt;3,VLOOKUP(I430,'Points Table A'!E$3:$F$33,2),VLOOKUP(I430,'Points Table A'!K$3:$L$33,2))</f>
        <v>#N/A</v>
      </c>
      <c r="Z430" s="4" t="e">
        <f t="shared" si="40"/>
        <v>#N/A</v>
      </c>
      <c r="AA430" s="4">
        <f>IF($S430=Lookups!$B$113,VLOOKUP(L430,'Points Table C'!A$3:$E$11,5),VLOOKUP(U430,'Points Table C'!B$3:$E$11,4))</f>
        <v>0</v>
      </c>
      <c r="AB430" s="4" t="e">
        <f>IF($Q430=1,0,VLOOKUP($J430,'Points Table C'!$C$3:$E$18,3))</f>
        <v>#N/A</v>
      </c>
      <c r="AC430" s="4">
        <f>VLOOKUP($K430,'Points Table C'!$D$3:$E$18,2)</f>
        <v>0</v>
      </c>
      <c r="AD430" s="4" t="e">
        <f>IF($Z430&lt;Lookups!$C$106,($AA430+AB430+AC430),IF($AA430&gt;=Lookups!$C$120,($AA430+AB430+AC430),$AA430+$AB430))</f>
        <v>#N/A</v>
      </c>
      <c r="AF430" s="7"/>
      <c r="AG430" s="7"/>
      <c r="AH430" s="7"/>
      <c r="AI430" s="7"/>
      <c r="AJ430" s="7"/>
      <c r="AK430" s="7"/>
      <c r="AL430" s="7"/>
      <c r="AM430" s="7"/>
      <c r="AN430" s="7"/>
      <c r="AO430" s="7"/>
      <c r="AP430" s="7"/>
      <c r="AQ430" s="7"/>
      <c r="AR430" s="7"/>
      <c r="AS430" s="7"/>
      <c r="AT430" s="7"/>
      <c r="AU430" s="7"/>
      <c r="AV430" s="7"/>
      <c r="AW430" s="7"/>
      <c r="AY430" s="7"/>
      <c r="AZ430" s="7"/>
      <c r="BA430" s="7"/>
      <c r="BB430" s="7"/>
    </row>
    <row r="431" spans="2:54" x14ac:dyDescent="0.2">
      <c r="B431" s="174"/>
      <c r="C431" s="176"/>
      <c r="F431" s="5">
        <v>0</v>
      </c>
      <c r="G431" s="192">
        <v>0</v>
      </c>
      <c r="H431" s="192">
        <v>0</v>
      </c>
      <c r="I431" s="5">
        <v>0</v>
      </c>
      <c r="J431" s="192">
        <v>0</v>
      </c>
      <c r="K431" s="192">
        <v>0</v>
      </c>
      <c r="L431" s="5">
        <v>0</v>
      </c>
      <c r="M431" s="5">
        <v>0</v>
      </c>
      <c r="N431" s="4" t="e">
        <f t="shared" si="36"/>
        <v>#N/A</v>
      </c>
      <c r="O431" s="4" t="e">
        <f>IF(ROUND(10.499-(((N431-VLOOKUP($C431,Lookups!$A$55:$D$64,3))/(VLOOKUP($C431,Lookups!$A$55:$D$64,4))*VLOOKUP($C431,Lookups!$C$2:$D$11,2))),0)&lt;1,1,IF(ROUND(10.499-(((N431-VLOOKUP($C431,Lookups!$A$55:$D$64,3))/(VLOOKUP($C431,Lookups!$A$55:$D$64,4))*VLOOKUP($C431,Lookups!$C$2:$D$11,2))),0)&lt;11,ROUND(10.499-(((N431-VLOOKUP($C431,Lookups!$A$55:$D$64,3))/(VLOOKUP($C431,Lookups!$A$55:$D$64,4))*VLOOKUP($C431,Lookups!$C$2:$D$11,2))),0),10))</f>
        <v>#N/A</v>
      </c>
      <c r="P431" s="13" t="str">
        <f>IF((SUM(F431:M431)=0),"J",VLOOKUP(O431,Lookups!$A$1:$B$11,2))</f>
        <v>J</v>
      </c>
      <c r="Q431" s="8" t="e">
        <f>VLOOKUP(C431,Lookups!$A$136:$C$144,3)</f>
        <v>#N/A</v>
      </c>
      <c r="R431" s="8" t="e">
        <f>VLOOKUP(C431,Lookups!$A$136:$C$144,2)</f>
        <v>#N/A</v>
      </c>
      <c r="S431" s="4" t="str">
        <f t="shared" si="37"/>
        <v>No</v>
      </c>
      <c r="T431" s="125">
        <f t="shared" si="38"/>
        <v>0</v>
      </c>
      <c r="U431" s="125">
        <f t="shared" si="39"/>
        <v>0</v>
      </c>
      <c r="V431" s="4" t="e">
        <f>IF($Q431&lt;&gt;3,VLOOKUP(F431,'Points Table A'!B$3:$F$33,5),VLOOKUP(F431,'Points Table A'!H$3:$L$33,5))</f>
        <v>#N/A</v>
      </c>
      <c r="W431" s="4" t="e">
        <f>IF($Q431&lt;&gt;3,VLOOKUP(G431,'Points Table A'!C$3:$F$33,4),VLOOKUP(G431,'Points Table A'!I$3:$L$33,4))</f>
        <v>#N/A</v>
      </c>
      <c r="X431" s="4" t="e">
        <f>IF($Q431&lt;&gt;3,VLOOKUP(H431,'Points Table A'!D$3:$F$28,3),VLOOKUP(H431,'Points Table A'!J$3:$L$33,3))</f>
        <v>#N/A</v>
      </c>
      <c r="Y431" s="4" t="e">
        <f>IF($Q431&lt;&gt;3,VLOOKUP(I431,'Points Table A'!E$3:$F$33,2),VLOOKUP(I431,'Points Table A'!K$3:$L$33,2))</f>
        <v>#N/A</v>
      </c>
      <c r="Z431" s="4" t="e">
        <f t="shared" si="40"/>
        <v>#N/A</v>
      </c>
      <c r="AA431" s="4">
        <f>IF($S431=Lookups!$B$113,VLOOKUP(L431,'Points Table C'!A$3:$E$11,5),VLOOKUP(U431,'Points Table C'!B$3:$E$11,4))</f>
        <v>0</v>
      </c>
      <c r="AB431" s="4" t="e">
        <f>IF($Q431=1,0,VLOOKUP($J431,'Points Table C'!$C$3:$E$18,3))</f>
        <v>#N/A</v>
      </c>
      <c r="AC431" s="4">
        <f>VLOOKUP($K431,'Points Table C'!$D$3:$E$18,2)</f>
        <v>0</v>
      </c>
      <c r="AD431" s="4" t="e">
        <f>IF($Z431&lt;Lookups!$C$106,($AA431+AB431+AC431),IF($AA431&gt;=Lookups!$C$120,($AA431+AB431+AC431),$AA431+$AB431))</f>
        <v>#N/A</v>
      </c>
      <c r="AF431" s="7"/>
      <c r="AG431" s="7"/>
      <c r="AH431" s="7"/>
      <c r="AI431" s="7"/>
      <c r="AJ431" s="7"/>
      <c r="AK431" s="7"/>
      <c r="AL431" s="7"/>
      <c r="AM431" s="7"/>
      <c r="AN431" s="7"/>
      <c r="AO431" s="7"/>
      <c r="AP431" s="7"/>
      <c r="AQ431" s="7"/>
      <c r="AR431" s="7"/>
      <c r="AS431" s="7"/>
      <c r="AT431" s="7"/>
      <c r="AU431" s="7"/>
      <c r="AV431" s="7"/>
      <c r="AW431" s="7"/>
      <c r="AY431" s="7"/>
      <c r="AZ431" s="7"/>
      <c r="BA431" s="7"/>
      <c r="BB431" s="7"/>
    </row>
    <row r="432" spans="2:54" x14ac:dyDescent="0.2">
      <c r="B432" s="174"/>
      <c r="C432" s="176"/>
      <c r="F432" s="5">
        <v>0</v>
      </c>
      <c r="G432" s="192">
        <v>0</v>
      </c>
      <c r="H432" s="192">
        <v>0</v>
      </c>
      <c r="I432" s="5">
        <v>0</v>
      </c>
      <c r="J432" s="192">
        <v>0</v>
      </c>
      <c r="K432" s="192">
        <v>0</v>
      </c>
      <c r="L432" s="5">
        <v>0</v>
      </c>
      <c r="M432" s="5">
        <v>0</v>
      </c>
      <c r="N432" s="4" t="e">
        <f t="shared" si="36"/>
        <v>#N/A</v>
      </c>
      <c r="O432" s="4" t="e">
        <f>IF(ROUND(10.499-(((N432-VLOOKUP($C432,Lookups!$A$55:$D$64,3))/(VLOOKUP($C432,Lookups!$A$55:$D$64,4))*VLOOKUP($C432,Lookups!$C$2:$D$11,2))),0)&lt;1,1,IF(ROUND(10.499-(((N432-VLOOKUP($C432,Lookups!$A$55:$D$64,3))/(VLOOKUP($C432,Lookups!$A$55:$D$64,4))*VLOOKUP($C432,Lookups!$C$2:$D$11,2))),0)&lt;11,ROUND(10.499-(((N432-VLOOKUP($C432,Lookups!$A$55:$D$64,3))/(VLOOKUP($C432,Lookups!$A$55:$D$64,4))*VLOOKUP($C432,Lookups!$C$2:$D$11,2))),0),10))</f>
        <v>#N/A</v>
      </c>
      <c r="P432" s="13" t="str">
        <f>IF((SUM(F432:M432)=0),"J",VLOOKUP(O432,Lookups!$A$1:$B$11,2))</f>
        <v>J</v>
      </c>
      <c r="Q432" s="8" t="e">
        <f>VLOOKUP(C432,Lookups!$A$136:$C$144,3)</f>
        <v>#N/A</v>
      </c>
      <c r="R432" s="8" t="e">
        <f>VLOOKUP(C432,Lookups!$A$136:$C$144,2)</f>
        <v>#N/A</v>
      </c>
      <c r="S432" s="4" t="str">
        <f t="shared" si="37"/>
        <v>No</v>
      </c>
      <c r="T432" s="125">
        <f t="shared" si="38"/>
        <v>0</v>
      </c>
      <c r="U432" s="125">
        <f t="shared" si="39"/>
        <v>0</v>
      </c>
      <c r="V432" s="4" t="e">
        <f>IF($Q432&lt;&gt;3,VLOOKUP(F432,'Points Table A'!B$3:$F$33,5),VLOOKUP(F432,'Points Table A'!H$3:$L$33,5))</f>
        <v>#N/A</v>
      </c>
      <c r="W432" s="4" t="e">
        <f>IF($Q432&lt;&gt;3,VLOOKUP(G432,'Points Table A'!C$3:$F$33,4),VLOOKUP(G432,'Points Table A'!I$3:$L$33,4))</f>
        <v>#N/A</v>
      </c>
      <c r="X432" s="4" t="e">
        <f>IF($Q432&lt;&gt;3,VLOOKUP(H432,'Points Table A'!D$3:$F$28,3),VLOOKUP(H432,'Points Table A'!J$3:$L$33,3))</f>
        <v>#N/A</v>
      </c>
      <c r="Y432" s="4" t="e">
        <f>IF($Q432&lt;&gt;3,VLOOKUP(I432,'Points Table A'!E$3:$F$33,2),VLOOKUP(I432,'Points Table A'!K$3:$L$33,2))</f>
        <v>#N/A</v>
      </c>
      <c r="Z432" s="4" t="e">
        <f t="shared" si="40"/>
        <v>#N/A</v>
      </c>
      <c r="AA432" s="4">
        <f>IF($S432=Lookups!$B$113,VLOOKUP(L432,'Points Table C'!A$3:$E$11,5),VLOOKUP(U432,'Points Table C'!B$3:$E$11,4))</f>
        <v>0</v>
      </c>
      <c r="AB432" s="4" t="e">
        <f>IF($Q432=1,0,VLOOKUP($J432,'Points Table C'!$C$3:$E$18,3))</f>
        <v>#N/A</v>
      </c>
      <c r="AC432" s="4">
        <f>VLOOKUP($K432,'Points Table C'!$D$3:$E$18,2)</f>
        <v>0</v>
      </c>
      <c r="AD432" s="4" t="e">
        <f>IF($Z432&lt;Lookups!$C$106,($AA432+AB432+AC432),IF($AA432&gt;=Lookups!$C$120,($AA432+AB432+AC432),$AA432+$AB432))</f>
        <v>#N/A</v>
      </c>
      <c r="AF432" s="7"/>
      <c r="AG432" s="7"/>
      <c r="AH432" s="7"/>
      <c r="AI432" s="7"/>
      <c r="AJ432" s="7"/>
      <c r="AK432" s="7"/>
      <c r="AL432" s="7"/>
      <c r="AM432" s="7"/>
      <c r="AN432" s="7"/>
      <c r="AO432" s="7"/>
      <c r="AP432" s="7"/>
      <c r="AQ432" s="7"/>
      <c r="AR432" s="7"/>
      <c r="AS432" s="7"/>
      <c r="AT432" s="7"/>
      <c r="AU432" s="7"/>
      <c r="AV432" s="7"/>
      <c r="AW432" s="7"/>
      <c r="AY432" s="7"/>
      <c r="AZ432" s="7"/>
      <c r="BA432" s="7"/>
      <c r="BB432" s="7"/>
    </row>
    <row r="433" spans="2:54" x14ac:dyDescent="0.2">
      <c r="B433" s="174"/>
      <c r="C433" s="176"/>
      <c r="F433" s="5">
        <v>0</v>
      </c>
      <c r="G433" s="192">
        <v>0</v>
      </c>
      <c r="H433" s="192">
        <v>0</v>
      </c>
      <c r="I433" s="5">
        <v>0</v>
      </c>
      <c r="J433" s="192">
        <v>0</v>
      </c>
      <c r="K433" s="192">
        <v>0</v>
      </c>
      <c r="L433" s="5">
        <v>0</v>
      </c>
      <c r="M433" s="5">
        <v>0</v>
      </c>
      <c r="N433" s="4" t="e">
        <f t="shared" si="36"/>
        <v>#N/A</v>
      </c>
      <c r="O433" s="4" t="e">
        <f>IF(ROUND(10.499-(((N433-VLOOKUP($C433,Lookups!$A$55:$D$64,3))/(VLOOKUP($C433,Lookups!$A$55:$D$64,4))*VLOOKUP($C433,Lookups!$C$2:$D$11,2))),0)&lt;1,1,IF(ROUND(10.499-(((N433-VLOOKUP($C433,Lookups!$A$55:$D$64,3))/(VLOOKUP($C433,Lookups!$A$55:$D$64,4))*VLOOKUP($C433,Lookups!$C$2:$D$11,2))),0)&lt;11,ROUND(10.499-(((N433-VLOOKUP($C433,Lookups!$A$55:$D$64,3))/(VLOOKUP($C433,Lookups!$A$55:$D$64,4))*VLOOKUP($C433,Lookups!$C$2:$D$11,2))),0),10))</f>
        <v>#N/A</v>
      </c>
      <c r="P433" s="13" t="str">
        <f>IF((SUM(F433:M433)=0),"J",VLOOKUP(O433,Lookups!$A$1:$B$11,2))</f>
        <v>J</v>
      </c>
      <c r="Q433" s="8" t="e">
        <f>VLOOKUP(C433,Lookups!$A$136:$C$144,3)</f>
        <v>#N/A</v>
      </c>
      <c r="R433" s="8" t="e">
        <f>VLOOKUP(C433,Lookups!$A$136:$C$144,2)</f>
        <v>#N/A</v>
      </c>
      <c r="S433" s="4" t="str">
        <f t="shared" si="37"/>
        <v>No</v>
      </c>
      <c r="T433" s="125">
        <f t="shared" si="38"/>
        <v>0</v>
      </c>
      <c r="U433" s="125">
        <f t="shared" si="39"/>
        <v>0</v>
      </c>
      <c r="V433" s="4" t="e">
        <f>IF($Q433&lt;&gt;3,VLOOKUP(F433,'Points Table A'!B$3:$F$33,5),VLOOKUP(F433,'Points Table A'!H$3:$L$33,5))</f>
        <v>#N/A</v>
      </c>
      <c r="W433" s="4" t="e">
        <f>IF($Q433&lt;&gt;3,VLOOKUP(G433,'Points Table A'!C$3:$F$33,4),VLOOKUP(G433,'Points Table A'!I$3:$L$33,4))</f>
        <v>#N/A</v>
      </c>
      <c r="X433" s="4" t="e">
        <f>IF($Q433&lt;&gt;3,VLOOKUP(H433,'Points Table A'!D$3:$F$28,3),VLOOKUP(H433,'Points Table A'!J$3:$L$33,3))</f>
        <v>#N/A</v>
      </c>
      <c r="Y433" s="4" t="e">
        <f>IF($Q433&lt;&gt;3,VLOOKUP(I433,'Points Table A'!E$3:$F$33,2),VLOOKUP(I433,'Points Table A'!K$3:$L$33,2))</f>
        <v>#N/A</v>
      </c>
      <c r="Z433" s="4" t="e">
        <f t="shared" si="40"/>
        <v>#N/A</v>
      </c>
      <c r="AA433" s="4">
        <f>IF($S433=Lookups!$B$113,VLOOKUP(L433,'Points Table C'!A$3:$E$11,5),VLOOKUP(U433,'Points Table C'!B$3:$E$11,4))</f>
        <v>0</v>
      </c>
      <c r="AB433" s="4" t="e">
        <f>IF($Q433=1,0,VLOOKUP($J433,'Points Table C'!$C$3:$E$18,3))</f>
        <v>#N/A</v>
      </c>
      <c r="AC433" s="4">
        <f>VLOOKUP($K433,'Points Table C'!$D$3:$E$18,2)</f>
        <v>0</v>
      </c>
      <c r="AD433" s="4" t="e">
        <f>IF($Z433&lt;Lookups!$C$106,($AA433+AB433+AC433),IF($AA433&gt;=Lookups!$C$120,($AA433+AB433+AC433),$AA433+$AB433))</f>
        <v>#N/A</v>
      </c>
      <c r="AF433" s="7"/>
      <c r="AG433" s="7"/>
      <c r="AH433" s="7"/>
      <c r="AI433" s="7"/>
      <c r="AJ433" s="7"/>
      <c r="AK433" s="7"/>
      <c r="AL433" s="7"/>
      <c r="AM433" s="7"/>
      <c r="AN433" s="7"/>
      <c r="AO433" s="7"/>
      <c r="AP433" s="7"/>
      <c r="AQ433" s="7"/>
      <c r="AR433" s="7"/>
      <c r="AS433" s="7"/>
      <c r="AT433" s="7"/>
      <c r="AU433" s="7"/>
      <c r="AV433" s="7"/>
      <c r="AW433" s="7"/>
      <c r="AY433" s="7"/>
      <c r="AZ433" s="7"/>
      <c r="BA433" s="7"/>
      <c r="BB433" s="7"/>
    </row>
    <row r="434" spans="2:54" x14ac:dyDescent="0.2">
      <c r="B434" s="174"/>
      <c r="C434" s="176"/>
      <c r="F434" s="5">
        <v>0</v>
      </c>
      <c r="G434" s="192">
        <v>0</v>
      </c>
      <c r="H434" s="192">
        <v>0</v>
      </c>
      <c r="I434" s="5">
        <v>0</v>
      </c>
      <c r="J434" s="192">
        <v>0</v>
      </c>
      <c r="K434" s="192">
        <v>0</v>
      </c>
      <c r="L434" s="5">
        <v>0</v>
      </c>
      <c r="M434" s="5">
        <v>0</v>
      </c>
      <c r="N434" s="4" t="e">
        <f t="shared" si="36"/>
        <v>#N/A</v>
      </c>
      <c r="O434" s="4" t="e">
        <f>IF(ROUND(10.499-(((N434-VLOOKUP($C434,Lookups!$A$55:$D$64,3))/(VLOOKUP($C434,Lookups!$A$55:$D$64,4))*VLOOKUP($C434,Lookups!$C$2:$D$11,2))),0)&lt;1,1,IF(ROUND(10.499-(((N434-VLOOKUP($C434,Lookups!$A$55:$D$64,3))/(VLOOKUP($C434,Lookups!$A$55:$D$64,4))*VLOOKUP($C434,Lookups!$C$2:$D$11,2))),0)&lt;11,ROUND(10.499-(((N434-VLOOKUP($C434,Lookups!$A$55:$D$64,3))/(VLOOKUP($C434,Lookups!$A$55:$D$64,4))*VLOOKUP($C434,Lookups!$C$2:$D$11,2))),0),10))</f>
        <v>#N/A</v>
      </c>
      <c r="P434" s="13" t="str">
        <f>IF((SUM(F434:M434)=0),"J",VLOOKUP(O434,Lookups!$A$1:$B$11,2))</f>
        <v>J</v>
      </c>
      <c r="Q434" s="8" t="e">
        <f>VLOOKUP(C434,Lookups!$A$136:$C$144,3)</f>
        <v>#N/A</v>
      </c>
      <c r="R434" s="8" t="e">
        <f>VLOOKUP(C434,Lookups!$A$136:$C$144,2)</f>
        <v>#N/A</v>
      </c>
      <c r="S434" s="4" t="str">
        <f t="shared" si="37"/>
        <v>No</v>
      </c>
      <c r="T434" s="125">
        <f t="shared" si="38"/>
        <v>0</v>
      </c>
      <c r="U434" s="125">
        <f t="shared" si="39"/>
        <v>0</v>
      </c>
      <c r="V434" s="4" t="e">
        <f>IF($Q434&lt;&gt;3,VLOOKUP(F434,'Points Table A'!B$3:$F$33,5),VLOOKUP(F434,'Points Table A'!H$3:$L$33,5))</f>
        <v>#N/A</v>
      </c>
      <c r="W434" s="4" t="e">
        <f>IF($Q434&lt;&gt;3,VLOOKUP(G434,'Points Table A'!C$3:$F$33,4),VLOOKUP(G434,'Points Table A'!I$3:$L$33,4))</f>
        <v>#N/A</v>
      </c>
      <c r="X434" s="4" t="e">
        <f>IF($Q434&lt;&gt;3,VLOOKUP(H434,'Points Table A'!D$3:$F$28,3),VLOOKUP(H434,'Points Table A'!J$3:$L$33,3))</f>
        <v>#N/A</v>
      </c>
      <c r="Y434" s="4" t="e">
        <f>IF($Q434&lt;&gt;3,VLOOKUP(I434,'Points Table A'!E$3:$F$33,2),VLOOKUP(I434,'Points Table A'!K$3:$L$33,2))</f>
        <v>#N/A</v>
      </c>
      <c r="Z434" s="4" t="e">
        <f t="shared" si="40"/>
        <v>#N/A</v>
      </c>
      <c r="AA434" s="4">
        <f>IF($S434=Lookups!$B$113,VLOOKUP(L434,'Points Table C'!A$3:$E$11,5),VLOOKUP(U434,'Points Table C'!B$3:$E$11,4))</f>
        <v>0</v>
      </c>
      <c r="AB434" s="4" t="e">
        <f>IF($Q434=1,0,VLOOKUP($J434,'Points Table C'!$C$3:$E$18,3))</f>
        <v>#N/A</v>
      </c>
      <c r="AC434" s="4">
        <f>VLOOKUP($K434,'Points Table C'!$D$3:$E$18,2)</f>
        <v>0</v>
      </c>
      <c r="AD434" s="4" t="e">
        <f>IF($Z434&lt;Lookups!$C$106,($AA434+AB434+AC434),IF($AA434&gt;=Lookups!$C$120,($AA434+AB434+AC434),$AA434+$AB434))</f>
        <v>#N/A</v>
      </c>
      <c r="AF434" s="7"/>
      <c r="AG434" s="7"/>
      <c r="AH434" s="7"/>
      <c r="AI434" s="7"/>
      <c r="AJ434" s="7"/>
      <c r="AK434" s="7"/>
      <c r="AL434" s="7"/>
      <c r="AM434" s="7"/>
      <c r="AN434" s="7"/>
      <c r="AO434" s="7"/>
      <c r="AP434" s="7"/>
      <c r="AQ434" s="7"/>
      <c r="AR434" s="7"/>
      <c r="AS434" s="7"/>
      <c r="AT434" s="7"/>
      <c r="AU434" s="7"/>
      <c r="AV434" s="7"/>
      <c r="AW434" s="7"/>
      <c r="AY434" s="7"/>
      <c r="AZ434" s="7"/>
      <c r="BA434" s="7"/>
      <c r="BB434" s="7"/>
    </row>
    <row r="435" spans="2:54" x14ac:dyDescent="0.2">
      <c r="B435" s="174"/>
      <c r="C435" s="176"/>
      <c r="F435" s="5">
        <v>0</v>
      </c>
      <c r="G435" s="192">
        <v>0</v>
      </c>
      <c r="H435" s="192">
        <v>0</v>
      </c>
      <c r="I435" s="5">
        <v>0</v>
      </c>
      <c r="J435" s="192">
        <v>0</v>
      </c>
      <c r="K435" s="192">
        <v>0</v>
      </c>
      <c r="L435" s="5">
        <v>0</v>
      </c>
      <c r="M435" s="5">
        <v>0</v>
      </c>
      <c r="N435" s="4" t="e">
        <f t="shared" si="36"/>
        <v>#N/A</v>
      </c>
      <c r="O435" s="4" t="e">
        <f>IF(ROUND(10.499-(((N435-VLOOKUP($C435,Lookups!$A$55:$D$64,3))/(VLOOKUP($C435,Lookups!$A$55:$D$64,4))*VLOOKUP($C435,Lookups!$C$2:$D$11,2))),0)&lt;1,1,IF(ROUND(10.499-(((N435-VLOOKUP($C435,Lookups!$A$55:$D$64,3))/(VLOOKUP($C435,Lookups!$A$55:$D$64,4))*VLOOKUP($C435,Lookups!$C$2:$D$11,2))),0)&lt;11,ROUND(10.499-(((N435-VLOOKUP($C435,Lookups!$A$55:$D$64,3))/(VLOOKUP($C435,Lookups!$A$55:$D$64,4))*VLOOKUP($C435,Lookups!$C$2:$D$11,2))),0),10))</f>
        <v>#N/A</v>
      </c>
      <c r="P435" s="13" t="str">
        <f>IF((SUM(F435:M435)=0),"J",VLOOKUP(O435,Lookups!$A$1:$B$11,2))</f>
        <v>J</v>
      </c>
      <c r="Q435" s="8" t="e">
        <f>VLOOKUP(C435,Lookups!$A$136:$C$144,3)</f>
        <v>#N/A</v>
      </c>
      <c r="R435" s="8" t="e">
        <f>VLOOKUP(C435,Lookups!$A$136:$C$144,2)</f>
        <v>#N/A</v>
      </c>
      <c r="S435" s="4" t="str">
        <f t="shared" si="37"/>
        <v>No</v>
      </c>
      <c r="T435" s="125">
        <f t="shared" si="38"/>
        <v>0</v>
      </c>
      <c r="U435" s="125">
        <f t="shared" si="39"/>
        <v>0</v>
      </c>
      <c r="V435" s="4" t="e">
        <f>IF($Q435&lt;&gt;3,VLOOKUP(F435,'Points Table A'!B$3:$F$33,5),VLOOKUP(F435,'Points Table A'!H$3:$L$33,5))</f>
        <v>#N/A</v>
      </c>
      <c r="W435" s="4" t="e">
        <f>IF($Q435&lt;&gt;3,VLOOKUP(G435,'Points Table A'!C$3:$F$33,4),VLOOKUP(G435,'Points Table A'!I$3:$L$33,4))</f>
        <v>#N/A</v>
      </c>
      <c r="X435" s="4" t="e">
        <f>IF($Q435&lt;&gt;3,VLOOKUP(H435,'Points Table A'!D$3:$F$28,3),VLOOKUP(H435,'Points Table A'!J$3:$L$33,3))</f>
        <v>#N/A</v>
      </c>
      <c r="Y435" s="4" t="e">
        <f>IF($Q435&lt;&gt;3,VLOOKUP(I435,'Points Table A'!E$3:$F$33,2),VLOOKUP(I435,'Points Table A'!K$3:$L$33,2))</f>
        <v>#N/A</v>
      </c>
      <c r="Z435" s="4" t="e">
        <f t="shared" si="40"/>
        <v>#N/A</v>
      </c>
      <c r="AA435" s="4">
        <f>IF($S435=Lookups!$B$113,VLOOKUP(L435,'Points Table C'!A$3:$E$11,5),VLOOKUP(U435,'Points Table C'!B$3:$E$11,4))</f>
        <v>0</v>
      </c>
      <c r="AB435" s="4" t="e">
        <f>IF($Q435=1,0,VLOOKUP($J435,'Points Table C'!$C$3:$E$18,3))</f>
        <v>#N/A</v>
      </c>
      <c r="AC435" s="4">
        <f>VLOOKUP($K435,'Points Table C'!$D$3:$E$18,2)</f>
        <v>0</v>
      </c>
      <c r="AD435" s="4" t="e">
        <f>IF($Z435&lt;Lookups!$C$106,($AA435+AB435+AC435),IF($AA435&gt;=Lookups!$C$120,($AA435+AB435+AC435),$AA435+$AB435))</f>
        <v>#N/A</v>
      </c>
      <c r="AF435" s="7"/>
      <c r="AG435" s="7"/>
      <c r="AH435" s="7"/>
      <c r="AI435" s="7"/>
      <c r="AJ435" s="7"/>
      <c r="AK435" s="7"/>
      <c r="AL435" s="7"/>
      <c r="AM435" s="7"/>
      <c r="AN435" s="7"/>
      <c r="AO435" s="7"/>
      <c r="AP435" s="7"/>
      <c r="AQ435" s="7"/>
      <c r="AR435" s="7"/>
      <c r="AS435" s="7"/>
      <c r="AT435" s="7"/>
      <c r="AU435" s="7"/>
      <c r="AV435" s="7"/>
      <c r="AW435" s="7"/>
      <c r="AY435" s="7"/>
      <c r="AZ435" s="7"/>
      <c r="BA435" s="7"/>
      <c r="BB435" s="7"/>
    </row>
    <row r="436" spans="2:54" x14ac:dyDescent="0.2">
      <c r="B436" s="174"/>
      <c r="C436" s="176"/>
      <c r="F436" s="5">
        <v>0</v>
      </c>
      <c r="G436" s="192">
        <v>0</v>
      </c>
      <c r="H436" s="192">
        <v>0</v>
      </c>
      <c r="I436" s="5">
        <v>0</v>
      </c>
      <c r="J436" s="192">
        <v>0</v>
      </c>
      <c r="K436" s="192">
        <v>0</v>
      </c>
      <c r="L436" s="5">
        <v>0</v>
      </c>
      <c r="M436" s="5">
        <v>0</v>
      </c>
      <c r="N436" s="4" t="e">
        <f t="shared" si="36"/>
        <v>#N/A</v>
      </c>
      <c r="O436" s="4" t="e">
        <f>IF(ROUND(10.499-(((N436-VLOOKUP($C436,Lookups!$A$55:$D$64,3))/(VLOOKUP($C436,Lookups!$A$55:$D$64,4))*VLOOKUP($C436,Lookups!$C$2:$D$11,2))),0)&lt;1,1,IF(ROUND(10.499-(((N436-VLOOKUP($C436,Lookups!$A$55:$D$64,3))/(VLOOKUP($C436,Lookups!$A$55:$D$64,4))*VLOOKUP($C436,Lookups!$C$2:$D$11,2))),0)&lt;11,ROUND(10.499-(((N436-VLOOKUP($C436,Lookups!$A$55:$D$64,3))/(VLOOKUP($C436,Lookups!$A$55:$D$64,4))*VLOOKUP($C436,Lookups!$C$2:$D$11,2))),0),10))</f>
        <v>#N/A</v>
      </c>
      <c r="P436" s="13" t="str">
        <f>IF((SUM(F436:M436)=0),"J",VLOOKUP(O436,Lookups!$A$1:$B$11,2))</f>
        <v>J</v>
      </c>
      <c r="Q436" s="8" t="e">
        <f>VLOOKUP(C436,Lookups!$A$136:$C$144,3)</f>
        <v>#N/A</v>
      </c>
      <c r="R436" s="8" t="e">
        <f>VLOOKUP(C436,Lookups!$A$136:$C$144,2)</f>
        <v>#N/A</v>
      </c>
      <c r="S436" s="4" t="str">
        <f t="shared" si="37"/>
        <v>No</v>
      </c>
      <c r="T436" s="125">
        <f t="shared" si="38"/>
        <v>0</v>
      </c>
      <c r="U436" s="125">
        <f t="shared" si="39"/>
        <v>0</v>
      </c>
      <c r="V436" s="4" t="e">
        <f>IF($Q436&lt;&gt;3,VLOOKUP(F436,'Points Table A'!B$3:$F$33,5),VLOOKUP(F436,'Points Table A'!H$3:$L$33,5))</f>
        <v>#N/A</v>
      </c>
      <c r="W436" s="4" t="e">
        <f>IF($Q436&lt;&gt;3,VLOOKUP(G436,'Points Table A'!C$3:$F$33,4),VLOOKUP(G436,'Points Table A'!I$3:$L$33,4))</f>
        <v>#N/A</v>
      </c>
      <c r="X436" s="4" t="e">
        <f>IF($Q436&lt;&gt;3,VLOOKUP(H436,'Points Table A'!D$3:$F$28,3),VLOOKUP(H436,'Points Table A'!J$3:$L$33,3))</f>
        <v>#N/A</v>
      </c>
      <c r="Y436" s="4" t="e">
        <f>IF($Q436&lt;&gt;3,VLOOKUP(I436,'Points Table A'!E$3:$F$33,2),VLOOKUP(I436,'Points Table A'!K$3:$L$33,2))</f>
        <v>#N/A</v>
      </c>
      <c r="Z436" s="4" t="e">
        <f t="shared" si="40"/>
        <v>#N/A</v>
      </c>
      <c r="AA436" s="4">
        <f>IF($S436=Lookups!$B$113,VLOOKUP(L436,'Points Table C'!A$3:$E$11,5),VLOOKUP(U436,'Points Table C'!B$3:$E$11,4))</f>
        <v>0</v>
      </c>
      <c r="AB436" s="4" t="e">
        <f>IF($Q436=1,0,VLOOKUP($J436,'Points Table C'!$C$3:$E$18,3))</f>
        <v>#N/A</v>
      </c>
      <c r="AC436" s="4">
        <f>VLOOKUP($K436,'Points Table C'!$D$3:$E$18,2)</f>
        <v>0</v>
      </c>
      <c r="AD436" s="4" t="e">
        <f>IF($Z436&lt;Lookups!$C$106,($AA436+AB436+AC436),IF($AA436&gt;=Lookups!$C$120,($AA436+AB436+AC436),$AA436+$AB436))</f>
        <v>#N/A</v>
      </c>
      <c r="AF436" s="7"/>
      <c r="AG436" s="7"/>
      <c r="AH436" s="7"/>
      <c r="AI436" s="7"/>
      <c r="AJ436" s="7"/>
      <c r="AK436" s="7"/>
      <c r="AL436" s="7"/>
      <c r="AM436" s="7"/>
      <c r="AN436" s="7"/>
      <c r="AO436" s="7"/>
      <c r="AP436" s="7"/>
      <c r="AQ436" s="7"/>
      <c r="AR436" s="7"/>
      <c r="AS436" s="7"/>
      <c r="AT436" s="7"/>
      <c r="AU436" s="7"/>
      <c r="AV436" s="7"/>
      <c r="AW436" s="7"/>
      <c r="AY436" s="7"/>
      <c r="AZ436" s="7"/>
      <c r="BA436" s="7"/>
      <c r="BB436" s="7"/>
    </row>
    <row r="437" spans="2:54" x14ac:dyDescent="0.2">
      <c r="B437" s="174"/>
      <c r="C437" s="176"/>
      <c r="F437" s="5">
        <v>0</v>
      </c>
      <c r="G437" s="192">
        <v>0</v>
      </c>
      <c r="H437" s="192">
        <v>0</v>
      </c>
      <c r="I437" s="5">
        <v>0</v>
      </c>
      <c r="J437" s="192">
        <v>0</v>
      </c>
      <c r="K437" s="192">
        <v>0</v>
      </c>
      <c r="L437" s="5">
        <v>0</v>
      </c>
      <c r="M437" s="5">
        <v>0</v>
      </c>
      <c r="N437" s="4" t="e">
        <f t="shared" si="36"/>
        <v>#N/A</v>
      </c>
      <c r="O437" s="4" t="e">
        <f>IF(ROUND(10.499-(((N437-VLOOKUP($C437,Lookups!$A$55:$D$64,3))/(VLOOKUP($C437,Lookups!$A$55:$D$64,4))*VLOOKUP($C437,Lookups!$C$2:$D$11,2))),0)&lt;1,1,IF(ROUND(10.499-(((N437-VLOOKUP($C437,Lookups!$A$55:$D$64,3))/(VLOOKUP($C437,Lookups!$A$55:$D$64,4))*VLOOKUP($C437,Lookups!$C$2:$D$11,2))),0)&lt;11,ROUND(10.499-(((N437-VLOOKUP($C437,Lookups!$A$55:$D$64,3))/(VLOOKUP($C437,Lookups!$A$55:$D$64,4))*VLOOKUP($C437,Lookups!$C$2:$D$11,2))),0),10))</f>
        <v>#N/A</v>
      </c>
      <c r="P437" s="13" t="str">
        <f>IF((SUM(F437:M437)=0),"J",VLOOKUP(O437,Lookups!$A$1:$B$11,2))</f>
        <v>J</v>
      </c>
      <c r="Q437" s="8" t="e">
        <f>VLOOKUP(C437,Lookups!$A$136:$C$144,3)</f>
        <v>#N/A</v>
      </c>
      <c r="R437" s="8" t="e">
        <f>VLOOKUP(C437,Lookups!$A$136:$C$144,2)</f>
        <v>#N/A</v>
      </c>
      <c r="S437" s="4" t="str">
        <f t="shared" si="37"/>
        <v>No</v>
      </c>
      <c r="T437" s="125">
        <f t="shared" si="38"/>
        <v>0</v>
      </c>
      <c r="U437" s="125">
        <f t="shared" si="39"/>
        <v>0</v>
      </c>
      <c r="V437" s="4" t="e">
        <f>IF($Q437&lt;&gt;3,VLOOKUP(F437,'Points Table A'!B$3:$F$33,5),VLOOKUP(F437,'Points Table A'!H$3:$L$33,5))</f>
        <v>#N/A</v>
      </c>
      <c r="W437" s="4" t="e">
        <f>IF($Q437&lt;&gt;3,VLOOKUP(G437,'Points Table A'!C$3:$F$33,4),VLOOKUP(G437,'Points Table A'!I$3:$L$33,4))</f>
        <v>#N/A</v>
      </c>
      <c r="X437" s="4" t="e">
        <f>IF($Q437&lt;&gt;3,VLOOKUP(H437,'Points Table A'!D$3:$F$28,3),VLOOKUP(H437,'Points Table A'!J$3:$L$33,3))</f>
        <v>#N/A</v>
      </c>
      <c r="Y437" s="4" t="e">
        <f>IF($Q437&lt;&gt;3,VLOOKUP(I437,'Points Table A'!E$3:$F$33,2),VLOOKUP(I437,'Points Table A'!K$3:$L$33,2))</f>
        <v>#N/A</v>
      </c>
      <c r="Z437" s="4" t="e">
        <f t="shared" si="40"/>
        <v>#N/A</v>
      </c>
      <c r="AA437" s="4">
        <f>IF($S437=Lookups!$B$113,VLOOKUP(L437,'Points Table C'!A$3:$E$11,5),VLOOKUP(U437,'Points Table C'!B$3:$E$11,4))</f>
        <v>0</v>
      </c>
      <c r="AB437" s="4" t="e">
        <f>IF($Q437=1,0,VLOOKUP($J437,'Points Table C'!$C$3:$E$18,3))</f>
        <v>#N/A</v>
      </c>
      <c r="AC437" s="4">
        <f>VLOOKUP($K437,'Points Table C'!$D$3:$E$18,2)</f>
        <v>0</v>
      </c>
      <c r="AD437" s="4" t="e">
        <f>IF($Z437&lt;Lookups!$C$106,($AA437+AB437+AC437),IF($AA437&gt;=Lookups!$C$120,($AA437+AB437+AC437),$AA437+$AB437))</f>
        <v>#N/A</v>
      </c>
      <c r="AF437" s="7"/>
      <c r="AG437" s="7"/>
      <c r="AH437" s="7"/>
      <c r="AI437" s="7"/>
      <c r="AJ437" s="7"/>
      <c r="AK437" s="7"/>
      <c r="AL437" s="7"/>
      <c r="AM437" s="7"/>
      <c r="AN437" s="7"/>
      <c r="AO437" s="7"/>
      <c r="AP437" s="7"/>
      <c r="AQ437" s="7"/>
      <c r="AR437" s="7"/>
      <c r="AS437" s="7"/>
      <c r="AT437" s="7"/>
      <c r="AU437" s="7"/>
      <c r="AV437" s="7"/>
      <c r="AW437" s="7"/>
      <c r="AY437" s="7"/>
      <c r="AZ437" s="7"/>
      <c r="BA437" s="7"/>
      <c r="BB437" s="7"/>
    </row>
    <row r="438" spans="2:54" x14ac:dyDescent="0.2">
      <c r="B438" s="174"/>
      <c r="C438" s="176"/>
      <c r="F438" s="5">
        <v>0</v>
      </c>
      <c r="G438" s="192">
        <v>0</v>
      </c>
      <c r="H438" s="192">
        <v>0</v>
      </c>
      <c r="I438" s="5">
        <v>0</v>
      </c>
      <c r="J438" s="192">
        <v>0</v>
      </c>
      <c r="K438" s="192">
        <v>0</v>
      </c>
      <c r="L438" s="5">
        <v>0</v>
      </c>
      <c r="M438" s="5">
        <v>0</v>
      </c>
      <c r="N438" s="4" t="e">
        <f t="shared" si="36"/>
        <v>#N/A</v>
      </c>
      <c r="O438" s="4" t="e">
        <f>IF(ROUND(10.499-(((N438-VLOOKUP($C438,Lookups!$A$55:$D$64,3))/(VLOOKUP($C438,Lookups!$A$55:$D$64,4))*VLOOKUP($C438,Lookups!$C$2:$D$11,2))),0)&lt;1,1,IF(ROUND(10.499-(((N438-VLOOKUP($C438,Lookups!$A$55:$D$64,3))/(VLOOKUP($C438,Lookups!$A$55:$D$64,4))*VLOOKUP($C438,Lookups!$C$2:$D$11,2))),0)&lt;11,ROUND(10.499-(((N438-VLOOKUP($C438,Lookups!$A$55:$D$64,3))/(VLOOKUP($C438,Lookups!$A$55:$D$64,4))*VLOOKUP($C438,Lookups!$C$2:$D$11,2))),0),10))</f>
        <v>#N/A</v>
      </c>
      <c r="P438" s="13" t="str">
        <f>IF((SUM(F438:M438)=0),"J",VLOOKUP(O438,Lookups!$A$1:$B$11,2))</f>
        <v>J</v>
      </c>
      <c r="Q438" s="8" t="e">
        <f>VLOOKUP(C438,Lookups!$A$136:$C$144,3)</f>
        <v>#N/A</v>
      </c>
      <c r="R438" s="8" t="e">
        <f>VLOOKUP(C438,Lookups!$A$136:$C$144,2)</f>
        <v>#N/A</v>
      </c>
      <c r="S438" s="4" t="str">
        <f t="shared" si="37"/>
        <v>No</v>
      </c>
      <c r="T438" s="125">
        <f t="shared" si="38"/>
        <v>0</v>
      </c>
      <c r="U438" s="125">
        <f t="shared" si="39"/>
        <v>0</v>
      </c>
      <c r="V438" s="4" t="e">
        <f>IF($Q438&lt;&gt;3,VLOOKUP(F438,'Points Table A'!B$3:$F$33,5),VLOOKUP(F438,'Points Table A'!H$3:$L$33,5))</f>
        <v>#N/A</v>
      </c>
      <c r="W438" s="4" t="e">
        <f>IF($Q438&lt;&gt;3,VLOOKUP(G438,'Points Table A'!C$3:$F$33,4),VLOOKUP(G438,'Points Table A'!I$3:$L$33,4))</f>
        <v>#N/A</v>
      </c>
      <c r="X438" s="4" t="e">
        <f>IF($Q438&lt;&gt;3,VLOOKUP(H438,'Points Table A'!D$3:$F$28,3),VLOOKUP(H438,'Points Table A'!J$3:$L$33,3))</f>
        <v>#N/A</v>
      </c>
      <c r="Y438" s="4" t="e">
        <f>IF($Q438&lt;&gt;3,VLOOKUP(I438,'Points Table A'!E$3:$F$33,2),VLOOKUP(I438,'Points Table A'!K$3:$L$33,2))</f>
        <v>#N/A</v>
      </c>
      <c r="Z438" s="4" t="e">
        <f t="shared" si="40"/>
        <v>#N/A</v>
      </c>
      <c r="AA438" s="4">
        <f>IF($S438=Lookups!$B$113,VLOOKUP(L438,'Points Table C'!A$3:$E$11,5),VLOOKUP(U438,'Points Table C'!B$3:$E$11,4))</f>
        <v>0</v>
      </c>
      <c r="AB438" s="4" t="e">
        <f>IF($Q438=1,0,VLOOKUP($J438,'Points Table C'!$C$3:$E$18,3))</f>
        <v>#N/A</v>
      </c>
      <c r="AC438" s="4">
        <f>VLOOKUP($K438,'Points Table C'!$D$3:$E$18,2)</f>
        <v>0</v>
      </c>
      <c r="AD438" s="4" t="e">
        <f>IF($Z438&lt;Lookups!$C$106,($AA438+AB438+AC438),IF($AA438&gt;=Lookups!$C$120,($AA438+AB438+AC438),$AA438+$AB438))</f>
        <v>#N/A</v>
      </c>
      <c r="AF438" s="7"/>
      <c r="AG438" s="7"/>
      <c r="AH438" s="7"/>
      <c r="AI438" s="7"/>
      <c r="AJ438" s="7"/>
      <c r="AK438" s="7"/>
      <c r="AL438" s="7"/>
      <c r="AM438" s="7"/>
      <c r="AN438" s="7"/>
      <c r="AO438" s="7"/>
      <c r="AP438" s="7"/>
      <c r="AQ438" s="7"/>
      <c r="AR438" s="7"/>
      <c r="AS438" s="7"/>
      <c r="AT438" s="7"/>
      <c r="AU438" s="7"/>
      <c r="AV438" s="7"/>
      <c r="AW438" s="7"/>
      <c r="AY438" s="7"/>
      <c r="AZ438" s="7"/>
      <c r="BA438" s="7"/>
      <c r="BB438" s="7"/>
    </row>
    <row r="439" spans="2:54" x14ac:dyDescent="0.2">
      <c r="B439" s="174"/>
      <c r="C439" s="176"/>
      <c r="F439" s="5">
        <v>0</v>
      </c>
      <c r="G439" s="192">
        <v>0</v>
      </c>
      <c r="H439" s="192">
        <v>0</v>
      </c>
      <c r="I439" s="5">
        <v>0</v>
      </c>
      <c r="J439" s="192">
        <v>0</v>
      </c>
      <c r="K439" s="192">
        <v>0</v>
      </c>
      <c r="L439" s="5">
        <v>0</v>
      </c>
      <c r="M439" s="5">
        <v>0</v>
      </c>
      <c r="N439" s="4" t="e">
        <f t="shared" si="36"/>
        <v>#N/A</v>
      </c>
      <c r="O439" s="4" t="e">
        <f>IF(ROUND(10.499-(((N439-VLOOKUP($C439,Lookups!$A$55:$D$64,3))/(VLOOKUP($C439,Lookups!$A$55:$D$64,4))*VLOOKUP($C439,Lookups!$C$2:$D$11,2))),0)&lt;1,1,IF(ROUND(10.499-(((N439-VLOOKUP($C439,Lookups!$A$55:$D$64,3))/(VLOOKUP($C439,Lookups!$A$55:$D$64,4))*VLOOKUP($C439,Lookups!$C$2:$D$11,2))),0)&lt;11,ROUND(10.499-(((N439-VLOOKUP($C439,Lookups!$A$55:$D$64,3))/(VLOOKUP($C439,Lookups!$A$55:$D$64,4))*VLOOKUP($C439,Lookups!$C$2:$D$11,2))),0),10))</f>
        <v>#N/A</v>
      </c>
      <c r="P439" s="13" t="str">
        <f>IF((SUM(F439:M439)=0),"J",VLOOKUP(O439,Lookups!$A$1:$B$11,2))</f>
        <v>J</v>
      </c>
      <c r="Q439" s="8" t="e">
        <f>VLOOKUP(C439,Lookups!$A$136:$C$144,3)</f>
        <v>#N/A</v>
      </c>
      <c r="R439" s="8" t="e">
        <f>VLOOKUP(C439,Lookups!$A$136:$C$144,2)</f>
        <v>#N/A</v>
      </c>
      <c r="S439" s="4" t="str">
        <f t="shared" si="37"/>
        <v>No</v>
      </c>
      <c r="T439" s="125">
        <f t="shared" si="38"/>
        <v>0</v>
      </c>
      <c r="U439" s="125">
        <f t="shared" si="39"/>
        <v>0</v>
      </c>
      <c r="V439" s="4" t="e">
        <f>IF($Q439&lt;&gt;3,VLOOKUP(F439,'Points Table A'!B$3:$F$33,5),VLOOKUP(F439,'Points Table A'!H$3:$L$33,5))</f>
        <v>#N/A</v>
      </c>
      <c r="W439" s="4" t="e">
        <f>IF($Q439&lt;&gt;3,VLOOKUP(G439,'Points Table A'!C$3:$F$33,4),VLOOKUP(G439,'Points Table A'!I$3:$L$33,4))</f>
        <v>#N/A</v>
      </c>
      <c r="X439" s="4" t="e">
        <f>IF($Q439&lt;&gt;3,VLOOKUP(H439,'Points Table A'!D$3:$F$28,3),VLOOKUP(H439,'Points Table A'!J$3:$L$33,3))</f>
        <v>#N/A</v>
      </c>
      <c r="Y439" s="4" t="e">
        <f>IF($Q439&lt;&gt;3,VLOOKUP(I439,'Points Table A'!E$3:$F$33,2),VLOOKUP(I439,'Points Table A'!K$3:$L$33,2))</f>
        <v>#N/A</v>
      </c>
      <c r="Z439" s="4" t="e">
        <f t="shared" si="40"/>
        <v>#N/A</v>
      </c>
      <c r="AA439" s="4">
        <f>IF($S439=Lookups!$B$113,VLOOKUP(L439,'Points Table C'!A$3:$E$11,5),VLOOKUP(U439,'Points Table C'!B$3:$E$11,4))</f>
        <v>0</v>
      </c>
      <c r="AB439" s="4" t="e">
        <f>IF($Q439=1,0,VLOOKUP($J439,'Points Table C'!$C$3:$E$18,3))</f>
        <v>#N/A</v>
      </c>
      <c r="AC439" s="4">
        <f>VLOOKUP($K439,'Points Table C'!$D$3:$E$18,2)</f>
        <v>0</v>
      </c>
      <c r="AD439" s="4" t="e">
        <f>IF($Z439&lt;Lookups!$C$106,($AA439+AB439+AC439),IF($AA439&gt;=Lookups!$C$120,($AA439+AB439+AC439),$AA439+$AB439))</f>
        <v>#N/A</v>
      </c>
      <c r="AF439" s="7"/>
      <c r="AG439" s="7"/>
      <c r="AH439" s="7"/>
      <c r="AI439" s="7"/>
      <c r="AJ439" s="7"/>
      <c r="AK439" s="7"/>
      <c r="AL439" s="7"/>
      <c r="AM439" s="7"/>
      <c r="AN439" s="7"/>
      <c r="AO439" s="7"/>
      <c r="AP439" s="7"/>
      <c r="AQ439" s="7"/>
      <c r="AR439" s="7"/>
      <c r="AS439" s="7"/>
      <c r="AT439" s="7"/>
      <c r="AU439" s="7"/>
      <c r="AV439" s="7"/>
      <c r="AW439" s="7"/>
      <c r="AY439" s="7"/>
      <c r="AZ439" s="7"/>
      <c r="BA439" s="7"/>
      <c r="BB439" s="7"/>
    </row>
    <row r="440" spans="2:54" x14ac:dyDescent="0.2">
      <c r="B440" s="174"/>
      <c r="C440" s="176"/>
      <c r="F440" s="5">
        <v>0</v>
      </c>
      <c r="G440" s="192">
        <v>0</v>
      </c>
      <c r="H440" s="192">
        <v>0</v>
      </c>
      <c r="I440" s="5">
        <v>0</v>
      </c>
      <c r="J440" s="192">
        <v>0</v>
      </c>
      <c r="K440" s="192">
        <v>0</v>
      </c>
      <c r="L440" s="5">
        <v>0</v>
      </c>
      <c r="M440" s="5">
        <v>0</v>
      </c>
      <c r="N440" s="4" t="e">
        <f t="shared" si="36"/>
        <v>#N/A</v>
      </c>
      <c r="O440" s="4" t="e">
        <f>IF(ROUND(10.499-(((N440-VLOOKUP($C440,Lookups!$A$55:$D$64,3))/(VLOOKUP($C440,Lookups!$A$55:$D$64,4))*VLOOKUP($C440,Lookups!$C$2:$D$11,2))),0)&lt;1,1,IF(ROUND(10.499-(((N440-VLOOKUP($C440,Lookups!$A$55:$D$64,3))/(VLOOKUP($C440,Lookups!$A$55:$D$64,4))*VLOOKUP($C440,Lookups!$C$2:$D$11,2))),0)&lt;11,ROUND(10.499-(((N440-VLOOKUP($C440,Lookups!$A$55:$D$64,3))/(VLOOKUP($C440,Lookups!$A$55:$D$64,4))*VLOOKUP($C440,Lookups!$C$2:$D$11,2))),0),10))</f>
        <v>#N/A</v>
      </c>
      <c r="P440" s="13" t="str">
        <f>IF((SUM(F440:M440)=0),"J",VLOOKUP(O440,Lookups!$A$1:$B$11,2))</f>
        <v>J</v>
      </c>
      <c r="Q440" s="8" t="e">
        <f>VLOOKUP(C440,Lookups!$A$136:$C$144,3)</f>
        <v>#N/A</v>
      </c>
      <c r="R440" s="8" t="e">
        <f>VLOOKUP(C440,Lookups!$A$136:$C$144,2)</f>
        <v>#N/A</v>
      </c>
      <c r="S440" s="4" t="str">
        <f t="shared" si="37"/>
        <v>No</v>
      </c>
      <c r="T440" s="125">
        <f t="shared" si="38"/>
        <v>0</v>
      </c>
      <c r="U440" s="125">
        <f t="shared" si="39"/>
        <v>0</v>
      </c>
      <c r="V440" s="4" t="e">
        <f>IF($Q440&lt;&gt;3,VLOOKUP(F440,'Points Table A'!B$3:$F$33,5),VLOOKUP(F440,'Points Table A'!H$3:$L$33,5))</f>
        <v>#N/A</v>
      </c>
      <c r="W440" s="4" t="e">
        <f>IF($Q440&lt;&gt;3,VLOOKUP(G440,'Points Table A'!C$3:$F$33,4),VLOOKUP(G440,'Points Table A'!I$3:$L$33,4))</f>
        <v>#N/A</v>
      </c>
      <c r="X440" s="4" t="e">
        <f>IF($Q440&lt;&gt;3,VLOOKUP(H440,'Points Table A'!D$3:$F$28,3),VLOOKUP(H440,'Points Table A'!J$3:$L$33,3))</f>
        <v>#N/A</v>
      </c>
      <c r="Y440" s="4" t="e">
        <f>IF($Q440&lt;&gt;3,VLOOKUP(I440,'Points Table A'!E$3:$F$33,2),VLOOKUP(I440,'Points Table A'!K$3:$L$33,2))</f>
        <v>#N/A</v>
      </c>
      <c r="Z440" s="4" t="e">
        <f t="shared" si="40"/>
        <v>#N/A</v>
      </c>
      <c r="AA440" s="4">
        <f>IF($S440=Lookups!$B$113,VLOOKUP(L440,'Points Table C'!A$3:$E$11,5),VLOOKUP(U440,'Points Table C'!B$3:$E$11,4))</f>
        <v>0</v>
      </c>
      <c r="AB440" s="4" t="e">
        <f>IF($Q440=1,0,VLOOKUP($J440,'Points Table C'!$C$3:$E$18,3))</f>
        <v>#N/A</v>
      </c>
      <c r="AC440" s="4">
        <f>VLOOKUP($K440,'Points Table C'!$D$3:$E$18,2)</f>
        <v>0</v>
      </c>
      <c r="AD440" s="4" t="e">
        <f>IF($Z440&lt;Lookups!$C$106,($AA440+AB440+AC440),IF($AA440&gt;=Lookups!$C$120,($AA440+AB440+AC440),$AA440+$AB440))</f>
        <v>#N/A</v>
      </c>
      <c r="AF440" s="7"/>
      <c r="AG440" s="7"/>
      <c r="AH440" s="7"/>
      <c r="AI440" s="7"/>
      <c r="AJ440" s="7"/>
      <c r="AK440" s="7"/>
      <c r="AL440" s="7"/>
      <c r="AM440" s="7"/>
      <c r="AN440" s="7"/>
      <c r="AO440" s="7"/>
      <c r="AP440" s="7"/>
      <c r="AQ440" s="7"/>
      <c r="AR440" s="7"/>
      <c r="AS440" s="7"/>
      <c r="AT440" s="7"/>
      <c r="AU440" s="7"/>
      <c r="AV440" s="7"/>
      <c r="AW440" s="7"/>
      <c r="AY440" s="7"/>
      <c r="AZ440" s="7"/>
      <c r="BA440" s="7"/>
      <c r="BB440" s="7"/>
    </row>
    <row r="441" spans="2:54" x14ac:dyDescent="0.2">
      <c r="B441" s="174"/>
      <c r="C441" s="176"/>
      <c r="F441" s="5">
        <v>0</v>
      </c>
      <c r="G441" s="192">
        <v>0</v>
      </c>
      <c r="H441" s="192">
        <v>0</v>
      </c>
      <c r="I441" s="5">
        <v>0</v>
      </c>
      <c r="J441" s="192">
        <v>0</v>
      </c>
      <c r="K441" s="192">
        <v>0</v>
      </c>
      <c r="L441" s="5">
        <v>0</v>
      </c>
      <c r="M441" s="5">
        <v>0</v>
      </c>
      <c r="N441" s="4" t="e">
        <f t="shared" ref="N441:N504" si="41">$Z441-$AD441</f>
        <v>#N/A</v>
      </c>
      <c r="O441" s="4" t="e">
        <f>IF(ROUND(10.499-(((N441-VLOOKUP($C441,Lookups!$A$55:$D$64,3))/(VLOOKUP($C441,Lookups!$A$55:$D$64,4))*VLOOKUP($C441,Lookups!$C$2:$D$11,2))),0)&lt;1,1,IF(ROUND(10.499-(((N441-VLOOKUP($C441,Lookups!$A$55:$D$64,3))/(VLOOKUP($C441,Lookups!$A$55:$D$64,4))*VLOOKUP($C441,Lookups!$C$2:$D$11,2))),0)&lt;11,ROUND(10.499-(((N441-VLOOKUP($C441,Lookups!$A$55:$D$64,3))/(VLOOKUP($C441,Lookups!$A$55:$D$64,4))*VLOOKUP($C441,Lookups!$C$2:$D$11,2))),0),10))</f>
        <v>#N/A</v>
      </c>
      <c r="P441" s="13" t="str">
        <f>IF((SUM(F441:M441)=0),"J",VLOOKUP(O441,Lookups!$A$1:$B$11,2))</f>
        <v>J</v>
      </c>
      <c r="Q441" s="8" t="e">
        <f>VLOOKUP(C441,Lookups!$A$136:$C$144,3)</f>
        <v>#N/A</v>
      </c>
      <c r="R441" s="8" t="e">
        <f>VLOOKUP(C441,Lookups!$A$136:$C$144,2)</f>
        <v>#N/A</v>
      </c>
      <c r="S441" s="4" t="str">
        <f t="shared" si="37"/>
        <v>No</v>
      </c>
      <c r="T441" s="125">
        <f t="shared" si="38"/>
        <v>0</v>
      </c>
      <c r="U441" s="125">
        <f t="shared" si="39"/>
        <v>0</v>
      </c>
      <c r="V441" s="4" t="e">
        <f>IF($Q441&lt;&gt;3,VLOOKUP(F441,'Points Table A'!B$3:$F$33,5),VLOOKUP(F441,'Points Table A'!H$3:$L$33,5))</f>
        <v>#N/A</v>
      </c>
      <c r="W441" s="4" t="e">
        <f>IF($Q441&lt;&gt;3,VLOOKUP(G441,'Points Table A'!C$3:$F$33,4),VLOOKUP(G441,'Points Table A'!I$3:$L$33,4))</f>
        <v>#N/A</v>
      </c>
      <c r="X441" s="4" t="e">
        <f>IF($Q441&lt;&gt;3,VLOOKUP(H441,'Points Table A'!D$3:$F$28,3),VLOOKUP(H441,'Points Table A'!J$3:$L$33,3))</f>
        <v>#N/A</v>
      </c>
      <c r="Y441" s="4" t="e">
        <f>IF($Q441&lt;&gt;3,VLOOKUP(I441,'Points Table A'!E$3:$F$33,2),VLOOKUP(I441,'Points Table A'!K$3:$L$33,2))</f>
        <v>#N/A</v>
      </c>
      <c r="Z441" s="4" t="e">
        <f t="shared" si="40"/>
        <v>#N/A</v>
      </c>
      <c r="AA441" s="4">
        <f>IF($S441=Lookups!$B$113,VLOOKUP(L441,'Points Table C'!A$3:$E$11,5),VLOOKUP(U441,'Points Table C'!B$3:$E$11,4))</f>
        <v>0</v>
      </c>
      <c r="AB441" s="4" t="e">
        <f>IF($Q441=1,0,VLOOKUP($J441,'Points Table C'!$C$3:$E$18,3))</f>
        <v>#N/A</v>
      </c>
      <c r="AC441" s="4">
        <f>VLOOKUP($K441,'Points Table C'!$D$3:$E$18,2)</f>
        <v>0</v>
      </c>
      <c r="AD441" s="4" t="e">
        <f>IF($Z441&lt;Lookups!$C$106,($AA441+AB441+AC441),IF($AA441&gt;=Lookups!$C$120,($AA441+AB441+AC441),$AA441+$AB441))</f>
        <v>#N/A</v>
      </c>
      <c r="AF441" s="7"/>
      <c r="AG441" s="7"/>
      <c r="AH441" s="7"/>
      <c r="AI441" s="7"/>
      <c r="AJ441" s="7"/>
      <c r="AK441" s="7"/>
      <c r="AL441" s="7"/>
      <c r="AM441" s="7"/>
      <c r="AN441" s="7"/>
      <c r="AO441" s="7"/>
      <c r="AP441" s="7"/>
      <c r="AQ441" s="7"/>
      <c r="AR441" s="7"/>
      <c r="AS441" s="7"/>
      <c r="AT441" s="7"/>
      <c r="AU441" s="7"/>
      <c r="AV441" s="7"/>
      <c r="AW441" s="7"/>
      <c r="AY441" s="7"/>
      <c r="AZ441" s="7"/>
      <c r="BA441" s="7"/>
      <c r="BB441" s="7"/>
    </row>
    <row r="442" spans="2:54" x14ac:dyDescent="0.2">
      <c r="B442" s="174"/>
      <c r="C442" s="176"/>
      <c r="F442" s="5">
        <v>0</v>
      </c>
      <c r="G442" s="192">
        <v>0</v>
      </c>
      <c r="H442" s="192">
        <v>0</v>
      </c>
      <c r="I442" s="5">
        <v>0</v>
      </c>
      <c r="J442" s="192">
        <v>0</v>
      </c>
      <c r="K442" s="192">
        <v>0</v>
      </c>
      <c r="L442" s="5">
        <v>0</v>
      </c>
      <c r="M442" s="5">
        <v>0</v>
      </c>
      <c r="N442" s="4" t="e">
        <f t="shared" si="41"/>
        <v>#N/A</v>
      </c>
      <c r="O442" s="4" t="e">
        <f>IF(ROUND(10.499-(((N442-VLOOKUP($C442,Lookups!$A$55:$D$64,3))/(VLOOKUP($C442,Lookups!$A$55:$D$64,4))*VLOOKUP($C442,Lookups!$C$2:$D$11,2))),0)&lt;1,1,IF(ROUND(10.499-(((N442-VLOOKUP($C442,Lookups!$A$55:$D$64,3))/(VLOOKUP($C442,Lookups!$A$55:$D$64,4))*VLOOKUP($C442,Lookups!$C$2:$D$11,2))),0)&lt;11,ROUND(10.499-(((N442-VLOOKUP($C442,Lookups!$A$55:$D$64,3))/(VLOOKUP($C442,Lookups!$A$55:$D$64,4))*VLOOKUP($C442,Lookups!$C$2:$D$11,2))),0),10))</f>
        <v>#N/A</v>
      </c>
      <c r="P442" s="13" t="str">
        <f>IF((SUM(F442:M442)=0),"J",VLOOKUP(O442,Lookups!$A$1:$B$11,2))</f>
        <v>J</v>
      </c>
      <c r="Q442" s="8" t="e">
        <f>VLOOKUP(C442,Lookups!$A$136:$C$144,3)</f>
        <v>#N/A</v>
      </c>
      <c r="R442" s="8" t="e">
        <f>VLOOKUP(C442,Lookups!$A$136:$C$144,2)</f>
        <v>#N/A</v>
      </c>
      <c r="S442" s="4" t="str">
        <f t="shared" si="37"/>
        <v>No</v>
      </c>
      <c r="T442" s="125">
        <f t="shared" si="38"/>
        <v>0</v>
      </c>
      <c r="U442" s="125">
        <f t="shared" si="39"/>
        <v>0</v>
      </c>
      <c r="V442" s="4" t="e">
        <f>IF($Q442&lt;&gt;3,VLOOKUP(F442,'Points Table A'!B$3:$F$33,5),VLOOKUP(F442,'Points Table A'!H$3:$L$33,5))</f>
        <v>#N/A</v>
      </c>
      <c r="W442" s="4" t="e">
        <f>IF($Q442&lt;&gt;3,VLOOKUP(G442,'Points Table A'!C$3:$F$33,4),VLOOKUP(G442,'Points Table A'!I$3:$L$33,4))</f>
        <v>#N/A</v>
      </c>
      <c r="X442" s="4" t="e">
        <f>IF($Q442&lt;&gt;3,VLOOKUP(H442,'Points Table A'!D$3:$F$28,3),VLOOKUP(H442,'Points Table A'!J$3:$L$33,3))</f>
        <v>#N/A</v>
      </c>
      <c r="Y442" s="4" t="e">
        <f>IF($Q442&lt;&gt;3,VLOOKUP(I442,'Points Table A'!E$3:$F$33,2),VLOOKUP(I442,'Points Table A'!K$3:$L$33,2))</f>
        <v>#N/A</v>
      </c>
      <c r="Z442" s="4" t="e">
        <f t="shared" si="40"/>
        <v>#N/A</v>
      </c>
      <c r="AA442" s="4">
        <f>IF($S442=Lookups!$B$113,VLOOKUP(L442,'Points Table C'!A$3:$E$11,5),VLOOKUP(U442,'Points Table C'!B$3:$E$11,4))</f>
        <v>0</v>
      </c>
      <c r="AB442" s="4" t="e">
        <f>IF($Q442=1,0,VLOOKUP($J442,'Points Table C'!$C$3:$E$18,3))</f>
        <v>#N/A</v>
      </c>
      <c r="AC442" s="4">
        <f>VLOOKUP($K442,'Points Table C'!$D$3:$E$18,2)</f>
        <v>0</v>
      </c>
      <c r="AD442" s="4" t="e">
        <f>IF($Z442&lt;Lookups!$C$106,($AA442+AB442+AC442),IF($AA442&gt;=Lookups!$C$120,($AA442+AB442+AC442),$AA442+$AB442))</f>
        <v>#N/A</v>
      </c>
      <c r="AF442" s="7"/>
      <c r="AG442" s="7"/>
      <c r="AH442" s="7"/>
      <c r="AI442" s="7"/>
      <c r="AJ442" s="7"/>
      <c r="AK442" s="7"/>
      <c r="AL442" s="7"/>
      <c r="AM442" s="7"/>
      <c r="AN442" s="7"/>
      <c r="AO442" s="7"/>
      <c r="AP442" s="7"/>
      <c r="AQ442" s="7"/>
      <c r="AR442" s="7"/>
      <c r="AS442" s="7"/>
      <c r="AT442" s="7"/>
      <c r="AU442" s="7"/>
      <c r="AV442" s="7"/>
      <c r="AW442" s="7"/>
      <c r="AY442" s="7"/>
      <c r="AZ442" s="7"/>
      <c r="BA442" s="7"/>
      <c r="BB442" s="7"/>
    </row>
    <row r="443" spans="2:54" x14ac:dyDescent="0.2">
      <c r="B443" s="174"/>
      <c r="C443" s="176"/>
      <c r="F443" s="5">
        <v>0</v>
      </c>
      <c r="G443" s="192">
        <v>0</v>
      </c>
      <c r="H443" s="192">
        <v>0</v>
      </c>
      <c r="I443" s="5">
        <v>0</v>
      </c>
      <c r="J443" s="192">
        <v>0</v>
      </c>
      <c r="K443" s="192">
        <v>0</v>
      </c>
      <c r="L443" s="5">
        <v>0</v>
      </c>
      <c r="M443" s="5">
        <v>0</v>
      </c>
      <c r="N443" s="4" t="e">
        <f t="shared" si="41"/>
        <v>#N/A</v>
      </c>
      <c r="O443" s="4" t="e">
        <f>IF(ROUND(10.499-(((N443-VLOOKUP($C443,Lookups!$A$55:$D$64,3))/(VLOOKUP($C443,Lookups!$A$55:$D$64,4))*VLOOKUP($C443,Lookups!$C$2:$D$11,2))),0)&lt;1,1,IF(ROUND(10.499-(((N443-VLOOKUP($C443,Lookups!$A$55:$D$64,3))/(VLOOKUP($C443,Lookups!$A$55:$D$64,4))*VLOOKUP($C443,Lookups!$C$2:$D$11,2))),0)&lt;11,ROUND(10.499-(((N443-VLOOKUP($C443,Lookups!$A$55:$D$64,3))/(VLOOKUP($C443,Lookups!$A$55:$D$64,4))*VLOOKUP($C443,Lookups!$C$2:$D$11,2))),0),10))</f>
        <v>#N/A</v>
      </c>
      <c r="P443" s="13" t="str">
        <f>IF((SUM(F443:M443)=0),"J",VLOOKUP(O443,Lookups!$A$1:$B$11,2))</f>
        <v>J</v>
      </c>
      <c r="Q443" s="8" t="e">
        <f>VLOOKUP(C443,Lookups!$A$136:$C$144,3)</f>
        <v>#N/A</v>
      </c>
      <c r="R443" s="8" t="e">
        <f>VLOOKUP(C443,Lookups!$A$136:$C$144,2)</f>
        <v>#N/A</v>
      </c>
      <c r="S443" s="4" t="str">
        <f t="shared" si="37"/>
        <v>No</v>
      </c>
      <c r="T443" s="125">
        <f t="shared" si="38"/>
        <v>0</v>
      </c>
      <c r="U443" s="125">
        <f t="shared" si="39"/>
        <v>0</v>
      </c>
      <c r="V443" s="4" t="e">
        <f>IF($Q443&lt;&gt;3,VLOOKUP(F443,'Points Table A'!B$3:$F$33,5),VLOOKUP(F443,'Points Table A'!H$3:$L$33,5))</f>
        <v>#N/A</v>
      </c>
      <c r="W443" s="4" t="e">
        <f>IF($Q443&lt;&gt;3,VLOOKUP(G443,'Points Table A'!C$3:$F$33,4),VLOOKUP(G443,'Points Table A'!I$3:$L$33,4))</f>
        <v>#N/A</v>
      </c>
      <c r="X443" s="4" t="e">
        <f>IF($Q443&lt;&gt;3,VLOOKUP(H443,'Points Table A'!D$3:$F$28,3),VLOOKUP(H443,'Points Table A'!J$3:$L$33,3))</f>
        <v>#N/A</v>
      </c>
      <c r="Y443" s="4" t="e">
        <f>IF($Q443&lt;&gt;3,VLOOKUP(I443,'Points Table A'!E$3:$F$33,2),VLOOKUP(I443,'Points Table A'!K$3:$L$33,2))</f>
        <v>#N/A</v>
      </c>
      <c r="Z443" s="4" t="e">
        <f t="shared" si="40"/>
        <v>#N/A</v>
      </c>
      <c r="AA443" s="4">
        <f>IF($S443=Lookups!$B$113,VLOOKUP(L443,'Points Table C'!A$3:$E$11,5),VLOOKUP(U443,'Points Table C'!B$3:$E$11,4))</f>
        <v>0</v>
      </c>
      <c r="AB443" s="4" t="e">
        <f>IF($Q443=1,0,VLOOKUP($J443,'Points Table C'!$C$3:$E$18,3))</f>
        <v>#N/A</v>
      </c>
      <c r="AC443" s="4">
        <f>VLOOKUP($K443,'Points Table C'!$D$3:$E$18,2)</f>
        <v>0</v>
      </c>
      <c r="AD443" s="4" t="e">
        <f>IF($Z443&lt;Lookups!$C$106,($AA443+AB443+AC443),IF($AA443&gt;=Lookups!$C$120,($AA443+AB443+AC443),$AA443+$AB443))</f>
        <v>#N/A</v>
      </c>
      <c r="AF443" s="7"/>
      <c r="AG443" s="7"/>
      <c r="AH443" s="7"/>
      <c r="AI443" s="7"/>
      <c r="AJ443" s="7"/>
      <c r="AK443" s="7"/>
      <c r="AL443" s="7"/>
      <c r="AM443" s="7"/>
      <c r="AN443" s="7"/>
      <c r="AO443" s="7"/>
      <c r="AP443" s="7"/>
      <c r="AQ443" s="7"/>
      <c r="AR443" s="7"/>
      <c r="AS443" s="7"/>
      <c r="AT443" s="7"/>
      <c r="AU443" s="7"/>
      <c r="AV443" s="7"/>
      <c r="AW443" s="7"/>
      <c r="AY443" s="7"/>
      <c r="AZ443" s="7"/>
      <c r="BA443" s="7"/>
      <c r="BB443" s="7"/>
    </row>
    <row r="444" spans="2:54" x14ac:dyDescent="0.2">
      <c r="B444" s="174"/>
      <c r="C444" s="176"/>
      <c r="F444" s="5">
        <v>0</v>
      </c>
      <c r="G444" s="192">
        <v>0</v>
      </c>
      <c r="H444" s="192">
        <v>0</v>
      </c>
      <c r="I444" s="5">
        <v>0</v>
      </c>
      <c r="J444" s="192">
        <v>0</v>
      </c>
      <c r="K444" s="192">
        <v>0</v>
      </c>
      <c r="L444" s="5">
        <v>0</v>
      </c>
      <c r="M444" s="5">
        <v>0</v>
      </c>
      <c r="N444" s="4" t="e">
        <f t="shared" si="41"/>
        <v>#N/A</v>
      </c>
      <c r="O444" s="4" t="e">
        <f>IF(ROUND(10.499-(((N444-VLOOKUP($C444,Lookups!$A$55:$D$64,3))/(VLOOKUP($C444,Lookups!$A$55:$D$64,4))*VLOOKUP($C444,Lookups!$C$2:$D$11,2))),0)&lt;1,1,IF(ROUND(10.499-(((N444-VLOOKUP($C444,Lookups!$A$55:$D$64,3))/(VLOOKUP($C444,Lookups!$A$55:$D$64,4))*VLOOKUP($C444,Lookups!$C$2:$D$11,2))),0)&lt;11,ROUND(10.499-(((N444-VLOOKUP($C444,Lookups!$A$55:$D$64,3))/(VLOOKUP($C444,Lookups!$A$55:$D$64,4))*VLOOKUP($C444,Lookups!$C$2:$D$11,2))),0),10))</f>
        <v>#N/A</v>
      </c>
      <c r="P444" s="13" t="str">
        <f>IF((SUM(F444:M444)=0),"J",VLOOKUP(O444,Lookups!$A$1:$B$11,2))</f>
        <v>J</v>
      </c>
      <c r="Q444" s="8" t="e">
        <f>VLOOKUP(C444,Lookups!$A$136:$C$144,3)</f>
        <v>#N/A</v>
      </c>
      <c r="R444" s="8" t="e">
        <f>VLOOKUP(C444,Lookups!$A$136:$C$144,2)</f>
        <v>#N/A</v>
      </c>
      <c r="S444" s="4" t="str">
        <f t="shared" si="37"/>
        <v>No</v>
      </c>
      <c r="T444" s="125">
        <f t="shared" si="38"/>
        <v>0</v>
      </c>
      <c r="U444" s="125">
        <f t="shared" si="39"/>
        <v>0</v>
      </c>
      <c r="V444" s="4" t="e">
        <f>IF($Q444&lt;&gt;3,VLOOKUP(F444,'Points Table A'!B$3:$F$33,5),VLOOKUP(F444,'Points Table A'!H$3:$L$33,5))</f>
        <v>#N/A</v>
      </c>
      <c r="W444" s="4" t="e">
        <f>IF($Q444&lt;&gt;3,VLOOKUP(G444,'Points Table A'!C$3:$F$33,4),VLOOKUP(G444,'Points Table A'!I$3:$L$33,4))</f>
        <v>#N/A</v>
      </c>
      <c r="X444" s="4" t="e">
        <f>IF($Q444&lt;&gt;3,VLOOKUP(H444,'Points Table A'!D$3:$F$28,3),VLOOKUP(H444,'Points Table A'!J$3:$L$33,3))</f>
        <v>#N/A</v>
      </c>
      <c r="Y444" s="4" t="e">
        <f>IF($Q444&lt;&gt;3,VLOOKUP(I444,'Points Table A'!E$3:$F$33,2),VLOOKUP(I444,'Points Table A'!K$3:$L$33,2))</f>
        <v>#N/A</v>
      </c>
      <c r="Z444" s="4" t="e">
        <f t="shared" si="40"/>
        <v>#N/A</v>
      </c>
      <c r="AA444" s="4">
        <f>IF($S444=Lookups!$B$113,VLOOKUP(L444,'Points Table C'!A$3:$E$11,5),VLOOKUP(U444,'Points Table C'!B$3:$E$11,4))</f>
        <v>0</v>
      </c>
      <c r="AB444" s="4" t="e">
        <f>IF($Q444=1,0,VLOOKUP($J444,'Points Table C'!$C$3:$E$18,3))</f>
        <v>#N/A</v>
      </c>
      <c r="AC444" s="4">
        <f>VLOOKUP($K444,'Points Table C'!$D$3:$E$18,2)</f>
        <v>0</v>
      </c>
      <c r="AD444" s="4" t="e">
        <f>IF($Z444&lt;Lookups!$C$106,($AA444+AB444+AC444),IF($AA444&gt;=Lookups!$C$120,($AA444+AB444+AC444),$AA444+$AB444))</f>
        <v>#N/A</v>
      </c>
      <c r="AF444" s="7"/>
      <c r="AG444" s="7"/>
      <c r="AH444" s="7"/>
      <c r="AI444" s="7"/>
      <c r="AJ444" s="7"/>
      <c r="AK444" s="7"/>
      <c r="AL444" s="7"/>
      <c r="AM444" s="7"/>
      <c r="AN444" s="7"/>
      <c r="AO444" s="7"/>
      <c r="AP444" s="7"/>
      <c r="AQ444" s="7"/>
      <c r="AR444" s="7"/>
      <c r="AS444" s="7"/>
      <c r="AT444" s="7"/>
      <c r="AU444" s="7"/>
      <c r="AV444" s="7"/>
      <c r="AW444" s="7"/>
      <c r="AY444" s="7"/>
      <c r="AZ444" s="7"/>
      <c r="BA444" s="7"/>
      <c r="BB444" s="7"/>
    </row>
    <row r="445" spans="2:54" x14ac:dyDescent="0.2">
      <c r="B445" s="174"/>
      <c r="C445" s="176"/>
      <c r="F445" s="5">
        <v>0</v>
      </c>
      <c r="G445" s="192">
        <v>0</v>
      </c>
      <c r="H445" s="192">
        <v>0</v>
      </c>
      <c r="I445" s="5">
        <v>0</v>
      </c>
      <c r="J445" s="192">
        <v>0</v>
      </c>
      <c r="K445" s="192">
        <v>0</v>
      </c>
      <c r="L445" s="5">
        <v>0</v>
      </c>
      <c r="M445" s="5">
        <v>0</v>
      </c>
      <c r="N445" s="4" t="e">
        <f t="shared" si="41"/>
        <v>#N/A</v>
      </c>
      <c r="O445" s="4" t="e">
        <f>IF(ROUND(10.499-(((N445-VLOOKUP($C445,Lookups!$A$55:$D$64,3))/(VLOOKUP($C445,Lookups!$A$55:$D$64,4))*VLOOKUP($C445,Lookups!$C$2:$D$11,2))),0)&lt;1,1,IF(ROUND(10.499-(((N445-VLOOKUP($C445,Lookups!$A$55:$D$64,3))/(VLOOKUP($C445,Lookups!$A$55:$D$64,4))*VLOOKUP($C445,Lookups!$C$2:$D$11,2))),0)&lt;11,ROUND(10.499-(((N445-VLOOKUP($C445,Lookups!$A$55:$D$64,3))/(VLOOKUP($C445,Lookups!$A$55:$D$64,4))*VLOOKUP($C445,Lookups!$C$2:$D$11,2))),0),10))</f>
        <v>#N/A</v>
      </c>
      <c r="P445" s="13" t="str">
        <f>IF((SUM(F445:M445)=0),"J",VLOOKUP(O445,Lookups!$A$1:$B$11,2))</f>
        <v>J</v>
      </c>
      <c r="Q445" s="8" t="e">
        <f>VLOOKUP(C445,Lookups!$A$136:$C$144,3)</f>
        <v>#N/A</v>
      </c>
      <c r="R445" s="8" t="e">
        <f>VLOOKUP(C445,Lookups!$A$136:$C$144,2)</f>
        <v>#N/A</v>
      </c>
      <c r="S445" s="4" t="str">
        <f t="shared" si="37"/>
        <v>No</v>
      </c>
      <c r="T445" s="125">
        <f t="shared" si="38"/>
        <v>0</v>
      </c>
      <c r="U445" s="125">
        <f t="shared" si="39"/>
        <v>0</v>
      </c>
      <c r="V445" s="4" t="e">
        <f>IF($Q445&lt;&gt;3,VLOOKUP(F445,'Points Table A'!B$3:$F$33,5),VLOOKUP(F445,'Points Table A'!H$3:$L$33,5))</f>
        <v>#N/A</v>
      </c>
      <c r="W445" s="4" t="e">
        <f>IF($Q445&lt;&gt;3,VLOOKUP(G445,'Points Table A'!C$3:$F$33,4),VLOOKUP(G445,'Points Table A'!I$3:$L$33,4))</f>
        <v>#N/A</v>
      </c>
      <c r="X445" s="4" t="e">
        <f>IF($Q445&lt;&gt;3,VLOOKUP(H445,'Points Table A'!D$3:$F$28,3),VLOOKUP(H445,'Points Table A'!J$3:$L$33,3))</f>
        <v>#N/A</v>
      </c>
      <c r="Y445" s="4" t="e">
        <f>IF($Q445&lt;&gt;3,VLOOKUP(I445,'Points Table A'!E$3:$F$33,2),VLOOKUP(I445,'Points Table A'!K$3:$L$33,2))</f>
        <v>#N/A</v>
      </c>
      <c r="Z445" s="4" t="e">
        <f t="shared" si="40"/>
        <v>#N/A</v>
      </c>
      <c r="AA445" s="4">
        <f>IF($S445=Lookups!$B$113,VLOOKUP(L445,'Points Table C'!A$3:$E$11,5),VLOOKUP(U445,'Points Table C'!B$3:$E$11,4))</f>
        <v>0</v>
      </c>
      <c r="AB445" s="4" t="e">
        <f>IF($Q445=1,0,VLOOKUP($J445,'Points Table C'!$C$3:$E$18,3))</f>
        <v>#N/A</v>
      </c>
      <c r="AC445" s="4">
        <f>VLOOKUP($K445,'Points Table C'!$D$3:$E$18,2)</f>
        <v>0</v>
      </c>
      <c r="AD445" s="4" t="e">
        <f>IF($Z445&lt;Lookups!$C$106,($AA445+AB445+AC445),IF($AA445&gt;=Lookups!$C$120,($AA445+AB445+AC445),$AA445+$AB445))</f>
        <v>#N/A</v>
      </c>
      <c r="AF445" s="7"/>
      <c r="AG445" s="7"/>
      <c r="AH445" s="7"/>
      <c r="AI445" s="7"/>
      <c r="AJ445" s="7"/>
      <c r="AK445" s="7"/>
      <c r="AL445" s="7"/>
      <c r="AM445" s="7"/>
      <c r="AN445" s="7"/>
      <c r="AO445" s="7"/>
      <c r="AP445" s="7"/>
      <c r="AQ445" s="7"/>
      <c r="AR445" s="7"/>
      <c r="AS445" s="7"/>
      <c r="AT445" s="7"/>
      <c r="AU445" s="7"/>
      <c r="AV445" s="7"/>
      <c r="AW445" s="7"/>
      <c r="AY445" s="7"/>
      <c r="AZ445" s="7"/>
      <c r="BA445" s="7"/>
      <c r="BB445" s="7"/>
    </row>
    <row r="446" spans="2:54" x14ac:dyDescent="0.2">
      <c r="B446" s="174"/>
      <c r="C446" s="176"/>
      <c r="F446" s="5">
        <v>0</v>
      </c>
      <c r="G446" s="192">
        <v>0</v>
      </c>
      <c r="H446" s="192">
        <v>0</v>
      </c>
      <c r="I446" s="5">
        <v>0</v>
      </c>
      <c r="J446" s="192">
        <v>0</v>
      </c>
      <c r="K446" s="192">
        <v>0</v>
      </c>
      <c r="L446" s="5">
        <v>0</v>
      </c>
      <c r="M446" s="5">
        <v>0</v>
      </c>
      <c r="N446" s="4" t="e">
        <f t="shared" si="41"/>
        <v>#N/A</v>
      </c>
      <c r="O446" s="4" t="e">
        <f>IF(ROUND(10.499-(((N446-VLOOKUP($C446,Lookups!$A$55:$D$64,3))/(VLOOKUP($C446,Lookups!$A$55:$D$64,4))*VLOOKUP($C446,Lookups!$C$2:$D$11,2))),0)&lt;1,1,IF(ROUND(10.499-(((N446-VLOOKUP($C446,Lookups!$A$55:$D$64,3))/(VLOOKUP($C446,Lookups!$A$55:$D$64,4))*VLOOKUP($C446,Lookups!$C$2:$D$11,2))),0)&lt;11,ROUND(10.499-(((N446-VLOOKUP($C446,Lookups!$A$55:$D$64,3))/(VLOOKUP($C446,Lookups!$A$55:$D$64,4))*VLOOKUP($C446,Lookups!$C$2:$D$11,2))),0),10))</f>
        <v>#N/A</v>
      </c>
      <c r="P446" s="13" t="str">
        <f>IF((SUM(F446:M446)=0),"J",VLOOKUP(O446,Lookups!$A$1:$B$11,2))</f>
        <v>J</v>
      </c>
      <c r="Q446" s="8" t="e">
        <f>VLOOKUP(C446,Lookups!$A$136:$C$144,3)</f>
        <v>#N/A</v>
      </c>
      <c r="R446" s="8" t="e">
        <f>VLOOKUP(C446,Lookups!$A$136:$C$144,2)</f>
        <v>#N/A</v>
      </c>
      <c r="S446" s="4" t="str">
        <f t="shared" si="37"/>
        <v>No</v>
      </c>
      <c r="T446" s="125">
        <f t="shared" si="38"/>
        <v>0</v>
      </c>
      <c r="U446" s="125">
        <f t="shared" si="39"/>
        <v>0</v>
      </c>
      <c r="V446" s="4" t="e">
        <f>IF($Q446&lt;&gt;3,VLOOKUP(F446,'Points Table A'!B$3:$F$33,5),VLOOKUP(F446,'Points Table A'!H$3:$L$33,5))</f>
        <v>#N/A</v>
      </c>
      <c r="W446" s="4" t="e">
        <f>IF($Q446&lt;&gt;3,VLOOKUP(G446,'Points Table A'!C$3:$F$33,4),VLOOKUP(G446,'Points Table A'!I$3:$L$33,4))</f>
        <v>#N/A</v>
      </c>
      <c r="X446" s="4" t="e">
        <f>IF($Q446&lt;&gt;3,VLOOKUP(H446,'Points Table A'!D$3:$F$28,3),VLOOKUP(H446,'Points Table A'!J$3:$L$33,3))</f>
        <v>#N/A</v>
      </c>
      <c r="Y446" s="4" t="e">
        <f>IF($Q446&lt;&gt;3,VLOOKUP(I446,'Points Table A'!E$3:$F$33,2),VLOOKUP(I446,'Points Table A'!K$3:$L$33,2))</f>
        <v>#N/A</v>
      </c>
      <c r="Z446" s="4" t="e">
        <f t="shared" si="40"/>
        <v>#N/A</v>
      </c>
      <c r="AA446" s="4">
        <f>IF($S446=Lookups!$B$113,VLOOKUP(L446,'Points Table C'!A$3:$E$11,5),VLOOKUP(U446,'Points Table C'!B$3:$E$11,4))</f>
        <v>0</v>
      </c>
      <c r="AB446" s="4" t="e">
        <f>IF($Q446=1,0,VLOOKUP($J446,'Points Table C'!$C$3:$E$18,3))</f>
        <v>#N/A</v>
      </c>
      <c r="AC446" s="4">
        <f>VLOOKUP($K446,'Points Table C'!$D$3:$E$18,2)</f>
        <v>0</v>
      </c>
      <c r="AD446" s="4" t="e">
        <f>IF($Z446&lt;Lookups!$C$106,($AA446+AB446+AC446),IF($AA446&gt;=Lookups!$C$120,($AA446+AB446+AC446),$AA446+$AB446))</f>
        <v>#N/A</v>
      </c>
      <c r="AF446" s="7"/>
      <c r="AG446" s="7"/>
      <c r="AH446" s="7"/>
      <c r="AI446" s="7"/>
      <c r="AJ446" s="7"/>
      <c r="AK446" s="7"/>
      <c r="AL446" s="7"/>
      <c r="AM446" s="7"/>
      <c r="AN446" s="7"/>
      <c r="AO446" s="7"/>
      <c r="AP446" s="7"/>
      <c r="AQ446" s="7"/>
      <c r="AR446" s="7"/>
      <c r="AS446" s="7"/>
      <c r="AT446" s="7"/>
      <c r="AU446" s="7"/>
      <c r="AV446" s="7"/>
      <c r="AW446" s="7"/>
      <c r="AY446" s="7"/>
      <c r="AZ446" s="7"/>
      <c r="BA446" s="7"/>
      <c r="BB446" s="7"/>
    </row>
    <row r="447" spans="2:54" x14ac:dyDescent="0.2">
      <c r="B447" s="174"/>
      <c r="C447" s="176"/>
      <c r="F447" s="5">
        <v>0</v>
      </c>
      <c r="G447" s="192">
        <v>0</v>
      </c>
      <c r="H447" s="192">
        <v>0</v>
      </c>
      <c r="I447" s="5">
        <v>0</v>
      </c>
      <c r="J447" s="192">
        <v>0</v>
      </c>
      <c r="K447" s="192">
        <v>0</v>
      </c>
      <c r="L447" s="5">
        <v>0</v>
      </c>
      <c r="M447" s="5">
        <v>0</v>
      </c>
      <c r="N447" s="4" t="e">
        <f t="shared" si="41"/>
        <v>#N/A</v>
      </c>
      <c r="O447" s="4" t="e">
        <f>IF(ROUND(10.499-(((N447-VLOOKUP($C447,Lookups!$A$55:$D$64,3))/(VLOOKUP($C447,Lookups!$A$55:$D$64,4))*VLOOKUP($C447,Lookups!$C$2:$D$11,2))),0)&lt;1,1,IF(ROUND(10.499-(((N447-VLOOKUP($C447,Lookups!$A$55:$D$64,3))/(VLOOKUP($C447,Lookups!$A$55:$D$64,4))*VLOOKUP($C447,Lookups!$C$2:$D$11,2))),0)&lt;11,ROUND(10.499-(((N447-VLOOKUP($C447,Lookups!$A$55:$D$64,3))/(VLOOKUP($C447,Lookups!$A$55:$D$64,4))*VLOOKUP($C447,Lookups!$C$2:$D$11,2))),0),10))</f>
        <v>#N/A</v>
      </c>
      <c r="P447" s="13" t="str">
        <f>IF((SUM(F447:M447)=0),"J",VLOOKUP(O447,Lookups!$A$1:$B$11,2))</f>
        <v>J</v>
      </c>
      <c r="Q447" s="8" t="e">
        <f>VLOOKUP(C447,Lookups!$A$136:$C$144,3)</f>
        <v>#N/A</v>
      </c>
      <c r="R447" s="8" t="e">
        <f>VLOOKUP(C447,Lookups!$A$136:$C$144,2)</f>
        <v>#N/A</v>
      </c>
      <c r="S447" s="4" t="str">
        <f t="shared" si="37"/>
        <v>No</v>
      </c>
      <c r="T447" s="125">
        <f t="shared" si="38"/>
        <v>0</v>
      </c>
      <c r="U447" s="125">
        <f t="shared" si="39"/>
        <v>0</v>
      </c>
      <c r="V447" s="4" t="e">
        <f>IF($Q447&lt;&gt;3,VLOOKUP(F447,'Points Table A'!B$3:$F$33,5),VLOOKUP(F447,'Points Table A'!H$3:$L$33,5))</f>
        <v>#N/A</v>
      </c>
      <c r="W447" s="4" t="e">
        <f>IF($Q447&lt;&gt;3,VLOOKUP(G447,'Points Table A'!C$3:$F$33,4),VLOOKUP(G447,'Points Table A'!I$3:$L$33,4))</f>
        <v>#N/A</v>
      </c>
      <c r="X447" s="4" t="e">
        <f>IF($Q447&lt;&gt;3,VLOOKUP(H447,'Points Table A'!D$3:$F$28,3),VLOOKUP(H447,'Points Table A'!J$3:$L$33,3))</f>
        <v>#N/A</v>
      </c>
      <c r="Y447" s="4" t="e">
        <f>IF($Q447&lt;&gt;3,VLOOKUP(I447,'Points Table A'!E$3:$F$33,2),VLOOKUP(I447,'Points Table A'!K$3:$L$33,2))</f>
        <v>#N/A</v>
      </c>
      <c r="Z447" s="4" t="e">
        <f t="shared" si="40"/>
        <v>#N/A</v>
      </c>
      <c r="AA447" s="4">
        <f>IF($S447=Lookups!$B$113,VLOOKUP(L447,'Points Table C'!A$3:$E$11,5),VLOOKUP(U447,'Points Table C'!B$3:$E$11,4))</f>
        <v>0</v>
      </c>
      <c r="AB447" s="4" t="e">
        <f>IF($Q447=1,0,VLOOKUP($J447,'Points Table C'!$C$3:$E$18,3))</f>
        <v>#N/A</v>
      </c>
      <c r="AC447" s="4">
        <f>VLOOKUP($K447,'Points Table C'!$D$3:$E$18,2)</f>
        <v>0</v>
      </c>
      <c r="AD447" s="4" t="e">
        <f>IF($Z447&lt;Lookups!$C$106,($AA447+AB447+AC447),IF($AA447&gt;=Lookups!$C$120,($AA447+AB447+AC447),$AA447+$AB447))</f>
        <v>#N/A</v>
      </c>
      <c r="AF447" s="7"/>
      <c r="AG447" s="7"/>
      <c r="AH447" s="7"/>
      <c r="AI447" s="7"/>
      <c r="AJ447" s="7"/>
      <c r="AK447" s="7"/>
      <c r="AL447" s="7"/>
      <c r="AM447" s="7"/>
      <c r="AN447" s="7"/>
      <c r="AO447" s="7"/>
      <c r="AP447" s="7"/>
      <c r="AQ447" s="7"/>
      <c r="AR447" s="7"/>
      <c r="AS447" s="7"/>
      <c r="AT447" s="7"/>
      <c r="AU447" s="7"/>
      <c r="AV447" s="7"/>
      <c r="AW447" s="7"/>
      <c r="AY447" s="7"/>
      <c r="AZ447" s="7"/>
      <c r="BA447" s="7"/>
      <c r="BB447" s="7"/>
    </row>
    <row r="448" spans="2:54" x14ac:dyDescent="0.2">
      <c r="B448" s="174"/>
      <c r="C448" s="176"/>
      <c r="F448" s="5">
        <v>0</v>
      </c>
      <c r="G448" s="192">
        <v>0</v>
      </c>
      <c r="H448" s="192">
        <v>0</v>
      </c>
      <c r="I448" s="5">
        <v>0</v>
      </c>
      <c r="J448" s="192">
        <v>0</v>
      </c>
      <c r="K448" s="192">
        <v>0</v>
      </c>
      <c r="L448" s="5">
        <v>0</v>
      </c>
      <c r="M448" s="5">
        <v>0</v>
      </c>
      <c r="N448" s="4" t="e">
        <f t="shared" si="41"/>
        <v>#N/A</v>
      </c>
      <c r="O448" s="4" t="e">
        <f>IF(ROUND(10.499-(((N448-VLOOKUP($C448,Lookups!$A$55:$D$64,3))/(VLOOKUP($C448,Lookups!$A$55:$D$64,4))*VLOOKUP($C448,Lookups!$C$2:$D$11,2))),0)&lt;1,1,IF(ROUND(10.499-(((N448-VLOOKUP($C448,Lookups!$A$55:$D$64,3))/(VLOOKUP($C448,Lookups!$A$55:$D$64,4))*VLOOKUP($C448,Lookups!$C$2:$D$11,2))),0)&lt;11,ROUND(10.499-(((N448-VLOOKUP($C448,Lookups!$A$55:$D$64,3))/(VLOOKUP($C448,Lookups!$A$55:$D$64,4))*VLOOKUP($C448,Lookups!$C$2:$D$11,2))),0),10))</f>
        <v>#N/A</v>
      </c>
      <c r="P448" s="13" t="str">
        <f>IF((SUM(F448:M448)=0),"J",VLOOKUP(O448,Lookups!$A$1:$B$11,2))</f>
        <v>J</v>
      </c>
      <c r="Q448" s="8" t="e">
        <f>VLOOKUP(C448,Lookups!$A$136:$C$144,3)</f>
        <v>#N/A</v>
      </c>
      <c r="R448" s="8" t="e">
        <f>VLOOKUP(C448,Lookups!$A$136:$C$144,2)</f>
        <v>#N/A</v>
      </c>
      <c r="S448" s="4" t="str">
        <f t="shared" si="37"/>
        <v>No</v>
      </c>
      <c r="T448" s="125">
        <f t="shared" si="38"/>
        <v>0</v>
      </c>
      <c r="U448" s="125">
        <f t="shared" si="39"/>
        <v>0</v>
      </c>
      <c r="V448" s="4" t="e">
        <f>IF($Q448&lt;&gt;3,VLOOKUP(F448,'Points Table A'!B$3:$F$33,5),VLOOKUP(F448,'Points Table A'!H$3:$L$33,5))</f>
        <v>#N/A</v>
      </c>
      <c r="W448" s="4" t="e">
        <f>IF($Q448&lt;&gt;3,VLOOKUP(G448,'Points Table A'!C$3:$F$33,4),VLOOKUP(G448,'Points Table A'!I$3:$L$33,4))</f>
        <v>#N/A</v>
      </c>
      <c r="X448" s="4" t="e">
        <f>IF($Q448&lt;&gt;3,VLOOKUP(H448,'Points Table A'!D$3:$F$28,3),VLOOKUP(H448,'Points Table A'!J$3:$L$33,3))</f>
        <v>#N/A</v>
      </c>
      <c r="Y448" s="4" t="e">
        <f>IF($Q448&lt;&gt;3,VLOOKUP(I448,'Points Table A'!E$3:$F$33,2),VLOOKUP(I448,'Points Table A'!K$3:$L$33,2))</f>
        <v>#N/A</v>
      </c>
      <c r="Z448" s="4" t="e">
        <f t="shared" si="40"/>
        <v>#N/A</v>
      </c>
      <c r="AA448" s="4">
        <f>IF($S448=Lookups!$B$113,VLOOKUP(L448,'Points Table C'!A$3:$E$11,5),VLOOKUP(U448,'Points Table C'!B$3:$E$11,4))</f>
        <v>0</v>
      </c>
      <c r="AB448" s="4" t="e">
        <f>IF($Q448=1,0,VLOOKUP($J448,'Points Table C'!$C$3:$E$18,3))</f>
        <v>#N/A</v>
      </c>
      <c r="AC448" s="4">
        <f>VLOOKUP($K448,'Points Table C'!$D$3:$E$18,2)</f>
        <v>0</v>
      </c>
      <c r="AD448" s="4" t="e">
        <f>IF($Z448&lt;Lookups!$C$106,($AA448+AB448+AC448),IF($AA448&gt;=Lookups!$C$120,($AA448+AB448+AC448),$AA448+$AB448))</f>
        <v>#N/A</v>
      </c>
      <c r="AF448" s="7"/>
      <c r="AG448" s="7"/>
      <c r="AH448" s="7"/>
      <c r="AI448" s="7"/>
      <c r="AJ448" s="7"/>
      <c r="AK448" s="7"/>
      <c r="AL448" s="7"/>
      <c r="AM448" s="7"/>
      <c r="AN448" s="7"/>
      <c r="AO448" s="7"/>
      <c r="AP448" s="7"/>
      <c r="AQ448" s="7"/>
      <c r="AR448" s="7"/>
      <c r="AS448" s="7"/>
      <c r="AT448" s="7"/>
      <c r="AU448" s="7"/>
      <c r="AV448" s="7"/>
      <c r="AW448" s="7"/>
      <c r="AY448" s="7"/>
      <c r="AZ448" s="7"/>
      <c r="BA448" s="7"/>
      <c r="BB448" s="7"/>
    </row>
    <row r="449" spans="2:54" x14ac:dyDescent="0.2">
      <c r="B449" s="174"/>
      <c r="C449" s="176"/>
      <c r="F449" s="5">
        <v>0</v>
      </c>
      <c r="G449" s="192">
        <v>0</v>
      </c>
      <c r="H449" s="192">
        <v>0</v>
      </c>
      <c r="I449" s="5">
        <v>0</v>
      </c>
      <c r="J449" s="192">
        <v>0</v>
      </c>
      <c r="K449" s="192">
        <v>0</v>
      </c>
      <c r="L449" s="5">
        <v>0</v>
      </c>
      <c r="M449" s="5">
        <v>0</v>
      </c>
      <c r="N449" s="4" t="e">
        <f t="shared" si="41"/>
        <v>#N/A</v>
      </c>
      <c r="O449" s="4" t="e">
        <f>IF(ROUND(10.499-(((N449-VLOOKUP($C449,Lookups!$A$55:$D$64,3))/(VLOOKUP($C449,Lookups!$A$55:$D$64,4))*VLOOKUP($C449,Lookups!$C$2:$D$11,2))),0)&lt;1,1,IF(ROUND(10.499-(((N449-VLOOKUP($C449,Lookups!$A$55:$D$64,3))/(VLOOKUP($C449,Lookups!$A$55:$D$64,4))*VLOOKUP($C449,Lookups!$C$2:$D$11,2))),0)&lt;11,ROUND(10.499-(((N449-VLOOKUP($C449,Lookups!$A$55:$D$64,3))/(VLOOKUP($C449,Lookups!$A$55:$D$64,4))*VLOOKUP($C449,Lookups!$C$2:$D$11,2))),0),10))</f>
        <v>#N/A</v>
      </c>
      <c r="P449" s="13" t="str">
        <f>IF((SUM(F449:M449)=0),"J",VLOOKUP(O449,Lookups!$A$1:$B$11,2))</f>
        <v>J</v>
      </c>
      <c r="Q449" s="8" t="e">
        <f>VLOOKUP(C449,Lookups!$A$136:$C$144,3)</f>
        <v>#N/A</v>
      </c>
      <c r="R449" s="8" t="e">
        <f>VLOOKUP(C449,Lookups!$A$136:$C$144,2)</f>
        <v>#N/A</v>
      </c>
      <c r="S449" s="4" t="str">
        <f t="shared" si="37"/>
        <v>No</v>
      </c>
      <c r="T449" s="125">
        <f t="shared" si="38"/>
        <v>0</v>
      </c>
      <c r="U449" s="125">
        <f t="shared" si="39"/>
        <v>0</v>
      </c>
      <c r="V449" s="4" t="e">
        <f>IF($Q449&lt;&gt;3,VLOOKUP(F449,'Points Table A'!B$3:$F$33,5),VLOOKUP(F449,'Points Table A'!H$3:$L$33,5))</f>
        <v>#N/A</v>
      </c>
      <c r="W449" s="4" t="e">
        <f>IF($Q449&lt;&gt;3,VLOOKUP(G449,'Points Table A'!C$3:$F$33,4),VLOOKUP(G449,'Points Table A'!I$3:$L$33,4))</f>
        <v>#N/A</v>
      </c>
      <c r="X449" s="4" t="e">
        <f>IF($Q449&lt;&gt;3,VLOOKUP(H449,'Points Table A'!D$3:$F$28,3),VLOOKUP(H449,'Points Table A'!J$3:$L$33,3))</f>
        <v>#N/A</v>
      </c>
      <c r="Y449" s="4" t="e">
        <f>IF($Q449&lt;&gt;3,VLOOKUP(I449,'Points Table A'!E$3:$F$33,2),VLOOKUP(I449,'Points Table A'!K$3:$L$33,2))</f>
        <v>#N/A</v>
      </c>
      <c r="Z449" s="4" t="e">
        <f t="shared" si="40"/>
        <v>#N/A</v>
      </c>
      <c r="AA449" s="4">
        <f>IF($S449=Lookups!$B$113,VLOOKUP(L449,'Points Table C'!A$3:$E$11,5),VLOOKUP(U449,'Points Table C'!B$3:$E$11,4))</f>
        <v>0</v>
      </c>
      <c r="AB449" s="4" t="e">
        <f>IF($Q449=1,0,VLOOKUP($J449,'Points Table C'!$C$3:$E$18,3))</f>
        <v>#N/A</v>
      </c>
      <c r="AC449" s="4">
        <f>VLOOKUP($K449,'Points Table C'!$D$3:$E$18,2)</f>
        <v>0</v>
      </c>
      <c r="AD449" s="4" t="e">
        <f>IF($Z449&lt;Lookups!$C$106,($AA449+AB449+AC449),IF($AA449&gt;=Lookups!$C$120,($AA449+AB449+AC449),$AA449+$AB449))</f>
        <v>#N/A</v>
      </c>
      <c r="AF449" s="7"/>
      <c r="AG449" s="7"/>
      <c r="AH449" s="7"/>
      <c r="AI449" s="7"/>
      <c r="AJ449" s="7"/>
      <c r="AK449" s="7"/>
      <c r="AL449" s="7"/>
      <c r="AM449" s="7"/>
      <c r="AN449" s="7"/>
      <c r="AO449" s="7"/>
      <c r="AP449" s="7"/>
      <c r="AQ449" s="7"/>
      <c r="AR449" s="7"/>
      <c r="AS449" s="7"/>
      <c r="AT449" s="7"/>
      <c r="AU449" s="7"/>
      <c r="AV449" s="7"/>
      <c r="AW449" s="7"/>
      <c r="AY449" s="7"/>
      <c r="AZ449" s="7"/>
      <c r="BA449" s="7"/>
      <c r="BB449" s="7"/>
    </row>
    <row r="450" spans="2:54" x14ac:dyDescent="0.2">
      <c r="B450" s="174"/>
      <c r="C450" s="176"/>
      <c r="F450" s="5">
        <v>0</v>
      </c>
      <c r="G450" s="192">
        <v>0</v>
      </c>
      <c r="H450" s="192">
        <v>0</v>
      </c>
      <c r="I450" s="5">
        <v>0</v>
      </c>
      <c r="J450" s="192">
        <v>0</v>
      </c>
      <c r="K450" s="192">
        <v>0</v>
      </c>
      <c r="L450" s="5">
        <v>0</v>
      </c>
      <c r="M450" s="5">
        <v>0</v>
      </c>
      <c r="N450" s="4" t="e">
        <f t="shared" si="41"/>
        <v>#N/A</v>
      </c>
      <c r="O450" s="4" t="e">
        <f>IF(ROUND(10.499-(((N450-VLOOKUP($C450,Lookups!$A$55:$D$64,3))/(VLOOKUP($C450,Lookups!$A$55:$D$64,4))*VLOOKUP($C450,Lookups!$C$2:$D$11,2))),0)&lt;1,1,IF(ROUND(10.499-(((N450-VLOOKUP($C450,Lookups!$A$55:$D$64,3))/(VLOOKUP($C450,Lookups!$A$55:$D$64,4))*VLOOKUP($C450,Lookups!$C$2:$D$11,2))),0)&lt;11,ROUND(10.499-(((N450-VLOOKUP($C450,Lookups!$A$55:$D$64,3))/(VLOOKUP($C450,Lookups!$A$55:$D$64,4))*VLOOKUP($C450,Lookups!$C$2:$D$11,2))),0),10))</f>
        <v>#N/A</v>
      </c>
      <c r="P450" s="13" t="str">
        <f>IF((SUM(F450:M450)=0),"J",VLOOKUP(O450,Lookups!$A$1:$B$11,2))</f>
        <v>J</v>
      </c>
      <c r="Q450" s="8" t="e">
        <f>VLOOKUP(C450,Lookups!$A$136:$C$144,3)</f>
        <v>#N/A</v>
      </c>
      <c r="R450" s="8" t="e">
        <f>VLOOKUP(C450,Lookups!$A$136:$C$144,2)</f>
        <v>#N/A</v>
      </c>
      <c r="S450" s="4" t="str">
        <f t="shared" si="37"/>
        <v>No</v>
      </c>
      <c r="T450" s="125">
        <f t="shared" si="38"/>
        <v>0</v>
      </c>
      <c r="U450" s="125">
        <f t="shared" si="39"/>
        <v>0</v>
      </c>
      <c r="V450" s="4" t="e">
        <f>IF($Q450&lt;&gt;3,VLOOKUP(F450,'Points Table A'!B$3:$F$33,5),VLOOKUP(F450,'Points Table A'!H$3:$L$33,5))</f>
        <v>#N/A</v>
      </c>
      <c r="W450" s="4" t="e">
        <f>IF($Q450&lt;&gt;3,VLOOKUP(G450,'Points Table A'!C$3:$F$33,4),VLOOKUP(G450,'Points Table A'!I$3:$L$33,4))</f>
        <v>#N/A</v>
      </c>
      <c r="X450" s="4" t="e">
        <f>IF($Q450&lt;&gt;3,VLOOKUP(H450,'Points Table A'!D$3:$F$28,3),VLOOKUP(H450,'Points Table A'!J$3:$L$33,3))</f>
        <v>#N/A</v>
      </c>
      <c r="Y450" s="4" t="e">
        <f>IF($Q450&lt;&gt;3,VLOOKUP(I450,'Points Table A'!E$3:$F$33,2),VLOOKUP(I450,'Points Table A'!K$3:$L$33,2))</f>
        <v>#N/A</v>
      </c>
      <c r="Z450" s="4" t="e">
        <f t="shared" si="40"/>
        <v>#N/A</v>
      </c>
      <c r="AA450" s="4">
        <f>IF($S450=Lookups!$B$113,VLOOKUP(L450,'Points Table C'!A$3:$E$11,5),VLOOKUP(U450,'Points Table C'!B$3:$E$11,4))</f>
        <v>0</v>
      </c>
      <c r="AB450" s="4" t="e">
        <f>IF($Q450=1,0,VLOOKUP($J450,'Points Table C'!$C$3:$E$18,3))</f>
        <v>#N/A</v>
      </c>
      <c r="AC450" s="4">
        <f>VLOOKUP($K450,'Points Table C'!$D$3:$E$18,2)</f>
        <v>0</v>
      </c>
      <c r="AD450" s="4" t="e">
        <f>IF($Z450&lt;Lookups!$C$106,($AA450+AB450+AC450),IF($AA450&gt;=Lookups!$C$120,($AA450+AB450+AC450),$AA450+$AB450))</f>
        <v>#N/A</v>
      </c>
      <c r="AF450" s="7"/>
      <c r="AG450" s="7"/>
      <c r="AH450" s="7"/>
      <c r="AI450" s="7"/>
      <c r="AJ450" s="7"/>
      <c r="AK450" s="7"/>
      <c r="AL450" s="7"/>
      <c r="AM450" s="7"/>
      <c r="AN450" s="7"/>
      <c r="AO450" s="7"/>
      <c r="AP450" s="7"/>
      <c r="AQ450" s="7"/>
      <c r="AR450" s="7"/>
      <c r="AS450" s="7"/>
      <c r="AT450" s="7"/>
      <c r="AU450" s="7"/>
      <c r="AV450" s="7"/>
      <c r="AW450" s="7"/>
      <c r="AY450" s="7"/>
      <c r="AZ450" s="7"/>
      <c r="BA450" s="7"/>
      <c r="BB450" s="7"/>
    </row>
    <row r="451" spans="2:54" x14ac:dyDescent="0.2">
      <c r="B451" s="174"/>
      <c r="C451" s="176"/>
      <c r="F451" s="5">
        <v>0</v>
      </c>
      <c r="G451" s="192">
        <v>0</v>
      </c>
      <c r="H451" s="192">
        <v>0</v>
      </c>
      <c r="I451" s="5">
        <v>0</v>
      </c>
      <c r="J451" s="192">
        <v>0</v>
      </c>
      <c r="K451" s="192">
        <v>0</v>
      </c>
      <c r="L451" s="5">
        <v>0</v>
      </c>
      <c r="M451" s="5">
        <v>0</v>
      </c>
      <c r="N451" s="4" t="e">
        <f t="shared" si="41"/>
        <v>#N/A</v>
      </c>
      <c r="O451" s="4" t="e">
        <f>IF(ROUND(10.499-(((N451-VLOOKUP($C451,Lookups!$A$55:$D$64,3))/(VLOOKUP($C451,Lookups!$A$55:$D$64,4))*VLOOKUP($C451,Lookups!$C$2:$D$11,2))),0)&lt;1,1,IF(ROUND(10.499-(((N451-VLOOKUP($C451,Lookups!$A$55:$D$64,3))/(VLOOKUP($C451,Lookups!$A$55:$D$64,4))*VLOOKUP($C451,Lookups!$C$2:$D$11,2))),0)&lt;11,ROUND(10.499-(((N451-VLOOKUP($C451,Lookups!$A$55:$D$64,3))/(VLOOKUP($C451,Lookups!$A$55:$D$64,4))*VLOOKUP($C451,Lookups!$C$2:$D$11,2))),0),10))</f>
        <v>#N/A</v>
      </c>
      <c r="P451" s="13" t="str">
        <f>IF((SUM(F451:M451)=0),"J",VLOOKUP(O451,Lookups!$A$1:$B$11,2))</f>
        <v>J</v>
      </c>
      <c r="Q451" s="8" t="e">
        <f>VLOOKUP(C451,Lookups!$A$136:$C$144,3)</f>
        <v>#N/A</v>
      </c>
      <c r="R451" s="8" t="e">
        <f>VLOOKUP(C451,Lookups!$A$136:$C$144,2)</f>
        <v>#N/A</v>
      </c>
      <c r="S451" s="4" t="str">
        <f t="shared" si="37"/>
        <v>No</v>
      </c>
      <c r="T451" s="125">
        <f t="shared" si="38"/>
        <v>0</v>
      </c>
      <c r="U451" s="125">
        <f t="shared" si="39"/>
        <v>0</v>
      </c>
      <c r="V451" s="4" t="e">
        <f>IF($Q451&lt;&gt;3,VLOOKUP(F451,'Points Table A'!B$3:$F$33,5),VLOOKUP(F451,'Points Table A'!H$3:$L$33,5))</f>
        <v>#N/A</v>
      </c>
      <c r="W451" s="4" t="e">
        <f>IF($Q451&lt;&gt;3,VLOOKUP(G451,'Points Table A'!C$3:$F$33,4),VLOOKUP(G451,'Points Table A'!I$3:$L$33,4))</f>
        <v>#N/A</v>
      </c>
      <c r="X451" s="4" t="e">
        <f>IF($Q451&lt;&gt;3,VLOOKUP(H451,'Points Table A'!D$3:$F$28,3),VLOOKUP(H451,'Points Table A'!J$3:$L$33,3))</f>
        <v>#N/A</v>
      </c>
      <c r="Y451" s="4" t="e">
        <f>IF($Q451&lt;&gt;3,VLOOKUP(I451,'Points Table A'!E$3:$F$33,2),VLOOKUP(I451,'Points Table A'!K$3:$L$33,2))</f>
        <v>#N/A</v>
      </c>
      <c r="Z451" s="4" t="e">
        <f t="shared" si="40"/>
        <v>#N/A</v>
      </c>
      <c r="AA451" s="4">
        <f>IF($S451=Lookups!$B$113,VLOOKUP(L451,'Points Table C'!A$3:$E$11,5),VLOOKUP(U451,'Points Table C'!B$3:$E$11,4))</f>
        <v>0</v>
      </c>
      <c r="AB451" s="4" t="e">
        <f>IF($Q451=1,0,VLOOKUP($J451,'Points Table C'!$C$3:$E$18,3))</f>
        <v>#N/A</v>
      </c>
      <c r="AC451" s="4">
        <f>VLOOKUP($K451,'Points Table C'!$D$3:$E$18,2)</f>
        <v>0</v>
      </c>
      <c r="AD451" s="4" t="e">
        <f>IF($Z451&lt;Lookups!$C$106,($AA451+AB451+AC451),IF($AA451&gt;=Lookups!$C$120,($AA451+AB451+AC451),$AA451+$AB451))</f>
        <v>#N/A</v>
      </c>
      <c r="AF451" s="7"/>
      <c r="AG451" s="7"/>
      <c r="AH451" s="7"/>
      <c r="AI451" s="7"/>
      <c r="AJ451" s="7"/>
      <c r="AK451" s="7"/>
      <c r="AL451" s="7"/>
      <c r="AM451" s="7"/>
      <c r="AN451" s="7"/>
      <c r="AO451" s="7"/>
      <c r="AP451" s="7"/>
      <c r="AQ451" s="7"/>
      <c r="AR451" s="7"/>
      <c r="AS451" s="7"/>
      <c r="AT451" s="7"/>
      <c r="AU451" s="7"/>
      <c r="AV451" s="7"/>
      <c r="AW451" s="7"/>
      <c r="AY451" s="7"/>
      <c r="AZ451" s="7"/>
      <c r="BA451" s="7"/>
      <c r="BB451" s="7"/>
    </row>
    <row r="452" spans="2:54" x14ac:dyDescent="0.2">
      <c r="B452" s="174"/>
      <c r="C452" s="176"/>
      <c r="F452" s="5">
        <v>0</v>
      </c>
      <c r="G452" s="192">
        <v>0</v>
      </c>
      <c r="H452" s="192">
        <v>0</v>
      </c>
      <c r="I452" s="5">
        <v>0</v>
      </c>
      <c r="J452" s="192">
        <v>0</v>
      </c>
      <c r="K452" s="192">
        <v>0</v>
      </c>
      <c r="L452" s="5">
        <v>0</v>
      </c>
      <c r="M452" s="5">
        <v>0</v>
      </c>
      <c r="N452" s="4" t="e">
        <f t="shared" si="41"/>
        <v>#N/A</v>
      </c>
      <c r="O452" s="4" t="e">
        <f>IF(ROUND(10.499-(((N452-VLOOKUP($C452,Lookups!$A$55:$D$64,3))/(VLOOKUP($C452,Lookups!$A$55:$D$64,4))*VLOOKUP($C452,Lookups!$C$2:$D$11,2))),0)&lt;1,1,IF(ROUND(10.499-(((N452-VLOOKUP($C452,Lookups!$A$55:$D$64,3))/(VLOOKUP($C452,Lookups!$A$55:$D$64,4))*VLOOKUP($C452,Lookups!$C$2:$D$11,2))),0)&lt;11,ROUND(10.499-(((N452-VLOOKUP($C452,Lookups!$A$55:$D$64,3))/(VLOOKUP($C452,Lookups!$A$55:$D$64,4))*VLOOKUP($C452,Lookups!$C$2:$D$11,2))),0),10))</f>
        <v>#N/A</v>
      </c>
      <c r="P452" s="13" t="str">
        <f>IF((SUM(F452:M452)=0),"J",VLOOKUP(O452,Lookups!$A$1:$B$11,2))</f>
        <v>J</v>
      </c>
      <c r="Q452" s="8" t="e">
        <f>VLOOKUP(C452,Lookups!$A$136:$C$144,3)</f>
        <v>#N/A</v>
      </c>
      <c r="R452" s="8" t="e">
        <f>VLOOKUP(C452,Lookups!$A$136:$C$144,2)</f>
        <v>#N/A</v>
      </c>
      <c r="S452" s="4" t="str">
        <f t="shared" si="37"/>
        <v>No</v>
      </c>
      <c r="T452" s="125">
        <f t="shared" si="38"/>
        <v>0</v>
      </c>
      <c r="U452" s="125">
        <f t="shared" si="39"/>
        <v>0</v>
      </c>
      <c r="V452" s="4" t="e">
        <f>IF($Q452&lt;&gt;3,VLOOKUP(F452,'Points Table A'!B$3:$F$33,5),VLOOKUP(F452,'Points Table A'!H$3:$L$33,5))</f>
        <v>#N/A</v>
      </c>
      <c r="W452" s="4" t="e">
        <f>IF($Q452&lt;&gt;3,VLOOKUP(G452,'Points Table A'!C$3:$F$33,4),VLOOKUP(G452,'Points Table A'!I$3:$L$33,4))</f>
        <v>#N/A</v>
      </c>
      <c r="X452" s="4" t="e">
        <f>IF($Q452&lt;&gt;3,VLOOKUP(H452,'Points Table A'!D$3:$F$28,3),VLOOKUP(H452,'Points Table A'!J$3:$L$33,3))</f>
        <v>#N/A</v>
      </c>
      <c r="Y452" s="4" t="e">
        <f>IF($Q452&lt;&gt;3,VLOOKUP(I452,'Points Table A'!E$3:$F$33,2),VLOOKUP(I452,'Points Table A'!K$3:$L$33,2))</f>
        <v>#N/A</v>
      </c>
      <c r="Z452" s="4" t="e">
        <f t="shared" si="40"/>
        <v>#N/A</v>
      </c>
      <c r="AA452" s="4">
        <f>IF($S452=Lookups!$B$113,VLOOKUP(L452,'Points Table C'!A$3:$E$11,5),VLOOKUP(U452,'Points Table C'!B$3:$E$11,4))</f>
        <v>0</v>
      </c>
      <c r="AB452" s="4" t="e">
        <f>IF($Q452=1,0,VLOOKUP($J452,'Points Table C'!$C$3:$E$18,3))</f>
        <v>#N/A</v>
      </c>
      <c r="AC452" s="4">
        <f>VLOOKUP($K452,'Points Table C'!$D$3:$E$18,2)</f>
        <v>0</v>
      </c>
      <c r="AD452" s="4" t="e">
        <f>IF($Z452&lt;Lookups!$C$106,($AA452+AB452+AC452),IF($AA452&gt;=Lookups!$C$120,($AA452+AB452+AC452),$AA452+$AB452))</f>
        <v>#N/A</v>
      </c>
      <c r="AF452" s="7"/>
      <c r="AG452" s="7"/>
      <c r="AH452" s="7"/>
      <c r="AI452" s="7"/>
      <c r="AJ452" s="7"/>
      <c r="AK452" s="7"/>
      <c r="AL452" s="7"/>
      <c r="AM452" s="7"/>
      <c r="AN452" s="7"/>
      <c r="AO452" s="7"/>
      <c r="AP452" s="7"/>
      <c r="AQ452" s="7"/>
      <c r="AR452" s="7"/>
      <c r="AS452" s="7"/>
      <c r="AT452" s="7"/>
      <c r="AU452" s="7"/>
      <c r="AV452" s="7"/>
      <c r="AW452" s="7"/>
      <c r="AY452" s="7"/>
      <c r="AZ452" s="7"/>
      <c r="BA452" s="7"/>
      <c r="BB452" s="7"/>
    </row>
    <row r="453" spans="2:54" x14ac:dyDescent="0.2">
      <c r="B453" s="174"/>
      <c r="C453" s="176"/>
      <c r="F453" s="5">
        <v>0</v>
      </c>
      <c r="G453" s="192">
        <v>0</v>
      </c>
      <c r="H453" s="192">
        <v>0</v>
      </c>
      <c r="I453" s="5">
        <v>0</v>
      </c>
      <c r="J453" s="192">
        <v>0</v>
      </c>
      <c r="K453" s="192">
        <v>0</v>
      </c>
      <c r="L453" s="5">
        <v>0</v>
      </c>
      <c r="M453" s="5">
        <v>0</v>
      </c>
      <c r="N453" s="4" t="e">
        <f t="shared" si="41"/>
        <v>#N/A</v>
      </c>
      <c r="O453" s="4" t="e">
        <f>IF(ROUND(10.499-(((N453-VLOOKUP($C453,Lookups!$A$55:$D$64,3))/(VLOOKUP($C453,Lookups!$A$55:$D$64,4))*VLOOKUP($C453,Lookups!$C$2:$D$11,2))),0)&lt;1,1,IF(ROUND(10.499-(((N453-VLOOKUP($C453,Lookups!$A$55:$D$64,3))/(VLOOKUP($C453,Lookups!$A$55:$D$64,4))*VLOOKUP($C453,Lookups!$C$2:$D$11,2))),0)&lt;11,ROUND(10.499-(((N453-VLOOKUP($C453,Lookups!$A$55:$D$64,3))/(VLOOKUP($C453,Lookups!$A$55:$D$64,4))*VLOOKUP($C453,Lookups!$C$2:$D$11,2))),0),10))</f>
        <v>#N/A</v>
      </c>
      <c r="P453" s="13" t="str">
        <f>IF((SUM(F453:M453)=0),"J",VLOOKUP(O453,Lookups!$A$1:$B$11,2))</f>
        <v>J</v>
      </c>
      <c r="Q453" s="8" t="e">
        <f>VLOOKUP(C453,Lookups!$A$136:$C$144,3)</f>
        <v>#N/A</v>
      </c>
      <c r="R453" s="8" t="e">
        <f>VLOOKUP(C453,Lookups!$A$136:$C$144,2)</f>
        <v>#N/A</v>
      </c>
      <c r="S453" s="4" t="str">
        <f t="shared" si="37"/>
        <v>No</v>
      </c>
      <c r="T453" s="125">
        <f t="shared" si="38"/>
        <v>0</v>
      </c>
      <c r="U453" s="125">
        <f t="shared" si="39"/>
        <v>0</v>
      </c>
      <c r="V453" s="4" t="e">
        <f>IF($Q453&lt;&gt;3,VLOOKUP(F453,'Points Table A'!B$3:$F$33,5),VLOOKUP(F453,'Points Table A'!H$3:$L$33,5))</f>
        <v>#N/A</v>
      </c>
      <c r="W453" s="4" t="e">
        <f>IF($Q453&lt;&gt;3,VLOOKUP(G453,'Points Table A'!C$3:$F$33,4),VLOOKUP(G453,'Points Table A'!I$3:$L$33,4))</f>
        <v>#N/A</v>
      </c>
      <c r="X453" s="4" t="e">
        <f>IF($Q453&lt;&gt;3,VLOOKUP(H453,'Points Table A'!D$3:$F$28,3),VLOOKUP(H453,'Points Table A'!J$3:$L$33,3))</f>
        <v>#N/A</v>
      </c>
      <c r="Y453" s="4" t="e">
        <f>IF($Q453&lt;&gt;3,VLOOKUP(I453,'Points Table A'!E$3:$F$33,2),VLOOKUP(I453,'Points Table A'!K$3:$L$33,2))</f>
        <v>#N/A</v>
      </c>
      <c r="Z453" s="4" t="e">
        <f t="shared" si="40"/>
        <v>#N/A</v>
      </c>
      <c r="AA453" s="4">
        <f>IF($S453=Lookups!$B$113,VLOOKUP(L453,'Points Table C'!A$3:$E$11,5),VLOOKUP(U453,'Points Table C'!B$3:$E$11,4))</f>
        <v>0</v>
      </c>
      <c r="AB453" s="4" t="e">
        <f>IF($Q453=1,0,VLOOKUP($J453,'Points Table C'!$C$3:$E$18,3))</f>
        <v>#N/A</v>
      </c>
      <c r="AC453" s="4">
        <f>VLOOKUP($K453,'Points Table C'!$D$3:$E$18,2)</f>
        <v>0</v>
      </c>
      <c r="AD453" s="4" t="e">
        <f>IF($Z453&lt;Lookups!$C$106,($AA453+AB453+AC453),IF($AA453&gt;=Lookups!$C$120,($AA453+AB453+AC453),$AA453+$AB453))</f>
        <v>#N/A</v>
      </c>
      <c r="AF453" s="7"/>
      <c r="AG453" s="7"/>
      <c r="AH453" s="7"/>
      <c r="AI453" s="7"/>
      <c r="AJ453" s="7"/>
      <c r="AK453" s="7"/>
      <c r="AL453" s="7"/>
      <c r="AM453" s="7"/>
      <c r="AN453" s="7"/>
      <c r="AO453" s="7"/>
      <c r="AP453" s="7"/>
      <c r="AQ453" s="7"/>
      <c r="AR453" s="7"/>
      <c r="AS453" s="7"/>
      <c r="AT453" s="7"/>
      <c r="AU453" s="7"/>
      <c r="AV453" s="7"/>
      <c r="AW453" s="7"/>
      <c r="AY453" s="7"/>
      <c r="AZ453" s="7"/>
      <c r="BA453" s="7"/>
      <c r="BB453" s="7"/>
    </row>
    <row r="454" spans="2:54" x14ac:dyDescent="0.2">
      <c r="B454" s="174"/>
      <c r="C454" s="176"/>
      <c r="F454" s="5">
        <v>0</v>
      </c>
      <c r="G454" s="192">
        <v>0</v>
      </c>
      <c r="H454" s="192">
        <v>0</v>
      </c>
      <c r="I454" s="5">
        <v>0</v>
      </c>
      <c r="J454" s="192">
        <v>0</v>
      </c>
      <c r="K454" s="192">
        <v>0</v>
      </c>
      <c r="L454" s="5">
        <v>0</v>
      </c>
      <c r="M454" s="5">
        <v>0</v>
      </c>
      <c r="N454" s="4" t="e">
        <f t="shared" si="41"/>
        <v>#N/A</v>
      </c>
      <c r="O454" s="4" t="e">
        <f>IF(ROUND(10.499-(((N454-VLOOKUP($C454,Lookups!$A$55:$D$64,3))/(VLOOKUP($C454,Lookups!$A$55:$D$64,4))*VLOOKUP($C454,Lookups!$C$2:$D$11,2))),0)&lt;1,1,IF(ROUND(10.499-(((N454-VLOOKUP($C454,Lookups!$A$55:$D$64,3))/(VLOOKUP($C454,Lookups!$A$55:$D$64,4))*VLOOKUP($C454,Lookups!$C$2:$D$11,2))),0)&lt;11,ROUND(10.499-(((N454-VLOOKUP($C454,Lookups!$A$55:$D$64,3))/(VLOOKUP($C454,Lookups!$A$55:$D$64,4))*VLOOKUP($C454,Lookups!$C$2:$D$11,2))),0),10))</f>
        <v>#N/A</v>
      </c>
      <c r="P454" s="13" t="str">
        <f>IF((SUM(F454:M454)=0),"J",VLOOKUP(O454,Lookups!$A$1:$B$11,2))</f>
        <v>J</v>
      </c>
      <c r="Q454" s="8" t="e">
        <f>VLOOKUP(C454,Lookups!$A$136:$C$144,3)</f>
        <v>#N/A</v>
      </c>
      <c r="R454" s="8" t="e">
        <f>VLOOKUP(C454,Lookups!$A$136:$C$144,2)</f>
        <v>#N/A</v>
      </c>
      <c r="S454" s="4" t="str">
        <f t="shared" si="37"/>
        <v>No</v>
      </c>
      <c r="T454" s="125">
        <f t="shared" si="38"/>
        <v>0</v>
      </c>
      <c r="U454" s="125">
        <f t="shared" si="39"/>
        <v>0</v>
      </c>
      <c r="V454" s="4" t="e">
        <f>IF($Q454&lt;&gt;3,VLOOKUP(F454,'Points Table A'!B$3:$F$33,5),VLOOKUP(F454,'Points Table A'!H$3:$L$33,5))</f>
        <v>#N/A</v>
      </c>
      <c r="W454" s="4" t="e">
        <f>IF($Q454&lt;&gt;3,VLOOKUP(G454,'Points Table A'!C$3:$F$33,4),VLOOKUP(G454,'Points Table A'!I$3:$L$33,4))</f>
        <v>#N/A</v>
      </c>
      <c r="X454" s="4" t="e">
        <f>IF($Q454&lt;&gt;3,VLOOKUP(H454,'Points Table A'!D$3:$F$28,3),VLOOKUP(H454,'Points Table A'!J$3:$L$33,3))</f>
        <v>#N/A</v>
      </c>
      <c r="Y454" s="4" t="e">
        <f>IF($Q454&lt;&gt;3,VLOOKUP(I454,'Points Table A'!E$3:$F$33,2),VLOOKUP(I454,'Points Table A'!K$3:$L$33,2))</f>
        <v>#N/A</v>
      </c>
      <c r="Z454" s="4" t="e">
        <f t="shared" si="40"/>
        <v>#N/A</v>
      </c>
      <c r="AA454" s="4">
        <f>IF($S454=Lookups!$B$113,VLOOKUP(L454,'Points Table C'!A$3:$E$11,5),VLOOKUP(U454,'Points Table C'!B$3:$E$11,4))</f>
        <v>0</v>
      </c>
      <c r="AB454" s="4" t="e">
        <f>IF($Q454=1,0,VLOOKUP($J454,'Points Table C'!$C$3:$E$18,3))</f>
        <v>#N/A</v>
      </c>
      <c r="AC454" s="4">
        <f>VLOOKUP($K454,'Points Table C'!$D$3:$E$18,2)</f>
        <v>0</v>
      </c>
      <c r="AD454" s="4" t="e">
        <f>IF($Z454&lt;Lookups!$C$106,($AA454+AB454+AC454),IF($AA454&gt;=Lookups!$C$120,($AA454+AB454+AC454),$AA454+$AB454))</f>
        <v>#N/A</v>
      </c>
      <c r="AF454" s="7"/>
      <c r="AG454" s="7"/>
      <c r="AH454" s="7"/>
      <c r="AI454" s="7"/>
      <c r="AJ454" s="7"/>
      <c r="AK454" s="7"/>
      <c r="AL454" s="7"/>
      <c r="AM454" s="7"/>
      <c r="AN454" s="7"/>
      <c r="AO454" s="7"/>
      <c r="AP454" s="7"/>
      <c r="AQ454" s="7"/>
      <c r="AR454" s="7"/>
      <c r="AS454" s="7"/>
      <c r="AT454" s="7"/>
      <c r="AU454" s="7"/>
      <c r="AV454" s="7"/>
      <c r="AW454" s="7"/>
      <c r="AY454" s="7"/>
      <c r="AZ454" s="7"/>
      <c r="BA454" s="7"/>
      <c r="BB454" s="7"/>
    </row>
    <row r="455" spans="2:54" x14ac:dyDescent="0.2">
      <c r="B455" s="174"/>
      <c r="C455" s="176"/>
      <c r="F455" s="5">
        <v>0</v>
      </c>
      <c r="G455" s="192">
        <v>0</v>
      </c>
      <c r="H455" s="192">
        <v>0</v>
      </c>
      <c r="I455" s="5">
        <v>0</v>
      </c>
      <c r="J455" s="192">
        <v>0</v>
      </c>
      <c r="K455" s="192">
        <v>0</v>
      </c>
      <c r="L455" s="5">
        <v>0</v>
      </c>
      <c r="M455" s="5">
        <v>0</v>
      </c>
      <c r="N455" s="4" t="e">
        <f t="shared" si="41"/>
        <v>#N/A</v>
      </c>
      <c r="O455" s="4" t="e">
        <f>IF(ROUND(10.499-(((N455-VLOOKUP($C455,Lookups!$A$55:$D$64,3))/(VLOOKUP($C455,Lookups!$A$55:$D$64,4))*VLOOKUP($C455,Lookups!$C$2:$D$11,2))),0)&lt;1,1,IF(ROUND(10.499-(((N455-VLOOKUP($C455,Lookups!$A$55:$D$64,3))/(VLOOKUP($C455,Lookups!$A$55:$D$64,4))*VLOOKUP($C455,Lookups!$C$2:$D$11,2))),0)&lt;11,ROUND(10.499-(((N455-VLOOKUP($C455,Lookups!$A$55:$D$64,3))/(VLOOKUP($C455,Lookups!$A$55:$D$64,4))*VLOOKUP($C455,Lookups!$C$2:$D$11,2))),0),10))</f>
        <v>#N/A</v>
      </c>
      <c r="P455" s="13" t="str">
        <f>IF((SUM(F455:M455)=0),"J",VLOOKUP(O455,Lookups!$A$1:$B$11,2))</f>
        <v>J</v>
      </c>
      <c r="Q455" s="8" t="e">
        <f>VLOOKUP(C455,Lookups!$A$136:$C$144,3)</f>
        <v>#N/A</v>
      </c>
      <c r="R455" s="8" t="e">
        <f>VLOOKUP(C455,Lookups!$A$136:$C$144,2)</f>
        <v>#N/A</v>
      </c>
      <c r="S455" s="4" t="str">
        <f t="shared" si="37"/>
        <v>No</v>
      </c>
      <c r="T455" s="125">
        <f t="shared" si="38"/>
        <v>0</v>
      </c>
      <c r="U455" s="125">
        <f t="shared" si="39"/>
        <v>0</v>
      </c>
      <c r="V455" s="4" t="e">
        <f>IF($Q455&lt;&gt;3,VLOOKUP(F455,'Points Table A'!B$3:$F$33,5),VLOOKUP(F455,'Points Table A'!H$3:$L$33,5))</f>
        <v>#N/A</v>
      </c>
      <c r="W455" s="4" t="e">
        <f>IF($Q455&lt;&gt;3,VLOOKUP(G455,'Points Table A'!C$3:$F$33,4),VLOOKUP(G455,'Points Table A'!I$3:$L$33,4))</f>
        <v>#N/A</v>
      </c>
      <c r="X455" s="4" t="e">
        <f>IF($Q455&lt;&gt;3,VLOOKUP(H455,'Points Table A'!D$3:$F$28,3),VLOOKUP(H455,'Points Table A'!J$3:$L$33,3))</f>
        <v>#N/A</v>
      </c>
      <c r="Y455" s="4" t="e">
        <f>IF($Q455&lt;&gt;3,VLOOKUP(I455,'Points Table A'!E$3:$F$33,2),VLOOKUP(I455,'Points Table A'!K$3:$L$33,2))</f>
        <v>#N/A</v>
      </c>
      <c r="Z455" s="4" t="e">
        <f t="shared" si="40"/>
        <v>#N/A</v>
      </c>
      <c r="AA455" s="4">
        <f>IF($S455=Lookups!$B$113,VLOOKUP(L455,'Points Table C'!A$3:$E$11,5),VLOOKUP(U455,'Points Table C'!B$3:$E$11,4))</f>
        <v>0</v>
      </c>
      <c r="AB455" s="4" t="e">
        <f>IF($Q455=1,0,VLOOKUP($J455,'Points Table C'!$C$3:$E$18,3))</f>
        <v>#N/A</v>
      </c>
      <c r="AC455" s="4">
        <f>VLOOKUP($K455,'Points Table C'!$D$3:$E$18,2)</f>
        <v>0</v>
      </c>
      <c r="AD455" s="4" t="e">
        <f>IF($Z455&lt;Lookups!$C$106,($AA455+AB455+AC455),IF($AA455&gt;=Lookups!$C$120,($AA455+AB455+AC455),$AA455+$AB455))</f>
        <v>#N/A</v>
      </c>
      <c r="AF455" s="7"/>
      <c r="AG455" s="7"/>
      <c r="AH455" s="7"/>
      <c r="AI455" s="7"/>
      <c r="AJ455" s="7"/>
      <c r="AK455" s="7"/>
      <c r="AL455" s="7"/>
      <c r="AM455" s="7"/>
      <c r="AN455" s="7"/>
      <c r="AO455" s="7"/>
      <c r="AP455" s="7"/>
      <c r="AQ455" s="7"/>
      <c r="AR455" s="7"/>
      <c r="AS455" s="7"/>
      <c r="AT455" s="7"/>
      <c r="AU455" s="7"/>
      <c r="AV455" s="7"/>
      <c r="AW455" s="7"/>
      <c r="AY455" s="7"/>
      <c r="AZ455" s="7"/>
      <c r="BA455" s="7"/>
      <c r="BB455" s="7"/>
    </row>
    <row r="456" spans="2:54" x14ac:dyDescent="0.2">
      <c r="B456" s="174"/>
      <c r="C456" s="176"/>
      <c r="F456" s="5">
        <v>0</v>
      </c>
      <c r="G456" s="192">
        <v>0</v>
      </c>
      <c r="H456" s="192">
        <v>0</v>
      </c>
      <c r="I456" s="5">
        <v>0</v>
      </c>
      <c r="J456" s="192">
        <v>0</v>
      </c>
      <c r="K456" s="192">
        <v>0</v>
      </c>
      <c r="L456" s="5">
        <v>0</v>
      </c>
      <c r="M456" s="5">
        <v>0</v>
      </c>
      <c r="N456" s="4" t="e">
        <f t="shared" si="41"/>
        <v>#N/A</v>
      </c>
      <c r="O456" s="4" t="e">
        <f>IF(ROUND(10.499-(((N456-VLOOKUP($C456,Lookups!$A$55:$D$64,3))/(VLOOKUP($C456,Lookups!$A$55:$D$64,4))*VLOOKUP($C456,Lookups!$C$2:$D$11,2))),0)&lt;1,1,IF(ROUND(10.499-(((N456-VLOOKUP($C456,Lookups!$A$55:$D$64,3))/(VLOOKUP($C456,Lookups!$A$55:$D$64,4))*VLOOKUP($C456,Lookups!$C$2:$D$11,2))),0)&lt;11,ROUND(10.499-(((N456-VLOOKUP($C456,Lookups!$A$55:$D$64,3))/(VLOOKUP($C456,Lookups!$A$55:$D$64,4))*VLOOKUP($C456,Lookups!$C$2:$D$11,2))),0),10))</f>
        <v>#N/A</v>
      </c>
      <c r="P456" s="13" t="str">
        <f>IF((SUM(F456:M456)=0),"J",VLOOKUP(O456,Lookups!$A$1:$B$11,2))</f>
        <v>J</v>
      </c>
      <c r="Q456" s="8" t="e">
        <f>VLOOKUP(C456,Lookups!$A$136:$C$144,3)</f>
        <v>#N/A</v>
      </c>
      <c r="R456" s="8" t="e">
        <f>VLOOKUP(C456,Lookups!$A$136:$C$144,2)</f>
        <v>#N/A</v>
      </c>
      <c r="S456" s="4" t="str">
        <f t="shared" si="37"/>
        <v>No</v>
      </c>
      <c r="T456" s="125">
        <f t="shared" si="38"/>
        <v>0</v>
      </c>
      <c r="U456" s="125">
        <f t="shared" si="39"/>
        <v>0</v>
      </c>
      <c r="V456" s="4" t="e">
        <f>IF($Q456&lt;&gt;3,VLOOKUP(F456,'Points Table A'!B$3:$F$33,5),VLOOKUP(F456,'Points Table A'!H$3:$L$33,5))</f>
        <v>#N/A</v>
      </c>
      <c r="W456" s="4" t="e">
        <f>IF($Q456&lt;&gt;3,VLOOKUP(G456,'Points Table A'!C$3:$F$33,4),VLOOKUP(G456,'Points Table A'!I$3:$L$33,4))</f>
        <v>#N/A</v>
      </c>
      <c r="X456" s="4" t="e">
        <f>IF($Q456&lt;&gt;3,VLOOKUP(H456,'Points Table A'!D$3:$F$28,3),VLOOKUP(H456,'Points Table A'!J$3:$L$33,3))</f>
        <v>#N/A</v>
      </c>
      <c r="Y456" s="4" t="e">
        <f>IF($Q456&lt;&gt;3,VLOOKUP(I456,'Points Table A'!E$3:$F$33,2),VLOOKUP(I456,'Points Table A'!K$3:$L$33,2))</f>
        <v>#N/A</v>
      </c>
      <c r="Z456" s="4" t="e">
        <f t="shared" si="40"/>
        <v>#N/A</v>
      </c>
      <c r="AA456" s="4">
        <f>IF($S456=Lookups!$B$113,VLOOKUP(L456,'Points Table C'!A$3:$E$11,5),VLOOKUP(U456,'Points Table C'!B$3:$E$11,4))</f>
        <v>0</v>
      </c>
      <c r="AB456" s="4" t="e">
        <f>IF($Q456=1,0,VLOOKUP($J456,'Points Table C'!$C$3:$E$18,3))</f>
        <v>#N/A</v>
      </c>
      <c r="AC456" s="4">
        <f>VLOOKUP($K456,'Points Table C'!$D$3:$E$18,2)</f>
        <v>0</v>
      </c>
      <c r="AD456" s="4" t="e">
        <f>IF($Z456&lt;Lookups!$C$106,($AA456+AB456+AC456),IF($AA456&gt;=Lookups!$C$120,($AA456+AB456+AC456),$AA456+$AB456))</f>
        <v>#N/A</v>
      </c>
      <c r="AF456" s="7"/>
      <c r="AG456" s="7"/>
      <c r="AH456" s="7"/>
      <c r="AI456" s="7"/>
      <c r="AJ456" s="7"/>
      <c r="AK456" s="7"/>
      <c r="AL456" s="7"/>
      <c r="AM456" s="7"/>
      <c r="AN456" s="7"/>
      <c r="AO456" s="7"/>
      <c r="AP456" s="7"/>
      <c r="AQ456" s="7"/>
      <c r="AR456" s="7"/>
      <c r="AS456" s="7"/>
      <c r="AT456" s="7"/>
      <c r="AU456" s="7"/>
      <c r="AV456" s="7"/>
      <c r="AW456" s="7"/>
      <c r="AY456" s="7"/>
      <c r="AZ456" s="7"/>
      <c r="BA456" s="7"/>
      <c r="BB456" s="7"/>
    </row>
    <row r="457" spans="2:54" x14ac:dyDescent="0.2">
      <c r="B457" s="174"/>
      <c r="C457" s="176"/>
      <c r="F457" s="5">
        <v>0</v>
      </c>
      <c r="G457" s="192">
        <v>0</v>
      </c>
      <c r="H457" s="192">
        <v>0</v>
      </c>
      <c r="I457" s="5">
        <v>0</v>
      </c>
      <c r="J457" s="192">
        <v>0</v>
      </c>
      <c r="K457" s="192">
        <v>0</v>
      </c>
      <c r="L457" s="5">
        <v>0</v>
      </c>
      <c r="M457" s="5">
        <v>0</v>
      </c>
      <c r="N457" s="4" t="e">
        <f t="shared" si="41"/>
        <v>#N/A</v>
      </c>
      <c r="O457" s="4" t="e">
        <f>IF(ROUND(10.499-(((N457-VLOOKUP($C457,Lookups!$A$55:$D$64,3))/(VLOOKUP($C457,Lookups!$A$55:$D$64,4))*VLOOKUP($C457,Lookups!$C$2:$D$11,2))),0)&lt;1,1,IF(ROUND(10.499-(((N457-VLOOKUP($C457,Lookups!$A$55:$D$64,3))/(VLOOKUP($C457,Lookups!$A$55:$D$64,4))*VLOOKUP($C457,Lookups!$C$2:$D$11,2))),0)&lt;11,ROUND(10.499-(((N457-VLOOKUP($C457,Lookups!$A$55:$D$64,3))/(VLOOKUP($C457,Lookups!$A$55:$D$64,4))*VLOOKUP($C457,Lookups!$C$2:$D$11,2))),0),10))</f>
        <v>#N/A</v>
      </c>
      <c r="P457" s="13" t="str">
        <f>IF((SUM(F457:M457)=0),"J",VLOOKUP(O457,Lookups!$A$1:$B$11,2))</f>
        <v>J</v>
      </c>
      <c r="Q457" s="8" t="e">
        <f>VLOOKUP(C457,Lookups!$A$136:$C$144,3)</f>
        <v>#N/A</v>
      </c>
      <c r="R457" s="8" t="e">
        <f>VLOOKUP(C457,Lookups!$A$136:$C$144,2)</f>
        <v>#N/A</v>
      </c>
      <c r="S457" s="4" t="str">
        <f t="shared" si="37"/>
        <v>No</v>
      </c>
      <c r="T457" s="125">
        <f t="shared" si="38"/>
        <v>0</v>
      </c>
      <c r="U457" s="125">
        <f t="shared" si="39"/>
        <v>0</v>
      </c>
      <c r="V457" s="4" t="e">
        <f>IF($Q457&lt;&gt;3,VLOOKUP(F457,'Points Table A'!B$3:$F$33,5),VLOOKUP(F457,'Points Table A'!H$3:$L$33,5))</f>
        <v>#N/A</v>
      </c>
      <c r="W457" s="4" t="e">
        <f>IF($Q457&lt;&gt;3,VLOOKUP(G457,'Points Table A'!C$3:$F$33,4),VLOOKUP(G457,'Points Table A'!I$3:$L$33,4))</f>
        <v>#N/A</v>
      </c>
      <c r="X457" s="4" t="e">
        <f>IF($Q457&lt;&gt;3,VLOOKUP(H457,'Points Table A'!D$3:$F$28,3),VLOOKUP(H457,'Points Table A'!J$3:$L$33,3))</f>
        <v>#N/A</v>
      </c>
      <c r="Y457" s="4" t="e">
        <f>IF($Q457&lt;&gt;3,VLOOKUP(I457,'Points Table A'!E$3:$F$33,2),VLOOKUP(I457,'Points Table A'!K$3:$L$33,2))</f>
        <v>#N/A</v>
      </c>
      <c r="Z457" s="4" t="e">
        <f t="shared" si="40"/>
        <v>#N/A</v>
      </c>
      <c r="AA457" s="4">
        <f>IF($S457=Lookups!$B$113,VLOOKUP(L457,'Points Table C'!A$3:$E$11,5),VLOOKUP(U457,'Points Table C'!B$3:$E$11,4))</f>
        <v>0</v>
      </c>
      <c r="AB457" s="4" t="e">
        <f>IF($Q457=1,0,VLOOKUP($J457,'Points Table C'!$C$3:$E$18,3))</f>
        <v>#N/A</v>
      </c>
      <c r="AC457" s="4">
        <f>VLOOKUP($K457,'Points Table C'!$D$3:$E$18,2)</f>
        <v>0</v>
      </c>
      <c r="AD457" s="4" t="e">
        <f>IF($Z457&lt;Lookups!$C$106,($AA457+AB457+AC457),IF($AA457&gt;=Lookups!$C$120,($AA457+AB457+AC457),$AA457+$AB457))</f>
        <v>#N/A</v>
      </c>
      <c r="AF457" s="7"/>
      <c r="AG457" s="7"/>
      <c r="AH457" s="7"/>
      <c r="AI457" s="7"/>
      <c r="AJ457" s="7"/>
      <c r="AK457" s="7"/>
      <c r="AL457" s="7"/>
      <c r="AM457" s="7"/>
      <c r="AN457" s="7"/>
      <c r="AO457" s="7"/>
      <c r="AP457" s="7"/>
      <c r="AQ457" s="7"/>
      <c r="AR457" s="7"/>
      <c r="AS457" s="7"/>
      <c r="AT457" s="7"/>
      <c r="AU457" s="7"/>
      <c r="AV457" s="7"/>
      <c r="AW457" s="7"/>
      <c r="AY457" s="7"/>
      <c r="AZ457" s="7"/>
      <c r="BA457" s="7"/>
      <c r="BB457" s="7"/>
    </row>
    <row r="458" spans="2:54" x14ac:dyDescent="0.2">
      <c r="B458" s="174"/>
      <c r="C458" s="176"/>
      <c r="F458" s="5">
        <v>0</v>
      </c>
      <c r="G458" s="192">
        <v>0</v>
      </c>
      <c r="H458" s="192">
        <v>0</v>
      </c>
      <c r="I458" s="5">
        <v>0</v>
      </c>
      <c r="J458" s="192">
        <v>0</v>
      </c>
      <c r="K458" s="192">
        <v>0</v>
      </c>
      <c r="L458" s="5">
        <v>0</v>
      </c>
      <c r="M458" s="5">
        <v>0</v>
      </c>
      <c r="N458" s="4" t="e">
        <f t="shared" si="41"/>
        <v>#N/A</v>
      </c>
      <c r="O458" s="4" t="e">
        <f>IF(ROUND(10.499-(((N458-VLOOKUP($C458,Lookups!$A$55:$D$64,3))/(VLOOKUP($C458,Lookups!$A$55:$D$64,4))*VLOOKUP($C458,Lookups!$C$2:$D$11,2))),0)&lt;1,1,IF(ROUND(10.499-(((N458-VLOOKUP($C458,Lookups!$A$55:$D$64,3))/(VLOOKUP($C458,Lookups!$A$55:$D$64,4))*VLOOKUP($C458,Lookups!$C$2:$D$11,2))),0)&lt;11,ROUND(10.499-(((N458-VLOOKUP($C458,Lookups!$A$55:$D$64,3))/(VLOOKUP($C458,Lookups!$A$55:$D$64,4))*VLOOKUP($C458,Lookups!$C$2:$D$11,2))),0),10))</f>
        <v>#N/A</v>
      </c>
      <c r="P458" s="13" t="str">
        <f>IF((SUM(F458:M458)=0),"J",VLOOKUP(O458,Lookups!$A$1:$B$11,2))</f>
        <v>J</v>
      </c>
      <c r="Q458" s="8" t="e">
        <f>VLOOKUP(C458,Lookups!$A$136:$C$144,3)</f>
        <v>#N/A</v>
      </c>
      <c r="R458" s="8" t="e">
        <f>VLOOKUP(C458,Lookups!$A$136:$C$144,2)</f>
        <v>#N/A</v>
      </c>
      <c r="S458" s="4" t="str">
        <f t="shared" si="37"/>
        <v>No</v>
      </c>
      <c r="T458" s="125">
        <f t="shared" si="38"/>
        <v>0</v>
      </c>
      <c r="U458" s="125">
        <f t="shared" si="39"/>
        <v>0</v>
      </c>
      <c r="V458" s="4" t="e">
        <f>IF($Q458&lt;&gt;3,VLOOKUP(F458,'Points Table A'!B$3:$F$33,5),VLOOKUP(F458,'Points Table A'!H$3:$L$33,5))</f>
        <v>#N/A</v>
      </c>
      <c r="W458" s="4" t="e">
        <f>IF($Q458&lt;&gt;3,VLOOKUP(G458,'Points Table A'!C$3:$F$33,4),VLOOKUP(G458,'Points Table A'!I$3:$L$33,4))</f>
        <v>#N/A</v>
      </c>
      <c r="X458" s="4" t="e">
        <f>IF($Q458&lt;&gt;3,VLOOKUP(H458,'Points Table A'!D$3:$F$28,3),VLOOKUP(H458,'Points Table A'!J$3:$L$33,3))</f>
        <v>#N/A</v>
      </c>
      <c r="Y458" s="4" t="e">
        <f>IF($Q458&lt;&gt;3,VLOOKUP(I458,'Points Table A'!E$3:$F$33,2),VLOOKUP(I458,'Points Table A'!K$3:$L$33,2))</f>
        <v>#N/A</v>
      </c>
      <c r="Z458" s="4" t="e">
        <f t="shared" si="40"/>
        <v>#N/A</v>
      </c>
      <c r="AA458" s="4">
        <f>IF($S458=Lookups!$B$113,VLOOKUP(L458,'Points Table C'!A$3:$E$11,5),VLOOKUP(U458,'Points Table C'!B$3:$E$11,4))</f>
        <v>0</v>
      </c>
      <c r="AB458" s="4" t="e">
        <f>IF($Q458=1,0,VLOOKUP($J458,'Points Table C'!$C$3:$E$18,3))</f>
        <v>#N/A</v>
      </c>
      <c r="AC458" s="4">
        <f>VLOOKUP($K458,'Points Table C'!$D$3:$E$18,2)</f>
        <v>0</v>
      </c>
      <c r="AD458" s="4" t="e">
        <f>IF($Z458&lt;Lookups!$C$106,($AA458+AB458+AC458),IF($AA458&gt;=Lookups!$C$120,($AA458+AB458+AC458),$AA458+$AB458))</f>
        <v>#N/A</v>
      </c>
      <c r="AF458" s="7"/>
      <c r="AG458" s="7"/>
      <c r="AH458" s="7"/>
      <c r="AI458" s="7"/>
      <c r="AJ458" s="7"/>
      <c r="AK458" s="7"/>
      <c r="AL458" s="7"/>
      <c r="AM458" s="7"/>
      <c r="AN458" s="7"/>
      <c r="AO458" s="7"/>
      <c r="AP458" s="7"/>
      <c r="AQ458" s="7"/>
      <c r="AR458" s="7"/>
      <c r="AS458" s="7"/>
      <c r="AT458" s="7"/>
      <c r="AU458" s="7"/>
      <c r="AV458" s="7"/>
      <c r="AW458" s="7"/>
      <c r="AY458" s="7"/>
      <c r="AZ458" s="7"/>
      <c r="BA458" s="7"/>
      <c r="BB458" s="7"/>
    </row>
    <row r="459" spans="2:54" x14ac:dyDescent="0.2">
      <c r="B459" s="174"/>
      <c r="C459" s="176"/>
      <c r="F459" s="5">
        <v>0</v>
      </c>
      <c r="G459" s="192">
        <v>0</v>
      </c>
      <c r="H459" s="192">
        <v>0</v>
      </c>
      <c r="I459" s="5">
        <v>0</v>
      </c>
      <c r="J459" s="192">
        <v>0</v>
      </c>
      <c r="K459" s="192">
        <v>0</v>
      </c>
      <c r="L459" s="5">
        <v>0</v>
      </c>
      <c r="M459" s="5">
        <v>0</v>
      </c>
      <c r="N459" s="4" t="e">
        <f t="shared" si="41"/>
        <v>#N/A</v>
      </c>
      <c r="O459" s="4" t="e">
        <f>IF(ROUND(10.499-(((N459-VLOOKUP($C459,Lookups!$A$55:$D$64,3))/(VLOOKUP($C459,Lookups!$A$55:$D$64,4))*VLOOKUP($C459,Lookups!$C$2:$D$11,2))),0)&lt;1,1,IF(ROUND(10.499-(((N459-VLOOKUP($C459,Lookups!$A$55:$D$64,3))/(VLOOKUP($C459,Lookups!$A$55:$D$64,4))*VLOOKUP($C459,Lookups!$C$2:$D$11,2))),0)&lt;11,ROUND(10.499-(((N459-VLOOKUP($C459,Lookups!$A$55:$D$64,3))/(VLOOKUP($C459,Lookups!$A$55:$D$64,4))*VLOOKUP($C459,Lookups!$C$2:$D$11,2))),0),10))</f>
        <v>#N/A</v>
      </c>
      <c r="P459" s="13" t="str">
        <f>IF((SUM(F459:M459)=0),"J",VLOOKUP(O459,Lookups!$A$1:$B$11,2))</f>
        <v>J</v>
      </c>
      <c r="Q459" s="8" t="e">
        <f>VLOOKUP(C459,Lookups!$A$136:$C$144,3)</f>
        <v>#N/A</v>
      </c>
      <c r="R459" s="8" t="e">
        <f>VLOOKUP(C459,Lookups!$A$136:$C$144,2)</f>
        <v>#N/A</v>
      </c>
      <c r="S459" s="4" t="str">
        <f t="shared" si="37"/>
        <v>No</v>
      </c>
      <c r="T459" s="125">
        <f t="shared" si="38"/>
        <v>0</v>
      </c>
      <c r="U459" s="125">
        <f t="shared" si="39"/>
        <v>0</v>
      </c>
      <c r="V459" s="4" t="e">
        <f>IF($Q459&lt;&gt;3,VLOOKUP(F459,'Points Table A'!B$3:$F$33,5),VLOOKUP(F459,'Points Table A'!H$3:$L$33,5))</f>
        <v>#N/A</v>
      </c>
      <c r="W459" s="4" t="e">
        <f>IF($Q459&lt;&gt;3,VLOOKUP(G459,'Points Table A'!C$3:$F$33,4),VLOOKUP(G459,'Points Table A'!I$3:$L$33,4))</f>
        <v>#N/A</v>
      </c>
      <c r="X459" s="4" t="e">
        <f>IF($Q459&lt;&gt;3,VLOOKUP(H459,'Points Table A'!D$3:$F$28,3),VLOOKUP(H459,'Points Table A'!J$3:$L$33,3))</f>
        <v>#N/A</v>
      </c>
      <c r="Y459" s="4" t="e">
        <f>IF($Q459&lt;&gt;3,VLOOKUP(I459,'Points Table A'!E$3:$F$33,2),VLOOKUP(I459,'Points Table A'!K$3:$L$33,2))</f>
        <v>#N/A</v>
      </c>
      <c r="Z459" s="4" t="e">
        <f t="shared" si="40"/>
        <v>#N/A</v>
      </c>
      <c r="AA459" s="4">
        <f>IF($S459=Lookups!$B$113,VLOOKUP(L459,'Points Table C'!A$3:$E$11,5),VLOOKUP(U459,'Points Table C'!B$3:$E$11,4))</f>
        <v>0</v>
      </c>
      <c r="AB459" s="4" t="e">
        <f>IF($Q459=1,0,VLOOKUP($J459,'Points Table C'!$C$3:$E$18,3))</f>
        <v>#N/A</v>
      </c>
      <c r="AC459" s="4">
        <f>VLOOKUP($K459,'Points Table C'!$D$3:$E$18,2)</f>
        <v>0</v>
      </c>
      <c r="AD459" s="4" t="e">
        <f>IF($Z459&lt;Lookups!$C$106,($AA459+AB459+AC459),IF($AA459&gt;=Lookups!$C$120,($AA459+AB459+AC459),$AA459+$AB459))</f>
        <v>#N/A</v>
      </c>
      <c r="AF459" s="7"/>
      <c r="AG459" s="7"/>
      <c r="AH459" s="7"/>
      <c r="AI459" s="7"/>
      <c r="AJ459" s="7"/>
      <c r="AK459" s="7"/>
      <c r="AL459" s="7"/>
      <c r="AM459" s="7"/>
      <c r="AN459" s="7"/>
      <c r="AO459" s="7"/>
      <c r="AP459" s="7"/>
      <c r="AQ459" s="7"/>
      <c r="AR459" s="7"/>
      <c r="AS459" s="7"/>
      <c r="AT459" s="7"/>
      <c r="AU459" s="7"/>
      <c r="AV459" s="7"/>
      <c r="AW459" s="7"/>
      <c r="AY459" s="7"/>
      <c r="AZ459" s="7"/>
      <c r="BA459" s="7"/>
      <c r="BB459" s="7"/>
    </row>
    <row r="460" spans="2:54" x14ac:dyDescent="0.2">
      <c r="B460" s="174"/>
      <c r="C460" s="176"/>
      <c r="F460" s="5">
        <v>0</v>
      </c>
      <c r="G460" s="192">
        <v>0</v>
      </c>
      <c r="H460" s="192">
        <v>0</v>
      </c>
      <c r="I460" s="5">
        <v>0</v>
      </c>
      <c r="J460" s="192">
        <v>0</v>
      </c>
      <c r="K460" s="192">
        <v>0</v>
      </c>
      <c r="L460" s="5">
        <v>0</v>
      </c>
      <c r="M460" s="5">
        <v>0</v>
      </c>
      <c r="N460" s="4" t="e">
        <f t="shared" si="41"/>
        <v>#N/A</v>
      </c>
      <c r="O460" s="4" t="e">
        <f>IF(ROUND(10.499-(((N460-VLOOKUP($C460,Lookups!$A$55:$D$64,3))/(VLOOKUP($C460,Lookups!$A$55:$D$64,4))*VLOOKUP($C460,Lookups!$C$2:$D$11,2))),0)&lt;1,1,IF(ROUND(10.499-(((N460-VLOOKUP($C460,Lookups!$A$55:$D$64,3))/(VLOOKUP($C460,Lookups!$A$55:$D$64,4))*VLOOKUP($C460,Lookups!$C$2:$D$11,2))),0)&lt;11,ROUND(10.499-(((N460-VLOOKUP($C460,Lookups!$A$55:$D$64,3))/(VLOOKUP($C460,Lookups!$A$55:$D$64,4))*VLOOKUP($C460,Lookups!$C$2:$D$11,2))),0),10))</f>
        <v>#N/A</v>
      </c>
      <c r="P460" s="13" t="str">
        <f>IF((SUM(F460:M460)=0),"J",VLOOKUP(O460,Lookups!$A$1:$B$11,2))</f>
        <v>J</v>
      </c>
      <c r="Q460" s="8" t="e">
        <f>VLOOKUP(C460,Lookups!$A$136:$C$144,3)</f>
        <v>#N/A</v>
      </c>
      <c r="R460" s="8" t="e">
        <f>VLOOKUP(C460,Lookups!$A$136:$C$144,2)</f>
        <v>#N/A</v>
      </c>
      <c r="S460" s="4" t="str">
        <f t="shared" si="37"/>
        <v>No</v>
      </c>
      <c r="T460" s="125">
        <f t="shared" si="38"/>
        <v>0</v>
      </c>
      <c r="U460" s="125">
        <f t="shared" si="39"/>
        <v>0</v>
      </c>
      <c r="V460" s="4" t="e">
        <f>IF($Q460&lt;&gt;3,VLOOKUP(F460,'Points Table A'!B$3:$F$33,5),VLOOKUP(F460,'Points Table A'!H$3:$L$33,5))</f>
        <v>#N/A</v>
      </c>
      <c r="W460" s="4" t="e">
        <f>IF($Q460&lt;&gt;3,VLOOKUP(G460,'Points Table A'!C$3:$F$33,4),VLOOKUP(G460,'Points Table A'!I$3:$L$33,4))</f>
        <v>#N/A</v>
      </c>
      <c r="X460" s="4" t="e">
        <f>IF($Q460&lt;&gt;3,VLOOKUP(H460,'Points Table A'!D$3:$F$28,3),VLOOKUP(H460,'Points Table A'!J$3:$L$33,3))</f>
        <v>#N/A</v>
      </c>
      <c r="Y460" s="4" t="e">
        <f>IF($Q460&lt;&gt;3,VLOOKUP(I460,'Points Table A'!E$3:$F$33,2),VLOOKUP(I460,'Points Table A'!K$3:$L$33,2))</f>
        <v>#N/A</v>
      </c>
      <c r="Z460" s="4" t="e">
        <f t="shared" si="40"/>
        <v>#N/A</v>
      </c>
      <c r="AA460" s="4">
        <f>IF($S460=Lookups!$B$113,VLOOKUP(L460,'Points Table C'!A$3:$E$11,5),VLOOKUP(U460,'Points Table C'!B$3:$E$11,4))</f>
        <v>0</v>
      </c>
      <c r="AB460" s="4" t="e">
        <f>IF($Q460=1,0,VLOOKUP($J460,'Points Table C'!$C$3:$E$18,3))</f>
        <v>#N/A</v>
      </c>
      <c r="AC460" s="4">
        <f>VLOOKUP($K460,'Points Table C'!$D$3:$E$18,2)</f>
        <v>0</v>
      </c>
      <c r="AD460" s="4" t="e">
        <f>IF($Z460&lt;Lookups!$C$106,($AA460+AB460+AC460),IF($AA460&gt;=Lookups!$C$120,($AA460+AB460+AC460),$AA460+$AB460))</f>
        <v>#N/A</v>
      </c>
      <c r="AF460" s="7"/>
      <c r="AG460" s="7"/>
      <c r="AH460" s="7"/>
      <c r="AI460" s="7"/>
      <c r="AJ460" s="7"/>
      <c r="AK460" s="7"/>
      <c r="AL460" s="7"/>
      <c r="AM460" s="7"/>
      <c r="AN460" s="7"/>
      <c r="AO460" s="7"/>
      <c r="AP460" s="7"/>
      <c r="AQ460" s="7"/>
      <c r="AR460" s="7"/>
      <c r="AS460" s="7"/>
      <c r="AT460" s="7"/>
      <c r="AU460" s="7"/>
      <c r="AV460" s="7"/>
      <c r="AW460" s="7"/>
      <c r="AY460" s="7"/>
      <c r="AZ460" s="7"/>
      <c r="BA460" s="7"/>
      <c r="BB460" s="7"/>
    </row>
    <row r="461" spans="2:54" x14ac:dyDescent="0.2">
      <c r="B461" s="174"/>
      <c r="C461" s="176"/>
      <c r="F461" s="5">
        <v>0</v>
      </c>
      <c r="G461" s="192">
        <v>0</v>
      </c>
      <c r="H461" s="192">
        <v>0</v>
      </c>
      <c r="I461" s="5">
        <v>0</v>
      </c>
      <c r="J461" s="192">
        <v>0</v>
      </c>
      <c r="K461" s="192">
        <v>0</v>
      </c>
      <c r="L461" s="5">
        <v>0</v>
      </c>
      <c r="M461" s="5">
        <v>0</v>
      </c>
      <c r="N461" s="4" t="e">
        <f t="shared" si="41"/>
        <v>#N/A</v>
      </c>
      <c r="O461" s="4" t="e">
        <f>IF(ROUND(10.499-(((N461-VLOOKUP($C461,Lookups!$A$55:$D$64,3))/(VLOOKUP($C461,Lookups!$A$55:$D$64,4))*VLOOKUP($C461,Lookups!$C$2:$D$11,2))),0)&lt;1,1,IF(ROUND(10.499-(((N461-VLOOKUP($C461,Lookups!$A$55:$D$64,3))/(VLOOKUP($C461,Lookups!$A$55:$D$64,4))*VLOOKUP($C461,Lookups!$C$2:$D$11,2))),0)&lt;11,ROUND(10.499-(((N461-VLOOKUP($C461,Lookups!$A$55:$D$64,3))/(VLOOKUP($C461,Lookups!$A$55:$D$64,4))*VLOOKUP($C461,Lookups!$C$2:$D$11,2))),0),10))</f>
        <v>#N/A</v>
      </c>
      <c r="P461" s="13" t="str">
        <f>IF((SUM(F461:M461)=0),"J",VLOOKUP(O461,Lookups!$A$1:$B$11,2))</f>
        <v>J</v>
      </c>
      <c r="Q461" s="8" t="e">
        <f>VLOOKUP(C461,Lookups!$A$136:$C$144,3)</f>
        <v>#N/A</v>
      </c>
      <c r="R461" s="8" t="e">
        <f>VLOOKUP(C461,Lookups!$A$136:$C$144,2)</f>
        <v>#N/A</v>
      </c>
      <c r="S461" s="4" t="str">
        <f t="shared" si="37"/>
        <v>No</v>
      </c>
      <c r="T461" s="125">
        <f t="shared" si="38"/>
        <v>0</v>
      </c>
      <c r="U461" s="125">
        <f t="shared" si="39"/>
        <v>0</v>
      </c>
      <c r="V461" s="4" t="e">
        <f>IF($Q461&lt;&gt;3,VLOOKUP(F461,'Points Table A'!B$3:$F$33,5),VLOOKUP(F461,'Points Table A'!H$3:$L$33,5))</f>
        <v>#N/A</v>
      </c>
      <c r="W461" s="4" t="e">
        <f>IF($Q461&lt;&gt;3,VLOOKUP(G461,'Points Table A'!C$3:$F$33,4),VLOOKUP(G461,'Points Table A'!I$3:$L$33,4))</f>
        <v>#N/A</v>
      </c>
      <c r="X461" s="4" t="e">
        <f>IF($Q461&lt;&gt;3,VLOOKUP(H461,'Points Table A'!D$3:$F$28,3),VLOOKUP(H461,'Points Table A'!J$3:$L$33,3))</f>
        <v>#N/A</v>
      </c>
      <c r="Y461" s="4" t="e">
        <f>IF($Q461&lt;&gt;3,VLOOKUP(I461,'Points Table A'!E$3:$F$33,2),VLOOKUP(I461,'Points Table A'!K$3:$L$33,2))</f>
        <v>#N/A</v>
      </c>
      <c r="Z461" s="4" t="e">
        <f t="shared" si="40"/>
        <v>#N/A</v>
      </c>
      <c r="AA461" s="4">
        <f>IF($S461=Lookups!$B$113,VLOOKUP(L461,'Points Table C'!A$3:$E$11,5),VLOOKUP(U461,'Points Table C'!B$3:$E$11,4))</f>
        <v>0</v>
      </c>
      <c r="AB461" s="4" t="e">
        <f>IF($Q461=1,0,VLOOKUP($J461,'Points Table C'!$C$3:$E$18,3))</f>
        <v>#N/A</v>
      </c>
      <c r="AC461" s="4">
        <f>VLOOKUP($K461,'Points Table C'!$D$3:$E$18,2)</f>
        <v>0</v>
      </c>
      <c r="AD461" s="4" t="e">
        <f>IF($Z461&lt;Lookups!$C$106,($AA461+AB461+AC461),IF($AA461&gt;=Lookups!$C$120,($AA461+AB461+AC461),$AA461+$AB461))</f>
        <v>#N/A</v>
      </c>
      <c r="AF461" s="7"/>
      <c r="AG461" s="7"/>
      <c r="AH461" s="7"/>
      <c r="AI461" s="7"/>
      <c r="AJ461" s="7"/>
      <c r="AK461" s="7"/>
      <c r="AL461" s="7"/>
      <c r="AM461" s="7"/>
      <c r="AN461" s="7"/>
      <c r="AO461" s="7"/>
      <c r="AP461" s="7"/>
      <c r="AQ461" s="7"/>
      <c r="AR461" s="7"/>
      <c r="AS461" s="7"/>
      <c r="AT461" s="7"/>
      <c r="AU461" s="7"/>
      <c r="AV461" s="7"/>
      <c r="AW461" s="7"/>
      <c r="AY461" s="7"/>
      <c r="AZ461" s="7"/>
      <c r="BA461" s="7"/>
      <c r="BB461" s="7"/>
    </row>
    <row r="462" spans="2:54" x14ac:dyDescent="0.2">
      <c r="B462" s="174"/>
      <c r="C462" s="176"/>
      <c r="F462" s="5">
        <v>0</v>
      </c>
      <c r="G462" s="192">
        <v>0</v>
      </c>
      <c r="H462" s="192">
        <v>0</v>
      </c>
      <c r="I462" s="5">
        <v>0</v>
      </c>
      <c r="J462" s="192">
        <v>0</v>
      </c>
      <c r="K462" s="192">
        <v>0</v>
      </c>
      <c r="L462" s="5">
        <v>0</v>
      </c>
      <c r="M462" s="5">
        <v>0</v>
      </c>
      <c r="N462" s="4" t="e">
        <f t="shared" si="41"/>
        <v>#N/A</v>
      </c>
      <c r="O462" s="4" t="e">
        <f>IF(ROUND(10.499-(((N462-VLOOKUP($C462,Lookups!$A$55:$D$64,3))/(VLOOKUP($C462,Lookups!$A$55:$D$64,4))*VLOOKUP($C462,Lookups!$C$2:$D$11,2))),0)&lt;1,1,IF(ROUND(10.499-(((N462-VLOOKUP($C462,Lookups!$A$55:$D$64,3))/(VLOOKUP($C462,Lookups!$A$55:$D$64,4))*VLOOKUP($C462,Lookups!$C$2:$D$11,2))),0)&lt;11,ROUND(10.499-(((N462-VLOOKUP($C462,Lookups!$A$55:$D$64,3))/(VLOOKUP($C462,Lookups!$A$55:$D$64,4))*VLOOKUP($C462,Lookups!$C$2:$D$11,2))),0),10))</f>
        <v>#N/A</v>
      </c>
      <c r="P462" s="13" t="str">
        <f>IF((SUM(F462:M462)=0),"J",VLOOKUP(O462,Lookups!$A$1:$B$11,2))</f>
        <v>J</v>
      </c>
      <c r="Q462" s="8" t="e">
        <f>VLOOKUP(C462,Lookups!$A$136:$C$144,3)</f>
        <v>#N/A</v>
      </c>
      <c r="R462" s="8" t="e">
        <f>VLOOKUP(C462,Lookups!$A$136:$C$144,2)</f>
        <v>#N/A</v>
      </c>
      <c r="S462" s="4" t="str">
        <f t="shared" si="37"/>
        <v>No</v>
      </c>
      <c r="T462" s="125">
        <f t="shared" si="38"/>
        <v>0</v>
      </c>
      <c r="U462" s="125">
        <f t="shared" si="39"/>
        <v>0</v>
      </c>
      <c r="V462" s="4" t="e">
        <f>IF($Q462&lt;&gt;3,VLOOKUP(F462,'Points Table A'!B$3:$F$33,5),VLOOKUP(F462,'Points Table A'!H$3:$L$33,5))</f>
        <v>#N/A</v>
      </c>
      <c r="W462" s="4" t="e">
        <f>IF($Q462&lt;&gt;3,VLOOKUP(G462,'Points Table A'!C$3:$F$33,4),VLOOKUP(G462,'Points Table A'!I$3:$L$33,4))</f>
        <v>#N/A</v>
      </c>
      <c r="X462" s="4" t="e">
        <f>IF($Q462&lt;&gt;3,VLOOKUP(H462,'Points Table A'!D$3:$F$28,3),VLOOKUP(H462,'Points Table A'!J$3:$L$33,3))</f>
        <v>#N/A</v>
      </c>
      <c r="Y462" s="4" t="e">
        <f>IF($Q462&lt;&gt;3,VLOOKUP(I462,'Points Table A'!E$3:$F$33,2),VLOOKUP(I462,'Points Table A'!K$3:$L$33,2))</f>
        <v>#N/A</v>
      </c>
      <c r="Z462" s="4" t="e">
        <f t="shared" si="40"/>
        <v>#N/A</v>
      </c>
      <c r="AA462" s="4">
        <f>IF($S462=Lookups!$B$113,VLOOKUP(L462,'Points Table C'!A$3:$E$11,5),VLOOKUP(U462,'Points Table C'!B$3:$E$11,4))</f>
        <v>0</v>
      </c>
      <c r="AB462" s="4" t="e">
        <f>IF($Q462=1,0,VLOOKUP($J462,'Points Table C'!$C$3:$E$18,3))</f>
        <v>#N/A</v>
      </c>
      <c r="AC462" s="4">
        <f>VLOOKUP($K462,'Points Table C'!$D$3:$E$18,2)</f>
        <v>0</v>
      </c>
      <c r="AD462" s="4" t="e">
        <f>IF($Z462&lt;Lookups!$C$106,($AA462+AB462+AC462),IF($AA462&gt;=Lookups!$C$120,($AA462+AB462+AC462),$AA462+$AB462))</f>
        <v>#N/A</v>
      </c>
      <c r="AF462" s="7"/>
      <c r="AG462" s="7"/>
      <c r="AH462" s="7"/>
      <c r="AI462" s="7"/>
      <c r="AJ462" s="7"/>
      <c r="AK462" s="7"/>
      <c r="AL462" s="7"/>
      <c r="AM462" s="7"/>
      <c r="AN462" s="7"/>
      <c r="AO462" s="7"/>
      <c r="AP462" s="7"/>
      <c r="AQ462" s="7"/>
      <c r="AR462" s="7"/>
      <c r="AS462" s="7"/>
      <c r="AT462" s="7"/>
      <c r="AU462" s="7"/>
      <c r="AV462" s="7"/>
      <c r="AW462" s="7"/>
      <c r="AY462" s="7"/>
      <c r="AZ462" s="7"/>
      <c r="BA462" s="7"/>
      <c r="BB462" s="7"/>
    </row>
    <row r="463" spans="2:54" x14ac:dyDescent="0.2">
      <c r="B463" s="174"/>
      <c r="C463" s="176"/>
      <c r="F463" s="5">
        <v>0</v>
      </c>
      <c r="G463" s="192">
        <v>0</v>
      </c>
      <c r="H463" s="192">
        <v>0</v>
      </c>
      <c r="I463" s="5">
        <v>0</v>
      </c>
      <c r="J463" s="192">
        <v>0</v>
      </c>
      <c r="K463" s="192">
        <v>0</v>
      </c>
      <c r="L463" s="5">
        <v>0</v>
      </c>
      <c r="M463" s="5">
        <v>0</v>
      </c>
      <c r="N463" s="4" t="e">
        <f t="shared" si="41"/>
        <v>#N/A</v>
      </c>
      <c r="O463" s="4" t="e">
        <f>IF(ROUND(10.499-(((N463-VLOOKUP($C463,Lookups!$A$55:$D$64,3))/(VLOOKUP($C463,Lookups!$A$55:$D$64,4))*VLOOKUP($C463,Lookups!$C$2:$D$11,2))),0)&lt;1,1,IF(ROUND(10.499-(((N463-VLOOKUP($C463,Lookups!$A$55:$D$64,3))/(VLOOKUP($C463,Lookups!$A$55:$D$64,4))*VLOOKUP($C463,Lookups!$C$2:$D$11,2))),0)&lt;11,ROUND(10.499-(((N463-VLOOKUP($C463,Lookups!$A$55:$D$64,3))/(VLOOKUP($C463,Lookups!$A$55:$D$64,4))*VLOOKUP($C463,Lookups!$C$2:$D$11,2))),0),10))</f>
        <v>#N/A</v>
      </c>
      <c r="P463" s="13" t="str">
        <f>IF((SUM(F463:M463)=0),"J",VLOOKUP(O463,Lookups!$A$1:$B$11,2))</f>
        <v>J</v>
      </c>
      <c r="Q463" s="8" t="e">
        <f>VLOOKUP(C463,Lookups!$A$136:$C$144,3)</f>
        <v>#N/A</v>
      </c>
      <c r="R463" s="8" t="e">
        <f>VLOOKUP(C463,Lookups!$A$136:$C$144,2)</f>
        <v>#N/A</v>
      </c>
      <c r="S463" s="4" t="str">
        <f t="shared" ref="S463:S526" si="42">IF(AND(L463&gt;0,M463=0),"Yes","No")</f>
        <v>No</v>
      </c>
      <c r="T463" s="125">
        <f t="shared" ref="T463:T526" si="43">L463+M463</f>
        <v>0</v>
      </c>
      <c r="U463" s="125">
        <f t="shared" ref="U463:U526" si="44">ROUND(100*(M463+2*L463)/(M463+2*L463+(100-L463-M463)),2)</f>
        <v>0</v>
      </c>
      <c r="V463" s="4" t="e">
        <f>IF($Q463&lt;&gt;3,VLOOKUP(F463,'Points Table A'!B$3:$F$33,5),VLOOKUP(F463,'Points Table A'!H$3:$L$33,5))</f>
        <v>#N/A</v>
      </c>
      <c r="W463" s="4" t="e">
        <f>IF($Q463&lt;&gt;3,VLOOKUP(G463,'Points Table A'!C$3:$F$33,4),VLOOKUP(G463,'Points Table A'!I$3:$L$33,4))</f>
        <v>#N/A</v>
      </c>
      <c r="X463" s="4" t="e">
        <f>IF($Q463&lt;&gt;3,VLOOKUP(H463,'Points Table A'!D$3:$F$28,3),VLOOKUP(H463,'Points Table A'!J$3:$L$33,3))</f>
        <v>#N/A</v>
      </c>
      <c r="Y463" s="4" t="e">
        <f>IF($Q463&lt;&gt;3,VLOOKUP(I463,'Points Table A'!E$3:$F$33,2),VLOOKUP(I463,'Points Table A'!K$3:$L$33,2))</f>
        <v>#N/A</v>
      </c>
      <c r="Z463" s="4" t="e">
        <f t="shared" ref="Z463:Z526" si="45">SUM(V463:Y463)</f>
        <v>#N/A</v>
      </c>
      <c r="AA463" s="4">
        <f>IF($S463=Lookups!$B$113,VLOOKUP(L463,'Points Table C'!A$3:$E$11,5),VLOOKUP(U463,'Points Table C'!B$3:$E$11,4))</f>
        <v>0</v>
      </c>
      <c r="AB463" s="4" t="e">
        <f>IF($Q463=1,0,VLOOKUP($J463,'Points Table C'!$C$3:$E$18,3))</f>
        <v>#N/A</v>
      </c>
      <c r="AC463" s="4">
        <f>VLOOKUP($K463,'Points Table C'!$D$3:$E$18,2)</f>
        <v>0</v>
      </c>
      <c r="AD463" s="4" t="e">
        <f>IF($Z463&lt;Lookups!$C$106,($AA463+AB463+AC463),IF($AA463&gt;=Lookups!$C$120,($AA463+AB463+AC463),$AA463+$AB463))</f>
        <v>#N/A</v>
      </c>
      <c r="AF463" s="7"/>
      <c r="AG463" s="7"/>
      <c r="AH463" s="7"/>
      <c r="AI463" s="7"/>
      <c r="AJ463" s="7"/>
      <c r="AK463" s="7"/>
      <c r="AL463" s="7"/>
      <c r="AM463" s="7"/>
      <c r="AN463" s="7"/>
      <c r="AO463" s="7"/>
      <c r="AP463" s="7"/>
      <c r="AQ463" s="7"/>
      <c r="AR463" s="7"/>
      <c r="AS463" s="7"/>
      <c r="AT463" s="7"/>
      <c r="AU463" s="7"/>
      <c r="AV463" s="7"/>
      <c r="AW463" s="7"/>
      <c r="AY463" s="7"/>
      <c r="AZ463" s="7"/>
      <c r="BA463" s="7"/>
      <c r="BB463" s="7"/>
    </row>
    <row r="464" spans="2:54" x14ac:dyDescent="0.2">
      <c r="B464" s="174"/>
      <c r="C464" s="176"/>
      <c r="F464" s="5">
        <v>0</v>
      </c>
      <c r="G464" s="192">
        <v>0</v>
      </c>
      <c r="H464" s="192">
        <v>0</v>
      </c>
      <c r="I464" s="5">
        <v>0</v>
      </c>
      <c r="J464" s="192">
        <v>0</v>
      </c>
      <c r="K464" s="192">
        <v>0</v>
      </c>
      <c r="L464" s="5">
        <v>0</v>
      </c>
      <c r="M464" s="5">
        <v>0</v>
      </c>
      <c r="N464" s="4" t="e">
        <f t="shared" si="41"/>
        <v>#N/A</v>
      </c>
      <c r="O464" s="4" t="e">
        <f>IF(ROUND(10.499-(((N464-VLOOKUP($C464,Lookups!$A$55:$D$64,3))/(VLOOKUP($C464,Lookups!$A$55:$D$64,4))*VLOOKUP($C464,Lookups!$C$2:$D$11,2))),0)&lt;1,1,IF(ROUND(10.499-(((N464-VLOOKUP($C464,Lookups!$A$55:$D$64,3))/(VLOOKUP($C464,Lookups!$A$55:$D$64,4))*VLOOKUP($C464,Lookups!$C$2:$D$11,2))),0)&lt;11,ROUND(10.499-(((N464-VLOOKUP($C464,Lookups!$A$55:$D$64,3))/(VLOOKUP($C464,Lookups!$A$55:$D$64,4))*VLOOKUP($C464,Lookups!$C$2:$D$11,2))),0),10))</f>
        <v>#N/A</v>
      </c>
      <c r="P464" s="13" t="str">
        <f>IF((SUM(F464:M464)=0),"J",VLOOKUP(O464,Lookups!$A$1:$B$11,2))</f>
        <v>J</v>
      </c>
      <c r="Q464" s="8" t="e">
        <f>VLOOKUP(C464,Lookups!$A$136:$C$144,3)</f>
        <v>#N/A</v>
      </c>
      <c r="R464" s="8" t="e">
        <f>VLOOKUP(C464,Lookups!$A$136:$C$144,2)</f>
        <v>#N/A</v>
      </c>
      <c r="S464" s="4" t="str">
        <f t="shared" si="42"/>
        <v>No</v>
      </c>
      <c r="T464" s="125">
        <f t="shared" si="43"/>
        <v>0</v>
      </c>
      <c r="U464" s="125">
        <f t="shared" si="44"/>
        <v>0</v>
      </c>
      <c r="V464" s="4" t="e">
        <f>IF($Q464&lt;&gt;3,VLOOKUP(F464,'Points Table A'!B$3:$F$33,5),VLOOKUP(F464,'Points Table A'!H$3:$L$33,5))</f>
        <v>#N/A</v>
      </c>
      <c r="W464" s="4" t="e">
        <f>IF($Q464&lt;&gt;3,VLOOKUP(G464,'Points Table A'!C$3:$F$33,4),VLOOKUP(G464,'Points Table A'!I$3:$L$33,4))</f>
        <v>#N/A</v>
      </c>
      <c r="X464" s="4" t="e">
        <f>IF($Q464&lt;&gt;3,VLOOKUP(H464,'Points Table A'!D$3:$F$28,3),VLOOKUP(H464,'Points Table A'!J$3:$L$33,3))</f>
        <v>#N/A</v>
      </c>
      <c r="Y464" s="4" t="e">
        <f>IF($Q464&lt;&gt;3,VLOOKUP(I464,'Points Table A'!E$3:$F$33,2),VLOOKUP(I464,'Points Table A'!K$3:$L$33,2))</f>
        <v>#N/A</v>
      </c>
      <c r="Z464" s="4" t="e">
        <f t="shared" si="45"/>
        <v>#N/A</v>
      </c>
      <c r="AA464" s="4">
        <f>IF($S464=Lookups!$B$113,VLOOKUP(L464,'Points Table C'!A$3:$E$11,5),VLOOKUP(U464,'Points Table C'!B$3:$E$11,4))</f>
        <v>0</v>
      </c>
      <c r="AB464" s="4" t="e">
        <f>IF($Q464=1,0,VLOOKUP($J464,'Points Table C'!$C$3:$E$18,3))</f>
        <v>#N/A</v>
      </c>
      <c r="AC464" s="4">
        <f>VLOOKUP($K464,'Points Table C'!$D$3:$E$18,2)</f>
        <v>0</v>
      </c>
      <c r="AD464" s="4" t="e">
        <f>IF($Z464&lt;Lookups!$C$106,($AA464+AB464+AC464),IF($AA464&gt;=Lookups!$C$120,($AA464+AB464+AC464),$AA464+$AB464))</f>
        <v>#N/A</v>
      </c>
      <c r="AF464" s="7"/>
      <c r="AG464" s="7"/>
      <c r="AH464" s="7"/>
      <c r="AI464" s="7"/>
      <c r="AJ464" s="7"/>
      <c r="AK464" s="7"/>
      <c r="AL464" s="7"/>
      <c r="AM464" s="7"/>
      <c r="AN464" s="7"/>
      <c r="AO464" s="7"/>
      <c r="AP464" s="7"/>
      <c r="AQ464" s="7"/>
      <c r="AR464" s="7"/>
      <c r="AS464" s="7"/>
      <c r="AT464" s="7"/>
      <c r="AU464" s="7"/>
      <c r="AV464" s="7"/>
      <c r="AW464" s="7"/>
      <c r="AY464" s="7"/>
      <c r="AZ464" s="7"/>
      <c r="BA464" s="7"/>
      <c r="BB464" s="7"/>
    </row>
    <row r="465" spans="2:54" x14ac:dyDescent="0.2">
      <c r="B465" s="174"/>
      <c r="C465" s="176"/>
      <c r="F465" s="5">
        <v>0</v>
      </c>
      <c r="G465" s="192">
        <v>0</v>
      </c>
      <c r="H465" s="192">
        <v>0</v>
      </c>
      <c r="I465" s="5">
        <v>0</v>
      </c>
      <c r="J465" s="192">
        <v>0</v>
      </c>
      <c r="K465" s="192">
        <v>0</v>
      </c>
      <c r="L465" s="5">
        <v>0</v>
      </c>
      <c r="M465" s="5">
        <v>0</v>
      </c>
      <c r="N465" s="4" t="e">
        <f t="shared" si="41"/>
        <v>#N/A</v>
      </c>
      <c r="O465" s="4" t="e">
        <f>IF(ROUND(10.499-(((N465-VLOOKUP($C465,Lookups!$A$55:$D$64,3))/(VLOOKUP($C465,Lookups!$A$55:$D$64,4))*VLOOKUP($C465,Lookups!$C$2:$D$11,2))),0)&lt;1,1,IF(ROUND(10.499-(((N465-VLOOKUP($C465,Lookups!$A$55:$D$64,3))/(VLOOKUP($C465,Lookups!$A$55:$D$64,4))*VLOOKUP($C465,Lookups!$C$2:$D$11,2))),0)&lt;11,ROUND(10.499-(((N465-VLOOKUP($C465,Lookups!$A$55:$D$64,3))/(VLOOKUP($C465,Lookups!$A$55:$D$64,4))*VLOOKUP($C465,Lookups!$C$2:$D$11,2))),0),10))</f>
        <v>#N/A</v>
      </c>
      <c r="P465" s="13" t="str">
        <f>IF((SUM(F465:M465)=0),"J",VLOOKUP(O465,Lookups!$A$1:$B$11,2))</f>
        <v>J</v>
      </c>
      <c r="Q465" s="8" t="e">
        <f>VLOOKUP(C465,Lookups!$A$136:$C$144,3)</f>
        <v>#N/A</v>
      </c>
      <c r="R465" s="8" t="e">
        <f>VLOOKUP(C465,Lookups!$A$136:$C$144,2)</f>
        <v>#N/A</v>
      </c>
      <c r="S465" s="4" t="str">
        <f t="shared" si="42"/>
        <v>No</v>
      </c>
      <c r="T465" s="125">
        <f t="shared" si="43"/>
        <v>0</v>
      </c>
      <c r="U465" s="125">
        <f t="shared" si="44"/>
        <v>0</v>
      </c>
      <c r="V465" s="4" t="e">
        <f>IF($Q465&lt;&gt;3,VLOOKUP(F465,'Points Table A'!B$3:$F$33,5),VLOOKUP(F465,'Points Table A'!H$3:$L$33,5))</f>
        <v>#N/A</v>
      </c>
      <c r="W465" s="4" t="e">
        <f>IF($Q465&lt;&gt;3,VLOOKUP(G465,'Points Table A'!C$3:$F$33,4),VLOOKUP(G465,'Points Table A'!I$3:$L$33,4))</f>
        <v>#N/A</v>
      </c>
      <c r="X465" s="4" t="e">
        <f>IF($Q465&lt;&gt;3,VLOOKUP(H465,'Points Table A'!D$3:$F$28,3),VLOOKUP(H465,'Points Table A'!J$3:$L$33,3))</f>
        <v>#N/A</v>
      </c>
      <c r="Y465" s="4" t="e">
        <f>IF($Q465&lt;&gt;3,VLOOKUP(I465,'Points Table A'!E$3:$F$33,2),VLOOKUP(I465,'Points Table A'!K$3:$L$33,2))</f>
        <v>#N/A</v>
      </c>
      <c r="Z465" s="4" t="e">
        <f t="shared" si="45"/>
        <v>#N/A</v>
      </c>
      <c r="AA465" s="4">
        <f>IF($S465=Lookups!$B$113,VLOOKUP(L465,'Points Table C'!A$3:$E$11,5),VLOOKUP(U465,'Points Table C'!B$3:$E$11,4))</f>
        <v>0</v>
      </c>
      <c r="AB465" s="4" t="e">
        <f>IF($Q465=1,0,VLOOKUP($J465,'Points Table C'!$C$3:$E$18,3))</f>
        <v>#N/A</v>
      </c>
      <c r="AC465" s="4">
        <f>VLOOKUP($K465,'Points Table C'!$D$3:$E$18,2)</f>
        <v>0</v>
      </c>
      <c r="AD465" s="4" t="e">
        <f>IF($Z465&lt;Lookups!$C$106,($AA465+AB465+AC465),IF($AA465&gt;=Lookups!$C$120,($AA465+AB465+AC465),$AA465+$AB465))</f>
        <v>#N/A</v>
      </c>
      <c r="AF465" s="7"/>
      <c r="AG465" s="7"/>
      <c r="AH465" s="7"/>
      <c r="AI465" s="7"/>
      <c r="AJ465" s="7"/>
      <c r="AK465" s="7"/>
      <c r="AL465" s="7"/>
      <c r="AM465" s="7"/>
      <c r="AN465" s="7"/>
      <c r="AO465" s="7"/>
      <c r="AP465" s="7"/>
      <c r="AQ465" s="7"/>
      <c r="AR465" s="7"/>
      <c r="AS465" s="7"/>
      <c r="AT465" s="7"/>
      <c r="AU465" s="7"/>
      <c r="AV465" s="7"/>
      <c r="AW465" s="7"/>
      <c r="AY465" s="7"/>
      <c r="AZ465" s="7"/>
      <c r="BA465" s="7"/>
      <c r="BB465" s="7"/>
    </row>
    <row r="466" spans="2:54" x14ac:dyDescent="0.2">
      <c r="B466" s="174"/>
      <c r="C466" s="176"/>
      <c r="F466" s="5">
        <v>0</v>
      </c>
      <c r="G466" s="192">
        <v>0</v>
      </c>
      <c r="H466" s="192">
        <v>0</v>
      </c>
      <c r="I466" s="5">
        <v>0</v>
      </c>
      <c r="J466" s="192">
        <v>0</v>
      </c>
      <c r="K466" s="192">
        <v>0</v>
      </c>
      <c r="L466" s="5">
        <v>0</v>
      </c>
      <c r="M466" s="5">
        <v>0</v>
      </c>
      <c r="N466" s="4" t="e">
        <f t="shared" si="41"/>
        <v>#N/A</v>
      </c>
      <c r="O466" s="4" t="e">
        <f>IF(ROUND(10.499-(((N466-VLOOKUP($C466,Lookups!$A$55:$D$64,3))/(VLOOKUP($C466,Lookups!$A$55:$D$64,4))*VLOOKUP($C466,Lookups!$C$2:$D$11,2))),0)&lt;1,1,IF(ROUND(10.499-(((N466-VLOOKUP($C466,Lookups!$A$55:$D$64,3))/(VLOOKUP($C466,Lookups!$A$55:$D$64,4))*VLOOKUP($C466,Lookups!$C$2:$D$11,2))),0)&lt;11,ROUND(10.499-(((N466-VLOOKUP($C466,Lookups!$A$55:$D$64,3))/(VLOOKUP($C466,Lookups!$A$55:$D$64,4))*VLOOKUP($C466,Lookups!$C$2:$D$11,2))),0),10))</f>
        <v>#N/A</v>
      </c>
      <c r="P466" s="13" t="str">
        <f>IF((SUM(F466:M466)=0),"J",VLOOKUP(O466,Lookups!$A$1:$B$11,2))</f>
        <v>J</v>
      </c>
      <c r="Q466" s="8" t="e">
        <f>VLOOKUP(C466,Lookups!$A$136:$C$144,3)</f>
        <v>#N/A</v>
      </c>
      <c r="R466" s="8" t="e">
        <f>VLOOKUP(C466,Lookups!$A$136:$C$144,2)</f>
        <v>#N/A</v>
      </c>
      <c r="S466" s="4" t="str">
        <f t="shared" si="42"/>
        <v>No</v>
      </c>
      <c r="T466" s="125">
        <f t="shared" si="43"/>
        <v>0</v>
      </c>
      <c r="U466" s="125">
        <f t="shared" si="44"/>
        <v>0</v>
      </c>
      <c r="V466" s="4" t="e">
        <f>IF($Q466&lt;&gt;3,VLOOKUP(F466,'Points Table A'!B$3:$F$33,5),VLOOKUP(F466,'Points Table A'!H$3:$L$33,5))</f>
        <v>#N/A</v>
      </c>
      <c r="W466" s="4" t="e">
        <f>IF($Q466&lt;&gt;3,VLOOKUP(G466,'Points Table A'!C$3:$F$33,4),VLOOKUP(G466,'Points Table A'!I$3:$L$33,4))</f>
        <v>#N/A</v>
      </c>
      <c r="X466" s="4" t="e">
        <f>IF($Q466&lt;&gt;3,VLOOKUP(H466,'Points Table A'!D$3:$F$28,3),VLOOKUP(H466,'Points Table A'!J$3:$L$33,3))</f>
        <v>#N/A</v>
      </c>
      <c r="Y466" s="4" t="e">
        <f>IF($Q466&lt;&gt;3,VLOOKUP(I466,'Points Table A'!E$3:$F$33,2),VLOOKUP(I466,'Points Table A'!K$3:$L$33,2))</f>
        <v>#N/A</v>
      </c>
      <c r="Z466" s="4" t="e">
        <f t="shared" si="45"/>
        <v>#N/A</v>
      </c>
      <c r="AA466" s="4">
        <f>IF($S466=Lookups!$B$113,VLOOKUP(L466,'Points Table C'!A$3:$E$11,5),VLOOKUP(U466,'Points Table C'!B$3:$E$11,4))</f>
        <v>0</v>
      </c>
      <c r="AB466" s="4" t="e">
        <f>IF($Q466=1,0,VLOOKUP($J466,'Points Table C'!$C$3:$E$18,3))</f>
        <v>#N/A</v>
      </c>
      <c r="AC466" s="4">
        <f>VLOOKUP($K466,'Points Table C'!$D$3:$E$18,2)</f>
        <v>0</v>
      </c>
      <c r="AD466" s="4" t="e">
        <f>IF($Z466&lt;Lookups!$C$106,($AA466+AB466+AC466),IF($AA466&gt;=Lookups!$C$120,($AA466+AB466+AC466),$AA466+$AB466))</f>
        <v>#N/A</v>
      </c>
      <c r="AF466" s="7"/>
      <c r="AG466" s="7"/>
      <c r="AH466" s="7"/>
      <c r="AI466" s="7"/>
      <c r="AJ466" s="7"/>
      <c r="AK466" s="7"/>
      <c r="AL466" s="7"/>
      <c r="AM466" s="7"/>
      <c r="AN466" s="7"/>
      <c r="AO466" s="7"/>
      <c r="AP466" s="7"/>
      <c r="AQ466" s="7"/>
      <c r="AR466" s="7"/>
      <c r="AS466" s="7"/>
      <c r="AT466" s="7"/>
      <c r="AU466" s="7"/>
      <c r="AV466" s="7"/>
      <c r="AW466" s="7"/>
      <c r="AY466" s="7"/>
      <c r="AZ466" s="7"/>
      <c r="BA466" s="7"/>
      <c r="BB466" s="7"/>
    </row>
    <row r="467" spans="2:54" x14ac:dyDescent="0.2">
      <c r="B467" s="174"/>
      <c r="C467" s="176"/>
      <c r="F467" s="5">
        <v>0</v>
      </c>
      <c r="G467" s="192">
        <v>0</v>
      </c>
      <c r="H467" s="192">
        <v>0</v>
      </c>
      <c r="I467" s="5">
        <v>0</v>
      </c>
      <c r="J467" s="192">
        <v>0</v>
      </c>
      <c r="K467" s="192">
        <v>0</v>
      </c>
      <c r="L467" s="5">
        <v>0</v>
      </c>
      <c r="M467" s="5">
        <v>0</v>
      </c>
      <c r="N467" s="4" t="e">
        <f t="shared" si="41"/>
        <v>#N/A</v>
      </c>
      <c r="O467" s="4" t="e">
        <f>IF(ROUND(10.499-(((N467-VLOOKUP($C467,Lookups!$A$55:$D$64,3))/(VLOOKUP($C467,Lookups!$A$55:$D$64,4))*VLOOKUP($C467,Lookups!$C$2:$D$11,2))),0)&lt;1,1,IF(ROUND(10.499-(((N467-VLOOKUP($C467,Lookups!$A$55:$D$64,3))/(VLOOKUP($C467,Lookups!$A$55:$D$64,4))*VLOOKUP($C467,Lookups!$C$2:$D$11,2))),0)&lt;11,ROUND(10.499-(((N467-VLOOKUP($C467,Lookups!$A$55:$D$64,3))/(VLOOKUP($C467,Lookups!$A$55:$D$64,4))*VLOOKUP($C467,Lookups!$C$2:$D$11,2))),0),10))</f>
        <v>#N/A</v>
      </c>
      <c r="P467" s="13" t="str">
        <f>IF((SUM(F467:M467)=0),"J",VLOOKUP(O467,Lookups!$A$1:$B$11,2))</f>
        <v>J</v>
      </c>
      <c r="Q467" s="8" t="e">
        <f>VLOOKUP(C467,Lookups!$A$136:$C$144,3)</f>
        <v>#N/A</v>
      </c>
      <c r="R467" s="8" t="e">
        <f>VLOOKUP(C467,Lookups!$A$136:$C$144,2)</f>
        <v>#N/A</v>
      </c>
      <c r="S467" s="4" t="str">
        <f t="shared" si="42"/>
        <v>No</v>
      </c>
      <c r="T467" s="125">
        <f t="shared" si="43"/>
        <v>0</v>
      </c>
      <c r="U467" s="125">
        <f t="shared" si="44"/>
        <v>0</v>
      </c>
      <c r="V467" s="4" t="e">
        <f>IF($Q467&lt;&gt;3,VLOOKUP(F467,'Points Table A'!B$3:$F$33,5),VLOOKUP(F467,'Points Table A'!H$3:$L$33,5))</f>
        <v>#N/A</v>
      </c>
      <c r="W467" s="4" t="e">
        <f>IF($Q467&lt;&gt;3,VLOOKUP(G467,'Points Table A'!C$3:$F$33,4),VLOOKUP(G467,'Points Table A'!I$3:$L$33,4))</f>
        <v>#N/A</v>
      </c>
      <c r="X467" s="4" t="e">
        <f>IF($Q467&lt;&gt;3,VLOOKUP(H467,'Points Table A'!D$3:$F$28,3),VLOOKUP(H467,'Points Table A'!J$3:$L$33,3))</f>
        <v>#N/A</v>
      </c>
      <c r="Y467" s="4" t="e">
        <f>IF($Q467&lt;&gt;3,VLOOKUP(I467,'Points Table A'!E$3:$F$33,2),VLOOKUP(I467,'Points Table A'!K$3:$L$33,2))</f>
        <v>#N/A</v>
      </c>
      <c r="Z467" s="4" t="e">
        <f t="shared" si="45"/>
        <v>#N/A</v>
      </c>
      <c r="AA467" s="4">
        <f>IF($S467=Lookups!$B$113,VLOOKUP(L467,'Points Table C'!A$3:$E$11,5),VLOOKUP(U467,'Points Table C'!B$3:$E$11,4))</f>
        <v>0</v>
      </c>
      <c r="AB467" s="4" t="e">
        <f>IF($Q467=1,0,VLOOKUP($J467,'Points Table C'!$C$3:$E$18,3))</f>
        <v>#N/A</v>
      </c>
      <c r="AC467" s="4">
        <f>VLOOKUP($K467,'Points Table C'!$D$3:$E$18,2)</f>
        <v>0</v>
      </c>
      <c r="AD467" s="4" t="e">
        <f>IF($Z467&lt;Lookups!$C$106,($AA467+AB467+AC467),IF($AA467&gt;=Lookups!$C$120,($AA467+AB467+AC467),$AA467+$AB467))</f>
        <v>#N/A</v>
      </c>
      <c r="AF467" s="7"/>
      <c r="AG467" s="7"/>
      <c r="AH467" s="7"/>
      <c r="AI467" s="7"/>
      <c r="AJ467" s="7"/>
      <c r="AK467" s="7"/>
      <c r="AL467" s="7"/>
      <c r="AM467" s="7"/>
      <c r="AN467" s="7"/>
      <c r="AO467" s="7"/>
      <c r="AP467" s="7"/>
      <c r="AQ467" s="7"/>
      <c r="AR467" s="7"/>
      <c r="AS467" s="7"/>
      <c r="AT467" s="7"/>
      <c r="AU467" s="7"/>
      <c r="AV467" s="7"/>
      <c r="AW467" s="7"/>
      <c r="AY467" s="7"/>
      <c r="AZ467" s="7"/>
      <c r="BA467" s="7"/>
      <c r="BB467" s="7"/>
    </row>
    <row r="468" spans="2:54" x14ac:dyDescent="0.2">
      <c r="B468" s="174"/>
      <c r="C468" s="176"/>
      <c r="F468" s="5">
        <v>0</v>
      </c>
      <c r="G468" s="192">
        <v>0</v>
      </c>
      <c r="H468" s="192">
        <v>0</v>
      </c>
      <c r="I468" s="5">
        <v>0</v>
      </c>
      <c r="J468" s="192">
        <v>0</v>
      </c>
      <c r="K468" s="192">
        <v>0</v>
      </c>
      <c r="L468" s="5">
        <v>0</v>
      </c>
      <c r="M468" s="5">
        <v>0</v>
      </c>
      <c r="N468" s="4" t="e">
        <f t="shared" si="41"/>
        <v>#N/A</v>
      </c>
      <c r="O468" s="4" t="e">
        <f>IF(ROUND(10.499-(((N468-VLOOKUP($C468,Lookups!$A$55:$D$64,3))/(VLOOKUP($C468,Lookups!$A$55:$D$64,4))*VLOOKUP($C468,Lookups!$C$2:$D$11,2))),0)&lt;1,1,IF(ROUND(10.499-(((N468-VLOOKUP($C468,Lookups!$A$55:$D$64,3))/(VLOOKUP($C468,Lookups!$A$55:$D$64,4))*VLOOKUP($C468,Lookups!$C$2:$D$11,2))),0)&lt;11,ROUND(10.499-(((N468-VLOOKUP($C468,Lookups!$A$55:$D$64,3))/(VLOOKUP($C468,Lookups!$A$55:$D$64,4))*VLOOKUP($C468,Lookups!$C$2:$D$11,2))),0),10))</f>
        <v>#N/A</v>
      </c>
      <c r="P468" s="13" t="str">
        <f>IF((SUM(F468:M468)=0),"J",VLOOKUP(O468,Lookups!$A$1:$B$11,2))</f>
        <v>J</v>
      </c>
      <c r="Q468" s="8" t="e">
        <f>VLOOKUP(C468,Lookups!$A$136:$C$144,3)</f>
        <v>#N/A</v>
      </c>
      <c r="R468" s="8" t="e">
        <f>VLOOKUP(C468,Lookups!$A$136:$C$144,2)</f>
        <v>#N/A</v>
      </c>
      <c r="S468" s="4" t="str">
        <f t="shared" si="42"/>
        <v>No</v>
      </c>
      <c r="T468" s="125">
        <f t="shared" si="43"/>
        <v>0</v>
      </c>
      <c r="U468" s="125">
        <f t="shared" si="44"/>
        <v>0</v>
      </c>
      <c r="V468" s="4" t="e">
        <f>IF($Q468&lt;&gt;3,VLOOKUP(F468,'Points Table A'!B$3:$F$33,5),VLOOKUP(F468,'Points Table A'!H$3:$L$33,5))</f>
        <v>#N/A</v>
      </c>
      <c r="W468" s="4" t="e">
        <f>IF($Q468&lt;&gt;3,VLOOKUP(G468,'Points Table A'!C$3:$F$33,4),VLOOKUP(G468,'Points Table A'!I$3:$L$33,4))</f>
        <v>#N/A</v>
      </c>
      <c r="X468" s="4" t="e">
        <f>IF($Q468&lt;&gt;3,VLOOKUP(H468,'Points Table A'!D$3:$F$28,3),VLOOKUP(H468,'Points Table A'!J$3:$L$33,3))</f>
        <v>#N/A</v>
      </c>
      <c r="Y468" s="4" t="e">
        <f>IF($Q468&lt;&gt;3,VLOOKUP(I468,'Points Table A'!E$3:$F$33,2),VLOOKUP(I468,'Points Table A'!K$3:$L$33,2))</f>
        <v>#N/A</v>
      </c>
      <c r="Z468" s="4" t="e">
        <f t="shared" si="45"/>
        <v>#N/A</v>
      </c>
      <c r="AA468" s="4">
        <f>IF($S468=Lookups!$B$113,VLOOKUP(L468,'Points Table C'!A$3:$E$11,5),VLOOKUP(U468,'Points Table C'!B$3:$E$11,4))</f>
        <v>0</v>
      </c>
      <c r="AB468" s="4" t="e">
        <f>IF($Q468=1,0,VLOOKUP($J468,'Points Table C'!$C$3:$E$18,3))</f>
        <v>#N/A</v>
      </c>
      <c r="AC468" s="4">
        <f>VLOOKUP($K468,'Points Table C'!$D$3:$E$18,2)</f>
        <v>0</v>
      </c>
      <c r="AD468" s="4" t="e">
        <f>IF($Z468&lt;Lookups!$C$106,($AA468+AB468+AC468),IF($AA468&gt;=Lookups!$C$120,($AA468+AB468+AC468),$AA468+$AB468))</f>
        <v>#N/A</v>
      </c>
      <c r="AF468" s="7"/>
      <c r="AG468" s="7"/>
      <c r="AH468" s="7"/>
      <c r="AI468" s="7"/>
      <c r="AJ468" s="7"/>
      <c r="AK468" s="7"/>
      <c r="AL468" s="7"/>
      <c r="AM468" s="7"/>
      <c r="AN468" s="7"/>
      <c r="AO468" s="7"/>
      <c r="AP468" s="7"/>
      <c r="AQ468" s="7"/>
      <c r="AR468" s="7"/>
      <c r="AS468" s="7"/>
      <c r="AT468" s="7"/>
      <c r="AU468" s="7"/>
      <c r="AV468" s="7"/>
      <c r="AW468" s="7"/>
      <c r="AY468" s="7"/>
      <c r="AZ468" s="7"/>
      <c r="BA468" s="7"/>
      <c r="BB468" s="7"/>
    </row>
    <row r="469" spans="2:54" x14ac:dyDescent="0.2">
      <c r="B469" s="174"/>
      <c r="C469" s="176"/>
      <c r="F469" s="5">
        <v>0</v>
      </c>
      <c r="G469" s="192">
        <v>0</v>
      </c>
      <c r="H469" s="192">
        <v>0</v>
      </c>
      <c r="I469" s="5">
        <v>0</v>
      </c>
      <c r="J469" s="192">
        <v>0</v>
      </c>
      <c r="K469" s="192">
        <v>0</v>
      </c>
      <c r="L469" s="5">
        <v>0</v>
      </c>
      <c r="M469" s="5">
        <v>0</v>
      </c>
      <c r="N469" s="4" t="e">
        <f t="shared" si="41"/>
        <v>#N/A</v>
      </c>
      <c r="O469" s="4" t="e">
        <f>IF(ROUND(10.499-(((N469-VLOOKUP($C469,Lookups!$A$55:$D$64,3))/(VLOOKUP($C469,Lookups!$A$55:$D$64,4))*VLOOKUP($C469,Lookups!$C$2:$D$11,2))),0)&lt;1,1,IF(ROUND(10.499-(((N469-VLOOKUP($C469,Lookups!$A$55:$D$64,3))/(VLOOKUP($C469,Lookups!$A$55:$D$64,4))*VLOOKUP($C469,Lookups!$C$2:$D$11,2))),0)&lt;11,ROUND(10.499-(((N469-VLOOKUP($C469,Lookups!$A$55:$D$64,3))/(VLOOKUP($C469,Lookups!$A$55:$D$64,4))*VLOOKUP($C469,Lookups!$C$2:$D$11,2))),0),10))</f>
        <v>#N/A</v>
      </c>
      <c r="P469" s="13" t="str">
        <f>IF((SUM(F469:M469)=0),"J",VLOOKUP(O469,Lookups!$A$1:$B$11,2))</f>
        <v>J</v>
      </c>
      <c r="Q469" s="8" t="e">
        <f>VLOOKUP(C469,Lookups!$A$136:$C$144,3)</f>
        <v>#N/A</v>
      </c>
      <c r="R469" s="8" t="e">
        <f>VLOOKUP(C469,Lookups!$A$136:$C$144,2)</f>
        <v>#N/A</v>
      </c>
      <c r="S469" s="4" t="str">
        <f t="shared" si="42"/>
        <v>No</v>
      </c>
      <c r="T469" s="125">
        <f t="shared" si="43"/>
        <v>0</v>
      </c>
      <c r="U469" s="125">
        <f t="shared" si="44"/>
        <v>0</v>
      </c>
      <c r="V469" s="4" t="e">
        <f>IF($Q469&lt;&gt;3,VLOOKUP(F469,'Points Table A'!B$3:$F$33,5),VLOOKUP(F469,'Points Table A'!H$3:$L$33,5))</f>
        <v>#N/A</v>
      </c>
      <c r="W469" s="4" t="e">
        <f>IF($Q469&lt;&gt;3,VLOOKUP(G469,'Points Table A'!C$3:$F$33,4),VLOOKUP(G469,'Points Table A'!I$3:$L$33,4))</f>
        <v>#N/A</v>
      </c>
      <c r="X469" s="4" t="e">
        <f>IF($Q469&lt;&gt;3,VLOOKUP(H469,'Points Table A'!D$3:$F$28,3),VLOOKUP(H469,'Points Table A'!J$3:$L$33,3))</f>
        <v>#N/A</v>
      </c>
      <c r="Y469" s="4" t="e">
        <f>IF($Q469&lt;&gt;3,VLOOKUP(I469,'Points Table A'!E$3:$F$33,2),VLOOKUP(I469,'Points Table A'!K$3:$L$33,2))</f>
        <v>#N/A</v>
      </c>
      <c r="Z469" s="4" t="e">
        <f t="shared" si="45"/>
        <v>#N/A</v>
      </c>
      <c r="AA469" s="4">
        <f>IF($S469=Lookups!$B$113,VLOOKUP(L469,'Points Table C'!A$3:$E$11,5),VLOOKUP(U469,'Points Table C'!B$3:$E$11,4))</f>
        <v>0</v>
      </c>
      <c r="AB469" s="4" t="e">
        <f>IF($Q469=1,0,VLOOKUP($J469,'Points Table C'!$C$3:$E$18,3))</f>
        <v>#N/A</v>
      </c>
      <c r="AC469" s="4">
        <f>VLOOKUP($K469,'Points Table C'!$D$3:$E$18,2)</f>
        <v>0</v>
      </c>
      <c r="AD469" s="4" t="e">
        <f>IF($Z469&lt;Lookups!$C$106,($AA469+AB469+AC469),IF($AA469&gt;=Lookups!$C$120,($AA469+AB469+AC469),$AA469+$AB469))</f>
        <v>#N/A</v>
      </c>
      <c r="AF469" s="7"/>
      <c r="AG469" s="7"/>
      <c r="AH469" s="7"/>
      <c r="AI469" s="7"/>
      <c r="AJ469" s="7"/>
      <c r="AK469" s="7"/>
      <c r="AL469" s="7"/>
      <c r="AM469" s="7"/>
      <c r="AN469" s="7"/>
      <c r="AO469" s="7"/>
      <c r="AP469" s="7"/>
      <c r="AQ469" s="7"/>
      <c r="AR469" s="7"/>
      <c r="AS469" s="7"/>
      <c r="AT469" s="7"/>
      <c r="AU469" s="7"/>
      <c r="AV469" s="7"/>
      <c r="AW469" s="7"/>
      <c r="AY469" s="7"/>
      <c r="AZ469" s="7"/>
      <c r="BA469" s="7"/>
      <c r="BB469" s="7"/>
    </row>
    <row r="470" spans="2:54" x14ac:dyDescent="0.2">
      <c r="B470" s="174"/>
      <c r="C470" s="176"/>
      <c r="F470" s="5">
        <v>0</v>
      </c>
      <c r="G470" s="192">
        <v>0</v>
      </c>
      <c r="H470" s="192">
        <v>0</v>
      </c>
      <c r="I470" s="5">
        <v>0</v>
      </c>
      <c r="J470" s="192">
        <v>0</v>
      </c>
      <c r="K470" s="192">
        <v>0</v>
      </c>
      <c r="L470" s="5">
        <v>0</v>
      </c>
      <c r="M470" s="5">
        <v>0</v>
      </c>
      <c r="N470" s="4" t="e">
        <f t="shared" si="41"/>
        <v>#N/A</v>
      </c>
      <c r="O470" s="4" t="e">
        <f>IF(ROUND(10.499-(((N470-VLOOKUP($C470,Lookups!$A$55:$D$64,3))/(VLOOKUP($C470,Lookups!$A$55:$D$64,4))*VLOOKUP($C470,Lookups!$C$2:$D$11,2))),0)&lt;1,1,IF(ROUND(10.499-(((N470-VLOOKUP($C470,Lookups!$A$55:$D$64,3))/(VLOOKUP($C470,Lookups!$A$55:$D$64,4))*VLOOKUP($C470,Lookups!$C$2:$D$11,2))),0)&lt;11,ROUND(10.499-(((N470-VLOOKUP($C470,Lookups!$A$55:$D$64,3))/(VLOOKUP($C470,Lookups!$A$55:$D$64,4))*VLOOKUP($C470,Lookups!$C$2:$D$11,2))),0),10))</f>
        <v>#N/A</v>
      </c>
      <c r="P470" s="13" t="str">
        <f>IF((SUM(F470:M470)=0),"J",VLOOKUP(O470,Lookups!$A$1:$B$11,2))</f>
        <v>J</v>
      </c>
      <c r="Q470" s="8" t="e">
        <f>VLOOKUP(C470,Lookups!$A$136:$C$144,3)</f>
        <v>#N/A</v>
      </c>
      <c r="R470" s="8" t="e">
        <f>VLOOKUP(C470,Lookups!$A$136:$C$144,2)</f>
        <v>#N/A</v>
      </c>
      <c r="S470" s="4" t="str">
        <f t="shared" si="42"/>
        <v>No</v>
      </c>
      <c r="T470" s="125">
        <f t="shared" si="43"/>
        <v>0</v>
      </c>
      <c r="U470" s="125">
        <f t="shared" si="44"/>
        <v>0</v>
      </c>
      <c r="V470" s="4" t="e">
        <f>IF($Q470&lt;&gt;3,VLOOKUP(F470,'Points Table A'!B$3:$F$33,5),VLOOKUP(F470,'Points Table A'!H$3:$L$33,5))</f>
        <v>#N/A</v>
      </c>
      <c r="W470" s="4" t="e">
        <f>IF($Q470&lt;&gt;3,VLOOKUP(G470,'Points Table A'!C$3:$F$33,4),VLOOKUP(G470,'Points Table A'!I$3:$L$33,4))</f>
        <v>#N/A</v>
      </c>
      <c r="X470" s="4" t="e">
        <f>IF($Q470&lt;&gt;3,VLOOKUP(H470,'Points Table A'!D$3:$F$28,3),VLOOKUP(H470,'Points Table A'!J$3:$L$33,3))</f>
        <v>#N/A</v>
      </c>
      <c r="Y470" s="4" t="e">
        <f>IF($Q470&lt;&gt;3,VLOOKUP(I470,'Points Table A'!E$3:$F$33,2),VLOOKUP(I470,'Points Table A'!K$3:$L$33,2))</f>
        <v>#N/A</v>
      </c>
      <c r="Z470" s="4" t="e">
        <f t="shared" si="45"/>
        <v>#N/A</v>
      </c>
      <c r="AA470" s="4">
        <f>IF($S470=Lookups!$B$113,VLOOKUP(L470,'Points Table C'!A$3:$E$11,5),VLOOKUP(U470,'Points Table C'!B$3:$E$11,4))</f>
        <v>0</v>
      </c>
      <c r="AB470" s="4" t="e">
        <f>IF($Q470=1,0,VLOOKUP($J470,'Points Table C'!$C$3:$E$18,3))</f>
        <v>#N/A</v>
      </c>
      <c r="AC470" s="4">
        <f>VLOOKUP($K470,'Points Table C'!$D$3:$E$18,2)</f>
        <v>0</v>
      </c>
      <c r="AD470" s="4" t="e">
        <f>IF($Z470&lt;Lookups!$C$106,($AA470+AB470+AC470),IF($AA470&gt;=Lookups!$C$120,($AA470+AB470+AC470),$AA470+$AB470))</f>
        <v>#N/A</v>
      </c>
      <c r="AF470" s="7"/>
      <c r="AG470" s="7"/>
      <c r="AH470" s="7"/>
      <c r="AI470" s="7"/>
      <c r="AJ470" s="7"/>
      <c r="AK470" s="7"/>
      <c r="AL470" s="7"/>
      <c r="AM470" s="7"/>
      <c r="AN470" s="7"/>
      <c r="AO470" s="7"/>
      <c r="AP470" s="7"/>
      <c r="AQ470" s="7"/>
      <c r="AR470" s="7"/>
      <c r="AS470" s="7"/>
      <c r="AT470" s="7"/>
      <c r="AU470" s="7"/>
      <c r="AV470" s="7"/>
      <c r="AW470" s="7"/>
      <c r="AY470" s="7"/>
      <c r="AZ470" s="7"/>
      <c r="BA470" s="7"/>
      <c r="BB470" s="7"/>
    </row>
    <row r="471" spans="2:54" x14ac:dyDescent="0.2">
      <c r="B471" s="174"/>
      <c r="C471" s="176"/>
      <c r="F471" s="5">
        <v>0</v>
      </c>
      <c r="G471" s="192">
        <v>0</v>
      </c>
      <c r="H471" s="192">
        <v>0</v>
      </c>
      <c r="I471" s="5">
        <v>0</v>
      </c>
      <c r="J471" s="192">
        <v>0</v>
      </c>
      <c r="K471" s="192">
        <v>0</v>
      </c>
      <c r="L471" s="5">
        <v>0</v>
      </c>
      <c r="M471" s="5">
        <v>0</v>
      </c>
      <c r="N471" s="4" t="e">
        <f t="shared" si="41"/>
        <v>#N/A</v>
      </c>
      <c r="O471" s="4" t="e">
        <f>IF(ROUND(10.499-(((N471-VLOOKUP($C471,Lookups!$A$55:$D$64,3))/(VLOOKUP($C471,Lookups!$A$55:$D$64,4))*VLOOKUP($C471,Lookups!$C$2:$D$11,2))),0)&lt;1,1,IF(ROUND(10.499-(((N471-VLOOKUP($C471,Lookups!$A$55:$D$64,3))/(VLOOKUP($C471,Lookups!$A$55:$D$64,4))*VLOOKUP($C471,Lookups!$C$2:$D$11,2))),0)&lt;11,ROUND(10.499-(((N471-VLOOKUP($C471,Lookups!$A$55:$D$64,3))/(VLOOKUP($C471,Lookups!$A$55:$D$64,4))*VLOOKUP($C471,Lookups!$C$2:$D$11,2))),0),10))</f>
        <v>#N/A</v>
      </c>
      <c r="P471" s="13" t="str">
        <f>IF((SUM(F471:M471)=0),"J",VLOOKUP(O471,Lookups!$A$1:$B$11,2))</f>
        <v>J</v>
      </c>
      <c r="Q471" s="8" t="e">
        <f>VLOOKUP(C471,Lookups!$A$136:$C$144,3)</f>
        <v>#N/A</v>
      </c>
      <c r="R471" s="8" t="e">
        <f>VLOOKUP(C471,Lookups!$A$136:$C$144,2)</f>
        <v>#N/A</v>
      </c>
      <c r="S471" s="4" t="str">
        <f t="shared" si="42"/>
        <v>No</v>
      </c>
      <c r="T471" s="125">
        <f t="shared" si="43"/>
        <v>0</v>
      </c>
      <c r="U471" s="125">
        <f t="shared" si="44"/>
        <v>0</v>
      </c>
      <c r="V471" s="4" t="e">
        <f>IF($Q471&lt;&gt;3,VLOOKUP(F471,'Points Table A'!B$3:$F$33,5),VLOOKUP(F471,'Points Table A'!H$3:$L$33,5))</f>
        <v>#N/A</v>
      </c>
      <c r="W471" s="4" t="e">
        <f>IF($Q471&lt;&gt;3,VLOOKUP(G471,'Points Table A'!C$3:$F$33,4),VLOOKUP(G471,'Points Table A'!I$3:$L$33,4))</f>
        <v>#N/A</v>
      </c>
      <c r="X471" s="4" t="e">
        <f>IF($Q471&lt;&gt;3,VLOOKUP(H471,'Points Table A'!D$3:$F$28,3),VLOOKUP(H471,'Points Table A'!J$3:$L$33,3))</f>
        <v>#N/A</v>
      </c>
      <c r="Y471" s="4" t="e">
        <f>IF($Q471&lt;&gt;3,VLOOKUP(I471,'Points Table A'!E$3:$F$33,2),VLOOKUP(I471,'Points Table A'!K$3:$L$33,2))</f>
        <v>#N/A</v>
      </c>
      <c r="Z471" s="4" t="e">
        <f t="shared" si="45"/>
        <v>#N/A</v>
      </c>
      <c r="AA471" s="4">
        <f>IF($S471=Lookups!$B$113,VLOOKUP(L471,'Points Table C'!A$3:$E$11,5),VLOOKUP(U471,'Points Table C'!B$3:$E$11,4))</f>
        <v>0</v>
      </c>
      <c r="AB471" s="4" t="e">
        <f>IF($Q471=1,0,VLOOKUP($J471,'Points Table C'!$C$3:$E$18,3))</f>
        <v>#N/A</v>
      </c>
      <c r="AC471" s="4">
        <f>VLOOKUP($K471,'Points Table C'!$D$3:$E$18,2)</f>
        <v>0</v>
      </c>
      <c r="AD471" s="4" t="e">
        <f>IF($Z471&lt;Lookups!$C$106,($AA471+AB471+AC471),IF($AA471&gt;=Lookups!$C$120,($AA471+AB471+AC471),$AA471+$AB471))</f>
        <v>#N/A</v>
      </c>
      <c r="AF471" s="7"/>
      <c r="AG471" s="7"/>
      <c r="AH471" s="7"/>
      <c r="AI471" s="7"/>
      <c r="AJ471" s="7"/>
      <c r="AK471" s="7"/>
      <c r="AL471" s="7"/>
      <c r="AM471" s="7"/>
      <c r="AN471" s="7"/>
      <c r="AO471" s="7"/>
      <c r="AP471" s="7"/>
      <c r="AQ471" s="7"/>
      <c r="AR471" s="7"/>
      <c r="AS471" s="7"/>
      <c r="AT471" s="7"/>
      <c r="AU471" s="7"/>
      <c r="AV471" s="7"/>
      <c r="AW471" s="7"/>
      <c r="AY471" s="7"/>
      <c r="AZ471" s="7"/>
      <c r="BA471" s="7"/>
      <c r="BB471" s="7"/>
    </row>
    <row r="472" spans="2:54" x14ac:dyDescent="0.2">
      <c r="B472" s="174"/>
      <c r="C472" s="176"/>
      <c r="F472" s="5">
        <v>0</v>
      </c>
      <c r="G472" s="192">
        <v>0</v>
      </c>
      <c r="H472" s="192">
        <v>0</v>
      </c>
      <c r="I472" s="5">
        <v>0</v>
      </c>
      <c r="J472" s="192">
        <v>0</v>
      </c>
      <c r="K472" s="192">
        <v>0</v>
      </c>
      <c r="L472" s="5">
        <v>0</v>
      </c>
      <c r="M472" s="5">
        <v>0</v>
      </c>
      <c r="N472" s="4" t="e">
        <f t="shared" si="41"/>
        <v>#N/A</v>
      </c>
      <c r="O472" s="4" t="e">
        <f>IF(ROUND(10.499-(((N472-VLOOKUP($C472,Lookups!$A$55:$D$64,3))/(VLOOKUP($C472,Lookups!$A$55:$D$64,4))*VLOOKUP($C472,Lookups!$C$2:$D$11,2))),0)&lt;1,1,IF(ROUND(10.499-(((N472-VLOOKUP($C472,Lookups!$A$55:$D$64,3))/(VLOOKUP($C472,Lookups!$A$55:$D$64,4))*VLOOKUP($C472,Lookups!$C$2:$D$11,2))),0)&lt;11,ROUND(10.499-(((N472-VLOOKUP($C472,Lookups!$A$55:$D$64,3))/(VLOOKUP($C472,Lookups!$A$55:$D$64,4))*VLOOKUP($C472,Lookups!$C$2:$D$11,2))),0),10))</f>
        <v>#N/A</v>
      </c>
      <c r="P472" s="13" t="str">
        <f>IF((SUM(F472:M472)=0),"J",VLOOKUP(O472,Lookups!$A$1:$B$11,2))</f>
        <v>J</v>
      </c>
      <c r="Q472" s="8" t="e">
        <f>VLOOKUP(C472,Lookups!$A$136:$C$144,3)</f>
        <v>#N/A</v>
      </c>
      <c r="R472" s="8" t="e">
        <f>VLOOKUP(C472,Lookups!$A$136:$C$144,2)</f>
        <v>#N/A</v>
      </c>
      <c r="S472" s="4" t="str">
        <f t="shared" si="42"/>
        <v>No</v>
      </c>
      <c r="T472" s="125">
        <f t="shared" si="43"/>
        <v>0</v>
      </c>
      <c r="U472" s="125">
        <f t="shared" si="44"/>
        <v>0</v>
      </c>
      <c r="V472" s="4" t="e">
        <f>IF($Q472&lt;&gt;3,VLOOKUP(F472,'Points Table A'!B$3:$F$33,5),VLOOKUP(F472,'Points Table A'!H$3:$L$33,5))</f>
        <v>#N/A</v>
      </c>
      <c r="W472" s="4" t="e">
        <f>IF($Q472&lt;&gt;3,VLOOKUP(G472,'Points Table A'!C$3:$F$33,4),VLOOKUP(G472,'Points Table A'!I$3:$L$33,4))</f>
        <v>#N/A</v>
      </c>
      <c r="X472" s="4" t="e">
        <f>IF($Q472&lt;&gt;3,VLOOKUP(H472,'Points Table A'!D$3:$F$28,3),VLOOKUP(H472,'Points Table A'!J$3:$L$33,3))</f>
        <v>#N/A</v>
      </c>
      <c r="Y472" s="4" t="e">
        <f>IF($Q472&lt;&gt;3,VLOOKUP(I472,'Points Table A'!E$3:$F$33,2),VLOOKUP(I472,'Points Table A'!K$3:$L$33,2))</f>
        <v>#N/A</v>
      </c>
      <c r="Z472" s="4" t="e">
        <f t="shared" si="45"/>
        <v>#N/A</v>
      </c>
      <c r="AA472" s="4">
        <f>IF($S472=Lookups!$B$113,VLOOKUP(L472,'Points Table C'!A$3:$E$11,5),VLOOKUP(U472,'Points Table C'!B$3:$E$11,4))</f>
        <v>0</v>
      </c>
      <c r="AB472" s="4" t="e">
        <f>IF($Q472=1,0,VLOOKUP($J472,'Points Table C'!$C$3:$E$18,3))</f>
        <v>#N/A</v>
      </c>
      <c r="AC472" s="4">
        <f>VLOOKUP($K472,'Points Table C'!$D$3:$E$18,2)</f>
        <v>0</v>
      </c>
      <c r="AD472" s="4" t="e">
        <f>IF($Z472&lt;Lookups!$C$106,($AA472+AB472+AC472),IF($AA472&gt;=Lookups!$C$120,($AA472+AB472+AC472),$AA472+$AB472))</f>
        <v>#N/A</v>
      </c>
      <c r="AF472" s="7"/>
      <c r="AG472" s="7"/>
      <c r="AH472" s="7"/>
      <c r="AI472" s="7"/>
      <c r="AJ472" s="7"/>
      <c r="AK472" s="7"/>
      <c r="AL472" s="7"/>
      <c r="AM472" s="7"/>
      <c r="AN472" s="7"/>
      <c r="AO472" s="7"/>
      <c r="AP472" s="7"/>
      <c r="AQ472" s="7"/>
      <c r="AR472" s="7"/>
      <c r="AS472" s="7"/>
      <c r="AT472" s="7"/>
      <c r="AU472" s="7"/>
      <c r="AV472" s="7"/>
      <c r="AW472" s="7"/>
      <c r="AY472" s="7"/>
      <c r="AZ472" s="7"/>
      <c r="BA472" s="7"/>
      <c r="BB472" s="7"/>
    </row>
    <row r="473" spans="2:54" x14ac:dyDescent="0.2">
      <c r="B473" s="174"/>
      <c r="C473" s="176"/>
      <c r="F473" s="5">
        <v>0</v>
      </c>
      <c r="G473" s="192">
        <v>0</v>
      </c>
      <c r="H473" s="192">
        <v>0</v>
      </c>
      <c r="I473" s="5">
        <v>0</v>
      </c>
      <c r="J473" s="192">
        <v>0</v>
      </c>
      <c r="K473" s="192">
        <v>0</v>
      </c>
      <c r="L473" s="5">
        <v>0</v>
      </c>
      <c r="M473" s="5">
        <v>0</v>
      </c>
      <c r="N473" s="4" t="e">
        <f t="shared" si="41"/>
        <v>#N/A</v>
      </c>
      <c r="O473" s="4" t="e">
        <f>IF(ROUND(10.499-(((N473-VLOOKUP($C473,Lookups!$A$55:$D$64,3))/(VLOOKUP($C473,Lookups!$A$55:$D$64,4))*VLOOKUP($C473,Lookups!$C$2:$D$11,2))),0)&lt;1,1,IF(ROUND(10.499-(((N473-VLOOKUP($C473,Lookups!$A$55:$D$64,3))/(VLOOKUP($C473,Lookups!$A$55:$D$64,4))*VLOOKUP($C473,Lookups!$C$2:$D$11,2))),0)&lt;11,ROUND(10.499-(((N473-VLOOKUP($C473,Lookups!$A$55:$D$64,3))/(VLOOKUP($C473,Lookups!$A$55:$D$64,4))*VLOOKUP($C473,Lookups!$C$2:$D$11,2))),0),10))</f>
        <v>#N/A</v>
      </c>
      <c r="P473" s="13" t="str">
        <f>IF((SUM(F473:M473)=0),"J",VLOOKUP(O473,Lookups!$A$1:$B$11,2))</f>
        <v>J</v>
      </c>
      <c r="Q473" s="8" t="e">
        <f>VLOOKUP(C473,Lookups!$A$136:$C$144,3)</f>
        <v>#N/A</v>
      </c>
      <c r="R473" s="8" t="e">
        <f>VLOOKUP(C473,Lookups!$A$136:$C$144,2)</f>
        <v>#N/A</v>
      </c>
      <c r="S473" s="4" t="str">
        <f t="shared" si="42"/>
        <v>No</v>
      </c>
      <c r="T473" s="125">
        <f t="shared" si="43"/>
        <v>0</v>
      </c>
      <c r="U473" s="125">
        <f t="shared" si="44"/>
        <v>0</v>
      </c>
      <c r="V473" s="4" t="e">
        <f>IF($Q473&lt;&gt;3,VLOOKUP(F473,'Points Table A'!B$3:$F$33,5),VLOOKUP(F473,'Points Table A'!H$3:$L$33,5))</f>
        <v>#N/A</v>
      </c>
      <c r="W473" s="4" t="e">
        <f>IF($Q473&lt;&gt;3,VLOOKUP(G473,'Points Table A'!C$3:$F$33,4),VLOOKUP(G473,'Points Table A'!I$3:$L$33,4))</f>
        <v>#N/A</v>
      </c>
      <c r="X473" s="4" t="e">
        <f>IF($Q473&lt;&gt;3,VLOOKUP(H473,'Points Table A'!D$3:$F$28,3),VLOOKUP(H473,'Points Table A'!J$3:$L$33,3))</f>
        <v>#N/A</v>
      </c>
      <c r="Y473" s="4" t="e">
        <f>IF($Q473&lt;&gt;3,VLOOKUP(I473,'Points Table A'!E$3:$F$33,2),VLOOKUP(I473,'Points Table A'!K$3:$L$33,2))</f>
        <v>#N/A</v>
      </c>
      <c r="Z473" s="4" t="e">
        <f t="shared" si="45"/>
        <v>#N/A</v>
      </c>
      <c r="AA473" s="4">
        <f>IF($S473=Lookups!$B$113,VLOOKUP(L473,'Points Table C'!A$3:$E$11,5),VLOOKUP(U473,'Points Table C'!B$3:$E$11,4))</f>
        <v>0</v>
      </c>
      <c r="AB473" s="4" t="e">
        <f>IF($Q473=1,0,VLOOKUP($J473,'Points Table C'!$C$3:$E$18,3))</f>
        <v>#N/A</v>
      </c>
      <c r="AC473" s="4">
        <f>VLOOKUP($K473,'Points Table C'!$D$3:$E$18,2)</f>
        <v>0</v>
      </c>
      <c r="AD473" s="4" t="e">
        <f>IF($Z473&lt;Lookups!$C$106,($AA473+AB473+AC473),IF($AA473&gt;=Lookups!$C$120,($AA473+AB473+AC473),$AA473+$AB473))</f>
        <v>#N/A</v>
      </c>
      <c r="AF473" s="7"/>
      <c r="AG473" s="7"/>
      <c r="AH473" s="7"/>
      <c r="AI473" s="7"/>
      <c r="AJ473" s="7"/>
      <c r="AK473" s="7"/>
      <c r="AL473" s="7"/>
      <c r="AM473" s="7"/>
      <c r="AN473" s="7"/>
      <c r="AO473" s="7"/>
      <c r="AP473" s="7"/>
      <c r="AQ473" s="7"/>
      <c r="AR473" s="7"/>
      <c r="AS473" s="7"/>
      <c r="AT473" s="7"/>
      <c r="AU473" s="7"/>
      <c r="AV473" s="7"/>
      <c r="AW473" s="7"/>
      <c r="AY473" s="7"/>
      <c r="AZ473" s="7"/>
      <c r="BA473" s="7"/>
      <c r="BB473" s="7"/>
    </row>
    <row r="474" spans="2:54" x14ac:dyDescent="0.2">
      <c r="B474" s="174"/>
      <c r="C474" s="176"/>
      <c r="F474" s="5">
        <v>0</v>
      </c>
      <c r="G474" s="192">
        <v>0</v>
      </c>
      <c r="H474" s="192">
        <v>0</v>
      </c>
      <c r="I474" s="5">
        <v>0</v>
      </c>
      <c r="J474" s="192">
        <v>0</v>
      </c>
      <c r="K474" s="192">
        <v>0</v>
      </c>
      <c r="L474" s="5">
        <v>0</v>
      </c>
      <c r="M474" s="5">
        <v>0</v>
      </c>
      <c r="N474" s="4" t="e">
        <f t="shared" si="41"/>
        <v>#N/A</v>
      </c>
      <c r="O474" s="4" t="e">
        <f>IF(ROUND(10.499-(((N474-VLOOKUP($C474,Lookups!$A$55:$D$64,3))/(VLOOKUP($C474,Lookups!$A$55:$D$64,4))*VLOOKUP($C474,Lookups!$C$2:$D$11,2))),0)&lt;1,1,IF(ROUND(10.499-(((N474-VLOOKUP($C474,Lookups!$A$55:$D$64,3))/(VLOOKUP($C474,Lookups!$A$55:$D$64,4))*VLOOKUP($C474,Lookups!$C$2:$D$11,2))),0)&lt;11,ROUND(10.499-(((N474-VLOOKUP($C474,Lookups!$A$55:$D$64,3))/(VLOOKUP($C474,Lookups!$A$55:$D$64,4))*VLOOKUP($C474,Lookups!$C$2:$D$11,2))),0),10))</f>
        <v>#N/A</v>
      </c>
      <c r="P474" s="13" t="str">
        <f>IF((SUM(F474:M474)=0),"J",VLOOKUP(O474,Lookups!$A$1:$B$11,2))</f>
        <v>J</v>
      </c>
      <c r="Q474" s="8" t="e">
        <f>VLOOKUP(C474,Lookups!$A$136:$C$144,3)</f>
        <v>#N/A</v>
      </c>
      <c r="R474" s="8" t="e">
        <f>VLOOKUP(C474,Lookups!$A$136:$C$144,2)</f>
        <v>#N/A</v>
      </c>
      <c r="S474" s="4" t="str">
        <f t="shared" si="42"/>
        <v>No</v>
      </c>
      <c r="T474" s="125">
        <f t="shared" si="43"/>
        <v>0</v>
      </c>
      <c r="U474" s="125">
        <f t="shared" si="44"/>
        <v>0</v>
      </c>
      <c r="V474" s="4" t="e">
        <f>IF($Q474&lt;&gt;3,VLOOKUP(F474,'Points Table A'!B$3:$F$33,5),VLOOKUP(F474,'Points Table A'!H$3:$L$33,5))</f>
        <v>#N/A</v>
      </c>
      <c r="W474" s="4" t="e">
        <f>IF($Q474&lt;&gt;3,VLOOKUP(G474,'Points Table A'!C$3:$F$33,4),VLOOKUP(G474,'Points Table A'!I$3:$L$33,4))</f>
        <v>#N/A</v>
      </c>
      <c r="X474" s="4" t="e">
        <f>IF($Q474&lt;&gt;3,VLOOKUP(H474,'Points Table A'!D$3:$F$28,3),VLOOKUP(H474,'Points Table A'!J$3:$L$33,3))</f>
        <v>#N/A</v>
      </c>
      <c r="Y474" s="4" t="e">
        <f>IF($Q474&lt;&gt;3,VLOOKUP(I474,'Points Table A'!E$3:$F$33,2),VLOOKUP(I474,'Points Table A'!K$3:$L$33,2))</f>
        <v>#N/A</v>
      </c>
      <c r="Z474" s="4" t="e">
        <f t="shared" si="45"/>
        <v>#N/A</v>
      </c>
      <c r="AA474" s="4">
        <f>IF($S474=Lookups!$B$113,VLOOKUP(L474,'Points Table C'!A$3:$E$11,5),VLOOKUP(U474,'Points Table C'!B$3:$E$11,4))</f>
        <v>0</v>
      </c>
      <c r="AB474" s="4" t="e">
        <f>IF($Q474=1,0,VLOOKUP($J474,'Points Table C'!$C$3:$E$18,3))</f>
        <v>#N/A</v>
      </c>
      <c r="AC474" s="4">
        <f>VLOOKUP($K474,'Points Table C'!$D$3:$E$18,2)</f>
        <v>0</v>
      </c>
      <c r="AD474" s="4" t="e">
        <f>IF($Z474&lt;Lookups!$C$106,($AA474+AB474+AC474),IF($AA474&gt;=Lookups!$C$120,($AA474+AB474+AC474),$AA474+$AB474))</f>
        <v>#N/A</v>
      </c>
      <c r="AF474" s="7"/>
      <c r="AG474" s="7"/>
      <c r="AH474" s="7"/>
      <c r="AI474" s="7"/>
      <c r="AJ474" s="7"/>
      <c r="AK474" s="7"/>
      <c r="AL474" s="7"/>
      <c r="AM474" s="7"/>
      <c r="AN474" s="7"/>
      <c r="AO474" s="7"/>
      <c r="AP474" s="7"/>
      <c r="AQ474" s="7"/>
      <c r="AR474" s="7"/>
      <c r="AS474" s="7"/>
      <c r="AT474" s="7"/>
      <c r="AU474" s="7"/>
      <c r="AV474" s="7"/>
      <c r="AW474" s="7"/>
      <c r="AY474" s="7"/>
      <c r="AZ474" s="7"/>
      <c r="BA474" s="7"/>
      <c r="BB474" s="7"/>
    </row>
    <row r="475" spans="2:54" x14ac:dyDescent="0.2">
      <c r="B475" s="174"/>
      <c r="C475" s="176"/>
      <c r="F475" s="5">
        <v>0</v>
      </c>
      <c r="G475" s="192">
        <v>0</v>
      </c>
      <c r="H475" s="192">
        <v>0</v>
      </c>
      <c r="I475" s="5">
        <v>0</v>
      </c>
      <c r="J475" s="192">
        <v>0</v>
      </c>
      <c r="K475" s="192">
        <v>0</v>
      </c>
      <c r="L475" s="5">
        <v>0</v>
      </c>
      <c r="M475" s="5">
        <v>0</v>
      </c>
      <c r="N475" s="4" t="e">
        <f t="shared" si="41"/>
        <v>#N/A</v>
      </c>
      <c r="O475" s="4" t="e">
        <f>IF(ROUND(10.499-(((N475-VLOOKUP($C475,Lookups!$A$55:$D$64,3))/(VLOOKUP($C475,Lookups!$A$55:$D$64,4))*VLOOKUP($C475,Lookups!$C$2:$D$11,2))),0)&lt;1,1,IF(ROUND(10.499-(((N475-VLOOKUP($C475,Lookups!$A$55:$D$64,3))/(VLOOKUP($C475,Lookups!$A$55:$D$64,4))*VLOOKUP($C475,Lookups!$C$2:$D$11,2))),0)&lt;11,ROUND(10.499-(((N475-VLOOKUP($C475,Lookups!$A$55:$D$64,3))/(VLOOKUP($C475,Lookups!$A$55:$D$64,4))*VLOOKUP($C475,Lookups!$C$2:$D$11,2))),0),10))</f>
        <v>#N/A</v>
      </c>
      <c r="P475" s="13" t="str">
        <f>IF((SUM(F475:M475)=0),"J",VLOOKUP(O475,Lookups!$A$1:$B$11,2))</f>
        <v>J</v>
      </c>
      <c r="Q475" s="8" t="e">
        <f>VLOOKUP(C475,Lookups!$A$136:$C$144,3)</f>
        <v>#N/A</v>
      </c>
      <c r="R475" s="8" t="e">
        <f>VLOOKUP(C475,Lookups!$A$136:$C$144,2)</f>
        <v>#N/A</v>
      </c>
      <c r="S475" s="4" t="str">
        <f t="shared" si="42"/>
        <v>No</v>
      </c>
      <c r="T475" s="125">
        <f t="shared" si="43"/>
        <v>0</v>
      </c>
      <c r="U475" s="125">
        <f t="shared" si="44"/>
        <v>0</v>
      </c>
      <c r="V475" s="4" t="e">
        <f>IF($Q475&lt;&gt;3,VLOOKUP(F475,'Points Table A'!B$3:$F$33,5),VLOOKUP(F475,'Points Table A'!H$3:$L$33,5))</f>
        <v>#N/A</v>
      </c>
      <c r="W475" s="4" t="e">
        <f>IF($Q475&lt;&gt;3,VLOOKUP(G475,'Points Table A'!C$3:$F$33,4),VLOOKUP(G475,'Points Table A'!I$3:$L$33,4))</f>
        <v>#N/A</v>
      </c>
      <c r="X475" s="4" t="e">
        <f>IF($Q475&lt;&gt;3,VLOOKUP(H475,'Points Table A'!D$3:$F$28,3),VLOOKUP(H475,'Points Table A'!J$3:$L$33,3))</f>
        <v>#N/A</v>
      </c>
      <c r="Y475" s="4" t="e">
        <f>IF($Q475&lt;&gt;3,VLOOKUP(I475,'Points Table A'!E$3:$F$33,2),VLOOKUP(I475,'Points Table A'!K$3:$L$33,2))</f>
        <v>#N/A</v>
      </c>
      <c r="Z475" s="4" t="e">
        <f t="shared" si="45"/>
        <v>#N/A</v>
      </c>
      <c r="AA475" s="4">
        <f>IF($S475=Lookups!$B$113,VLOOKUP(L475,'Points Table C'!A$3:$E$11,5),VLOOKUP(U475,'Points Table C'!B$3:$E$11,4))</f>
        <v>0</v>
      </c>
      <c r="AB475" s="4" t="e">
        <f>IF($Q475=1,0,VLOOKUP($J475,'Points Table C'!$C$3:$E$18,3))</f>
        <v>#N/A</v>
      </c>
      <c r="AC475" s="4">
        <f>VLOOKUP($K475,'Points Table C'!$D$3:$E$18,2)</f>
        <v>0</v>
      </c>
      <c r="AD475" s="4" t="e">
        <f>IF($Z475&lt;Lookups!$C$106,($AA475+AB475+AC475),IF($AA475&gt;=Lookups!$C$120,($AA475+AB475+AC475),$AA475+$AB475))</f>
        <v>#N/A</v>
      </c>
      <c r="AF475" s="7"/>
      <c r="AG475" s="7"/>
      <c r="AH475" s="7"/>
      <c r="AI475" s="7"/>
      <c r="AJ475" s="7"/>
      <c r="AK475" s="7"/>
      <c r="AL475" s="7"/>
      <c r="AM475" s="7"/>
      <c r="AN475" s="7"/>
      <c r="AO475" s="7"/>
      <c r="AP475" s="7"/>
      <c r="AQ475" s="7"/>
      <c r="AR475" s="7"/>
      <c r="AS475" s="7"/>
      <c r="AT475" s="7"/>
      <c r="AU475" s="7"/>
      <c r="AV475" s="7"/>
      <c r="AW475" s="7"/>
      <c r="AY475" s="7"/>
      <c r="AZ475" s="7"/>
      <c r="BA475" s="7"/>
      <c r="BB475" s="7"/>
    </row>
    <row r="476" spans="2:54" x14ac:dyDescent="0.2">
      <c r="B476" s="174"/>
      <c r="C476" s="176"/>
      <c r="F476" s="5">
        <v>0</v>
      </c>
      <c r="G476" s="192">
        <v>0</v>
      </c>
      <c r="H476" s="192">
        <v>0</v>
      </c>
      <c r="I476" s="5">
        <v>0</v>
      </c>
      <c r="J476" s="192">
        <v>0</v>
      </c>
      <c r="K476" s="192">
        <v>0</v>
      </c>
      <c r="L476" s="5">
        <v>0</v>
      </c>
      <c r="M476" s="5">
        <v>0</v>
      </c>
      <c r="N476" s="4" t="e">
        <f t="shared" si="41"/>
        <v>#N/A</v>
      </c>
      <c r="O476" s="4" t="e">
        <f>IF(ROUND(10.499-(((N476-VLOOKUP($C476,Lookups!$A$55:$D$64,3))/(VLOOKUP($C476,Lookups!$A$55:$D$64,4))*VLOOKUP($C476,Lookups!$C$2:$D$11,2))),0)&lt;1,1,IF(ROUND(10.499-(((N476-VLOOKUP($C476,Lookups!$A$55:$D$64,3))/(VLOOKUP($C476,Lookups!$A$55:$D$64,4))*VLOOKUP($C476,Lookups!$C$2:$D$11,2))),0)&lt;11,ROUND(10.499-(((N476-VLOOKUP($C476,Lookups!$A$55:$D$64,3))/(VLOOKUP($C476,Lookups!$A$55:$D$64,4))*VLOOKUP($C476,Lookups!$C$2:$D$11,2))),0),10))</f>
        <v>#N/A</v>
      </c>
      <c r="P476" s="13" t="str">
        <f>IF((SUM(F476:M476)=0),"J",VLOOKUP(O476,Lookups!$A$1:$B$11,2))</f>
        <v>J</v>
      </c>
      <c r="Q476" s="8" t="e">
        <f>VLOOKUP(C476,Lookups!$A$136:$C$144,3)</f>
        <v>#N/A</v>
      </c>
      <c r="R476" s="8" t="e">
        <f>VLOOKUP(C476,Lookups!$A$136:$C$144,2)</f>
        <v>#N/A</v>
      </c>
      <c r="S476" s="4" t="str">
        <f t="shared" si="42"/>
        <v>No</v>
      </c>
      <c r="T476" s="125">
        <f t="shared" si="43"/>
        <v>0</v>
      </c>
      <c r="U476" s="125">
        <f t="shared" si="44"/>
        <v>0</v>
      </c>
      <c r="V476" s="4" t="e">
        <f>IF($Q476&lt;&gt;3,VLOOKUP(F476,'Points Table A'!B$3:$F$33,5),VLOOKUP(F476,'Points Table A'!H$3:$L$33,5))</f>
        <v>#N/A</v>
      </c>
      <c r="W476" s="4" t="e">
        <f>IF($Q476&lt;&gt;3,VLOOKUP(G476,'Points Table A'!C$3:$F$33,4),VLOOKUP(G476,'Points Table A'!I$3:$L$33,4))</f>
        <v>#N/A</v>
      </c>
      <c r="X476" s="4" t="e">
        <f>IF($Q476&lt;&gt;3,VLOOKUP(H476,'Points Table A'!D$3:$F$28,3),VLOOKUP(H476,'Points Table A'!J$3:$L$33,3))</f>
        <v>#N/A</v>
      </c>
      <c r="Y476" s="4" t="e">
        <f>IF($Q476&lt;&gt;3,VLOOKUP(I476,'Points Table A'!E$3:$F$33,2),VLOOKUP(I476,'Points Table A'!K$3:$L$33,2))</f>
        <v>#N/A</v>
      </c>
      <c r="Z476" s="4" t="e">
        <f t="shared" si="45"/>
        <v>#N/A</v>
      </c>
      <c r="AA476" s="4">
        <f>IF($S476=Lookups!$B$113,VLOOKUP(L476,'Points Table C'!A$3:$E$11,5),VLOOKUP(U476,'Points Table C'!B$3:$E$11,4))</f>
        <v>0</v>
      </c>
      <c r="AB476" s="4" t="e">
        <f>IF($Q476=1,0,VLOOKUP($J476,'Points Table C'!$C$3:$E$18,3))</f>
        <v>#N/A</v>
      </c>
      <c r="AC476" s="4">
        <f>VLOOKUP($K476,'Points Table C'!$D$3:$E$18,2)</f>
        <v>0</v>
      </c>
      <c r="AD476" s="4" t="e">
        <f>IF($Z476&lt;Lookups!$C$106,($AA476+AB476+AC476),IF($AA476&gt;=Lookups!$C$120,($AA476+AB476+AC476),$AA476+$AB476))</f>
        <v>#N/A</v>
      </c>
      <c r="AF476" s="7"/>
      <c r="AG476" s="7"/>
      <c r="AH476" s="7"/>
      <c r="AI476" s="7"/>
      <c r="AJ476" s="7"/>
      <c r="AK476" s="7"/>
      <c r="AL476" s="7"/>
      <c r="AM476" s="7"/>
      <c r="AN476" s="7"/>
      <c r="AO476" s="7"/>
      <c r="AP476" s="7"/>
      <c r="AQ476" s="7"/>
      <c r="AR476" s="7"/>
      <c r="AS476" s="7"/>
      <c r="AT476" s="7"/>
      <c r="AU476" s="7"/>
      <c r="AV476" s="7"/>
      <c r="AW476" s="7"/>
      <c r="AY476" s="7"/>
      <c r="AZ476" s="7"/>
      <c r="BA476" s="7"/>
      <c r="BB476" s="7"/>
    </row>
    <row r="477" spans="2:54" x14ac:dyDescent="0.2">
      <c r="B477" s="174"/>
      <c r="C477" s="176"/>
      <c r="F477" s="5">
        <v>0</v>
      </c>
      <c r="G477" s="192">
        <v>0</v>
      </c>
      <c r="H477" s="192">
        <v>0</v>
      </c>
      <c r="I477" s="5">
        <v>0</v>
      </c>
      <c r="J477" s="192">
        <v>0</v>
      </c>
      <c r="K477" s="192">
        <v>0</v>
      </c>
      <c r="L477" s="5">
        <v>0</v>
      </c>
      <c r="M477" s="5">
        <v>0</v>
      </c>
      <c r="N477" s="4" t="e">
        <f t="shared" si="41"/>
        <v>#N/A</v>
      </c>
      <c r="O477" s="4" t="e">
        <f>IF(ROUND(10.499-(((N477-VLOOKUP($C477,Lookups!$A$55:$D$64,3))/(VLOOKUP($C477,Lookups!$A$55:$D$64,4))*VLOOKUP($C477,Lookups!$C$2:$D$11,2))),0)&lt;1,1,IF(ROUND(10.499-(((N477-VLOOKUP($C477,Lookups!$A$55:$D$64,3))/(VLOOKUP($C477,Lookups!$A$55:$D$64,4))*VLOOKUP($C477,Lookups!$C$2:$D$11,2))),0)&lt;11,ROUND(10.499-(((N477-VLOOKUP($C477,Lookups!$A$55:$D$64,3))/(VLOOKUP($C477,Lookups!$A$55:$D$64,4))*VLOOKUP($C477,Lookups!$C$2:$D$11,2))),0),10))</f>
        <v>#N/A</v>
      </c>
      <c r="P477" s="13" t="str">
        <f>IF((SUM(F477:M477)=0),"J",VLOOKUP(O477,Lookups!$A$1:$B$11,2))</f>
        <v>J</v>
      </c>
      <c r="Q477" s="8" t="e">
        <f>VLOOKUP(C477,Lookups!$A$136:$C$144,3)</f>
        <v>#N/A</v>
      </c>
      <c r="R477" s="8" t="e">
        <f>VLOOKUP(C477,Lookups!$A$136:$C$144,2)</f>
        <v>#N/A</v>
      </c>
      <c r="S477" s="4" t="str">
        <f t="shared" si="42"/>
        <v>No</v>
      </c>
      <c r="T477" s="125">
        <f t="shared" si="43"/>
        <v>0</v>
      </c>
      <c r="U477" s="125">
        <f t="shared" si="44"/>
        <v>0</v>
      </c>
      <c r="V477" s="4" t="e">
        <f>IF($Q477&lt;&gt;3,VLOOKUP(F477,'Points Table A'!B$3:$F$33,5),VLOOKUP(F477,'Points Table A'!H$3:$L$33,5))</f>
        <v>#N/A</v>
      </c>
      <c r="W477" s="4" t="e">
        <f>IF($Q477&lt;&gt;3,VLOOKUP(G477,'Points Table A'!C$3:$F$33,4),VLOOKUP(G477,'Points Table A'!I$3:$L$33,4))</f>
        <v>#N/A</v>
      </c>
      <c r="X477" s="4" t="e">
        <f>IF($Q477&lt;&gt;3,VLOOKUP(H477,'Points Table A'!D$3:$F$28,3),VLOOKUP(H477,'Points Table A'!J$3:$L$33,3))</f>
        <v>#N/A</v>
      </c>
      <c r="Y477" s="4" t="e">
        <f>IF($Q477&lt;&gt;3,VLOOKUP(I477,'Points Table A'!E$3:$F$33,2),VLOOKUP(I477,'Points Table A'!K$3:$L$33,2))</f>
        <v>#N/A</v>
      </c>
      <c r="Z477" s="4" t="e">
        <f t="shared" si="45"/>
        <v>#N/A</v>
      </c>
      <c r="AA477" s="4">
        <f>IF($S477=Lookups!$B$113,VLOOKUP(L477,'Points Table C'!A$3:$E$11,5),VLOOKUP(U477,'Points Table C'!B$3:$E$11,4))</f>
        <v>0</v>
      </c>
      <c r="AB477" s="4" t="e">
        <f>IF($Q477=1,0,VLOOKUP($J477,'Points Table C'!$C$3:$E$18,3))</f>
        <v>#N/A</v>
      </c>
      <c r="AC477" s="4">
        <f>VLOOKUP($K477,'Points Table C'!$D$3:$E$18,2)</f>
        <v>0</v>
      </c>
      <c r="AD477" s="4" t="e">
        <f>IF($Z477&lt;Lookups!$C$106,($AA477+AB477+AC477),IF($AA477&gt;=Lookups!$C$120,($AA477+AB477+AC477),$AA477+$AB477))</f>
        <v>#N/A</v>
      </c>
      <c r="AF477" s="7"/>
      <c r="AG477" s="7"/>
      <c r="AH477" s="7"/>
      <c r="AI477" s="7"/>
      <c r="AJ477" s="7"/>
      <c r="AK477" s="7"/>
      <c r="AL477" s="7"/>
      <c r="AM477" s="7"/>
      <c r="AN477" s="7"/>
      <c r="AO477" s="7"/>
      <c r="AP477" s="7"/>
      <c r="AQ477" s="7"/>
      <c r="AR477" s="7"/>
      <c r="AS477" s="7"/>
      <c r="AT477" s="7"/>
      <c r="AU477" s="7"/>
      <c r="AV477" s="7"/>
      <c r="AW477" s="7"/>
      <c r="AY477" s="7"/>
      <c r="AZ477" s="7"/>
      <c r="BA477" s="7"/>
      <c r="BB477" s="7"/>
    </row>
    <row r="478" spans="2:54" x14ac:dyDescent="0.2">
      <c r="B478" s="174"/>
      <c r="C478" s="176"/>
      <c r="F478" s="5">
        <v>0</v>
      </c>
      <c r="G478" s="192">
        <v>0</v>
      </c>
      <c r="H478" s="192">
        <v>0</v>
      </c>
      <c r="I478" s="5">
        <v>0</v>
      </c>
      <c r="J478" s="192">
        <v>0</v>
      </c>
      <c r="K478" s="192">
        <v>0</v>
      </c>
      <c r="L478" s="5">
        <v>0</v>
      </c>
      <c r="M478" s="5">
        <v>0</v>
      </c>
      <c r="N478" s="4" t="e">
        <f t="shared" si="41"/>
        <v>#N/A</v>
      </c>
      <c r="O478" s="4" t="e">
        <f>IF(ROUND(10.499-(((N478-VLOOKUP($C478,Lookups!$A$55:$D$64,3))/(VLOOKUP($C478,Lookups!$A$55:$D$64,4))*VLOOKUP($C478,Lookups!$C$2:$D$11,2))),0)&lt;1,1,IF(ROUND(10.499-(((N478-VLOOKUP($C478,Lookups!$A$55:$D$64,3))/(VLOOKUP($C478,Lookups!$A$55:$D$64,4))*VLOOKUP($C478,Lookups!$C$2:$D$11,2))),0)&lt;11,ROUND(10.499-(((N478-VLOOKUP($C478,Lookups!$A$55:$D$64,3))/(VLOOKUP($C478,Lookups!$A$55:$D$64,4))*VLOOKUP($C478,Lookups!$C$2:$D$11,2))),0),10))</f>
        <v>#N/A</v>
      </c>
      <c r="P478" s="13" t="str">
        <f>IF((SUM(F478:M478)=0),"J",VLOOKUP(O478,Lookups!$A$1:$B$11,2))</f>
        <v>J</v>
      </c>
      <c r="Q478" s="8" t="e">
        <f>VLOOKUP(C478,Lookups!$A$136:$C$144,3)</f>
        <v>#N/A</v>
      </c>
      <c r="R478" s="8" t="e">
        <f>VLOOKUP(C478,Lookups!$A$136:$C$144,2)</f>
        <v>#N/A</v>
      </c>
      <c r="S478" s="4" t="str">
        <f t="shared" si="42"/>
        <v>No</v>
      </c>
      <c r="T478" s="125">
        <f t="shared" si="43"/>
        <v>0</v>
      </c>
      <c r="U478" s="125">
        <f t="shared" si="44"/>
        <v>0</v>
      </c>
      <c r="V478" s="4" t="e">
        <f>IF($Q478&lt;&gt;3,VLOOKUP(F478,'Points Table A'!B$3:$F$33,5),VLOOKUP(F478,'Points Table A'!H$3:$L$33,5))</f>
        <v>#N/A</v>
      </c>
      <c r="W478" s="4" t="e">
        <f>IF($Q478&lt;&gt;3,VLOOKUP(G478,'Points Table A'!C$3:$F$33,4),VLOOKUP(G478,'Points Table A'!I$3:$L$33,4))</f>
        <v>#N/A</v>
      </c>
      <c r="X478" s="4" t="e">
        <f>IF($Q478&lt;&gt;3,VLOOKUP(H478,'Points Table A'!D$3:$F$28,3),VLOOKUP(H478,'Points Table A'!J$3:$L$33,3))</f>
        <v>#N/A</v>
      </c>
      <c r="Y478" s="4" t="e">
        <f>IF($Q478&lt;&gt;3,VLOOKUP(I478,'Points Table A'!E$3:$F$33,2),VLOOKUP(I478,'Points Table A'!K$3:$L$33,2))</f>
        <v>#N/A</v>
      </c>
      <c r="Z478" s="4" t="e">
        <f t="shared" si="45"/>
        <v>#N/A</v>
      </c>
      <c r="AA478" s="4">
        <f>IF($S478=Lookups!$B$113,VLOOKUP(L478,'Points Table C'!A$3:$E$11,5),VLOOKUP(U478,'Points Table C'!B$3:$E$11,4))</f>
        <v>0</v>
      </c>
      <c r="AB478" s="4" t="e">
        <f>IF($Q478=1,0,VLOOKUP($J478,'Points Table C'!$C$3:$E$18,3))</f>
        <v>#N/A</v>
      </c>
      <c r="AC478" s="4">
        <f>VLOOKUP($K478,'Points Table C'!$D$3:$E$18,2)</f>
        <v>0</v>
      </c>
      <c r="AD478" s="4" t="e">
        <f>IF($Z478&lt;Lookups!$C$106,($AA478+AB478+AC478),IF($AA478&gt;=Lookups!$C$120,($AA478+AB478+AC478),$AA478+$AB478))</f>
        <v>#N/A</v>
      </c>
      <c r="AF478" s="7"/>
      <c r="AG478" s="7"/>
      <c r="AH478" s="7"/>
      <c r="AI478" s="7"/>
      <c r="AJ478" s="7"/>
      <c r="AK478" s="7"/>
      <c r="AL478" s="7"/>
      <c r="AM478" s="7"/>
      <c r="AN478" s="7"/>
      <c r="AO478" s="7"/>
      <c r="AP478" s="7"/>
      <c r="AQ478" s="7"/>
      <c r="AR478" s="7"/>
      <c r="AS478" s="7"/>
      <c r="AT478" s="7"/>
      <c r="AU478" s="7"/>
      <c r="AV478" s="7"/>
      <c r="AW478" s="7"/>
      <c r="AY478" s="7"/>
      <c r="AZ478" s="7"/>
      <c r="BA478" s="7"/>
      <c r="BB478" s="7"/>
    </row>
    <row r="479" spans="2:54" x14ac:dyDescent="0.2">
      <c r="B479" s="174"/>
      <c r="C479" s="176"/>
      <c r="F479" s="5">
        <v>0</v>
      </c>
      <c r="G479" s="192">
        <v>0</v>
      </c>
      <c r="H479" s="192">
        <v>0</v>
      </c>
      <c r="I479" s="5">
        <v>0</v>
      </c>
      <c r="J479" s="192">
        <v>0</v>
      </c>
      <c r="K479" s="192">
        <v>0</v>
      </c>
      <c r="L479" s="5">
        <v>0</v>
      </c>
      <c r="M479" s="5">
        <v>0</v>
      </c>
      <c r="N479" s="4" t="e">
        <f t="shared" si="41"/>
        <v>#N/A</v>
      </c>
      <c r="O479" s="4" t="e">
        <f>IF(ROUND(10.499-(((N479-VLOOKUP($C479,Lookups!$A$55:$D$64,3))/(VLOOKUP($C479,Lookups!$A$55:$D$64,4))*VLOOKUP($C479,Lookups!$C$2:$D$11,2))),0)&lt;1,1,IF(ROUND(10.499-(((N479-VLOOKUP($C479,Lookups!$A$55:$D$64,3))/(VLOOKUP($C479,Lookups!$A$55:$D$64,4))*VLOOKUP($C479,Lookups!$C$2:$D$11,2))),0)&lt;11,ROUND(10.499-(((N479-VLOOKUP($C479,Lookups!$A$55:$D$64,3))/(VLOOKUP($C479,Lookups!$A$55:$D$64,4))*VLOOKUP($C479,Lookups!$C$2:$D$11,2))),0),10))</f>
        <v>#N/A</v>
      </c>
      <c r="P479" s="13" t="str">
        <f>IF((SUM(F479:M479)=0),"J",VLOOKUP(O479,Lookups!$A$1:$B$11,2))</f>
        <v>J</v>
      </c>
      <c r="Q479" s="8" t="e">
        <f>VLOOKUP(C479,Lookups!$A$136:$C$144,3)</f>
        <v>#N/A</v>
      </c>
      <c r="R479" s="8" t="e">
        <f>VLOOKUP(C479,Lookups!$A$136:$C$144,2)</f>
        <v>#N/A</v>
      </c>
      <c r="S479" s="4" t="str">
        <f t="shared" si="42"/>
        <v>No</v>
      </c>
      <c r="T479" s="125">
        <f t="shared" si="43"/>
        <v>0</v>
      </c>
      <c r="U479" s="125">
        <f t="shared" si="44"/>
        <v>0</v>
      </c>
      <c r="V479" s="4" t="e">
        <f>IF($Q479&lt;&gt;3,VLOOKUP(F479,'Points Table A'!B$3:$F$33,5),VLOOKUP(F479,'Points Table A'!H$3:$L$33,5))</f>
        <v>#N/A</v>
      </c>
      <c r="W479" s="4" t="e">
        <f>IF($Q479&lt;&gt;3,VLOOKUP(G479,'Points Table A'!C$3:$F$33,4),VLOOKUP(G479,'Points Table A'!I$3:$L$33,4))</f>
        <v>#N/A</v>
      </c>
      <c r="X479" s="4" t="e">
        <f>IF($Q479&lt;&gt;3,VLOOKUP(H479,'Points Table A'!D$3:$F$28,3),VLOOKUP(H479,'Points Table A'!J$3:$L$33,3))</f>
        <v>#N/A</v>
      </c>
      <c r="Y479" s="4" t="e">
        <f>IF($Q479&lt;&gt;3,VLOOKUP(I479,'Points Table A'!E$3:$F$33,2),VLOOKUP(I479,'Points Table A'!K$3:$L$33,2))</f>
        <v>#N/A</v>
      </c>
      <c r="Z479" s="4" t="e">
        <f t="shared" si="45"/>
        <v>#N/A</v>
      </c>
      <c r="AA479" s="4">
        <f>IF($S479=Lookups!$B$113,VLOOKUP(L479,'Points Table C'!A$3:$E$11,5),VLOOKUP(U479,'Points Table C'!B$3:$E$11,4))</f>
        <v>0</v>
      </c>
      <c r="AB479" s="4" t="e">
        <f>IF($Q479=1,0,VLOOKUP($J479,'Points Table C'!$C$3:$E$18,3))</f>
        <v>#N/A</v>
      </c>
      <c r="AC479" s="4">
        <f>VLOOKUP($K479,'Points Table C'!$D$3:$E$18,2)</f>
        <v>0</v>
      </c>
      <c r="AD479" s="4" t="e">
        <f>IF($Z479&lt;Lookups!$C$106,($AA479+AB479+AC479),IF($AA479&gt;=Lookups!$C$120,($AA479+AB479+AC479),$AA479+$AB479))</f>
        <v>#N/A</v>
      </c>
      <c r="AF479" s="7"/>
      <c r="AG479" s="7"/>
      <c r="AH479" s="7"/>
      <c r="AI479" s="7"/>
      <c r="AJ479" s="7"/>
      <c r="AK479" s="7"/>
      <c r="AL479" s="7"/>
      <c r="AM479" s="7"/>
      <c r="AN479" s="7"/>
      <c r="AO479" s="7"/>
      <c r="AP479" s="7"/>
      <c r="AQ479" s="7"/>
      <c r="AR479" s="7"/>
      <c r="AS479" s="7"/>
      <c r="AT479" s="7"/>
      <c r="AU479" s="7"/>
      <c r="AV479" s="7"/>
      <c r="AW479" s="7"/>
      <c r="AY479" s="7"/>
      <c r="AZ479" s="7"/>
      <c r="BA479" s="7"/>
      <c r="BB479" s="7"/>
    </row>
    <row r="480" spans="2:54" x14ac:dyDescent="0.2">
      <c r="B480" s="174"/>
      <c r="C480" s="176"/>
      <c r="F480" s="5">
        <v>0</v>
      </c>
      <c r="G480" s="192">
        <v>0</v>
      </c>
      <c r="H480" s="192">
        <v>0</v>
      </c>
      <c r="I480" s="5">
        <v>0</v>
      </c>
      <c r="J480" s="192">
        <v>0</v>
      </c>
      <c r="K480" s="192">
        <v>0</v>
      </c>
      <c r="L480" s="5">
        <v>0</v>
      </c>
      <c r="M480" s="5">
        <v>0</v>
      </c>
      <c r="N480" s="4" t="e">
        <f t="shared" si="41"/>
        <v>#N/A</v>
      </c>
      <c r="O480" s="4" t="e">
        <f>IF(ROUND(10.499-(((N480-VLOOKUP($C480,Lookups!$A$55:$D$64,3))/(VLOOKUP($C480,Lookups!$A$55:$D$64,4))*VLOOKUP($C480,Lookups!$C$2:$D$11,2))),0)&lt;1,1,IF(ROUND(10.499-(((N480-VLOOKUP($C480,Lookups!$A$55:$D$64,3))/(VLOOKUP($C480,Lookups!$A$55:$D$64,4))*VLOOKUP($C480,Lookups!$C$2:$D$11,2))),0)&lt;11,ROUND(10.499-(((N480-VLOOKUP($C480,Lookups!$A$55:$D$64,3))/(VLOOKUP($C480,Lookups!$A$55:$D$64,4))*VLOOKUP($C480,Lookups!$C$2:$D$11,2))),0),10))</f>
        <v>#N/A</v>
      </c>
      <c r="P480" s="13" t="str">
        <f>IF((SUM(F480:M480)=0),"J",VLOOKUP(O480,Lookups!$A$1:$B$11,2))</f>
        <v>J</v>
      </c>
      <c r="Q480" s="8" t="e">
        <f>VLOOKUP(C480,Lookups!$A$136:$C$144,3)</f>
        <v>#N/A</v>
      </c>
      <c r="R480" s="8" t="e">
        <f>VLOOKUP(C480,Lookups!$A$136:$C$144,2)</f>
        <v>#N/A</v>
      </c>
      <c r="S480" s="4" t="str">
        <f t="shared" si="42"/>
        <v>No</v>
      </c>
      <c r="T480" s="125">
        <f t="shared" si="43"/>
        <v>0</v>
      </c>
      <c r="U480" s="125">
        <f t="shared" si="44"/>
        <v>0</v>
      </c>
      <c r="V480" s="4" t="e">
        <f>IF($Q480&lt;&gt;3,VLOOKUP(F480,'Points Table A'!B$3:$F$33,5),VLOOKUP(F480,'Points Table A'!H$3:$L$33,5))</f>
        <v>#N/A</v>
      </c>
      <c r="W480" s="4" t="e">
        <f>IF($Q480&lt;&gt;3,VLOOKUP(G480,'Points Table A'!C$3:$F$33,4),VLOOKUP(G480,'Points Table A'!I$3:$L$33,4))</f>
        <v>#N/A</v>
      </c>
      <c r="X480" s="4" t="e">
        <f>IF($Q480&lt;&gt;3,VLOOKUP(H480,'Points Table A'!D$3:$F$28,3),VLOOKUP(H480,'Points Table A'!J$3:$L$33,3))</f>
        <v>#N/A</v>
      </c>
      <c r="Y480" s="4" t="e">
        <f>IF($Q480&lt;&gt;3,VLOOKUP(I480,'Points Table A'!E$3:$F$33,2),VLOOKUP(I480,'Points Table A'!K$3:$L$33,2))</f>
        <v>#N/A</v>
      </c>
      <c r="Z480" s="4" t="e">
        <f t="shared" si="45"/>
        <v>#N/A</v>
      </c>
      <c r="AA480" s="4">
        <f>IF($S480=Lookups!$B$113,VLOOKUP(L480,'Points Table C'!A$3:$E$11,5),VLOOKUP(U480,'Points Table C'!B$3:$E$11,4))</f>
        <v>0</v>
      </c>
      <c r="AB480" s="4" t="e">
        <f>IF($Q480=1,0,VLOOKUP($J480,'Points Table C'!$C$3:$E$18,3))</f>
        <v>#N/A</v>
      </c>
      <c r="AC480" s="4">
        <f>VLOOKUP($K480,'Points Table C'!$D$3:$E$18,2)</f>
        <v>0</v>
      </c>
      <c r="AD480" s="4" t="e">
        <f>IF($Z480&lt;Lookups!$C$106,($AA480+AB480+AC480),IF($AA480&gt;=Lookups!$C$120,($AA480+AB480+AC480),$AA480+$AB480))</f>
        <v>#N/A</v>
      </c>
      <c r="AF480" s="7"/>
      <c r="AG480" s="7"/>
      <c r="AH480" s="7"/>
      <c r="AI480" s="7"/>
      <c r="AJ480" s="7"/>
      <c r="AK480" s="7"/>
      <c r="AL480" s="7"/>
      <c r="AM480" s="7"/>
      <c r="AN480" s="7"/>
      <c r="AO480" s="7"/>
      <c r="AP480" s="7"/>
      <c r="AQ480" s="7"/>
      <c r="AR480" s="7"/>
      <c r="AS480" s="7"/>
      <c r="AT480" s="7"/>
      <c r="AU480" s="7"/>
      <c r="AV480" s="7"/>
      <c r="AW480" s="7"/>
      <c r="AY480" s="7"/>
      <c r="AZ480" s="7"/>
      <c r="BA480" s="7"/>
      <c r="BB480" s="7"/>
    </row>
    <row r="481" spans="2:54" x14ac:dyDescent="0.2">
      <c r="B481" s="174"/>
      <c r="C481" s="176"/>
      <c r="F481" s="5">
        <v>0</v>
      </c>
      <c r="G481" s="192">
        <v>0</v>
      </c>
      <c r="H481" s="192">
        <v>0</v>
      </c>
      <c r="I481" s="5">
        <v>0</v>
      </c>
      <c r="J481" s="192">
        <v>0</v>
      </c>
      <c r="K481" s="192">
        <v>0</v>
      </c>
      <c r="L481" s="5">
        <v>0</v>
      </c>
      <c r="M481" s="5">
        <v>0</v>
      </c>
      <c r="N481" s="4" t="e">
        <f t="shared" si="41"/>
        <v>#N/A</v>
      </c>
      <c r="O481" s="4" t="e">
        <f>IF(ROUND(10.499-(((N481-VLOOKUP($C481,Lookups!$A$55:$D$64,3))/(VLOOKUP($C481,Lookups!$A$55:$D$64,4))*VLOOKUP($C481,Lookups!$C$2:$D$11,2))),0)&lt;1,1,IF(ROUND(10.499-(((N481-VLOOKUP($C481,Lookups!$A$55:$D$64,3))/(VLOOKUP($C481,Lookups!$A$55:$D$64,4))*VLOOKUP($C481,Lookups!$C$2:$D$11,2))),0)&lt;11,ROUND(10.499-(((N481-VLOOKUP($C481,Lookups!$A$55:$D$64,3))/(VLOOKUP($C481,Lookups!$A$55:$D$64,4))*VLOOKUP($C481,Lookups!$C$2:$D$11,2))),0),10))</f>
        <v>#N/A</v>
      </c>
      <c r="P481" s="13" t="str">
        <f>IF((SUM(F481:M481)=0),"J",VLOOKUP(O481,Lookups!$A$1:$B$11,2))</f>
        <v>J</v>
      </c>
      <c r="Q481" s="8" t="e">
        <f>VLOOKUP(C481,Lookups!$A$136:$C$144,3)</f>
        <v>#N/A</v>
      </c>
      <c r="R481" s="8" t="e">
        <f>VLOOKUP(C481,Lookups!$A$136:$C$144,2)</f>
        <v>#N/A</v>
      </c>
      <c r="S481" s="4" t="str">
        <f t="shared" si="42"/>
        <v>No</v>
      </c>
      <c r="T481" s="125">
        <f t="shared" si="43"/>
        <v>0</v>
      </c>
      <c r="U481" s="125">
        <f t="shared" si="44"/>
        <v>0</v>
      </c>
      <c r="V481" s="4" t="e">
        <f>IF($Q481&lt;&gt;3,VLOOKUP(F481,'Points Table A'!B$3:$F$33,5),VLOOKUP(F481,'Points Table A'!H$3:$L$33,5))</f>
        <v>#N/A</v>
      </c>
      <c r="W481" s="4" t="e">
        <f>IF($Q481&lt;&gt;3,VLOOKUP(G481,'Points Table A'!C$3:$F$33,4),VLOOKUP(G481,'Points Table A'!I$3:$L$33,4))</f>
        <v>#N/A</v>
      </c>
      <c r="X481" s="4" t="e">
        <f>IF($Q481&lt;&gt;3,VLOOKUP(H481,'Points Table A'!D$3:$F$28,3),VLOOKUP(H481,'Points Table A'!J$3:$L$33,3))</f>
        <v>#N/A</v>
      </c>
      <c r="Y481" s="4" t="e">
        <f>IF($Q481&lt;&gt;3,VLOOKUP(I481,'Points Table A'!E$3:$F$33,2),VLOOKUP(I481,'Points Table A'!K$3:$L$33,2))</f>
        <v>#N/A</v>
      </c>
      <c r="Z481" s="4" t="e">
        <f t="shared" si="45"/>
        <v>#N/A</v>
      </c>
      <c r="AA481" s="4">
        <f>IF($S481=Lookups!$B$113,VLOOKUP(L481,'Points Table C'!A$3:$E$11,5),VLOOKUP(U481,'Points Table C'!B$3:$E$11,4))</f>
        <v>0</v>
      </c>
      <c r="AB481" s="4" t="e">
        <f>IF($Q481=1,0,VLOOKUP($J481,'Points Table C'!$C$3:$E$18,3))</f>
        <v>#N/A</v>
      </c>
      <c r="AC481" s="4">
        <f>VLOOKUP($K481,'Points Table C'!$D$3:$E$18,2)</f>
        <v>0</v>
      </c>
      <c r="AD481" s="4" t="e">
        <f>IF($Z481&lt;Lookups!$C$106,($AA481+AB481+AC481),IF($AA481&gt;=Lookups!$C$120,($AA481+AB481+AC481),$AA481+$AB481))</f>
        <v>#N/A</v>
      </c>
      <c r="AF481" s="7"/>
      <c r="AG481" s="7"/>
      <c r="AH481" s="7"/>
      <c r="AI481" s="7"/>
      <c r="AJ481" s="7"/>
      <c r="AK481" s="7"/>
      <c r="AL481" s="7"/>
      <c r="AM481" s="7"/>
      <c r="AN481" s="7"/>
      <c r="AO481" s="7"/>
      <c r="AP481" s="7"/>
      <c r="AQ481" s="7"/>
      <c r="AR481" s="7"/>
      <c r="AS481" s="7"/>
      <c r="AT481" s="7"/>
      <c r="AU481" s="7"/>
      <c r="AV481" s="7"/>
      <c r="AW481" s="7"/>
      <c r="AY481" s="7"/>
      <c r="AZ481" s="7"/>
      <c r="BA481" s="7"/>
      <c r="BB481" s="7"/>
    </row>
    <row r="482" spans="2:54" x14ac:dyDescent="0.2">
      <c r="B482" s="174"/>
      <c r="C482" s="176"/>
      <c r="F482" s="5">
        <v>0</v>
      </c>
      <c r="G482" s="192">
        <v>0</v>
      </c>
      <c r="H482" s="192">
        <v>0</v>
      </c>
      <c r="I482" s="5">
        <v>0</v>
      </c>
      <c r="J482" s="192">
        <v>0</v>
      </c>
      <c r="K482" s="192">
        <v>0</v>
      </c>
      <c r="L482" s="5">
        <v>0</v>
      </c>
      <c r="M482" s="5">
        <v>0</v>
      </c>
      <c r="N482" s="4" t="e">
        <f t="shared" si="41"/>
        <v>#N/A</v>
      </c>
      <c r="O482" s="4" t="e">
        <f>IF(ROUND(10.499-(((N482-VLOOKUP($C482,Lookups!$A$55:$D$64,3))/(VLOOKUP($C482,Lookups!$A$55:$D$64,4))*VLOOKUP($C482,Lookups!$C$2:$D$11,2))),0)&lt;1,1,IF(ROUND(10.499-(((N482-VLOOKUP($C482,Lookups!$A$55:$D$64,3))/(VLOOKUP($C482,Lookups!$A$55:$D$64,4))*VLOOKUP($C482,Lookups!$C$2:$D$11,2))),0)&lt;11,ROUND(10.499-(((N482-VLOOKUP($C482,Lookups!$A$55:$D$64,3))/(VLOOKUP($C482,Lookups!$A$55:$D$64,4))*VLOOKUP($C482,Lookups!$C$2:$D$11,2))),0),10))</f>
        <v>#N/A</v>
      </c>
      <c r="P482" s="13" t="str">
        <f>IF((SUM(F482:M482)=0),"J",VLOOKUP(O482,Lookups!$A$1:$B$11,2))</f>
        <v>J</v>
      </c>
      <c r="Q482" s="8" t="e">
        <f>VLOOKUP(C482,Lookups!$A$136:$C$144,3)</f>
        <v>#N/A</v>
      </c>
      <c r="R482" s="8" t="e">
        <f>VLOOKUP(C482,Lookups!$A$136:$C$144,2)</f>
        <v>#N/A</v>
      </c>
      <c r="S482" s="4" t="str">
        <f t="shared" si="42"/>
        <v>No</v>
      </c>
      <c r="T482" s="125">
        <f t="shared" si="43"/>
        <v>0</v>
      </c>
      <c r="U482" s="125">
        <f t="shared" si="44"/>
        <v>0</v>
      </c>
      <c r="V482" s="4" t="e">
        <f>IF($Q482&lt;&gt;3,VLOOKUP(F482,'Points Table A'!B$3:$F$33,5),VLOOKUP(F482,'Points Table A'!H$3:$L$33,5))</f>
        <v>#N/A</v>
      </c>
      <c r="W482" s="4" t="e">
        <f>IF($Q482&lt;&gt;3,VLOOKUP(G482,'Points Table A'!C$3:$F$33,4),VLOOKUP(G482,'Points Table A'!I$3:$L$33,4))</f>
        <v>#N/A</v>
      </c>
      <c r="X482" s="4" t="e">
        <f>IF($Q482&lt;&gt;3,VLOOKUP(H482,'Points Table A'!D$3:$F$28,3),VLOOKUP(H482,'Points Table A'!J$3:$L$33,3))</f>
        <v>#N/A</v>
      </c>
      <c r="Y482" s="4" t="e">
        <f>IF($Q482&lt;&gt;3,VLOOKUP(I482,'Points Table A'!E$3:$F$33,2),VLOOKUP(I482,'Points Table A'!K$3:$L$33,2))</f>
        <v>#N/A</v>
      </c>
      <c r="Z482" s="4" t="e">
        <f t="shared" si="45"/>
        <v>#N/A</v>
      </c>
      <c r="AA482" s="4">
        <f>IF($S482=Lookups!$B$113,VLOOKUP(L482,'Points Table C'!A$3:$E$11,5),VLOOKUP(U482,'Points Table C'!B$3:$E$11,4))</f>
        <v>0</v>
      </c>
      <c r="AB482" s="4" t="e">
        <f>IF($Q482=1,0,VLOOKUP($J482,'Points Table C'!$C$3:$E$18,3))</f>
        <v>#N/A</v>
      </c>
      <c r="AC482" s="4">
        <f>VLOOKUP($K482,'Points Table C'!$D$3:$E$18,2)</f>
        <v>0</v>
      </c>
      <c r="AD482" s="4" t="e">
        <f>IF($Z482&lt;Lookups!$C$106,($AA482+AB482+AC482),IF($AA482&gt;=Lookups!$C$120,($AA482+AB482+AC482),$AA482+$AB482))</f>
        <v>#N/A</v>
      </c>
      <c r="AF482" s="7"/>
      <c r="AG482" s="7"/>
      <c r="AH482" s="7"/>
      <c r="AI482" s="7"/>
      <c r="AJ482" s="7"/>
      <c r="AK482" s="7"/>
      <c r="AL482" s="7"/>
      <c r="AM482" s="7"/>
      <c r="AN482" s="7"/>
      <c r="AO482" s="7"/>
      <c r="AP482" s="7"/>
      <c r="AQ482" s="7"/>
      <c r="AR482" s="7"/>
      <c r="AS482" s="7"/>
      <c r="AT482" s="7"/>
      <c r="AU482" s="7"/>
      <c r="AV482" s="7"/>
      <c r="AW482" s="7"/>
      <c r="AY482" s="7"/>
      <c r="AZ482" s="7"/>
      <c r="BA482" s="7"/>
      <c r="BB482" s="7"/>
    </row>
    <row r="483" spans="2:54" x14ac:dyDescent="0.2">
      <c r="B483" s="174"/>
      <c r="C483" s="176"/>
      <c r="F483" s="5">
        <v>0</v>
      </c>
      <c r="G483" s="192">
        <v>0</v>
      </c>
      <c r="H483" s="192">
        <v>0</v>
      </c>
      <c r="I483" s="5">
        <v>0</v>
      </c>
      <c r="J483" s="192">
        <v>0</v>
      </c>
      <c r="K483" s="192">
        <v>0</v>
      </c>
      <c r="L483" s="5">
        <v>0</v>
      </c>
      <c r="M483" s="5">
        <v>0</v>
      </c>
      <c r="N483" s="4" t="e">
        <f t="shared" si="41"/>
        <v>#N/A</v>
      </c>
      <c r="O483" s="4" t="e">
        <f>IF(ROUND(10.499-(((N483-VLOOKUP($C483,Lookups!$A$55:$D$64,3))/(VLOOKUP($C483,Lookups!$A$55:$D$64,4))*VLOOKUP($C483,Lookups!$C$2:$D$11,2))),0)&lt;1,1,IF(ROUND(10.499-(((N483-VLOOKUP($C483,Lookups!$A$55:$D$64,3))/(VLOOKUP($C483,Lookups!$A$55:$D$64,4))*VLOOKUP($C483,Lookups!$C$2:$D$11,2))),0)&lt;11,ROUND(10.499-(((N483-VLOOKUP($C483,Lookups!$A$55:$D$64,3))/(VLOOKUP($C483,Lookups!$A$55:$D$64,4))*VLOOKUP($C483,Lookups!$C$2:$D$11,2))),0),10))</f>
        <v>#N/A</v>
      </c>
      <c r="P483" s="13" t="str">
        <f>IF((SUM(F483:M483)=0),"J",VLOOKUP(O483,Lookups!$A$1:$B$11,2))</f>
        <v>J</v>
      </c>
      <c r="Q483" s="8" t="e">
        <f>VLOOKUP(C483,Lookups!$A$136:$C$144,3)</f>
        <v>#N/A</v>
      </c>
      <c r="R483" s="8" t="e">
        <f>VLOOKUP(C483,Lookups!$A$136:$C$144,2)</f>
        <v>#N/A</v>
      </c>
      <c r="S483" s="4" t="str">
        <f t="shared" si="42"/>
        <v>No</v>
      </c>
      <c r="T483" s="125">
        <f t="shared" si="43"/>
        <v>0</v>
      </c>
      <c r="U483" s="125">
        <f t="shared" si="44"/>
        <v>0</v>
      </c>
      <c r="V483" s="4" t="e">
        <f>IF($Q483&lt;&gt;3,VLOOKUP(F483,'Points Table A'!B$3:$F$33,5),VLOOKUP(F483,'Points Table A'!H$3:$L$33,5))</f>
        <v>#N/A</v>
      </c>
      <c r="W483" s="4" t="e">
        <f>IF($Q483&lt;&gt;3,VLOOKUP(G483,'Points Table A'!C$3:$F$33,4),VLOOKUP(G483,'Points Table A'!I$3:$L$33,4))</f>
        <v>#N/A</v>
      </c>
      <c r="X483" s="4" t="e">
        <f>IF($Q483&lt;&gt;3,VLOOKUP(H483,'Points Table A'!D$3:$F$28,3),VLOOKUP(H483,'Points Table A'!J$3:$L$33,3))</f>
        <v>#N/A</v>
      </c>
      <c r="Y483" s="4" t="e">
        <f>IF($Q483&lt;&gt;3,VLOOKUP(I483,'Points Table A'!E$3:$F$33,2),VLOOKUP(I483,'Points Table A'!K$3:$L$33,2))</f>
        <v>#N/A</v>
      </c>
      <c r="Z483" s="4" t="e">
        <f t="shared" si="45"/>
        <v>#N/A</v>
      </c>
      <c r="AA483" s="4">
        <f>IF($S483=Lookups!$B$113,VLOOKUP(L483,'Points Table C'!A$3:$E$11,5),VLOOKUP(U483,'Points Table C'!B$3:$E$11,4))</f>
        <v>0</v>
      </c>
      <c r="AB483" s="4" t="e">
        <f>IF($Q483=1,0,VLOOKUP($J483,'Points Table C'!$C$3:$E$18,3))</f>
        <v>#N/A</v>
      </c>
      <c r="AC483" s="4">
        <f>VLOOKUP($K483,'Points Table C'!$D$3:$E$18,2)</f>
        <v>0</v>
      </c>
      <c r="AD483" s="4" t="e">
        <f>IF($Z483&lt;Lookups!$C$106,($AA483+AB483+AC483),IF($AA483&gt;=Lookups!$C$120,($AA483+AB483+AC483),$AA483+$AB483))</f>
        <v>#N/A</v>
      </c>
      <c r="AF483" s="7"/>
      <c r="AG483" s="7"/>
      <c r="AH483" s="7"/>
      <c r="AI483" s="7"/>
      <c r="AJ483" s="7"/>
      <c r="AK483" s="7"/>
      <c r="AL483" s="7"/>
      <c r="AM483" s="7"/>
      <c r="AN483" s="7"/>
      <c r="AO483" s="7"/>
      <c r="AP483" s="7"/>
      <c r="AQ483" s="7"/>
      <c r="AR483" s="7"/>
      <c r="AS483" s="7"/>
      <c r="AT483" s="7"/>
      <c r="AU483" s="7"/>
      <c r="AV483" s="7"/>
      <c r="AW483" s="7"/>
      <c r="AY483" s="7"/>
      <c r="AZ483" s="7"/>
      <c r="BA483" s="7"/>
      <c r="BB483" s="7"/>
    </row>
    <row r="484" spans="2:54" x14ac:dyDescent="0.2">
      <c r="B484" s="174"/>
      <c r="C484" s="176"/>
      <c r="F484" s="5">
        <v>0</v>
      </c>
      <c r="G484" s="192">
        <v>0</v>
      </c>
      <c r="H484" s="192">
        <v>0</v>
      </c>
      <c r="I484" s="5">
        <v>0</v>
      </c>
      <c r="J484" s="192">
        <v>0</v>
      </c>
      <c r="K484" s="192">
        <v>0</v>
      </c>
      <c r="L484" s="5">
        <v>0</v>
      </c>
      <c r="M484" s="5">
        <v>0</v>
      </c>
      <c r="N484" s="4" t="e">
        <f t="shared" si="41"/>
        <v>#N/A</v>
      </c>
      <c r="O484" s="4" t="e">
        <f>IF(ROUND(10.499-(((N484-VLOOKUP($C484,Lookups!$A$55:$D$64,3))/(VLOOKUP($C484,Lookups!$A$55:$D$64,4))*VLOOKUP($C484,Lookups!$C$2:$D$11,2))),0)&lt;1,1,IF(ROUND(10.499-(((N484-VLOOKUP($C484,Lookups!$A$55:$D$64,3))/(VLOOKUP($C484,Lookups!$A$55:$D$64,4))*VLOOKUP($C484,Lookups!$C$2:$D$11,2))),0)&lt;11,ROUND(10.499-(((N484-VLOOKUP($C484,Lookups!$A$55:$D$64,3))/(VLOOKUP($C484,Lookups!$A$55:$D$64,4))*VLOOKUP($C484,Lookups!$C$2:$D$11,2))),0),10))</f>
        <v>#N/A</v>
      </c>
      <c r="P484" s="13" t="str">
        <f>IF((SUM(F484:M484)=0),"J",VLOOKUP(O484,Lookups!$A$1:$B$11,2))</f>
        <v>J</v>
      </c>
      <c r="Q484" s="8" t="e">
        <f>VLOOKUP(C484,Lookups!$A$136:$C$144,3)</f>
        <v>#N/A</v>
      </c>
      <c r="R484" s="8" t="e">
        <f>VLOOKUP(C484,Lookups!$A$136:$C$144,2)</f>
        <v>#N/A</v>
      </c>
      <c r="S484" s="4" t="str">
        <f t="shared" si="42"/>
        <v>No</v>
      </c>
      <c r="T484" s="125">
        <f t="shared" si="43"/>
        <v>0</v>
      </c>
      <c r="U484" s="125">
        <f t="shared" si="44"/>
        <v>0</v>
      </c>
      <c r="V484" s="4" t="e">
        <f>IF($Q484&lt;&gt;3,VLOOKUP(F484,'Points Table A'!B$3:$F$33,5),VLOOKUP(F484,'Points Table A'!H$3:$L$33,5))</f>
        <v>#N/A</v>
      </c>
      <c r="W484" s="4" t="e">
        <f>IF($Q484&lt;&gt;3,VLOOKUP(G484,'Points Table A'!C$3:$F$33,4),VLOOKUP(G484,'Points Table A'!I$3:$L$33,4))</f>
        <v>#N/A</v>
      </c>
      <c r="X484" s="4" t="e">
        <f>IF($Q484&lt;&gt;3,VLOOKUP(H484,'Points Table A'!D$3:$F$28,3),VLOOKUP(H484,'Points Table A'!J$3:$L$33,3))</f>
        <v>#N/A</v>
      </c>
      <c r="Y484" s="4" t="e">
        <f>IF($Q484&lt;&gt;3,VLOOKUP(I484,'Points Table A'!E$3:$F$33,2),VLOOKUP(I484,'Points Table A'!K$3:$L$33,2))</f>
        <v>#N/A</v>
      </c>
      <c r="Z484" s="4" t="e">
        <f t="shared" si="45"/>
        <v>#N/A</v>
      </c>
      <c r="AA484" s="4">
        <f>IF($S484=Lookups!$B$113,VLOOKUP(L484,'Points Table C'!A$3:$E$11,5),VLOOKUP(U484,'Points Table C'!B$3:$E$11,4))</f>
        <v>0</v>
      </c>
      <c r="AB484" s="4" t="e">
        <f>IF($Q484=1,0,VLOOKUP($J484,'Points Table C'!$C$3:$E$18,3))</f>
        <v>#N/A</v>
      </c>
      <c r="AC484" s="4">
        <f>VLOOKUP($K484,'Points Table C'!$D$3:$E$18,2)</f>
        <v>0</v>
      </c>
      <c r="AD484" s="4" t="e">
        <f>IF($Z484&lt;Lookups!$C$106,($AA484+AB484+AC484),IF($AA484&gt;=Lookups!$C$120,($AA484+AB484+AC484),$AA484+$AB484))</f>
        <v>#N/A</v>
      </c>
      <c r="AF484" s="7"/>
      <c r="AG484" s="7"/>
      <c r="AH484" s="7"/>
      <c r="AI484" s="7"/>
      <c r="AJ484" s="7"/>
      <c r="AK484" s="7"/>
      <c r="AL484" s="7"/>
      <c r="AM484" s="7"/>
      <c r="AN484" s="7"/>
      <c r="AO484" s="7"/>
      <c r="AP484" s="7"/>
      <c r="AQ484" s="7"/>
      <c r="AR484" s="7"/>
      <c r="AS484" s="7"/>
      <c r="AT484" s="7"/>
      <c r="AU484" s="7"/>
      <c r="AV484" s="7"/>
      <c r="AW484" s="7"/>
      <c r="AY484" s="7"/>
      <c r="AZ484" s="7"/>
      <c r="BA484" s="7"/>
      <c r="BB484" s="7"/>
    </row>
    <row r="485" spans="2:54" x14ac:dyDescent="0.2">
      <c r="B485" s="174"/>
      <c r="C485" s="176"/>
      <c r="F485" s="5">
        <v>0</v>
      </c>
      <c r="G485" s="192">
        <v>0</v>
      </c>
      <c r="H485" s="192">
        <v>0</v>
      </c>
      <c r="I485" s="5">
        <v>0</v>
      </c>
      <c r="J485" s="192">
        <v>0</v>
      </c>
      <c r="K485" s="192">
        <v>0</v>
      </c>
      <c r="L485" s="5">
        <v>0</v>
      </c>
      <c r="M485" s="5">
        <v>0</v>
      </c>
      <c r="N485" s="4" t="e">
        <f t="shared" si="41"/>
        <v>#N/A</v>
      </c>
      <c r="O485" s="4" t="e">
        <f>IF(ROUND(10.499-(((N485-VLOOKUP($C485,Lookups!$A$55:$D$64,3))/(VLOOKUP($C485,Lookups!$A$55:$D$64,4))*VLOOKUP($C485,Lookups!$C$2:$D$11,2))),0)&lt;1,1,IF(ROUND(10.499-(((N485-VLOOKUP($C485,Lookups!$A$55:$D$64,3))/(VLOOKUP($C485,Lookups!$A$55:$D$64,4))*VLOOKUP($C485,Lookups!$C$2:$D$11,2))),0)&lt;11,ROUND(10.499-(((N485-VLOOKUP($C485,Lookups!$A$55:$D$64,3))/(VLOOKUP($C485,Lookups!$A$55:$D$64,4))*VLOOKUP($C485,Lookups!$C$2:$D$11,2))),0),10))</f>
        <v>#N/A</v>
      </c>
      <c r="P485" s="13" t="str">
        <f>IF((SUM(F485:M485)=0),"J",VLOOKUP(O485,Lookups!$A$1:$B$11,2))</f>
        <v>J</v>
      </c>
      <c r="Q485" s="8" t="e">
        <f>VLOOKUP(C485,Lookups!$A$136:$C$144,3)</f>
        <v>#N/A</v>
      </c>
      <c r="R485" s="8" t="e">
        <f>VLOOKUP(C485,Lookups!$A$136:$C$144,2)</f>
        <v>#N/A</v>
      </c>
      <c r="S485" s="4" t="str">
        <f t="shared" si="42"/>
        <v>No</v>
      </c>
      <c r="T485" s="125">
        <f t="shared" si="43"/>
        <v>0</v>
      </c>
      <c r="U485" s="125">
        <f t="shared" si="44"/>
        <v>0</v>
      </c>
      <c r="V485" s="4" t="e">
        <f>IF($Q485&lt;&gt;3,VLOOKUP(F485,'Points Table A'!B$3:$F$33,5),VLOOKUP(F485,'Points Table A'!H$3:$L$33,5))</f>
        <v>#N/A</v>
      </c>
      <c r="W485" s="4" t="e">
        <f>IF($Q485&lt;&gt;3,VLOOKUP(G485,'Points Table A'!C$3:$F$33,4),VLOOKUP(G485,'Points Table A'!I$3:$L$33,4))</f>
        <v>#N/A</v>
      </c>
      <c r="X485" s="4" t="e">
        <f>IF($Q485&lt;&gt;3,VLOOKUP(H485,'Points Table A'!D$3:$F$28,3),VLOOKUP(H485,'Points Table A'!J$3:$L$33,3))</f>
        <v>#N/A</v>
      </c>
      <c r="Y485" s="4" t="e">
        <f>IF($Q485&lt;&gt;3,VLOOKUP(I485,'Points Table A'!E$3:$F$33,2),VLOOKUP(I485,'Points Table A'!K$3:$L$33,2))</f>
        <v>#N/A</v>
      </c>
      <c r="Z485" s="4" t="e">
        <f t="shared" si="45"/>
        <v>#N/A</v>
      </c>
      <c r="AA485" s="4">
        <f>IF($S485=Lookups!$B$113,VLOOKUP(L485,'Points Table C'!A$3:$E$11,5),VLOOKUP(U485,'Points Table C'!B$3:$E$11,4))</f>
        <v>0</v>
      </c>
      <c r="AB485" s="4" t="e">
        <f>IF($Q485=1,0,VLOOKUP($J485,'Points Table C'!$C$3:$E$18,3))</f>
        <v>#N/A</v>
      </c>
      <c r="AC485" s="4">
        <f>VLOOKUP($K485,'Points Table C'!$D$3:$E$18,2)</f>
        <v>0</v>
      </c>
      <c r="AD485" s="4" t="e">
        <f>IF($Z485&lt;Lookups!$C$106,($AA485+AB485+AC485),IF($AA485&gt;=Lookups!$C$120,($AA485+AB485+AC485),$AA485+$AB485))</f>
        <v>#N/A</v>
      </c>
      <c r="AF485" s="7"/>
      <c r="AG485" s="7"/>
      <c r="AH485" s="7"/>
      <c r="AI485" s="7"/>
      <c r="AJ485" s="7"/>
      <c r="AK485" s="7"/>
      <c r="AL485" s="7"/>
      <c r="AM485" s="7"/>
      <c r="AN485" s="7"/>
      <c r="AO485" s="7"/>
      <c r="AP485" s="7"/>
      <c r="AQ485" s="7"/>
      <c r="AR485" s="7"/>
      <c r="AS485" s="7"/>
      <c r="AT485" s="7"/>
      <c r="AU485" s="7"/>
      <c r="AV485" s="7"/>
      <c r="AW485" s="7"/>
      <c r="AY485" s="7"/>
      <c r="AZ485" s="7"/>
      <c r="BA485" s="7"/>
      <c r="BB485" s="7"/>
    </row>
    <row r="486" spans="2:54" x14ac:dyDescent="0.2">
      <c r="B486" s="174"/>
      <c r="C486" s="176"/>
      <c r="F486" s="5">
        <v>0</v>
      </c>
      <c r="G486" s="192">
        <v>0</v>
      </c>
      <c r="H486" s="192">
        <v>0</v>
      </c>
      <c r="I486" s="5">
        <v>0</v>
      </c>
      <c r="J486" s="192">
        <v>0</v>
      </c>
      <c r="K486" s="192">
        <v>0</v>
      </c>
      <c r="L486" s="5">
        <v>0</v>
      </c>
      <c r="M486" s="5">
        <v>0</v>
      </c>
      <c r="N486" s="4" t="e">
        <f t="shared" si="41"/>
        <v>#N/A</v>
      </c>
      <c r="O486" s="4" t="e">
        <f>IF(ROUND(10.499-(((N486-VLOOKUP($C486,Lookups!$A$55:$D$64,3))/(VLOOKUP($C486,Lookups!$A$55:$D$64,4))*VLOOKUP($C486,Lookups!$C$2:$D$11,2))),0)&lt;1,1,IF(ROUND(10.499-(((N486-VLOOKUP($C486,Lookups!$A$55:$D$64,3))/(VLOOKUP($C486,Lookups!$A$55:$D$64,4))*VLOOKUP($C486,Lookups!$C$2:$D$11,2))),0)&lt;11,ROUND(10.499-(((N486-VLOOKUP($C486,Lookups!$A$55:$D$64,3))/(VLOOKUP($C486,Lookups!$A$55:$D$64,4))*VLOOKUP($C486,Lookups!$C$2:$D$11,2))),0),10))</f>
        <v>#N/A</v>
      </c>
      <c r="P486" s="13" t="str">
        <f>IF((SUM(F486:M486)=0),"J",VLOOKUP(O486,Lookups!$A$1:$B$11,2))</f>
        <v>J</v>
      </c>
      <c r="Q486" s="8" t="e">
        <f>VLOOKUP(C486,Lookups!$A$136:$C$144,3)</f>
        <v>#N/A</v>
      </c>
      <c r="R486" s="8" t="e">
        <f>VLOOKUP(C486,Lookups!$A$136:$C$144,2)</f>
        <v>#N/A</v>
      </c>
      <c r="S486" s="4" t="str">
        <f t="shared" si="42"/>
        <v>No</v>
      </c>
      <c r="T486" s="125">
        <f t="shared" si="43"/>
        <v>0</v>
      </c>
      <c r="U486" s="125">
        <f t="shared" si="44"/>
        <v>0</v>
      </c>
      <c r="V486" s="4" t="e">
        <f>IF($Q486&lt;&gt;3,VLOOKUP(F486,'Points Table A'!B$3:$F$33,5),VLOOKUP(F486,'Points Table A'!H$3:$L$33,5))</f>
        <v>#N/A</v>
      </c>
      <c r="W486" s="4" t="e">
        <f>IF($Q486&lt;&gt;3,VLOOKUP(G486,'Points Table A'!C$3:$F$33,4),VLOOKUP(G486,'Points Table A'!I$3:$L$33,4))</f>
        <v>#N/A</v>
      </c>
      <c r="X486" s="4" t="e">
        <f>IF($Q486&lt;&gt;3,VLOOKUP(H486,'Points Table A'!D$3:$F$28,3),VLOOKUP(H486,'Points Table A'!J$3:$L$33,3))</f>
        <v>#N/A</v>
      </c>
      <c r="Y486" s="4" t="e">
        <f>IF($Q486&lt;&gt;3,VLOOKUP(I486,'Points Table A'!E$3:$F$33,2),VLOOKUP(I486,'Points Table A'!K$3:$L$33,2))</f>
        <v>#N/A</v>
      </c>
      <c r="Z486" s="4" t="e">
        <f t="shared" si="45"/>
        <v>#N/A</v>
      </c>
      <c r="AA486" s="4">
        <f>IF($S486=Lookups!$B$113,VLOOKUP(L486,'Points Table C'!A$3:$E$11,5),VLOOKUP(U486,'Points Table C'!B$3:$E$11,4))</f>
        <v>0</v>
      </c>
      <c r="AB486" s="4" t="e">
        <f>IF($Q486=1,0,VLOOKUP($J486,'Points Table C'!$C$3:$E$18,3))</f>
        <v>#N/A</v>
      </c>
      <c r="AC486" s="4">
        <f>VLOOKUP($K486,'Points Table C'!$D$3:$E$18,2)</f>
        <v>0</v>
      </c>
      <c r="AD486" s="4" t="e">
        <f>IF($Z486&lt;Lookups!$C$106,($AA486+AB486+AC486),IF($AA486&gt;=Lookups!$C$120,($AA486+AB486+AC486),$AA486+$AB486))</f>
        <v>#N/A</v>
      </c>
      <c r="AF486" s="7"/>
      <c r="AG486" s="7"/>
      <c r="AH486" s="7"/>
      <c r="AI486" s="7"/>
      <c r="AJ486" s="7"/>
      <c r="AK486" s="7"/>
      <c r="AL486" s="7"/>
      <c r="AM486" s="7"/>
      <c r="AN486" s="7"/>
      <c r="AO486" s="7"/>
      <c r="AP486" s="7"/>
      <c r="AQ486" s="7"/>
      <c r="AR486" s="7"/>
      <c r="AS486" s="7"/>
      <c r="AT486" s="7"/>
      <c r="AU486" s="7"/>
      <c r="AV486" s="7"/>
      <c r="AW486" s="7"/>
      <c r="AY486" s="7"/>
      <c r="AZ486" s="7"/>
      <c r="BA486" s="7"/>
      <c r="BB486" s="7"/>
    </row>
    <row r="487" spans="2:54" x14ac:dyDescent="0.2">
      <c r="B487" s="174"/>
      <c r="C487" s="176"/>
      <c r="F487" s="5">
        <v>0</v>
      </c>
      <c r="G487" s="192">
        <v>0</v>
      </c>
      <c r="H487" s="192">
        <v>0</v>
      </c>
      <c r="I487" s="5">
        <v>0</v>
      </c>
      <c r="J487" s="192">
        <v>0</v>
      </c>
      <c r="K487" s="192">
        <v>0</v>
      </c>
      <c r="L487" s="5">
        <v>0</v>
      </c>
      <c r="M487" s="5">
        <v>0</v>
      </c>
      <c r="N487" s="4" t="e">
        <f t="shared" si="41"/>
        <v>#N/A</v>
      </c>
      <c r="O487" s="4" t="e">
        <f>IF(ROUND(10.499-(((N487-VLOOKUP($C487,Lookups!$A$55:$D$64,3))/(VLOOKUP($C487,Lookups!$A$55:$D$64,4))*VLOOKUP($C487,Lookups!$C$2:$D$11,2))),0)&lt;1,1,IF(ROUND(10.499-(((N487-VLOOKUP($C487,Lookups!$A$55:$D$64,3))/(VLOOKUP($C487,Lookups!$A$55:$D$64,4))*VLOOKUP($C487,Lookups!$C$2:$D$11,2))),0)&lt;11,ROUND(10.499-(((N487-VLOOKUP($C487,Lookups!$A$55:$D$64,3))/(VLOOKUP($C487,Lookups!$A$55:$D$64,4))*VLOOKUP($C487,Lookups!$C$2:$D$11,2))),0),10))</f>
        <v>#N/A</v>
      </c>
      <c r="P487" s="13" t="str">
        <f>IF((SUM(F487:M487)=0),"J",VLOOKUP(O487,Lookups!$A$1:$B$11,2))</f>
        <v>J</v>
      </c>
      <c r="Q487" s="8" t="e">
        <f>VLOOKUP(C487,Lookups!$A$136:$C$144,3)</f>
        <v>#N/A</v>
      </c>
      <c r="R487" s="8" t="e">
        <f>VLOOKUP(C487,Lookups!$A$136:$C$144,2)</f>
        <v>#N/A</v>
      </c>
      <c r="S487" s="4" t="str">
        <f t="shared" si="42"/>
        <v>No</v>
      </c>
      <c r="T487" s="125">
        <f t="shared" si="43"/>
        <v>0</v>
      </c>
      <c r="U487" s="125">
        <f t="shared" si="44"/>
        <v>0</v>
      </c>
      <c r="V487" s="4" t="e">
        <f>IF($Q487&lt;&gt;3,VLOOKUP(F487,'Points Table A'!B$3:$F$33,5),VLOOKUP(F487,'Points Table A'!H$3:$L$33,5))</f>
        <v>#N/A</v>
      </c>
      <c r="W487" s="4" t="e">
        <f>IF($Q487&lt;&gt;3,VLOOKUP(G487,'Points Table A'!C$3:$F$33,4),VLOOKUP(G487,'Points Table A'!I$3:$L$33,4))</f>
        <v>#N/A</v>
      </c>
      <c r="X487" s="4" t="e">
        <f>IF($Q487&lt;&gt;3,VLOOKUP(H487,'Points Table A'!D$3:$F$28,3),VLOOKUP(H487,'Points Table A'!J$3:$L$33,3))</f>
        <v>#N/A</v>
      </c>
      <c r="Y487" s="4" t="e">
        <f>IF($Q487&lt;&gt;3,VLOOKUP(I487,'Points Table A'!E$3:$F$33,2),VLOOKUP(I487,'Points Table A'!K$3:$L$33,2))</f>
        <v>#N/A</v>
      </c>
      <c r="Z487" s="4" t="e">
        <f t="shared" si="45"/>
        <v>#N/A</v>
      </c>
      <c r="AA487" s="4">
        <f>IF($S487=Lookups!$B$113,VLOOKUP(L487,'Points Table C'!A$3:$E$11,5),VLOOKUP(U487,'Points Table C'!B$3:$E$11,4))</f>
        <v>0</v>
      </c>
      <c r="AB487" s="4" t="e">
        <f>IF($Q487=1,0,VLOOKUP($J487,'Points Table C'!$C$3:$E$18,3))</f>
        <v>#N/A</v>
      </c>
      <c r="AC487" s="4">
        <f>VLOOKUP($K487,'Points Table C'!$D$3:$E$18,2)</f>
        <v>0</v>
      </c>
      <c r="AD487" s="4" t="e">
        <f>IF($Z487&lt;Lookups!$C$106,($AA487+AB487+AC487),IF($AA487&gt;=Lookups!$C$120,($AA487+AB487+AC487),$AA487+$AB487))</f>
        <v>#N/A</v>
      </c>
      <c r="AF487" s="7"/>
      <c r="AG487" s="7"/>
      <c r="AH487" s="7"/>
      <c r="AI487" s="7"/>
      <c r="AJ487" s="7"/>
      <c r="AK487" s="7"/>
      <c r="AL487" s="7"/>
      <c r="AM487" s="7"/>
      <c r="AN487" s="7"/>
      <c r="AO487" s="7"/>
      <c r="AP487" s="7"/>
      <c r="AQ487" s="7"/>
      <c r="AR487" s="7"/>
      <c r="AS487" s="7"/>
      <c r="AT487" s="7"/>
      <c r="AU487" s="7"/>
      <c r="AV487" s="7"/>
      <c r="AW487" s="7"/>
      <c r="AY487" s="7"/>
      <c r="AZ487" s="7"/>
      <c r="BA487" s="7"/>
      <c r="BB487" s="7"/>
    </row>
    <row r="488" spans="2:54" x14ac:dyDescent="0.2">
      <c r="B488" s="174"/>
      <c r="C488" s="176"/>
      <c r="F488" s="5">
        <v>0</v>
      </c>
      <c r="G488" s="192">
        <v>0</v>
      </c>
      <c r="H488" s="192">
        <v>0</v>
      </c>
      <c r="I488" s="5">
        <v>0</v>
      </c>
      <c r="J488" s="192">
        <v>0</v>
      </c>
      <c r="K488" s="192">
        <v>0</v>
      </c>
      <c r="L488" s="5">
        <v>0</v>
      </c>
      <c r="M488" s="5">
        <v>0</v>
      </c>
      <c r="N488" s="4" t="e">
        <f t="shared" si="41"/>
        <v>#N/A</v>
      </c>
      <c r="O488" s="4" t="e">
        <f>IF(ROUND(10.499-(((N488-VLOOKUP($C488,Lookups!$A$55:$D$64,3))/(VLOOKUP($C488,Lookups!$A$55:$D$64,4))*VLOOKUP($C488,Lookups!$C$2:$D$11,2))),0)&lt;1,1,IF(ROUND(10.499-(((N488-VLOOKUP($C488,Lookups!$A$55:$D$64,3))/(VLOOKUP($C488,Lookups!$A$55:$D$64,4))*VLOOKUP($C488,Lookups!$C$2:$D$11,2))),0)&lt;11,ROUND(10.499-(((N488-VLOOKUP($C488,Lookups!$A$55:$D$64,3))/(VLOOKUP($C488,Lookups!$A$55:$D$64,4))*VLOOKUP($C488,Lookups!$C$2:$D$11,2))),0),10))</f>
        <v>#N/A</v>
      </c>
      <c r="P488" s="13" t="str">
        <f>IF((SUM(F488:M488)=0),"J",VLOOKUP(O488,Lookups!$A$1:$B$11,2))</f>
        <v>J</v>
      </c>
      <c r="Q488" s="8" t="e">
        <f>VLOOKUP(C488,Lookups!$A$136:$C$144,3)</f>
        <v>#N/A</v>
      </c>
      <c r="R488" s="8" t="e">
        <f>VLOOKUP(C488,Lookups!$A$136:$C$144,2)</f>
        <v>#N/A</v>
      </c>
      <c r="S488" s="4" t="str">
        <f t="shared" si="42"/>
        <v>No</v>
      </c>
      <c r="T488" s="125">
        <f t="shared" si="43"/>
        <v>0</v>
      </c>
      <c r="U488" s="125">
        <f t="shared" si="44"/>
        <v>0</v>
      </c>
      <c r="V488" s="4" t="e">
        <f>IF($Q488&lt;&gt;3,VLOOKUP(F488,'Points Table A'!B$3:$F$33,5),VLOOKUP(F488,'Points Table A'!H$3:$L$33,5))</f>
        <v>#N/A</v>
      </c>
      <c r="W488" s="4" t="e">
        <f>IF($Q488&lt;&gt;3,VLOOKUP(G488,'Points Table A'!C$3:$F$33,4),VLOOKUP(G488,'Points Table A'!I$3:$L$33,4))</f>
        <v>#N/A</v>
      </c>
      <c r="X488" s="4" t="e">
        <f>IF($Q488&lt;&gt;3,VLOOKUP(H488,'Points Table A'!D$3:$F$28,3),VLOOKUP(H488,'Points Table A'!J$3:$L$33,3))</f>
        <v>#N/A</v>
      </c>
      <c r="Y488" s="4" t="e">
        <f>IF($Q488&lt;&gt;3,VLOOKUP(I488,'Points Table A'!E$3:$F$33,2),VLOOKUP(I488,'Points Table A'!K$3:$L$33,2))</f>
        <v>#N/A</v>
      </c>
      <c r="Z488" s="4" t="e">
        <f t="shared" si="45"/>
        <v>#N/A</v>
      </c>
      <c r="AA488" s="4">
        <f>IF($S488=Lookups!$B$113,VLOOKUP(L488,'Points Table C'!A$3:$E$11,5),VLOOKUP(U488,'Points Table C'!B$3:$E$11,4))</f>
        <v>0</v>
      </c>
      <c r="AB488" s="4" t="e">
        <f>IF($Q488=1,0,VLOOKUP($J488,'Points Table C'!$C$3:$E$18,3))</f>
        <v>#N/A</v>
      </c>
      <c r="AC488" s="4">
        <f>VLOOKUP($K488,'Points Table C'!$D$3:$E$18,2)</f>
        <v>0</v>
      </c>
      <c r="AD488" s="4" t="e">
        <f>IF($Z488&lt;Lookups!$C$106,($AA488+AB488+AC488),IF($AA488&gt;=Lookups!$C$120,($AA488+AB488+AC488),$AA488+$AB488))</f>
        <v>#N/A</v>
      </c>
      <c r="AF488" s="7"/>
      <c r="AG488" s="7"/>
      <c r="AH488" s="7"/>
      <c r="AI488" s="7"/>
      <c r="AJ488" s="7"/>
      <c r="AK488" s="7"/>
      <c r="AL488" s="7"/>
      <c r="AM488" s="7"/>
      <c r="AN488" s="7"/>
      <c r="AO488" s="7"/>
      <c r="AP488" s="7"/>
      <c r="AQ488" s="7"/>
      <c r="AR488" s="7"/>
      <c r="AS488" s="7"/>
      <c r="AT488" s="7"/>
      <c r="AU488" s="7"/>
      <c r="AV488" s="7"/>
      <c r="AW488" s="7"/>
      <c r="AY488" s="7"/>
      <c r="AZ488" s="7"/>
      <c r="BA488" s="7"/>
      <c r="BB488" s="7"/>
    </row>
    <row r="489" spans="2:54" x14ac:dyDescent="0.2">
      <c r="B489" s="174"/>
      <c r="C489" s="176"/>
      <c r="F489" s="5">
        <v>0</v>
      </c>
      <c r="G489" s="192">
        <v>0</v>
      </c>
      <c r="H489" s="192">
        <v>0</v>
      </c>
      <c r="I489" s="5">
        <v>0</v>
      </c>
      <c r="J489" s="192">
        <v>0</v>
      </c>
      <c r="K489" s="192">
        <v>0</v>
      </c>
      <c r="L489" s="5">
        <v>0</v>
      </c>
      <c r="M489" s="5">
        <v>0</v>
      </c>
      <c r="N489" s="4" t="e">
        <f t="shared" si="41"/>
        <v>#N/A</v>
      </c>
      <c r="O489" s="4" t="e">
        <f>IF(ROUND(10.499-(((N489-VLOOKUP($C489,Lookups!$A$55:$D$64,3))/(VLOOKUP($C489,Lookups!$A$55:$D$64,4))*VLOOKUP($C489,Lookups!$C$2:$D$11,2))),0)&lt;1,1,IF(ROUND(10.499-(((N489-VLOOKUP($C489,Lookups!$A$55:$D$64,3))/(VLOOKUP($C489,Lookups!$A$55:$D$64,4))*VLOOKUP($C489,Lookups!$C$2:$D$11,2))),0)&lt;11,ROUND(10.499-(((N489-VLOOKUP($C489,Lookups!$A$55:$D$64,3))/(VLOOKUP($C489,Lookups!$A$55:$D$64,4))*VLOOKUP($C489,Lookups!$C$2:$D$11,2))),0),10))</f>
        <v>#N/A</v>
      </c>
      <c r="P489" s="13" t="str">
        <f>IF((SUM(F489:M489)=0),"J",VLOOKUP(O489,Lookups!$A$1:$B$11,2))</f>
        <v>J</v>
      </c>
      <c r="Q489" s="8" t="e">
        <f>VLOOKUP(C489,Lookups!$A$136:$C$144,3)</f>
        <v>#N/A</v>
      </c>
      <c r="R489" s="8" t="e">
        <f>VLOOKUP(C489,Lookups!$A$136:$C$144,2)</f>
        <v>#N/A</v>
      </c>
      <c r="S489" s="4" t="str">
        <f t="shared" si="42"/>
        <v>No</v>
      </c>
      <c r="T489" s="125">
        <f t="shared" si="43"/>
        <v>0</v>
      </c>
      <c r="U489" s="125">
        <f t="shared" si="44"/>
        <v>0</v>
      </c>
      <c r="V489" s="4" t="e">
        <f>IF($Q489&lt;&gt;3,VLOOKUP(F489,'Points Table A'!B$3:$F$33,5),VLOOKUP(F489,'Points Table A'!H$3:$L$33,5))</f>
        <v>#N/A</v>
      </c>
      <c r="W489" s="4" t="e">
        <f>IF($Q489&lt;&gt;3,VLOOKUP(G489,'Points Table A'!C$3:$F$33,4),VLOOKUP(G489,'Points Table A'!I$3:$L$33,4))</f>
        <v>#N/A</v>
      </c>
      <c r="X489" s="4" t="e">
        <f>IF($Q489&lt;&gt;3,VLOOKUP(H489,'Points Table A'!D$3:$F$28,3),VLOOKUP(H489,'Points Table A'!J$3:$L$33,3))</f>
        <v>#N/A</v>
      </c>
      <c r="Y489" s="4" t="e">
        <f>IF($Q489&lt;&gt;3,VLOOKUP(I489,'Points Table A'!E$3:$F$33,2),VLOOKUP(I489,'Points Table A'!K$3:$L$33,2))</f>
        <v>#N/A</v>
      </c>
      <c r="Z489" s="4" t="e">
        <f t="shared" si="45"/>
        <v>#N/A</v>
      </c>
      <c r="AA489" s="4">
        <f>IF($S489=Lookups!$B$113,VLOOKUP(L489,'Points Table C'!A$3:$E$11,5),VLOOKUP(U489,'Points Table C'!B$3:$E$11,4))</f>
        <v>0</v>
      </c>
      <c r="AB489" s="4" t="e">
        <f>IF($Q489=1,0,VLOOKUP($J489,'Points Table C'!$C$3:$E$18,3))</f>
        <v>#N/A</v>
      </c>
      <c r="AC489" s="4">
        <f>VLOOKUP($K489,'Points Table C'!$D$3:$E$18,2)</f>
        <v>0</v>
      </c>
      <c r="AD489" s="4" t="e">
        <f>IF($Z489&lt;Lookups!$C$106,($AA489+AB489+AC489),IF($AA489&gt;=Lookups!$C$120,($AA489+AB489+AC489),$AA489+$AB489))</f>
        <v>#N/A</v>
      </c>
      <c r="AF489" s="7"/>
      <c r="AG489" s="7"/>
      <c r="AH489" s="7"/>
      <c r="AI489" s="7"/>
      <c r="AJ489" s="7"/>
      <c r="AK489" s="7"/>
      <c r="AL489" s="7"/>
      <c r="AM489" s="7"/>
      <c r="AN489" s="7"/>
      <c r="AO489" s="7"/>
      <c r="AP489" s="7"/>
      <c r="AQ489" s="7"/>
      <c r="AR489" s="7"/>
      <c r="AS489" s="7"/>
      <c r="AT489" s="7"/>
      <c r="AU489" s="7"/>
      <c r="AV489" s="7"/>
      <c r="AW489" s="7"/>
      <c r="AY489" s="7"/>
      <c r="AZ489" s="7"/>
      <c r="BA489" s="7"/>
      <c r="BB489" s="7"/>
    </row>
    <row r="490" spans="2:54" x14ac:dyDescent="0.2">
      <c r="B490" s="174"/>
      <c r="C490" s="176"/>
      <c r="F490" s="5">
        <v>0</v>
      </c>
      <c r="G490" s="192">
        <v>0</v>
      </c>
      <c r="H490" s="192">
        <v>0</v>
      </c>
      <c r="I490" s="5">
        <v>0</v>
      </c>
      <c r="J490" s="192">
        <v>0</v>
      </c>
      <c r="K490" s="192">
        <v>0</v>
      </c>
      <c r="L490" s="5">
        <v>0</v>
      </c>
      <c r="M490" s="5">
        <v>0</v>
      </c>
      <c r="N490" s="4" t="e">
        <f t="shared" si="41"/>
        <v>#N/A</v>
      </c>
      <c r="O490" s="4" t="e">
        <f>IF(ROUND(10.499-(((N490-VLOOKUP($C490,Lookups!$A$55:$D$64,3))/(VLOOKUP($C490,Lookups!$A$55:$D$64,4))*VLOOKUP($C490,Lookups!$C$2:$D$11,2))),0)&lt;1,1,IF(ROUND(10.499-(((N490-VLOOKUP($C490,Lookups!$A$55:$D$64,3))/(VLOOKUP($C490,Lookups!$A$55:$D$64,4))*VLOOKUP($C490,Lookups!$C$2:$D$11,2))),0)&lt;11,ROUND(10.499-(((N490-VLOOKUP($C490,Lookups!$A$55:$D$64,3))/(VLOOKUP($C490,Lookups!$A$55:$D$64,4))*VLOOKUP($C490,Lookups!$C$2:$D$11,2))),0),10))</f>
        <v>#N/A</v>
      </c>
      <c r="P490" s="13" t="str">
        <f>IF((SUM(F490:M490)=0),"J",VLOOKUP(O490,Lookups!$A$1:$B$11,2))</f>
        <v>J</v>
      </c>
      <c r="Q490" s="8" t="e">
        <f>VLOOKUP(C490,Lookups!$A$136:$C$144,3)</f>
        <v>#N/A</v>
      </c>
      <c r="R490" s="8" t="e">
        <f>VLOOKUP(C490,Lookups!$A$136:$C$144,2)</f>
        <v>#N/A</v>
      </c>
      <c r="S490" s="4" t="str">
        <f t="shared" si="42"/>
        <v>No</v>
      </c>
      <c r="T490" s="125">
        <f t="shared" si="43"/>
        <v>0</v>
      </c>
      <c r="U490" s="125">
        <f t="shared" si="44"/>
        <v>0</v>
      </c>
      <c r="V490" s="4" t="e">
        <f>IF($Q490&lt;&gt;3,VLOOKUP(F490,'Points Table A'!B$3:$F$33,5),VLOOKUP(F490,'Points Table A'!H$3:$L$33,5))</f>
        <v>#N/A</v>
      </c>
      <c r="W490" s="4" t="e">
        <f>IF($Q490&lt;&gt;3,VLOOKUP(G490,'Points Table A'!C$3:$F$33,4),VLOOKUP(G490,'Points Table A'!I$3:$L$33,4))</f>
        <v>#N/A</v>
      </c>
      <c r="X490" s="4" t="e">
        <f>IF($Q490&lt;&gt;3,VLOOKUP(H490,'Points Table A'!D$3:$F$28,3),VLOOKUP(H490,'Points Table A'!J$3:$L$33,3))</f>
        <v>#N/A</v>
      </c>
      <c r="Y490" s="4" t="e">
        <f>IF($Q490&lt;&gt;3,VLOOKUP(I490,'Points Table A'!E$3:$F$33,2),VLOOKUP(I490,'Points Table A'!K$3:$L$33,2))</f>
        <v>#N/A</v>
      </c>
      <c r="Z490" s="4" t="e">
        <f t="shared" si="45"/>
        <v>#N/A</v>
      </c>
      <c r="AA490" s="4">
        <f>IF($S490=Lookups!$B$113,VLOOKUP(L490,'Points Table C'!A$3:$E$11,5),VLOOKUP(U490,'Points Table C'!B$3:$E$11,4))</f>
        <v>0</v>
      </c>
      <c r="AB490" s="4" t="e">
        <f>IF($Q490=1,0,VLOOKUP($J490,'Points Table C'!$C$3:$E$18,3))</f>
        <v>#N/A</v>
      </c>
      <c r="AC490" s="4">
        <f>VLOOKUP($K490,'Points Table C'!$D$3:$E$18,2)</f>
        <v>0</v>
      </c>
      <c r="AD490" s="4" t="e">
        <f>IF($Z490&lt;Lookups!$C$106,($AA490+AB490+AC490),IF($AA490&gt;=Lookups!$C$120,($AA490+AB490+AC490),$AA490+$AB490))</f>
        <v>#N/A</v>
      </c>
      <c r="AF490" s="7"/>
      <c r="AG490" s="7"/>
      <c r="AH490" s="7"/>
      <c r="AI490" s="7"/>
      <c r="AJ490" s="7"/>
      <c r="AK490" s="7"/>
      <c r="AL490" s="7"/>
      <c r="AM490" s="7"/>
      <c r="AN490" s="7"/>
      <c r="AO490" s="7"/>
      <c r="AP490" s="7"/>
      <c r="AQ490" s="7"/>
      <c r="AR490" s="7"/>
      <c r="AS490" s="7"/>
      <c r="AT490" s="7"/>
      <c r="AU490" s="7"/>
      <c r="AV490" s="7"/>
      <c r="AW490" s="7"/>
      <c r="AY490" s="7"/>
      <c r="AZ490" s="7"/>
      <c r="BA490" s="7"/>
      <c r="BB490" s="7"/>
    </row>
    <row r="491" spans="2:54" x14ac:dyDescent="0.2">
      <c r="B491" s="174"/>
      <c r="C491" s="176"/>
      <c r="F491" s="5">
        <v>0</v>
      </c>
      <c r="G491" s="192">
        <v>0</v>
      </c>
      <c r="H491" s="192">
        <v>0</v>
      </c>
      <c r="I491" s="5">
        <v>0</v>
      </c>
      <c r="J491" s="192">
        <v>0</v>
      </c>
      <c r="K491" s="192">
        <v>0</v>
      </c>
      <c r="L491" s="5">
        <v>0</v>
      </c>
      <c r="M491" s="5">
        <v>0</v>
      </c>
      <c r="N491" s="4" t="e">
        <f t="shared" si="41"/>
        <v>#N/A</v>
      </c>
      <c r="O491" s="4" t="e">
        <f>IF(ROUND(10.499-(((N491-VLOOKUP($C491,Lookups!$A$55:$D$64,3))/(VLOOKUP($C491,Lookups!$A$55:$D$64,4))*VLOOKUP($C491,Lookups!$C$2:$D$11,2))),0)&lt;1,1,IF(ROUND(10.499-(((N491-VLOOKUP($C491,Lookups!$A$55:$D$64,3))/(VLOOKUP($C491,Lookups!$A$55:$D$64,4))*VLOOKUP($C491,Lookups!$C$2:$D$11,2))),0)&lt;11,ROUND(10.499-(((N491-VLOOKUP($C491,Lookups!$A$55:$D$64,3))/(VLOOKUP($C491,Lookups!$A$55:$D$64,4))*VLOOKUP($C491,Lookups!$C$2:$D$11,2))),0),10))</f>
        <v>#N/A</v>
      </c>
      <c r="P491" s="13" t="str">
        <f>IF((SUM(F491:M491)=0),"J",VLOOKUP(O491,Lookups!$A$1:$B$11,2))</f>
        <v>J</v>
      </c>
      <c r="Q491" s="8" t="e">
        <f>VLOOKUP(C491,Lookups!$A$136:$C$144,3)</f>
        <v>#N/A</v>
      </c>
      <c r="R491" s="8" t="e">
        <f>VLOOKUP(C491,Lookups!$A$136:$C$144,2)</f>
        <v>#N/A</v>
      </c>
      <c r="S491" s="4" t="str">
        <f t="shared" si="42"/>
        <v>No</v>
      </c>
      <c r="T491" s="125">
        <f t="shared" si="43"/>
        <v>0</v>
      </c>
      <c r="U491" s="125">
        <f t="shared" si="44"/>
        <v>0</v>
      </c>
      <c r="V491" s="4" t="e">
        <f>IF($Q491&lt;&gt;3,VLOOKUP(F491,'Points Table A'!B$3:$F$33,5),VLOOKUP(F491,'Points Table A'!H$3:$L$33,5))</f>
        <v>#N/A</v>
      </c>
      <c r="W491" s="4" t="e">
        <f>IF($Q491&lt;&gt;3,VLOOKUP(G491,'Points Table A'!C$3:$F$33,4),VLOOKUP(G491,'Points Table A'!I$3:$L$33,4))</f>
        <v>#N/A</v>
      </c>
      <c r="X491" s="4" t="e">
        <f>IF($Q491&lt;&gt;3,VLOOKUP(H491,'Points Table A'!D$3:$F$28,3),VLOOKUP(H491,'Points Table A'!J$3:$L$33,3))</f>
        <v>#N/A</v>
      </c>
      <c r="Y491" s="4" t="e">
        <f>IF($Q491&lt;&gt;3,VLOOKUP(I491,'Points Table A'!E$3:$F$33,2),VLOOKUP(I491,'Points Table A'!K$3:$L$33,2))</f>
        <v>#N/A</v>
      </c>
      <c r="Z491" s="4" t="e">
        <f t="shared" si="45"/>
        <v>#N/A</v>
      </c>
      <c r="AA491" s="4">
        <f>IF($S491=Lookups!$B$113,VLOOKUP(L491,'Points Table C'!A$3:$E$11,5),VLOOKUP(U491,'Points Table C'!B$3:$E$11,4))</f>
        <v>0</v>
      </c>
      <c r="AB491" s="4" t="e">
        <f>IF($Q491=1,0,VLOOKUP($J491,'Points Table C'!$C$3:$E$18,3))</f>
        <v>#N/A</v>
      </c>
      <c r="AC491" s="4">
        <f>VLOOKUP($K491,'Points Table C'!$D$3:$E$18,2)</f>
        <v>0</v>
      </c>
      <c r="AD491" s="4" t="e">
        <f>IF($Z491&lt;Lookups!$C$106,($AA491+AB491+AC491),IF($AA491&gt;=Lookups!$C$120,($AA491+AB491+AC491),$AA491+$AB491))</f>
        <v>#N/A</v>
      </c>
      <c r="AF491" s="7"/>
      <c r="AG491" s="7"/>
      <c r="AH491" s="7"/>
      <c r="AI491" s="7"/>
      <c r="AJ491" s="7"/>
      <c r="AK491" s="7"/>
      <c r="AL491" s="7"/>
      <c r="AM491" s="7"/>
      <c r="AN491" s="7"/>
      <c r="AO491" s="7"/>
      <c r="AP491" s="7"/>
      <c r="AQ491" s="7"/>
      <c r="AR491" s="7"/>
      <c r="AS491" s="7"/>
      <c r="AT491" s="7"/>
      <c r="AU491" s="7"/>
      <c r="AV491" s="7"/>
      <c r="AW491" s="7"/>
      <c r="AY491" s="7"/>
      <c r="AZ491" s="7"/>
      <c r="BA491" s="7"/>
      <c r="BB491" s="7"/>
    </row>
    <row r="492" spans="2:54" x14ac:dyDescent="0.2">
      <c r="B492" s="174"/>
      <c r="C492" s="176"/>
      <c r="F492" s="5">
        <v>0</v>
      </c>
      <c r="G492" s="192">
        <v>0</v>
      </c>
      <c r="H492" s="192">
        <v>0</v>
      </c>
      <c r="I492" s="5">
        <v>0</v>
      </c>
      <c r="J492" s="192">
        <v>0</v>
      </c>
      <c r="K492" s="192">
        <v>0</v>
      </c>
      <c r="L492" s="5">
        <v>0</v>
      </c>
      <c r="M492" s="5">
        <v>0</v>
      </c>
      <c r="N492" s="4" t="e">
        <f t="shared" si="41"/>
        <v>#N/A</v>
      </c>
      <c r="O492" s="4" t="e">
        <f>IF(ROUND(10.499-(((N492-VLOOKUP($C492,Lookups!$A$55:$D$64,3))/(VLOOKUP($C492,Lookups!$A$55:$D$64,4))*VLOOKUP($C492,Lookups!$C$2:$D$11,2))),0)&lt;1,1,IF(ROUND(10.499-(((N492-VLOOKUP($C492,Lookups!$A$55:$D$64,3))/(VLOOKUP($C492,Lookups!$A$55:$D$64,4))*VLOOKUP($C492,Lookups!$C$2:$D$11,2))),0)&lt;11,ROUND(10.499-(((N492-VLOOKUP($C492,Lookups!$A$55:$D$64,3))/(VLOOKUP($C492,Lookups!$A$55:$D$64,4))*VLOOKUP($C492,Lookups!$C$2:$D$11,2))),0),10))</f>
        <v>#N/A</v>
      </c>
      <c r="P492" s="13" t="str">
        <f>IF((SUM(F492:M492)=0),"J",VLOOKUP(O492,Lookups!$A$1:$B$11,2))</f>
        <v>J</v>
      </c>
      <c r="Q492" s="8" t="e">
        <f>VLOOKUP(C492,Lookups!$A$136:$C$144,3)</f>
        <v>#N/A</v>
      </c>
      <c r="R492" s="8" t="e">
        <f>VLOOKUP(C492,Lookups!$A$136:$C$144,2)</f>
        <v>#N/A</v>
      </c>
      <c r="S492" s="4" t="str">
        <f t="shared" si="42"/>
        <v>No</v>
      </c>
      <c r="T492" s="125">
        <f t="shared" si="43"/>
        <v>0</v>
      </c>
      <c r="U492" s="125">
        <f t="shared" si="44"/>
        <v>0</v>
      </c>
      <c r="V492" s="4" t="e">
        <f>IF($Q492&lt;&gt;3,VLOOKUP(F492,'Points Table A'!B$3:$F$33,5),VLOOKUP(F492,'Points Table A'!H$3:$L$33,5))</f>
        <v>#N/A</v>
      </c>
      <c r="W492" s="4" t="e">
        <f>IF($Q492&lt;&gt;3,VLOOKUP(G492,'Points Table A'!C$3:$F$33,4),VLOOKUP(G492,'Points Table A'!I$3:$L$33,4))</f>
        <v>#N/A</v>
      </c>
      <c r="X492" s="4" t="e">
        <f>IF($Q492&lt;&gt;3,VLOOKUP(H492,'Points Table A'!D$3:$F$28,3),VLOOKUP(H492,'Points Table A'!J$3:$L$33,3))</f>
        <v>#N/A</v>
      </c>
      <c r="Y492" s="4" t="e">
        <f>IF($Q492&lt;&gt;3,VLOOKUP(I492,'Points Table A'!E$3:$F$33,2),VLOOKUP(I492,'Points Table A'!K$3:$L$33,2))</f>
        <v>#N/A</v>
      </c>
      <c r="Z492" s="4" t="e">
        <f t="shared" si="45"/>
        <v>#N/A</v>
      </c>
      <c r="AA492" s="4">
        <f>IF($S492=Lookups!$B$113,VLOOKUP(L492,'Points Table C'!A$3:$E$11,5),VLOOKUP(U492,'Points Table C'!B$3:$E$11,4))</f>
        <v>0</v>
      </c>
      <c r="AB492" s="4" t="e">
        <f>IF($Q492=1,0,VLOOKUP($J492,'Points Table C'!$C$3:$E$18,3))</f>
        <v>#N/A</v>
      </c>
      <c r="AC492" s="4">
        <f>VLOOKUP($K492,'Points Table C'!$D$3:$E$18,2)</f>
        <v>0</v>
      </c>
      <c r="AD492" s="4" t="e">
        <f>IF($Z492&lt;Lookups!$C$106,($AA492+AB492+AC492),IF($AA492&gt;=Lookups!$C$120,($AA492+AB492+AC492),$AA492+$AB492))</f>
        <v>#N/A</v>
      </c>
      <c r="AF492" s="7"/>
      <c r="AG492" s="7"/>
      <c r="AH492" s="7"/>
      <c r="AI492" s="7"/>
      <c r="AJ492" s="7"/>
      <c r="AK492" s="7"/>
      <c r="AL492" s="7"/>
      <c r="AM492" s="7"/>
      <c r="AN492" s="7"/>
      <c r="AO492" s="7"/>
      <c r="AP492" s="7"/>
      <c r="AQ492" s="7"/>
      <c r="AR492" s="7"/>
      <c r="AS492" s="7"/>
      <c r="AT492" s="7"/>
      <c r="AU492" s="7"/>
      <c r="AV492" s="7"/>
      <c r="AW492" s="7"/>
      <c r="AY492" s="7"/>
      <c r="AZ492" s="7"/>
      <c r="BA492" s="7"/>
      <c r="BB492" s="7"/>
    </row>
    <row r="493" spans="2:54" x14ac:dyDescent="0.2">
      <c r="B493" s="174"/>
      <c r="C493" s="176"/>
      <c r="F493" s="5">
        <v>0</v>
      </c>
      <c r="G493" s="192">
        <v>0</v>
      </c>
      <c r="H493" s="192">
        <v>0</v>
      </c>
      <c r="I493" s="5">
        <v>0</v>
      </c>
      <c r="J493" s="192">
        <v>0</v>
      </c>
      <c r="K493" s="192">
        <v>0</v>
      </c>
      <c r="L493" s="5">
        <v>0</v>
      </c>
      <c r="M493" s="5">
        <v>0</v>
      </c>
      <c r="N493" s="4" t="e">
        <f t="shared" si="41"/>
        <v>#N/A</v>
      </c>
      <c r="O493" s="4" t="e">
        <f>IF(ROUND(10.499-(((N493-VLOOKUP($C493,Lookups!$A$55:$D$64,3))/(VLOOKUP($C493,Lookups!$A$55:$D$64,4))*VLOOKUP($C493,Lookups!$C$2:$D$11,2))),0)&lt;1,1,IF(ROUND(10.499-(((N493-VLOOKUP($C493,Lookups!$A$55:$D$64,3))/(VLOOKUP($C493,Lookups!$A$55:$D$64,4))*VLOOKUP($C493,Lookups!$C$2:$D$11,2))),0)&lt;11,ROUND(10.499-(((N493-VLOOKUP($C493,Lookups!$A$55:$D$64,3))/(VLOOKUP($C493,Lookups!$A$55:$D$64,4))*VLOOKUP($C493,Lookups!$C$2:$D$11,2))),0),10))</f>
        <v>#N/A</v>
      </c>
      <c r="P493" s="13" t="str">
        <f>IF((SUM(F493:M493)=0),"J",VLOOKUP(O493,Lookups!$A$1:$B$11,2))</f>
        <v>J</v>
      </c>
      <c r="Q493" s="8" t="e">
        <f>VLOOKUP(C493,Lookups!$A$136:$C$144,3)</f>
        <v>#N/A</v>
      </c>
      <c r="R493" s="8" t="e">
        <f>VLOOKUP(C493,Lookups!$A$136:$C$144,2)</f>
        <v>#N/A</v>
      </c>
      <c r="S493" s="4" t="str">
        <f t="shared" si="42"/>
        <v>No</v>
      </c>
      <c r="T493" s="125">
        <f t="shared" si="43"/>
        <v>0</v>
      </c>
      <c r="U493" s="125">
        <f t="shared" si="44"/>
        <v>0</v>
      </c>
      <c r="V493" s="4" t="e">
        <f>IF($Q493&lt;&gt;3,VLOOKUP(F493,'Points Table A'!B$3:$F$33,5),VLOOKUP(F493,'Points Table A'!H$3:$L$33,5))</f>
        <v>#N/A</v>
      </c>
      <c r="W493" s="4" t="e">
        <f>IF($Q493&lt;&gt;3,VLOOKUP(G493,'Points Table A'!C$3:$F$33,4),VLOOKUP(G493,'Points Table A'!I$3:$L$33,4))</f>
        <v>#N/A</v>
      </c>
      <c r="X493" s="4" t="e">
        <f>IF($Q493&lt;&gt;3,VLOOKUP(H493,'Points Table A'!D$3:$F$28,3),VLOOKUP(H493,'Points Table A'!J$3:$L$33,3))</f>
        <v>#N/A</v>
      </c>
      <c r="Y493" s="4" t="e">
        <f>IF($Q493&lt;&gt;3,VLOOKUP(I493,'Points Table A'!E$3:$F$33,2),VLOOKUP(I493,'Points Table A'!K$3:$L$33,2))</f>
        <v>#N/A</v>
      </c>
      <c r="Z493" s="4" t="e">
        <f t="shared" si="45"/>
        <v>#N/A</v>
      </c>
      <c r="AA493" s="4">
        <f>IF($S493=Lookups!$B$113,VLOOKUP(L493,'Points Table C'!A$3:$E$11,5),VLOOKUP(U493,'Points Table C'!B$3:$E$11,4))</f>
        <v>0</v>
      </c>
      <c r="AB493" s="4" t="e">
        <f>IF($Q493=1,0,VLOOKUP($J493,'Points Table C'!$C$3:$E$18,3))</f>
        <v>#N/A</v>
      </c>
      <c r="AC493" s="4">
        <f>VLOOKUP($K493,'Points Table C'!$D$3:$E$18,2)</f>
        <v>0</v>
      </c>
      <c r="AD493" s="4" t="e">
        <f>IF($Z493&lt;Lookups!$C$106,($AA493+AB493+AC493),IF($AA493&gt;=Lookups!$C$120,($AA493+AB493+AC493),$AA493+$AB493))</f>
        <v>#N/A</v>
      </c>
      <c r="AF493" s="7"/>
      <c r="AG493" s="7"/>
      <c r="AH493" s="7"/>
      <c r="AI493" s="7"/>
      <c r="AJ493" s="7"/>
      <c r="AK493" s="7"/>
      <c r="AL493" s="7"/>
      <c r="AM493" s="7"/>
      <c r="AN493" s="7"/>
      <c r="AO493" s="7"/>
      <c r="AP493" s="7"/>
      <c r="AQ493" s="7"/>
      <c r="AR493" s="7"/>
      <c r="AS493" s="7"/>
      <c r="AT493" s="7"/>
      <c r="AU493" s="7"/>
      <c r="AV493" s="7"/>
      <c r="AW493" s="7"/>
      <c r="AY493" s="7"/>
      <c r="AZ493" s="7"/>
      <c r="BA493" s="7"/>
      <c r="BB493" s="7"/>
    </row>
    <row r="494" spans="2:54" x14ac:dyDescent="0.2">
      <c r="B494" s="174"/>
      <c r="C494" s="176"/>
      <c r="F494" s="5">
        <v>0</v>
      </c>
      <c r="G494" s="192">
        <v>0</v>
      </c>
      <c r="H494" s="192">
        <v>0</v>
      </c>
      <c r="I494" s="5">
        <v>0</v>
      </c>
      <c r="J494" s="192">
        <v>0</v>
      </c>
      <c r="K494" s="192">
        <v>0</v>
      </c>
      <c r="L494" s="5">
        <v>0</v>
      </c>
      <c r="M494" s="5">
        <v>0</v>
      </c>
      <c r="N494" s="4" t="e">
        <f t="shared" si="41"/>
        <v>#N/A</v>
      </c>
      <c r="O494" s="4" t="e">
        <f>IF(ROUND(10.499-(((N494-VLOOKUP($C494,Lookups!$A$55:$D$64,3))/(VLOOKUP($C494,Lookups!$A$55:$D$64,4))*VLOOKUP($C494,Lookups!$C$2:$D$11,2))),0)&lt;1,1,IF(ROUND(10.499-(((N494-VLOOKUP($C494,Lookups!$A$55:$D$64,3))/(VLOOKUP($C494,Lookups!$A$55:$D$64,4))*VLOOKUP($C494,Lookups!$C$2:$D$11,2))),0)&lt;11,ROUND(10.499-(((N494-VLOOKUP($C494,Lookups!$A$55:$D$64,3))/(VLOOKUP($C494,Lookups!$A$55:$D$64,4))*VLOOKUP($C494,Lookups!$C$2:$D$11,2))),0),10))</f>
        <v>#N/A</v>
      </c>
      <c r="P494" s="13" t="str">
        <f>IF((SUM(F494:M494)=0),"J",VLOOKUP(O494,Lookups!$A$1:$B$11,2))</f>
        <v>J</v>
      </c>
      <c r="Q494" s="8" t="e">
        <f>VLOOKUP(C494,Lookups!$A$136:$C$144,3)</f>
        <v>#N/A</v>
      </c>
      <c r="R494" s="8" t="e">
        <f>VLOOKUP(C494,Lookups!$A$136:$C$144,2)</f>
        <v>#N/A</v>
      </c>
      <c r="S494" s="4" t="str">
        <f t="shared" si="42"/>
        <v>No</v>
      </c>
      <c r="T494" s="125">
        <f t="shared" si="43"/>
        <v>0</v>
      </c>
      <c r="U494" s="125">
        <f t="shared" si="44"/>
        <v>0</v>
      </c>
      <c r="V494" s="4" t="e">
        <f>IF($Q494&lt;&gt;3,VLOOKUP(F494,'Points Table A'!B$3:$F$33,5),VLOOKUP(F494,'Points Table A'!H$3:$L$33,5))</f>
        <v>#N/A</v>
      </c>
      <c r="W494" s="4" t="e">
        <f>IF($Q494&lt;&gt;3,VLOOKUP(G494,'Points Table A'!C$3:$F$33,4),VLOOKUP(G494,'Points Table A'!I$3:$L$33,4))</f>
        <v>#N/A</v>
      </c>
      <c r="X494" s="4" t="e">
        <f>IF($Q494&lt;&gt;3,VLOOKUP(H494,'Points Table A'!D$3:$F$28,3),VLOOKUP(H494,'Points Table A'!J$3:$L$33,3))</f>
        <v>#N/A</v>
      </c>
      <c r="Y494" s="4" t="e">
        <f>IF($Q494&lt;&gt;3,VLOOKUP(I494,'Points Table A'!E$3:$F$33,2),VLOOKUP(I494,'Points Table A'!K$3:$L$33,2))</f>
        <v>#N/A</v>
      </c>
      <c r="Z494" s="4" t="e">
        <f t="shared" si="45"/>
        <v>#N/A</v>
      </c>
      <c r="AA494" s="4">
        <f>IF($S494=Lookups!$B$113,VLOOKUP(L494,'Points Table C'!A$3:$E$11,5),VLOOKUP(U494,'Points Table C'!B$3:$E$11,4))</f>
        <v>0</v>
      </c>
      <c r="AB494" s="4" t="e">
        <f>IF($Q494=1,0,VLOOKUP($J494,'Points Table C'!$C$3:$E$18,3))</f>
        <v>#N/A</v>
      </c>
      <c r="AC494" s="4">
        <f>VLOOKUP($K494,'Points Table C'!$D$3:$E$18,2)</f>
        <v>0</v>
      </c>
      <c r="AD494" s="4" t="e">
        <f>IF($Z494&lt;Lookups!$C$106,($AA494+AB494+AC494),IF($AA494&gt;=Lookups!$C$120,($AA494+AB494+AC494),$AA494+$AB494))</f>
        <v>#N/A</v>
      </c>
      <c r="AF494" s="7"/>
      <c r="AG494" s="7"/>
      <c r="AH494" s="7"/>
      <c r="AI494" s="7"/>
      <c r="AJ494" s="7"/>
      <c r="AK494" s="7"/>
      <c r="AL494" s="7"/>
      <c r="AM494" s="7"/>
      <c r="AN494" s="7"/>
      <c r="AO494" s="7"/>
      <c r="AP494" s="7"/>
      <c r="AQ494" s="7"/>
      <c r="AR494" s="7"/>
      <c r="AS494" s="7"/>
      <c r="AT494" s="7"/>
      <c r="AU494" s="7"/>
      <c r="AV494" s="7"/>
      <c r="AW494" s="7"/>
      <c r="AY494" s="7"/>
      <c r="AZ494" s="7"/>
      <c r="BA494" s="7"/>
      <c r="BB494" s="7"/>
    </row>
    <row r="495" spans="2:54" x14ac:dyDescent="0.2">
      <c r="B495" s="174"/>
      <c r="C495" s="176"/>
      <c r="F495" s="5">
        <v>0</v>
      </c>
      <c r="G495" s="192">
        <v>0</v>
      </c>
      <c r="H495" s="192">
        <v>0</v>
      </c>
      <c r="I495" s="5">
        <v>0</v>
      </c>
      <c r="J495" s="192">
        <v>0</v>
      </c>
      <c r="K495" s="192">
        <v>0</v>
      </c>
      <c r="L495" s="5">
        <v>0</v>
      </c>
      <c r="M495" s="5">
        <v>0</v>
      </c>
      <c r="N495" s="4" t="e">
        <f t="shared" si="41"/>
        <v>#N/A</v>
      </c>
      <c r="O495" s="4" t="e">
        <f>IF(ROUND(10.499-(((N495-VLOOKUP($C495,Lookups!$A$55:$D$64,3))/(VLOOKUP($C495,Lookups!$A$55:$D$64,4))*VLOOKUP($C495,Lookups!$C$2:$D$11,2))),0)&lt;1,1,IF(ROUND(10.499-(((N495-VLOOKUP($C495,Lookups!$A$55:$D$64,3))/(VLOOKUP($C495,Lookups!$A$55:$D$64,4))*VLOOKUP($C495,Lookups!$C$2:$D$11,2))),0)&lt;11,ROUND(10.499-(((N495-VLOOKUP($C495,Lookups!$A$55:$D$64,3))/(VLOOKUP($C495,Lookups!$A$55:$D$64,4))*VLOOKUP($C495,Lookups!$C$2:$D$11,2))),0),10))</f>
        <v>#N/A</v>
      </c>
      <c r="P495" s="13" t="str">
        <f>IF((SUM(F495:M495)=0),"J",VLOOKUP(O495,Lookups!$A$1:$B$11,2))</f>
        <v>J</v>
      </c>
      <c r="Q495" s="8" t="e">
        <f>VLOOKUP(C495,Lookups!$A$136:$C$144,3)</f>
        <v>#N/A</v>
      </c>
      <c r="R495" s="8" t="e">
        <f>VLOOKUP(C495,Lookups!$A$136:$C$144,2)</f>
        <v>#N/A</v>
      </c>
      <c r="S495" s="4" t="str">
        <f t="shared" si="42"/>
        <v>No</v>
      </c>
      <c r="T495" s="125">
        <f t="shared" si="43"/>
        <v>0</v>
      </c>
      <c r="U495" s="125">
        <f t="shared" si="44"/>
        <v>0</v>
      </c>
      <c r="V495" s="4" t="e">
        <f>IF($Q495&lt;&gt;3,VLOOKUP(F495,'Points Table A'!B$3:$F$33,5),VLOOKUP(F495,'Points Table A'!H$3:$L$33,5))</f>
        <v>#N/A</v>
      </c>
      <c r="W495" s="4" t="e">
        <f>IF($Q495&lt;&gt;3,VLOOKUP(G495,'Points Table A'!C$3:$F$33,4),VLOOKUP(G495,'Points Table A'!I$3:$L$33,4))</f>
        <v>#N/A</v>
      </c>
      <c r="X495" s="4" t="e">
        <f>IF($Q495&lt;&gt;3,VLOOKUP(H495,'Points Table A'!D$3:$F$28,3),VLOOKUP(H495,'Points Table A'!J$3:$L$33,3))</f>
        <v>#N/A</v>
      </c>
      <c r="Y495" s="4" t="e">
        <f>IF($Q495&lt;&gt;3,VLOOKUP(I495,'Points Table A'!E$3:$F$33,2),VLOOKUP(I495,'Points Table A'!K$3:$L$33,2))</f>
        <v>#N/A</v>
      </c>
      <c r="Z495" s="4" t="e">
        <f t="shared" si="45"/>
        <v>#N/A</v>
      </c>
      <c r="AA495" s="4">
        <f>IF($S495=Lookups!$B$113,VLOOKUP(L495,'Points Table C'!A$3:$E$11,5),VLOOKUP(U495,'Points Table C'!B$3:$E$11,4))</f>
        <v>0</v>
      </c>
      <c r="AB495" s="4" t="e">
        <f>IF($Q495=1,0,VLOOKUP($J495,'Points Table C'!$C$3:$E$18,3))</f>
        <v>#N/A</v>
      </c>
      <c r="AC495" s="4">
        <f>VLOOKUP($K495,'Points Table C'!$D$3:$E$18,2)</f>
        <v>0</v>
      </c>
      <c r="AD495" s="4" t="e">
        <f>IF($Z495&lt;Lookups!$C$106,($AA495+AB495+AC495),IF($AA495&gt;=Lookups!$C$120,($AA495+AB495+AC495),$AA495+$AB495))</f>
        <v>#N/A</v>
      </c>
      <c r="AF495" s="7"/>
      <c r="AG495" s="7"/>
      <c r="AH495" s="7"/>
      <c r="AI495" s="7"/>
      <c r="AJ495" s="7"/>
      <c r="AK495" s="7"/>
      <c r="AL495" s="7"/>
      <c r="AM495" s="7"/>
      <c r="AN495" s="7"/>
      <c r="AO495" s="7"/>
      <c r="AP495" s="7"/>
      <c r="AQ495" s="7"/>
      <c r="AR495" s="7"/>
      <c r="AS495" s="7"/>
      <c r="AT495" s="7"/>
      <c r="AU495" s="7"/>
      <c r="AV495" s="7"/>
      <c r="AW495" s="7"/>
      <c r="AY495" s="7"/>
      <c r="AZ495" s="7"/>
      <c r="BA495" s="7"/>
      <c r="BB495" s="7"/>
    </row>
    <row r="496" spans="2:54" x14ac:dyDescent="0.2">
      <c r="B496" s="174"/>
      <c r="C496" s="176"/>
      <c r="F496" s="5">
        <v>0</v>
      </c>
      <c r="G496" s="192">
        <v>0</v>
      </c>
      <c r="H496" s="192">
        <v>0</v>
      </c>
      <c r="I496" s="5">
        <v>0</v>
      </c>
      <c r="J496" s="192">
        <v>0</v>
      </c>
      <c r="K496" s="192">
        <v>0</v>
      </c>
      <c r="L496" s="5">
        <v>0</v>
      </c>
      <c r="M496" s="5">
        <v>0</v>
      </c>
      <c r="N496" s="4" t="e">
        <f t="shared" si="41"/>
        <v>#N/A</v>
      </c>
      <c r="O496" s="4" t="e">
        <f>IF(ROUND(10.499-(((N496-VLOOKUP($C496,Lookups!$A$55:$D$64,3))/(VLOOKUP($C496,Lookups!$A$55:$D$64,4))*VLOOKUP($C496,Lookups!$C$2:$D$11,2))),0)&lt;1,1,IF(ROUND(10.499-(((N496-VLOOKUP($C496,Lookups!$A$55:$D$64,3))/(VLOOKUP($C496,Lookups!$A$55:$D$64,4))*VLOOKUP($C496,Lookups!$C$2:$D$11,2))),0)&lt;11,ROUND(10.499-(((N496-VLOOKUP($C496,Lookups!$A$55:$D$64,3))/(VLOOKUP($C496,Lookups!$A$55:$D$64,4))*VLOOKUP($C496,Lookups!$C$2:$D$11,2))),0),10))</f>
        <v>#N/A</v>
      </c>
      <c r="P496" s="13" t="str">
        <f>IF((SUM(F496:M496)=0),"J",VLOOKUP(O496,Lookups!$A$1:$B$11,2))</f>
        <v>J</v>
      </c>
      <c r="Q496" s="8" t="e">
        <f>VLOOKUP(C496,Lookups!$A$136:$C$144,3)</f>
        <v>#N/A</v>
      </c>
      <c r="R496" s="8" t="e">
        <f>VLOOKUP(C496,Lookups!$A$136:$C$144,2)</f>
        <v>#N/A</v>
      </c>
      <c r="S496" s="4" t="str">
        <f t="shared" si="42"/>
        <v>No</v>
      </c>
      <c r="T496" s="125">
        <f t="shared" si="43"/>
        <v>0</v>
      </c>
      <c r="U496" s="125">
        <f t="shared" si="44"/>
        <v>0</v>
      </c>
      <c r="V496" s="4" t="e">
        <f>IF($Q496&lt;&gt;3,VLOOKUP(F496,'Points Table A'!B$3:$F$33,5),VLOOKUP(F496,'Points Table A'!H$3:$L$33,5))</f>
        <v>#N/A</v>
      </c>
      <c r="W496" s="4" t="e">
        <f>IF($Q496&lt;&gt;3,VLOOKUP(G496,'Points Table A'!C$3:$F$33,4),VLOOKUP(G496,'Points Table A'!I$3:$L$33,4))</f>
        <v>#N/A</v>
      </c>
      <c r="X496" s="4" t="e">
        <f>IF($Q496&lt;&gt;3,VLOOKUP(H496,'Points Table A'!D$3:$F$28,3),VLOOKUP(H496,'Points Table A'!J$3:$L$33,3))</f>
        <v>#N/A</v>
      </c>
      <c r="Y496" s="4" t="e">
        <f>IF($Q496&lt;&gt;3,VLOOKUP(I496,'Points Table A'!E$3:$F$33,2),VLOOKUP(I496,'Points Table A'!K$3:$L$33,2))</f>
        <v>#N/A</v>
      </c>
      <c r="Z496" s="4" t="e">
        <f t="shared" si="45"/>
        <v>#N/A</v>
      </c>
      <c r="AA496" s="4">
        <f>IF($S496=Lookups!$B$113,VLOOKUP(L496,'Points Table C'!A$3:$E$11,5),VLOOKUP(U496,'Points Table C'!B$3:$E$11,4))</f>
        <v>0</v>
      </c>
      <c r="AB496" s="4" t="e">
        <f>IF($Q496=1,0,VLOOKUP($J496,'Points Table C'!$C$3:$E$18,3))</f>
        <v>#N/A</v>
      </c>
      <c r="AC496" s="4">
        <f>VLOOKUP($K496,'Points Table C'!$D$3:$E$18,2)</f>
        <v>0</v>
      </c>
      <c r="AD496" s="4" t="e">
        <f>IF($Z496&lt;Lookups!$C$106,($AA496+AB496+AC496),IF($AA496&gt;=Lookups!$C$120,($AA496+AB496+AC496),$AA496+$AB496))</f>
        <v>#N/A</v>
      </c>
      <c r="AF496" s="7"/>
      <c r="AG496" s="7"/>
      <c r="AH496" s="7"/>
      <c r="AI496" s="7"/>
      <c r="AJ496" s="7"/>
      <c r="AK496" s="7"/>
      <c r="AL496" s="7"/>
      <c r="AM496" s="7"/>
      <c r="AN496" s="7"/>
      <c r="AO496" s="7"/>
      <c r="AP496" s="7"/>
      <c r="AQ496" s="7"/>
      <c r="AR496" s="7"/>
      <c r="AS496" s="7"/>
      <c r="AT496" s="7"/>
      <c r="AU496" s="7"/>
      <c r="AV496" s="7"/>
      <c r="AW496" s="7"/>
      <c r="AY496" s="7"/>
      <c r="AZ496" s="7"/>
      <c r="BA496" s="7"/>
      <c r="BB496" s="7"/>
    </row>
    <row r="497" spans="2:54" x14ac:dyDescent="0.2">
      <c r="B497" s="174"/>
      <c r="C497" s="176"/>
      <c r="F497" s="5">
        <v>0</v>
      </c>
      <c r="G497" s="192">
        <v>0</v>
      </c>
      <c r="H497" s="192">
        <v>0</v>
      </c>
      <c r="I497" s="5">
        <v>0</v>
      </c>
      <c r="J497" s="192">
        <v>0</v>
      </c>
      <c r="K497" s="192">
        <v>0</v>
      </c>
      <c r="L497" s="5">
        <v>0</v>
      </c>
      <c r="M497" s="5">
        <v>0</v>
      </c>
      <c r="N497" s="4" t="e">
        <f t="shared" si="41"/>
        <v>#N/A</v>
      </c>
      <c r="O497" s="4" t="e">
        <f>IF(ROUND(10.499-(((N497-VLOOKUP($C497,Lookups!$A$55:$D$64,3))/(VLOOKUP($C497,Lookups!$A$55:$D$64,4))*VLOOKUP($C497,Lookups!$C$2:$D$11,2))),0)&lt;1,1,IF(ROUND(10.499-(((N497-VLOOKUP($C497,Lookups!$A$55:$D$64,3))/(VLOOKUP($C497,Lookups!$A$55:$D$64,4))*VLOOKUP($C497,Lookups!$C$2:$D$11,2))),0)&lt;11,ROUND(10.499-(((N497-VLOOKUP($C497,Lookups!$A$55:$D$64,3))/(VLOOKUP($C497,Lookups!$A$55:$D$64,4))*VLOOKUP($C497,Lookups!$C$2:$D$11,2))),0),10))</f>
        <v>#N/A</v>
      </c>
      <c r="P497" s="13" t="str">
        <f>IF((SUM(F497:M497)=0),"J",VLOOKUP(O497,Lookups!$A$1:$B$11,2))</f>
        <v>J</v>
      </c>
      <c r="Q497" s="8" t="e">
        <f>VLOOKUP(C497,Lookups!$A$136:$C$144,3)</f>
        <v>#N/A</v>
      </c>
      <c r="R497" s="8" t="e">
        <f>VLOOKUP(C497,Lookups!$A$136:$C$144,2)</f>
        <v>#N/A</v>
      </c>
      <c r="S497" s="4" t="str">
        <f t="shared" si="42"/>
        <v>No</v>
      </c>
      <c r="T497" s="125">
        <f t="shared" si="43"/>
        <v>0</v>
      </c>
      <c r="U497" s="125">
        <f t="shared" si="44"/>
        <v>0</v>
      </c>
      <c r="V497" s="4" t="e">
        <f>IF($Q497&lt;&gt;3,VLOOKUP(F497,'Points Table A'!B$3:$F$33,5),VLOOKUP(F497,'Points Table A'!H$3:$L$33,5))</f>
        <v>#N/A</v>
      </c>
      <c r="W497" s="4" t="e">
        <f>IF($Q497&lt;&gt;3,VLOOKUP(G497,'Points Table A'!C$3:$F$33,4),VLOOKUP(G497,'Points Table A'!I$3:$L$33,4))</f>
        <v>#N/A</v>
      </c>
      <c r="X497" s="4" t="e">
        <f>IF($Q497&lt;&gt;3,VLOOKUP(H497,'Points Table A'!D$3:$F$28,3),VLOOKUP(H497,'Points Table A'!J$3:$L$33,3))</f>
        <v>#N/A</v>
      </c>
      <c r="Y497" s="4" t="e">
        <f>IF($Q497&lt;&gt;3,VLOOKUP(I497,'Points Table A'!E$3:$F$33,2),VLOOKUP(I497,'Points Table A'!K$3:$L$33,2))</f>
        <v>#N/A</v>
      </c>
      <c r="Z497" s="4" t="e">
        <f t="shared" si="45"/>
        <v>#N/A</v>
      </c>
      <c r="AA497" s="4">
        <f>IF($S497=Lookups!$B$113,VLOOKUP(L497,'Points Table C'!A$3:$E$11,5),VLOOKUP(U497,'Points Table C'!B$3:$E$11,4))</f>
        <v>0</v>
      </c>
      <c r="AB497" s="4" t="e">
        <f>IF($Q497=1,0,VLOOKUP($J497,'Points Table C'!$C$3:$E$18,3))</f>
        <v>#N/A</v>
      </c>
      <c r="AC497" s="4">
        <f>VLOOKUP($K497,'Points Table C'!$D$3:$E$18,2)</f>
        <v>0</v>
      </c>
      <c r="AD497" s="4" t="e">
        <f>IF($Z497&lt;Lookups!$C$106,($AA497+AB497+AC497),IF($AA497&gt;=Lookups!$C$120,($AA497+AB497+AC497),$AA497+$AB497))</f>
        <v>#N/A</v>
      </c>
      <c r="AF497" s="7"/>
      <c r="AG497" s="7"/>
      <c r="AH497" s="7"/>
      <c r="AI497" s="7"/>
      <c r="AJ497" s="7"/>
      <c r="AK497" s="7"/>
      <c r="AL497" s="7"/>
      <c r="AM497" s="7"/>
      <c r="AN497" s="7"/>
      <c r="AO497" s="7"/>
      <c r="AP497" s="7"/>
      <c r="AQ497" s="7"/>
      <c r="AR497" s="7"/>
      <c r="AS497" s="7"/>
      <c r="AT497" s="7"/>
      <c r="AU497" s="7"/>
      <c r="AV497" s="7"/>
      <c r="AW497" s="7"/>
      <c r="AY497" s="7"/>
      <c r="AZ497" s="7"/>
      <c r="BA497" s="7"/>
      <c r="BB497" s="7"/>
    </row>
    <row r="498" spans="2:54" x14ac:dyDescent="0.2">
      <c r="B498" s="174"/>
      <c r="C498" s="176"/>
      <c r="F498" s="5">
        <v>0</v>
      </c>
      <c r="G498" s="192">
        <v>0</v>
      </c>
      <c r="H498" s="192">
        <v>0</v>
      </c>
      <c r="I498" s="5">
        <v>0</v>
      </c>
      <c r="J498" s="192">
        <v>0</v>
      </c>
      <c r="K498" s="192">
        <v>0</v>
      </c>
      <c r="L498" s="5">
        <v>0</v>
      </c>
      <c r="M498" s="5">
        <v>0</v>
      </c>
      <c r="N498" s="4" t="e">
        <f t="shared" si="41"/>
        <v>#N/A</v>
      </c>
      <c r="O498" s="4" t="e">
        <f>IF(ROUND(10.499-(((N498-VLOOKUP($C498,Lookups!$A$55:$D$64,3))/(VLOOKUP($C498,Lookups!$A$55:$D$64,4))*VLOOKUP($C498,Lookups!$C$2:$D$11,2))),0)&lt;1,1,IF(ROUND(10.499-(((N498-VLOOKUP($C498,Lookups!$A$55:$D$64,3))/(VLOOKUP($C498,Lookups!$A$55:$D$64,4))*VLOOKUP($C498,Lookups!$C$2:$D$11,2))),0)&lt;11,ROUND(10.499-(((N498-VLOOKUP($C498,Lookups!$A$55:$D$64,3))/(VLOOKUP($C498,Lookups!$A$55:$D$64,4))*VLOOKUP($C498,Lookups!$C$2:$D$11,2))),0),10))</f>
        <v>#N/A</v>
      </c>
      <c r="P498" s="13" t="str">
        <f>IF((SUM(F498:M498)=0),"J",VLOOKUP(O498,Lookups!$A$1:$B$11,2))</f>
        <v>J</v>
      </c>
      <c r="Q498" s="8" t="e">
        <f>VLOOKUP(C498,Lookups!$A$136:$C$144,3)</f>
        <v>#N/A</v>
      </c>
      <c r="R498" s="8" t="e">
        <f>VLOOKUP(C498,Lookups!$A$136:$C$144,2)</f>
        <v>#N/A</v>
      </c>
      <c r="S498" s="4" t="str">
        <f t="shared" si="42"/>
        <v>No</v>
      </c>
      <c r="T498" s="125">
        <f t="shared" si="43"/>
        <v>0</v>
      </c>
      <c r="U498" s="125">
        <f t="shared" si="44"/>
        <v>0</v>
      </c>
      <c r="V498" s="4" t="e">
        <f>IF($Q498&lt;&gt;3,VLOOKUP(F498,'Points Table A'!B$3:$F$33,5),VLOOKUP(F498,'Points Table A'!H$3:$L$33,5))</f>
        <v>#N/A</v>
      </c>
      <c r="W498" s="4" t="e">
        <f>IF($Q498&lt;&gt;3,VLOOKUP(G498,'Points Table A'!C$3:$F$33,4),VLOOKUP(G498,'Points Table A'!I$3:$L$33,4))</f>
        <v>#N/A</v>
      </c>
      <c r="X498" s="4" t="e">
        <f>IF($Q498&lt;&gt;3,VLOOKUP(H498,'Points Table A'!D$3:$F$28,3),VLOOKUP(H498,'Points Table A'!J$3:$L$33,3))</f>
        <v>#N/A</v>
      </c>
      <c r="Y498" s="4" t="e">
        <f>IF($Q498&lt;&gt;3,VLOOKUP(I498,'Points Table A'!E$3:$F$33,2),VLOOKUP(I498,'Points Table A'!K$3:$L$33,2))</f>
        <v>#N/A</v>
      </c>
      <c r="Z498" s="4" t="e">
        <f t="shared" si="45"/>
        <v>#N/A</v>
      </c>
      <c r="AA498" s="4">
        <f>IF($S498=Lookups!$B$113,VLOOKUP(L498,'Points Table C'!A$3:$E$11,5),VLOOKUP(U498,'Points Table C'!B$3:$E$11,4))</f>
        <v>0</v>
      </c>
      <c r="AB498" s="4" t="e">
        <f>IF($Q498=1,0,VLOOKUP($J498,'Points Table C'!$C$3:$E$18,3))</f>
        <v>#N/A</v>
      </c>
      <c r="AC498" s="4">
        <f>VLOOKUP($K498,'Points Table C'!$D$3:$E$18,2)</f>
        <v>0</v>
      </c>
      <c r="AD498" s="4" t="e">
        <f>IF($Z498&lt;Lookups!$C$106,($AA498+AB498+AC498),IF($AA498&gt;=Lookups!$C$120,($AA498+AB498+AC498),$AA498+$AB498))</f>
        <v>#N/A</v>
      </c>
      <c r="AF498" s="7"/>
      <c r="AG498" s="7"/>
      <c r="AH498" s="7"/>
      <c r="AI498" s="7"/>
      <c r="AJ498" s="7"/>
      <c r="AK498" s="7"/>
      <c r="AL498" s="7"/>
      <c r="AM498" s="7"/>
      <c r="AN498" s="7"/>
      <c r="AO498" s="7"/>
      <c r="AP498" s="7"/>
      <c r="AQ498" s="7"/>
      <c r="AR498" s="7"/>
      <c r="AS498" s="7"/>
      <c r="AT498" s="7"/>
      <c r="AU498" s="7"/>
      <c r="AV498" s="7"/>
      <c r="AW498" s="7"/>
      <c r="AY498" s="7"/>
      <c r="AZ498" s="7"/>
      <c r="BA498" s="7"/>
      <c r="BB498" s="7"/>
    </row>
    <row r="499" spans="2:54" x14ac:dyDescent="0.2">
      <c r="B499" s="174"/>
      <c r="C499" s="176"/>
      <c r="F499" s="5">
        <v>0</v>
      </c>
      <c r="G499" s="192">
        <v>0</v>
      </c>
      <c r="H499" s="192">
        <v>0</v>
      </c>
      <c r="I499" s="5">
        <v>0</v>
      </c>
      <c r="J499" s="192">
        <v>0</v>
      </c>
      <c r="K499" s="192">
        <v>0</v>
      </c>
      <c r="L499" s="5">
        <v>0</v>
      </c>
      <c r="M499" s="5">
        <v>0</v>
      </c>
      <c r="N499" s="4" t="e">
        <f t="shared" si="41"/>
        <v>#N/A</v>
      </c>
      <c r="O499" s="4" t="e">
        <f>IF(ROUND(10.499-(((N499-VLOOKUP($C499,Lookups!$A$55:$D$64,3))/(VLOOKUP($C499,Lookups!$A$55:$D$64,4))*VLOOKUP($C499,Lookups!$C$2:$D$11,2))),0)&lt;1,1,IF(ROUND(10.499-(((N499-VLOOKUP($C499,Lookups!$A$55:$D$64,3))/(VLOOKUP($C499,Lookups!$A$55:$D$64,4))*VLOOKUP($C499,Lookups!$C$2:$D$11,2))),0)&lt;11,ROUND(10.499-(((N499-VLOOKUP($C499,Lookups!$A$55:$D$64,3))/(VLOOKUP($C499,Lookups!$A$55:$D$64,4))*VLOOKUP($C499,Lookups!$C$2:$D$11,2))),0),10))</f>
        <v>#N/A</v>
      </c>
      <c r="P499" s="13" t="str">
        <f>IF((SUM(F499:M499)=0),"J",VLOOKUP(O499,Lookups!$A$1:$B$11,2))</f>
        <v>J</v>
      </c>
      <c r="Q499" s="8" t="e">
        <f>VLOOKUP(C499,Lookups!$A$136:$C$144,3)</f>
        <v>#N/A</v>
      </c>
      <c r="R499" s="8" t="e">
        <f>VLOOKUP(C499,Lookups!$A$136:$C$144,2)</f>
        <v>#N/A</v>
      </c>
      <c r="S499" s="4" t="str">
        <f t="shared" si="42"/>
        <v>No</v>
      </c>
      <c r="T499" s="125">
        <f t="shared" si="43"/>
        <v>0</v>
      </c>
      <c r="U499" s="125">
        <f t="shared" si="44"/>
        <v>0</v>
      </c>
      <c r="V499" s="4" t="e">
        <f>IF($Q499&lt;&gt;3,VLOOKUP(F499,'Points Table A'!B$3:$F$33,5),VLOOKUP(F499,'Points Table A'!H$3:$L$33,5))</f>
        <v>#N/A</v>
      </c>
      <c r="W499" s="4" t="e">
        <f>IF($Q499&lt;&gt;3,VLOOKUP(G499,'Points Table A'!C$3:$F$33,4),VLOOKUP(G499,'Points Table A'!I$3:$L$33,4))</f>
        <v>#N/A</v>
      </c>
      <c r="X499" s="4" t="e">
        <f>IF($Q499&lt;&gt;3,VLOOKUP(H499,'Points Table A'!D$3:$F$28,3),VLOOKUP(H499,'Points Table A'!J$3:$L$33,3))</f>
        <v>#N/A</v>
      </c>
      <c r="Y499" s="4" t="e">
        <f>IF($Q499&lt;&gt;3,VLOOKUP(I499,'Points Table A'!E$3:$F$33,2),VLOOKUP(I499,'Points Table A'!K$3:$L$33,2))</f>
        <v>#N/A</v>
      </c>
      <c r="Z499" s="4" t="e">
        <f t="shared" si="45"/>
        <v>#N/A</v>
      </c>
      <c r="AA499" s="4">
        <f>IF($S499=Lookups!$B$113,VLOOKUP(L499,'Points Table C'!A$3:$E$11,5),VLOOKUP(U499,'Points Table C'!B$3:$E$11,4))</f>
        <v>0</v>
      </c>
      <c r="AB499" s="4" t="e">
        <f>IF($Q499=1,0,VLOOKUP($J499,'Points Table C'!$C$3:$E$18,3))</f>
        <v>#N/A</v>
      </c>
      <c r="AC499" s="4">
        <f>VLOOKUP($K499,'Points Table C'!$D$3:$E$18,2)</f>
        <v>0</v>
      </c>
      <c r="AD499" s="4" t="e">
        <f>IF($Z499&lt;Lookups!$C$106,($AA499+AB499+AC499),IF($AA499&gt;=Lookups!$C$120,($AA499+AB499+AC499),$AA499+$AB499))</f>
        <v>#N/A</v>
      </c>
      <c r="AF499" s="7"/>
      <c r="AG499" s="7"/>
      <c r="AH499" s="7"/>
      <c r="AI499" s="7"/>
      <c r="AJ499" s="7"/>
      <c r="AK499" s="7"/>
      <c r="AL499" s="7"/>
      <c r="AM499" s="7"/>
      <c r="AN499" s="7"/>
      <c r="AO499" s="7"/>
      <c r="AP499" s="7"/>
      <c r="AQ499" s="7"/>
      <c r="AR499" s="7"/>
      <c r="AS499" s="7"/>
      <c r="AT499" s="7"/>
      <c r="AU499" s="7"/>
      <c r="AV499" s="7"/>
      <c r="AW499" s="7"/>
      <c r="AY499" s="7"/>
      <c r="AZ499" s="7"/>
      <c r="BA499" s="7"/>
      <c r="BB499" s="7"/>
    </row>
    <row r="500" spans="2:54" x14ac:dyDescent="0.2">
      <c r="B500" s="174"/>
      <c r="C500" s="176"/>
      <c r="F500" s="5">
        <v>0</v>
      </c>
      <c r="G500" s="192">
        <v>0</v>
      </c>
      <c r="H500" s="192">
        <v>0</v>
      </c>
      <c r="I500" s="5">
        <v>0</v>
      </c>
      <c r="J500" s="192">
        <v>0</v>
      </c>
      <c r="K500" s="192">
        <v>0</v>
      </c>
      <c r="L500" s="5">
        <v>0</v>
      </c>
      <c r="M500" s="5">
        <v>0</v>
      </c>
      <c r="N500" s="4" t="e">
        <f t="shared" si="41"/>
        <v>#N/A</v>
      </c>
      <c r="O500" s="4" t="e">
        <f>IF(ROUND(10.499-(((N500-VLOOKUP($C500,Lookups!$A$55:$D$64,3))/(VLOOKUP($C500,Lookups!$A$55:$D$64,4))*VLOOKUP($C500,Lookups!$C$2:$D$11,2))),0)&lt;1,1,IF(ROUND(10.499-(((N500-VLOOKUP($C500,Lookups!$A$55:$D$64,3))/(VLOOKUP($C500,Lookups!$A$55:$D$64,4))*VLOOKUP($C500,Lookups!$C$2:$D$11,2))),0)&lt;11,ROUND(10.499-(((N500-VLOOKUP($C500,Lookups!$A$55:$D$64,3))/(VLOOKUP($C500,Lookups!$A$55:$D$64,4))*VLOOKUP($C500,Lookups!$C$2:$D$11,2))),0),10))</f>
        <v>#N/A</v>
      </c>
      <c r="P500" s="13" t="str">
        <f>IF((SUM(F500:M500)=0),"J",VLOOKUP(O500,Lookups!$A$1:$B$11,2))</f>
        <v>J</v>
      </c>
      <c r="Q500" s="8" t="e">
        <f>VLOOKUP(C500,Lookups!$A$136:$C$144,3)</f>
        <v>#N/A</v>
      </c>
      <c r="R500" s="8" t="e">
        <f>VLOOKUP(C500,Lookups!$A$136:$C$144,2)</f>
        <v>#N/A</v>
      </c>
      <c r="S500" s="4" t="str">
        <f t="shared" si="42"/>
        <v>No</v>
      </c>
      <c r="T500" s="125">
        <f t="shared" si="43"/>
        <v>0</v>
      </c>
      <c r="U500" s="125">
        <f t="shared" si="44"/>
        <v>0</v>
      </c>
      <c r="V500" s="4" t="e">
        <f>IF($Q500&lt;&gt;3,VLOOKUP(F500,'Points Table A'!B$3:$F$33,5),VLOOKUP(F500,'Points Table A'!H$3:$L$33,5))</f>
        <v>#N/A</v>
      </c>
      <c r="W500" s="4" t="e">
        <f>IF($Q500&lt;&gt;3,VLOOKUP(G500,'Points Table A'!C$3:$F$33,4),VLOOKUP(G500,'Points Table A'!I$3:$L$33,4))</f>
        <v>#N/A</v>
      </c>
      <c r="X500" s="4" t="e">
        <f>IF($Q500&lt;&gt;3,VLOOKUP(H500,'Points Table A'!D$3:$F$28,3),VLOOKUP(H500,'Points Table A'!J$3:$L$33,3))</f>
        <v>#N/A</v>
      </c>
      <c r="Y500" s="4" t="e">
        <f>IF($Q500&lt;&gt;3,VLOOKUP(I500,'Points Table A'!E$3:$F$33,2),VLOOKUP(I500,'Points Table A'!K$3:$L$33,2))</f>
        <v>#N/A</v>
      </c>
      <c r="Z500" s="4" t="e">
        <f t="shared" si="45"/>
        <v>#N/A</v>
      </c>
      <c r="AA500" s="4">
        <f>IF($S500=Lookups!$B$113,VLOOKUP(L500,'Points Table C'!A$3:$E$11,5),VLOOKUP(U500,'Points Table C'!B$3:$E$11,4))</f>
        <v>0</v>
      </c>
      <c r="AB500" s="4" t="e">
        <f>IF($Q500=1,0,VLOOKUP($J500,'Points Table C'!$C$3:$E$18,3))</f>
        <v>#N/A</v>
      </c>
      <c r="AC500" s="4">
        <f>VLOOKUP($K500,'Points Table C'!$D$3:$E$18,2)</f>
        <v>0</v>
      </c>
      <c r="AD500" s="4" t="e">
        <f>IF($Z500&lt;Lookups!$C$106,($AA500+AB500+AC500),IF($AA500&gt;=Lookups!$C$120,($AA500+AB500+AC500),$AA500+$AB500))</f>
        <v>#N/A</v>
      </c>
      <c r="AF500" s="7"/>
      <c r="AG500" s="7"/>
      <c r="AH500" s="7"/>
      <c r="AI500" s="7"/>
      <c r="AJ500" s="7"/>
      <c r="AK500" s="7"/>
      <c r="AL500" s="7"/>
      <c r="AM500" s="7"/>
      <c r="AN500" s="7"/>
      <c r="AO500" s="7"/>
      <c r="AP500" s="7"/>
      <c r="AQ500" s="7"/>
      <c r="AR500" s="7"/>
      <c r="AS500" s="7"/>
      <c r="AT500" s="7"/>
      <c r="AU500" s="7"/>
      <c r="AV500" s="7"/>
      <c r="AW500" s="7"/>
      <c r="AY500" s="7"/>
      <c r="AZ500" s="7"/>
      <c r="BA500" s="7"/>
      <c r="BB500" s="7"/>
    </row>
    <row r="501" spans="2:54" x14ac:dyDescent="0.2">
      <c r="B501" s="174"/>
      <c r="C501" s="176"/>
      <c r="F501" s="5">
        <v>0</v>
      </c>
      <c r="G501" s="192">
        <v>0</v>
      </c>
      <c r="H501" s="192">
        <v>0</v>
      </c>
      <c r="I501" s="5">
        <v>0</v>
      </c>
      <c r="J501" s="192">
        <v>0</v>
      </c>
      <c r="K501" s="192">
        <v>0</v>
      </c>
      <c r="L501" s="5">
        <v>0</v>
      </c>
      <c r="M501" s="5">
        <v>0</v>
      </c>
      <c r="N501" s="4" t="e">
        <f t="shared" si="41"/>
        <v>#N/A</v>
      </c>
      <c r="O501" s="4" t="e">
        <f>IF(ROUND(10.499-(((N501-VLOOKUP($C501,Lookups!$A$55:$D$64,3))/(VLOOKUP($C501,Lookups!$A$55:$D$64,4))*VLOOKUP($C501,Lookups!$C$2:$D$11,2))),0)&lt;1,1,IF(ROUND(10.499-(((N501-VLOOKUP($C501,Lookups!$A$55:$D$64,3))/(VLOOKUP($C501,Lookups!$A$55:$D$64,4))*VLOOKUP($C501,Lookups!$C$2:$D$11,2))),0)&lt;11,ROUND(10.499-(((N501-VLOOKUP($C501,Lookups!$A$55:$D$64,3))/(VLOOKUP($C501,Lookups!$A$55:$D$64,4))*VLOOKUP($C501,Lookups!$C$2:$D$11,2))),0),10))</f>
        <v>#N/A</v>
      </c>
      <c r="P501" s="13" t="str">
        <f>IF((SUM(F501:M501)=0),"J",VLOOKUP(O501,Lookups!$A$1:$B$11,2))</f>
        <v>J</v>
      </c>
      <c r="Q501" s="8" t="e">
        <f>VLOOKUP(C501,Lookups!$A$136:$C$144,3)</f>
        <v>#N/A</v>
      </c>
      <c r="R501" s="8" t="e">
        <f>VLOOKUP(C501,Lookups!$A$136:$C$144,2)</f>
        <v>#N/A</v>
      </c>
      <c r="S501" s="4" t="str">
        <f t="shared" si="42"/>
        <v>No</v>
      </c>
      <c r="T501" s="125">
        <f t="shared" si="43"/>
        <v>0</v>
      </c>
      <c r="U501" s="125">
        <f t="shared" si="44"/>
        <v>0</v>
      </c>
      <c r="V501" s="4" t="e">
        <f>IF($Q501&lt;&gt;3,VLOOKUP(F501,'Points Table A'!B$3:$F$33,5),VLOOKUP(F501,'Points Table A'!H$3:$L$33,5))</f>
        <v>#N/A</v>
      </c>
      <c r="W501" s="4" t="e">
        <f>IF($Q501&lt;&gt;3,VLOOKUP(G501,'Points Table A'!C$3:$F$33,4),VLOOKUP(G501,'Points Table A'!I$3:$L$33,4))</f>
        <v>#N/A</v>
      </c>
      <c r="X501" s="4" t="e">
        <f>IF($Q501&lt;&gt;3,VLOOKUP(H501,'Points Table A'!D$3:$F$28,3),VLOOKUP(H501,'Points Table A'!J$3:$L$33,3))</f>
        <v>#N/A</v>
      </c>
      <c r="Y501" s="4" t="e">
        <f>IF($Q501&lt;&gt;3,VLOOKUP(I501,'Points Table A'!E$3:$F$33,2),VLOOKUP(I501,'Points Table A'!K$3:$L$33,2))</f>
        <v>#N/A</v>
      </c>
      <c r="Z501" s="4" t="e">
        <f t="shared" si="45"/>
        <v>#N/A</v>
      </c>
      <c r="AA501" s="4">
        <f>IF($S501=Lookups!$B$113,VLOOKUP(L501,'Points Table C'!A$3:$E$11,5),VLOOKUP(U501,'Points Table C'!B$3:$E$11,4))</f>
        <v>0</v>
      </c>
      <c r="AB501" s="4" t="e">
        <f>IF($Q501=1,0,VLOOKUP($J501,'Points Table C'!$C$3:$E$18,3))</f>
        <v>#N/A</v>
      </c>
      <c r="AC501" s="4">
        <f>VLOOKUP($K501,'Points Table C'!$D$3:$E$18,2)</f>
        <v>0</v>
      </c>
      <c r="AD501" s="4" t="e">
        <f>IF($Z501&lt;Lookups!$C$106,($AA501+AB501+AC501),IF($AA501&gt;=Lookups!$C$120,($AA501+AB501+AC501),$AA501+$AB501))</f>
        <v>#N/A</v>
      </c>
      <c r="AF501" s="7"/>
      <c r="AG501" s="7"/>
      <c r="AH501" s="7"/>
      <c r="AI501" s="7"/>
      <c r="AJ501" s="7"/>
      <c r="AK501" s="7"/>
      <c r="AL501" s="7"/>
      <c r="AM501" s="7"/>
      <c r="AN501" s="7"/>
      <c r="AO501" s="7"/>
      <c r="AP501" s="7"/>
      <c r="AQ501" s="7"/>
      <c r="AR501" s="7"/>
      <c r="AS501" s="7"/>
      <c r="AT501" s="7"/>
      <c r="AU501" s="7"/>
      <c r="AV501" s="7"/>
      <c r="AW501" s="7"/>
      <c r="AY501" s="7"/>
      <c r="AZ501" s="7"/>
      <c r="BA501" s="7"/>
      <c r="BB501" s="7"/>
    </row>
    <row r="502" spans="2:54" x14ac:dyDescent="0.2">
      <c r="B502" s="174"/>
      <c r="C502" s="176"/>
      <c r="F502" s="5">
        <v>0</v>
      </c>
      <c r="G502" s="192">
        <v>0</v>
      </c>
      <c r="H502" s="192">
        <v>0</v>
      </c>
      <c r="I502" s="5">
        <v>0</v>
      </c>
      <c r="J502" s="192">
        <v>0</v>
      </c>
      <c r="K502" s="192">
        <v>0</v>
      </c>
      <c r="L502" s="5">
        <v>0</v>
      </c>
      <c r="M502" s="5">
        <v>0</v>
      </c>
      <c r="N502" s="4" t="e">
        <f t="shared" si="41"/>
        <v>#N/A</v>
      </c>
      <c r="O502" s="4" t="e">
        <f>IF(ROUND(10.499-(((N502-VLOOKUP($C502,Lookups!$A$55:$D$64,3))/(VLOOKUP($C502,Lookups!$A$55:$D$64,4))*VLOOKUP($C502,Lookups!$C$2:$D$11,2))),0)&lt;1,1,IF(ROUND(10.499-(((N502-VLOOKUP($C502,Lookups!$A$55:$D$64,3))/(VLOOKUP($C502,Lookups!$A$55:$D$64,4))*VLOOKUP($C502,Lookups!$C$2:$D$11,2))),0)&lt;11,ROUND(10.499-(((N502-VLOOKUP($C502,Lookups!$A$55:$D$64,3))/(VLOOKUP($C502,Lookups!$A$55:$D$64,4))*VLOOKUP($C502,Lookups!$C$2:$D$11,2))),0),10))</f>
        <v>#N/A</v>
      </c>
      <c r="P502" s="13" t="str">
        <f>IF((SUM(F502:M502)=0),"J",VLOOKUP(O502,Lookups!$A$1:$B$11,2))</f>
        <v>J</v>
      </c>
      <c r="Q502" s="8" t="e">
        <f>VLOOKUP(C502,Lookups!$A$136:$C$144,3)</f>
        <v>#N/A</v>
      </c>
      <c r="R502" s="8" t="e">
        <f>VLOOKUP(C502,Lookups!$A$136:$C$144,2)</f>
        <v>#N/A</v>
      </c>
      <c r="S502" s="4" t="str">
        <f t="shared" si="42"/>
        <v>No</v>
      </c>
      <c r="T502" s="125">
        <f t="shared" si="43"/>
        <v>0</v>
      </c>
      <c r="U502" s="125">
        <f t="shared" si="44"/>
        <v>0</v>
      </c>
      <c r="V502" s="4" t="e">
        <f>IF($Q502&lt;&gt;3,VLOOKUP(F502,'Points Table A'!B$3:$F$33,5),VLOOKUP(F502,'Points Table A'!H$3:$L$33,5))</f>
        <v>#N/A</v>
      </c>
      <c r="W502" s="4" t="e">
        <f>IF($Q502&lt;&gt;3,VLOOKUP(G502,'Points Table A'!C$3:$F$33,4),VLOOKUP(G502,'Points Table A'!I$3:$L$33,4))</f>
        <v>#N/A</v>
      </c>
      <c r="X502" s="4" t="e">
        <f>IF($Q502&lt;&gt;3,VLOOKUP(H502,'Points Table A'!D$3:$F$28,3),VLOOKUP(H502,'Points Table A'!J$3:$L$33,3))</f>
        <v>#N/A</v>
      </c>
      <c r="Y502" s="4" t="e">
        <f>IF($Q502&lt;&gt;3,VLOOKUP(I502,'Points Table A'!E$3:$F$33,2),VLOOKUP(I502,'Points Table A'!K$3:$L$33,2))</f>
        <v>#N/A</v>
      </c>
      <c r="Z502" s="4" t="e">
        <f t="shared" si="45"/>
        <v>#N/A</v>
      </c>
      <c r="AA502" s="4">
        <f>IF($S502=Lookups!$B$113,VLOOKUP(L502,'Points Table C'!A$3:$E$11,5),VLOOKUP(U502,'Points Table C'!B$3:$E$11,4))</f>
        <v>0</v>
      </c>
      <c r="AB502" s="4" t="e">
        <f>IF($Q502=1,0,VLOOKUP($J502,'Points Table C'!$C$3:$E$18,3))</f>
        <v>#N/A</v>
      </c>
      <c r="AC502" s="4">
        <f>VLOOKUP($K502,'Points Table C'!$D$3:$E$18,2)</f>
        <v>0</v>
      </c>
      <c r="AD502" s="4" t="e">
        <f>IF($Z502&lt;Lookups!$C$106,($AA502+AB502+AC502),IF($AA502&gt;=Lookups!$C$120,($AA502+AB502+AC502),$AA502+$AB502))</f>
        <v>#N/A</v>
      </c>
      <c r="AF502" s="7"/>
      <c r="AG502" s="7"/>
      <c r="AH502" s="7"/>
      <c r="AI502" s="7"/>
      <c r="AJ502" s="7"/>
      <c r="AK502" s="7"/>
      <c r="AL502" s="7"/>
      <c r="AM502" s="7"/>
      <c r="AN502" s="7"/>
      <c r="AO502" s="7"/>
      <c r="AP502" s="7"/>
      <c r="AQ502" s="7"/>
      <c r="AR502" s="7"/>
      <c r="AS502" s="7"/>
      <c r="AT502" s="7"/>
      <c r="AU502" s="7"/>
      <c r="AV502" s="7"/>
      <c r="AW502" s="7"/>
      <c r="AY502" s="7"/>
      <c r="AZ502" s="7"/>
      <c r="BA502" s="7"/>
      <c r="BB502" s="7"/>
    </row>
    <row r="503" spans="2:54" x14ac:dyDescent="0.2">
      <c r="B503" s="174"/>
      <c r="C503" s="176"/>
      <c r="F503" s="5">
        <v>0</v>
      </c>
      <c r="G503" s="192">
        <v>0</v>
      </c>
      <c r="H503" s="192">
        <v>0</v>
      </c>
      <c r="I503" s="5">
        <v>0</v>
      </c>
      <c r="J503" s="192">
        <v>0</v>
      </c>
      <c r="K503" s="192">
        <v>0</v>
      </c>
      <c r="L503" s="5">
        <v>0</v>
      </c>
      <c r="M503" s="5">
        <v>0</v>
      </c>
      <c r="N503" s="4" t="e">
        <f t="shared" si="41"/>
        <v>#N/A</v>
      </c>
      <c r="O503" s="4" t="e">
        <f>IF(ROUND(10.499-(((N503-VLOOKUP($C503,Lookups!$A$55:$D$64,3))/(VLOOKUP($C503,Lookups!$A$55:$D$64,4))*VLOOKUP($C503,Lookups!$C$2:$D$11,2))),0)&lt;1,1,IF(ROUND(10.499-(((N503-VLOOKUP($C503,Lookups!$A$55:$D$64,3))/(VLOOKUP($C503,Lookups!$A$55:$D$64,4))*VLOOKUP($C503,Lookups!$C$2:$D$11,2))),0)&lt;11,ROUND(10.499-(((N503-VLOOKUP($C503,Lookups!$A$55:$D$64,3))/(VLOOKUP($C503,Lookups!$A$55:$D$64,4))*VLOOKUP($C503,Lookups!$C$2:$D$11,2))),0),10))</f>
        <v>#N/A</v>
      </c>
      <c r="P503" s="13" t="str">
        <f>IF((SUM(F503:M503)=0),"J",VLOOKUP(O503,Lookups!$A$1:$B$11,2))</f>
        <v>J</v>
      </c>
      <c r="Q503" s="8" t="e">
        <f>VLOOKUP(C503,Lookups!$A$136:$C$144,3)</f>
        <v>#N/A</v>
      </c>
      <c r="R503" s="8" t="e">
        <f>VLOOKUP(C503,Lookups!$A$136:$C$144,2)</f>
        <v>#N/A</v>
      </c>
      <c r="S503" s="4" t="str">
        <f t="shared" si="42"/>
        <v>No</v>
      </c>
      <c r="T503" s="125">
        <f t="shared" si="43"/>
        <v>0</v>
      </c>
      <c r="U503" s="125">
        <f t="shared" si="44"/>
        <v>0</v>
      </c>
      <c r="V503" s="4" t="e">
        <f>IF($Q503&lt;&gt;3,VLOOKUP(F503,'Points Table A'!B$3:$F$33,5),VLOOKUP(F503,'Points Table A'!H$3:$L$33,5))</f>
        <v>#N/A</v>
      </c>
      <c r="W503" s="4" t="e">
        <f>IF($Q503&lt;&gt;3,VLOOKUP(G503,'Points Table A'!C$3:$F$33,4),VLOOKUP(G503,'Points Table A'!I$3:$L$33,4))</f>
        <v>#N/A</v>
      </c>
      <c r="X503" s="4" t="e">
        <f>IF($Q503&lt;&gt;3,VLOOKUP(H503,'Points Table A'!D$3:$F$28,3),VLOOKUP(H503,'Points Table A'!J$3:$L$33,3))</f>
        <v>#N/A</v>
      </c>
      <c r="Y503" s="4" t="e">
        <f>IF($Q503&lt;&gt;3,VLOOKUP(I503,'Points Table A'!E$3:$F$33,2),VLOOKUP(I503,'Points Table A'!K$3:$L$33,2))</f>
        <v>#N/A</v>
      </c>
      <c r="Z503" s="4" t="e">
        <f t="shared" si="45"/>
        <v>#N/A</v>
      </c>
      <c r="AA503" s="4">
        <f>IF($S503=Lookups!$B$113,VLOOKUP(L503,'Points Table C'!A$3:$E$11,5),VLOOKUP(U503,'Points Table C'!B$3:$E$11,4))</f>
        <v>0</v>
      </c>
      <c r="AB503" s="4" t="e">
        <f>IF($Q503=1,0,VLOOKUP($J503,'Points Table C'!$C$3:$E$18,3))</f>
        <v>#N/A</v>
      </c>
      <c r="AC503" s="4">
        <f>VLOOKUP($K503,'Points Table C'!$D$3:$E$18,2)</f>
        <v>0</v>
      </c>
      <c r="AD503" s="4" t="e">
        <f>IF($Z503&lt;Lookups!$C$106,($AA503+AB503+AC503),IF($AA503&gt;=Lookups!$C$120,($AA503+AB503+AC503),$AA503+$AB503))</f>
        <v>#N/A</v>
      </c>
      <c r="AF503" s="7"/>
      <c r="AG503" s="7"/>
      <c r="AH503" s="7"/>
      <c r="AI503" s="7"/>
      <c r="AJ503" s="7"/>
      <c r="AK503" s="7"/>
      <c r="AL503" s="7"/>
      <c r="AM503" s="7"/>
      <c r="AN503" s="7"/>
      <c r="AO503" s="7"/>
      <c r="AP503" s="7"/>
      <c r="AQ503" s="7"/>
      <c r="AR503" s="7"/>
      <c r="AS503" s="7"/>
      <c r="AT503" s="7"/>
      <c r="AU503" s="7"/>
      <c r="AV503" s="7"/>
      <c r="AW503" s="7"/>
      <c r="AY503" s="7"/>
      <c r="AZ503" s="7"/>
      <c r="BA503" s="7"/>
      <c r="BB503" s="7"/>
    </row>
    <row r="504" spans="2:54" x14ac:dyDescent="0.2">
      <c r="B504" s="174"/>
      <c r="C504" s="176"/>
      <c r="F504" s="5">
        <v>0</v>
      </c>
      <c r="G504" s="192">
        <v>0</v>
      </c>
      <c r="H504" s="192">
        <v>0</v>
      </c>
      <c r="I504" s="5">
        <v>0</v>
      </c>
      <c r="J504" s="192">
        <v>0</v>
      </c>
      <c r="K504" s="192">
        <v>0</v>
      </c>
      <c r="L504" s="5">
        <v>0</v>
      </c>
      <c r="M504" s="5">
        <v>0</v>
      </c>
      <c r="N504" s="4" t="e">
        <f t="shared" si="41"/>
        <v>#N/A</v>
      </c>
      <c r="O504" s="4" t="e">
        <f>IF(ROUND(10.499-(((N504-VLOOKUP($C504,Lookups!$A$55:$D$64,3))/(VLOOKUP($C504,Lookups!$A$55:$D$64,4))*VLOOKUP($C504,Lookups!$C$2:$D$11,2))),0)&lt;1,1,IF(ROUND(10.499-(((N504-VLOOKUP($C504,Lookups!$A$55:$D$64,3))/(VLOOKUP($C504,Lookups!$A$55:$D$64,4))*VLOOKUP($C504,Lookups!$C$2:$D$11,2))),0)&lt;11,ROUND(10.499-(((N504-VLOOKUP($C504,Lookups!$A$55:$D$64,3))/(VLOOKUP($C504,Lookups!$A$55:$D$64,4))*VLOOKUP($C504,Lookups!$C$2:$D$11,2))),0),10))</f>
        <v>#N/A</v>
      </c>
      <c r="P504" s="13" t="str">
        <f>IF((SUM(F504:M504)=0),"J",VLOOKUP(O504,Lookups!$A$1:$B$11,2))</f>
        <v>J</v>
      </c>
      <c r="Q504" s="8" t="e">
        <f>VLOOKUP(C504,Lookups!$A$136:$C$144,3)</f>
        <v>#N/A</v>
      </c>
      <c r="R504" s="8" t="e">
        <f>VLOOKUP(C504,Lookups!$A$136:$C$144,2)</f>
        <v>#N/A</v>
      </c>
      <c r="S504" s="4" t="str">
        <f t="shared" si="42"/>
        <v>No</v>
      </c>
      <c r="T504" s="125">
        <f t="shared" si="43"/>
        <v>0</v>
      </c>
      <c r="U504" s="125">
        <f t="shared" si="44"/>
        <v>0</v>
      </c>
      <c r="V504" s="4" t="e">
        <f>IF($Q504&lt;&gt;3,VLOOKUP(F504,'Points Table A'!B$3:$F$33,5),VLOOKUP(F504,'Points Table A'!H$3:$L$33,5))</f>
        <v>#N/A</v>
      </c>
      <c r="W504" s="4" t="e">
        <f>IF($Q504&lt;&gt;3,VLOOKUP(G504,'Points Table A'!C$3:$F$33,4),VLOOKUP(G504,'Points Table A'!I$3:$L$33,4))</f>
        <v>#N/A</v>
      </c>
      <c r="X504" s="4" t="e">
        <f>IF($Q504&lt;&gt;3,VLOOKUP(H504,'Points Table A'!D$3:$F$28,3),VLOOKUP(H504,'Points Table A'!J$3:$L$33,3))</f>
        <v>#N/A</v>
      </c>
      <c r="Y504" s="4" t="e">
        <f>IF($Q504&lt;&gt;3,VLOOKUP(I504,'Points Table A'!E$3:$F$33,2),VLOOKUP(I504,'Points Table A'!K$3:$L$33,2))</f>
        <v>#N/A</v>
      </c>
      <c r="Z504" s="4" t="e">
        <f t="shared" si="45"/>
        <v>#N/A</v>
      </c>
      <c r="AA504" s="4">
        <f>IF($S504=Lookups!$B$113,VLOOKUP(L504,'Points Table C'!A$3:$E$11,5),VLOOKUP(U504,'Points Table C'!B$3:$E$11,4))</f>
        <v>0</v>
      </c>
      <c r="AB504" s="4" t="e">
        <f>IF($Q504=1,0,VLOOKUP($J504,'Points Table C'!$C$3:$E$18,3))</f>
        <v>#N/A</v>
      </c>
      <c r="AC504" s="4">
        <f>VLOOKUP($K504,'Points Table C'!$D$3:$E$18,2)</f>
        <v>0</v>
      </c>
      <c r="AD504" s="4" t="e">
        <f>IF($Z504&lt;Lookups!$C$106,($AA504+AB504+AC504),IF($AA504&gt;=Lookups!$C$120,($AA504+AB504+AC504),$AA504+$AB504))</f>
        <v>#N/A</v>
      </c>
      <c r="AF504" s="7"/>
      <c r="AG504" s="7"/>
      <c r="AH504" s="7"/>
      <c r="AI504" s="7"/>
      <c r="AJ504" s="7"/>
      <c r="AK504" s="7"/>
      <c r="AL504" s="7"/>
      <c r="AM504" s="7"/>
      <c r="AN504" s="7"/>
      <c r="AO504" s="7"/>
      <c r="AP504" s="7"/>
      <c r="AQ504" s="7"/>
      <c r="AR504" s="7"/>
      <c r="AS504" s="7"/>
      <c r="AT504" s="7"/>
      <c r="AU504" s="7"/>
      <c r="AV504" s="7"/>
      <c r="AW504" s="7"/>
      <c r="AY504" s="7"/>
      <c r="AZ504" s="7"/>
      <c r="BA504" s="7"/>
      <c r="BB504" s="7"/>
    </row>
    <row r="505" spans="2:54" x14ac:dyDescent="0.2">
      <c r="B505" s="174"/>
      <c r="C505" s="176"/>
      <c r="F505" s="5">
        <v>0</v>
      </c>
      <c r="G505" s="192">
        <v>0</v>
      </c>
      <c r="H505" s="192">
        <v>0</v>
      </c>
      <c r="I505" s="5">
        <v>0</v>
      </c>
      <c r="J505" s="192">
        <v>0</v>
      </c>
      <c r="K505" s="192">
        <v>0</v>
      </c>
      <c r="L505" s="5">
        <v>0</v>
      </c>
      <c r="M505" s="5">
        <v>0</v>
      </c>
      <c r="N505" s="4" t="e">
        <f t="shared" ref="N505:N568" si="46">$Z505-$AD505</f>
        <v>#N/A</v>
      </c>
      <c r="O505" s="4" t="e">
        <f>IF(ROUND(10.499-(((N505-VLOOKUP($C505,Lookups!$A$55:$D$64,3))/(VLOOKUP($C505,Lookups!$A$55:$D$64,4))*VLOOKUP($C505,Lookups!$C$2:$D$11,2))),0)&lt;1,1,IF(ROUND(10.499-(((N505-VLOOKUP($C505,Lookups!$A$55:$D$64,3))/(VLOOKUP($C505,Lookups!$A$55:$D$64,4))*VLOOKUP($C505,Lookups!$C$2:$D$11,2))),0)&lt;11,ROUND(10.499-(((N505-VLOOKUP($C505,Lookups!$A$55:$D$64,3))/(VLOOKUP($C505,Lookups!$A$55:$D$64,4))*VLOOKUP($C505,Lookups!$C$2:$D$11,2))),0),10))</f>
        <v>#N/A</v>
      </c>
      <c r="P505" s="13" t="str">
        <f>IF((SUM(F505:M505)=0),"J",VLOOKUP(O505,Lookups!$A$1:$B$11,2))</f>
        <v>J</v>
      </c>
      <c r="Q505" s="8" t="e">
        <f>VLOOKUP(C505,Lookups!$A$136:$C$144,3)</f>
        <v>#N/A</v>
      </c>
      <c r="R505" s="8" t="e">
        <f>VLOOKUP(C505,Lookups!$A$136:$C$144,2)</f>
        <v>#N/A</v>
      </c>
      <c r="S505" s="4" t="str">
        <f t="shared" si="42"/>
        <v>No</v>
      </c>
      <c r="T505" s="125">
        <f t="shared" si="43"/>
        <v>0</v>
      </c>
      <c r="U505" s="125">
        <f t="shared" si="44"/>
        <v>0</v>
      </c>
      <c r="V505" s="4" t="e">
        <f>IF($Q505&lt;&gt;3,VLOOKUP(F505,'Points Table A'!B$3:$F$33,5),VLOOKUP(F505,'Points Table A'!H$3:$L$33,5))</f>
        <v>#N/A</v>
      </c>
      <c r="W505" s="4" t="e">
        <f>IF($Q505&lt;&gt;3,VLOOKUP(G505,'Points Table A'!C$3:$F$33,4),VLOOKUP(G505,'Points Table A'!I$3:$L$33,4))</f>
        <v>#N/A</v>
      </c>
      <c r="X505" s="4" t="e">
        <f>IF($Q505&lt;&gt;3,VLOOKUP(H505,'Points Table A'!D$3:$F$28,3),VLOOKUP(H505,'Points Table A'!J$3:$L$33,3))</f>
        <v>#N/A</v>
      </c>
      <c r="Y505" s="4" t="e">
        <f>IF($Q505&lt;&gt;3,VLOOKUP(I505,'Points Table A'!E$3:$F$33,2),VLOOKUP(I505,'Points Table A'!K$3:$L$33,2))</f>
        <v>#N/A</v>
      </c>
      <c r="Z505" s="4" t="e">
        <f t="shared" si="45"/>
        <v>#N/A</v>
      </c>
      <c r="AA505" s="4">
        <f>IF($S505=Lookups!$B$113,VLOOKUP(L505,'Points Table C'!A$3:$E$11,5),VLOOKUP(U505,'Points Table C'!B$3:$E$11,4))</f>
        <v>0</v>
      </c>
      <c r="AB505" s="4" t="e">
        <f>IF($Q505=1,0,VLOOKUP($J505,'Points Table C'!$C$3:$E$18,3))</f>
        <v>#N/A</v>
      </c>
      <c r="AC505" s="4">
        <f>VLOOKUP($K505,'Points Table C'!$D$3:$E$18,2)</f>
        <v>0</v>
      </c>
      <c r="AD505" s="4" t="e">
        <f>IF($Z505&lt;Lookups!$C$106,($AA505+AB505+AC505),IF($AA505&gt;=Lookups!$C$120,($AA505+AB505+AC505),$AA505+$AB505))</f>
        <v>#N/A</v>
      </c>
      <c r="AF505" s="7"/>
      <c r="AG505" s="7"/>
      <c r="AH505" s="7"/>
      <c r="AI505" s="7"/>
      <c r="AJ505" s="7"/>
      <c r="AK505" s="7"/>
      <c r="AL505" s="7"/>
      <c r="AM505" s="7"/>
      <c r="AN505" s="7"/>
      <c r="AO505" s="7"/>
      <c r="AP505" s="7"/>
      <c r="AQ505" s="7"/>
      <c r="AR505" s="7"/>
      <c r="AS505" s="7"/>
      <c r="AT505" s="7"/>
      <c r="AU505" s="7"/>
      <c r="AV505" s="7"/>
      <c r="AW505" s="7"/>
      <c r="AY505" s="7"/>
      <c r="AZ505" s="7"/>
      <c r="BA505" s="7"/>
      <c r="BB505" s="7"/>
    </row>
    <row r="506" spans="2:54" x14ac:dyDescent="0.2">
      <c r="B506" s="174"/>
      <c r="C506" s="176"/>
      <c r="F506" s="5">
        <v>0</v>
      </c>
      <c r="G506" s="192">
        <v>0</v>
      </c>
      <c r="H506" s="192">
        <v>0</v>
      </c>
      <c r="I506" s="5">
        <v>0</v>
      </c>
      <c r="J506" s="192">
        <v>0</v>
      </c>
      <c r="K506" s="192">
        <v>0</v>
      </c>
      <c r="L506" s="5">
        <v>0</v>
      </c>
      <c r="M506" s="5">
        <v>0</v>
      </c>
      <c r="N506" s="4" t="e">
        <f t="shared" si="46"/>
        <v>#N/A</v>
      </c>
      <c r="O506" s="4" t="e">
        <f>IF(ROUND(10.499-(((N506-VLOOKUP($C506,Lookups!$A$55:$D$64,3))/(VLOOKUP($C506,Lookups!$A$55:$D$64,4))*VLOOKUP($C506,Lookups!$C$2:$D$11,2))),0)&lt;1,1,IF(ROUND(10.499-(((N506-VLOOKUP($C506,Lookups!$A$55:$D$64,3))/(VLOOKUP($C506,Lookups!$A$55:$D$64,4))*VLOOKUP($C506,Lookups!$C$2:$D$11,2))),0)&lt;11,ROUND(10.499-(((N506-VLOOKUP($C506,Lookups!$A$55:$D$64,3))/(VLOOKUP($C506,Lookups!$A$55:$D$64,4))*VLOOKUP($C506,Lookups!$C$2:$D$11,2))),0),10))</f>
        <v>#N/A</v>
      </c>
      <c r="P506" s="13" t="str">
        <f>IF((SUM(F506:M506)=0),"J",VLOOKUP(O506,Lookups!$A$1:$B$11,2))</f>
        <v>J</v>
      </c>
      <c r="Q506" s="8" t="e">
        <f>VLOOKUP(C506,Lookups!$A$136:$C$144,3)</f>
        <v>#N/A</v>
      </c>
      <c r="R506" s="8" t="e">
        <f>VLOOKUP(C506,Lookups!$A$136:$C$144,2)</f>
        <v>#N/A</v>
      </c>
      <c r="S506" s="4" t="str">
        <f t="shared" si="42"/>
        <v>No</v>
      </c>
      <c r="T506" s="125">
        <f t="shared" si="43"/>
        <v>0</v>
      </c>
      <c r="U506" s="125">
        <f t="shared" si="44"/>
        <v>0</v>
      </c>
      <c r="V506" s="4" t="e">
        <f>IF($Q506&lt;&gt;3,VLOOKUP(F506,'Points Table A'!B$3:$F$33,5),VLOOKUP(F506,'Points Table A'!H$3:$L$33,5))</f>
        <v>#N/A</v>
      </c>
      <c r="W506" s="4" t="e">
        <f>IF($Q506&lt;&gt;3,VLOOKUP(G506,'Points Table A'!C$3:$F$33,4),VLOOKUP(G506,'Points Table A'!I$3:$L$33,4))</f>
        <v>#N/A</v>
      </c>
      <c r="X506" s="4" t="e">
        <f>IF($Q506&lt;&gt;3,VLOOKUP(H506,'Points Table A'!D$3:$F$28,3),VLOOKUP(H506,'Points Table A'!J$3:$L$33,3))</f>
        <v>#N/A</v>
      </c>
      <c r="Y506" s="4" t="e">
        <f>IF($Q506&lt;&gt;3,VLOOKUP(I506,'Points Table A'!E$3:$F$33,2),VLOOKUP(I506,'Points Table A'!K$3:$L$33,2))</f>
        <v>#N/A</v>
      </c>
      <c r="Z506" s="4" t="e">
        <f t="shared" si="45"/>
        <v>#N/A</v>
      </c>
      <c r="AA506" s="4">
        <f>IF($S506=Lookups!$B$113,VLOOKUP(L506,'Points Table C'!A$3:$E$11,5),VLOOKUP(U506,'Points Table C'!B$3:$E$11,4))</f>
        <v>0</v>
      </c>
      <c r="AB506" s="4" t="e">
        <f>IF($Q506=1,0,VLOOKUP($J506,'Points Table C'!$C$3:$E$18,3))</f>
        <v>#N/A</v>
      </c>
      <c r="AC506" s="4">
        <f>VLOOKUP($K506,'Points Table C'!$D$3:$E$18,2)</f>
        <v>0</v>
      </c>
      <c r="AD506" s="4" t="e">
        <f>IF($Z506&lt;Lookups!$C$106,($AA506+AB506+AC506),IF($AA506&gt;=Lookups!$C$120,($AA506+AB506+AC506),$AA506+$AB506))</f>
        <v>#N/A</v>
      </c>
      <c r="AF506" s="7"/>
      <c r="AG506" s="7"/>
      <c r="AH506" s="7"/>
      <c r="AI506" s="7"/>
      <c r="AJ506" s="7"/>
      <c r="AK506" s="7"/>
      <c r="AL506" s="7"/>
      <c r="AM506" s="7"/>
      <c r="AN506" s="7"/>
      <c r="AO506" s="7"/>
      <c r="AP506" s="7"/>
      <c r="AQ506" s="7"/>
      <c r="AR506" s="7"/>
      <c r="AS506" s="7"/>
      <c r="AT506" s="7"/>
      <c r="AU506" s="7"/>
      <c r="AV506" s="7"/>
      <c r="AW506" s="7"/>
      <c r="AY506" s="7"/>
      <c r="AZ506" s="7"/>
      <c r="BA506" s="7"/>
      <c r="BB506" s="7"/>
    </row>
    <row r="507" spans="2:54" x14ac:dyDescent="0.2">
      <c r="B507" s="174"/>
      <c r="C507" s="176"/>
      <c r="F507" s="5">
        <v>0</v>
      </c>
      <c r="G507" s="192">
        <v>0</v>
      </c>
      <c r="H507" s="192">
        <v>0</v>
      </c>
      <c r="I507" s="5">
        <v>0</v>
      </c>
      <c r="J507" s="192">
        <v>0</v>
      </c>
      <c r="K507" s="192">
        <v>0</v>
      </c>
      <c r="L507" s="5">
        <v>0</v>
      </c>
      <c r="M507" s="5">
        <v>0</v>
      </c>
      <c r="N507" s="4" t="e">
        <f t="shared" si="46"/>
        <v>#N/A</v>
      </c>
      <c r="O507" s="4" t="e">
        <f>IF(ROUND(10.499-(((N507-VLOOKUP($C507,Lookups!$A$55:$D$64,3))/(VLOOKUP($C507,Lookups!$A$55:$D$64,4))*VLOOKUP($C507,Lookups!$C$2:$D$11,2))),0)&lt;1,1,IF(ROUND(10.499-(((N507-VLOOKUP($C507,Lookups!$A$55:$D$64,3))/(VLOOKUP($C507,Lookups!$A$55:$D$64,4))*VLOOKUP($C507,Lookups!$C$2:$D$11,2))),0)&lt;11,ROUND(10.499-(((N507-VLOOKUP($C507,Lookups!$A$55:$D$64,3))/(VLOOKUP($C507,Lookups!$A$55:$D$64,4))*VLOOKUP($C507,Lookups!$C$2:$D$11,2))),0),10))</f>
        <v>#N/A</v>
      </c>
      <c r="P507" s="13" t="str">
        <f>IF((SUM(F507:M507)=0),"J",VLOOKUP(O507,Lookups!$A$1:$B$11,2))</f>
        <v>J</v>
      </c>
      <c r="Q507" s="8" t="e">
        <f>VLOOKUP(C507,Lookups!$A$136:$C$144,3)</f>
        <v>#N/A</v>
      </c>
      <c r="R507" s="8" t="e">
        <f>VLOOKUP(C507,Lookups!$A$136:$C$144,2)</f>
        <v>#N/A</v>
      </c>
      <c r="S507" s="4" t="str">
        <f t="shared" si="42"/>
        <v>No</v>
      </c>
      <c r="T507" s="125">
        <f t="shared" si="43"/>
        <v>0</v>
      </c>
      <c r="U507" s="125">
        <f t="shared" si="44"/>
        <v>0</v>
      </c>
      <c r="V507" s="4" t="e">
        <f>IF($Q507&lt;&gt;3,VLOOKUP(F507,'Points Table A'!B$3:$F$33,5),VLOOKUP(F507,'Points Table A'!H$3:$L$33,5))</f>
        <v>#N/A</v>
      </c>
      <c r="W507" s="4" t="e">
        <f>IF($Q507&lt;&gt;3,VLOOKUP(G507,'Points Table A'!C$3:$F$33,4),VLOOKUP(G507,'Points Table A'!I$3:$L$33,4))</f>
        <v>#N/A</v>
      </c>
      <c r="X507" s="4" t="e">
        <f>IF($Q507&lt;&gt;3,VLOOKUP(H507,'Points Table A'!D$3:$F$28,3),VLOOKUP(H507,'Points Table A'!J$3:$L$33,3))</f>
        <v>#N/A</v>
      </c>
      <c r="Y507" s="4" t="e">
        <f>IF($Q507&lt;&gt;3,VLOOKUP(I507,'Points Table A'!E$3:$F$33,2),VLOOKUP(I507,'Points Table A'!K$3:$L$33,2))</f>
        <v>#N/A</v>
      </c>
      <c r="Z507" s="4" t="e">
        <f t="shared" si="45"/>
        <v>#N/A</v>
      </c>
      <c r="AA507" s="4">
        <f>IF($S507=Lookups!$B$113,VLOOKUP(L507,'Points Table C'!A$3:$E$11,5),VLOOKUP(U507,'Points Table C'!B$3:$E$11,4))</f>
        <v>0</v>
      </c>
      <c r="AB507" s="4" t="e">
        <f>IF($Q507=1,0,VLOOKUP($J507,'Points Table C'!$C$3:$E$18,3))</f>
        <v>#N/A</v>
      </c>
      <c r="AC507" s="4">
        <f>VLOOKUP($K507,'Points Table C'!$D$3:$E$18,2)</f>
        <v>0</v>
      </c>
      <c r="AD507" s="4" t="e">
        <f>IF($Z507&lt;Lookups!$C$106,($AA507+AB507+AC507),IF($AA507&gt;=Lookups!$C$120,($AA507+AB507+AC507),$AA507+$AB507))</f>
        <v>#N/A</v>
      </c>
      <c r="AF507" s="7"/>
      <c r="AG507" s="7"/>
      <c r="AH507" s="7"/>
      <c r="AI507" s="7"/>
      <c r="AJ507" s="7"/>
      <c r="AK507" s="7"/>
      <c r="AL507" s="7"/>
      <c r="AM507" s="7"/>
      <c r="AN507" s="7"/>
      <c r="AO507" s="7"/>
      <c r="AP507" s="7"/>
      <c r="AQ507" s="7"/>
      <c r="AR507" s="7"/>
      <c r="AS507" s="7"/>
      <c r="AT507" s="7"/>
      <c r="AU507" s="7"/>
      <c r="AV507" s="7"/>
      <c r="AW507" s="7"/>
      <c r="AY507" s="7"/>
      <c r="AZ507" s="7"/>
      <c r="BA507" s="7"/>
      <c r="BB507" s="7"/>
    </row>
    <row r="508" spans="2:54" x14ac:dyDescent="0.2">
      <c r="B508" s="174"/>
      <c r="C508" s="176"/>
      <c r="F508" s="5">
        <v>0</v>
      </c>
      <c r="G508" s="192">
        <v>0</v>
      </c>
      <c r="H508" s="192">
        <v>0</v>
      </c>
      <c r="I508" s="5">
        <v>0</v>
      </c>
      <c r="J508" s="192">
        <v>0</v>
      </c>
      <c r="K508" s="192">
        <v>0</v>
      </c>
      <c r="L508" s="5">
        <v>0</v>
      </c>
      <c r="M508" s="5">
        <v>0</v>
      </c>
      <c r="N508" s="4" t="e">
        <f t="shared" si="46"/>
        <v>#N/A</v>
      </c>
      <c r="O508" s="4" t="e">
        <f>IF(ROUND(10.499-(((N508-VLOOKUP($C508,Lookups!$A$55:$D$64,3))/(VLOOKUP($C508,Lookups!$A$55:$D$64,4))*VLOOKUP($C508,Lookups!$C$2:$D$11,2))),0)&lt;1,1,IF(ROUND(10.499-(((N508-VLOOKUP($C508,Lookups!$A$55:$D$64,3))/(VLOOKUP($C508,Lookups!$A$55:$D$64,4))*VLOOKUP($C508,Lookups!$C$2:$D$11,2))),0)&lt;11,ROUND(10.499-(((N508-VLOOKUP($C508,Lookups!$A$55:$D$64,3))/(VLOOKUP($C508,Lookups!$A$55:$D$64,4))*VLOOKUP($C508,Lookups!$C$2:$D$11,2))),0),10))</f>
        <v>#N/A</v>
      </c>
      <c r="P508" s="13" t="str">
        <f>IF((SUM(F508:M508)=0),"J",VLOOKUP(O508,Lookups!$A$1:$B$11,2))</f>
        <v>J</v>
      </c>
      <c r="Q508" s="8" t="e">
        <f>VLOOKUP(C508,Lookups!$A$136:$C$144,3)</f>
        <v>#N/A</v>
      </c>
      <c r="R508" s="8" t="e">
        <f>VLOOKUP(C508,Lookups!$A$136:$C$144,2)</f>
        <v>#N/A</v>
      </c>
      <c r="S508" s="4" t="str">
        <f t="shared" si="42"/>
        <v>No</v>
      </c>
      <c r="T508" s="125">
        <f t="shared" si="43"/>
        <v>0</v>
      </c>
      <c r="U508" s="125">
        <f t="shared" si="44"/>
        <v>0</v>
      </c>
      <c r="V508" s="4" t="e">
        <f>IF($Q508&lt;&gt;3,VLOOKUP(F508,'Points Table A'!B$3:$F$33,5),VLOOKUP(F508,'Points Table A'!H$3:$L$33,5))</f>
        <v>#N/A</v>
      </c>
      <c r="W508" s="4" t="e">
        <f>IF($Q508&lt;&gt;3,VLOOKUP(G508,'Points Table A'!C$3:$F$33,4),VLOOKUP(G508,'Points Table A'!I$3:$L$33,4))</f>
        <v>#N/A</v>
      </c>
      <c r="X508" s="4" t="e">
        <f>IF($Q508&lt;&gt;3,VLOOKUP(H508,'Points Table A'!D$3:$F$28,3),VLOOKUP(H508,'Points Table A'!J$3:$L$33,3))</f>
        <v>#N/A</v>
      </c>
      <c r="Y508" s="4" t="e">
        <f>IF($Q508&lt;&gt;3,VLOOKUP(I508,'Points Table A'!E$3:$F$33,2),VLOOKUP(I508,'Points Table A'!K$3:$L$33,2))</f>
        <v>#N/A</v>
      </c>
      <c r="Z508" s="4" t="e">
        <f t="shared" si="45"/>
        <v>#N/A</v>
      </c>
      <c r="AA508" s="4">
        <f>IF($S508=Lookups!$B$113,VLOOKUP(L508,'Points Table C'!A$3:$E$11,5),VLOOKUP(U508,'Points Table C'!B$3:$E$11,4))</f>
        <v>0</v>
      </c>
      <c r="AB508" s="4" t="e">
        <f>IF($Q508=1,0,VLOOKUP($J508,'Points Table C'!$C$3:$E$18,3))</f>
        <v>#N/A</v>
      </c>
      <c r="AC508" s="4">
        <f>VLOOKUP($K508,'Points Table C'!$D$3:$E$18,2)</f>
        <v>0</v>
      </c>
      <c r="AD508" s="4" t="e">
        <f>IF($Z508&lt;Lookups!$C$106,($AA508+AB508+AC508),IF($AA508&gt;=Lookups!$C$120,($AA508+AB508+AC508),$AA508+$AB508))</f>
        <v>#N/A</v>
      </c>
      <c r="AF508" s="7"/>
      <c r="AG508" s="7"/>
      <c r="AH508" s="7"/>
      <c r="AI508" s="7"/>
      <c r="AJ508" s="7"/>
      <c r="AK508" s="7"/>
      <c r="AL508" s="7"/>
      <c r="AM508" s="7"/>
      <c r="AN508" s="7"/>
      <c r="AO508" s="7"/>
      <c r="AP508" s="7"/>
      <c r="AQ508" s="7"/>
      <c r="AR508" s="7"/>
      <c r="AS508" s="7"/>
      <c r="AT508" s="7"/>
      <c r="AU508" s="7"/>
      <c r="AV508" s="7"/>
      <c r="AW508" s="7"/>
      <c r="AY508" s="7"/>
      <c r="AZ508" s="7"/>
      <c r="BA508" s="7"/>
      <c r="BB508" s="7"/>
    </row>
    <row r="509" spans="2:54" x14ac:dyDescent="0.2">
      <c r="B509" s="174"/>
      <c r="C509" s="176"/>
      <c r="F509" s="5">
        <v>0</v>
      </c>
      <c r="G509" s="192">
        <v>0</v>
      </c>
      <c r="H509" s="192">
        <v>0</v>
      </c>
      <c r="I509" s="5">
        <v>0</v>
      </c>
      <c r="J509" s="192">
        <v>0</v>
      </c>
      <c r="K509" s="192">
        <v>0</v>
      </c>
      <c r="L509" s="5">
        <v>0</v>
      </c>
      <c r="M509" s="5">
        <v>0</v>
      </c>
      <c r="N509" s="4" t="e">
        <f t="shared" si="46"/>
        <v>#N/A</v>
      </c>
      <c r="O509" s="4" t="e">
        <f>IF(ROUND(10.499-(((N509-VLOOKUP($C509,Lookups!$A$55:$D$64,3))/(VLOOKUP($C509,Lookups!$A$55:$D$64,4))*VLOOKUP($C509,Lookups!$C$2:$D$11,2))),0)&lt;1,1,IF(ROUND(10.499-(((N509-VLOOKUP($C509,Lookups!$A$55:$D$64,3))/(VLOOKUP($C509,Lookups!$A$55:$D$64,4))*VLOOKUP($C509,Lookups!$C$2:$D$11,2))),0)&lt;11,ROUND(10.499-(((N509-VLOOKUP($C509,Lookups!$A$55:$D$64,3))/(VLOOKUP($C509,Lookups!$A$55:$D$64,4))*VLOOKUP($C509,Lookups!$C$2:$D$11,2))),0),10))</f>
        <v>#N/A</v>
      </c>
      <c r="P509" s="13" t="str">
        <f>IF((SUM(F509:M509)=0),"J",VLOOKUP(O509,Lookups!$A$1:$B$11,2))</f>
        <v>J</v>
      </c>
      <c r="Q509" s="8" t="e">
        <f>VLOOKUP(C509,Lookups!$A$136:$C$144,3)</f>
        <v>#N/A</v>
      </c>
      <c r="R509" s="8" t="e">
        <f>VLOOKUP(C509,Lookups!$A$136:$C$144,2)</f>
        <v>#N/A</v>
      </c>
      <c r="S509" s="4" t="str">
        <f t="shared" si="42"/>
        <v>No</v>
      </c>
      <c r="T509" s="125">
        <f t="shared" si="43"/>
        <v>0</v>
      </c>
      <c r="U509" s="125">
        <f t="shared" si="44"/>
        <v>0</v>
      </c>
      <c r="V509" s="4" t="e">
        <f>IF($Q509&lt;&gt;3,VLOOKUP(F509,'Points Table A'!B$3:$F$33,5),VLOOKUP(F509,'Points Table A'!H$3:$L$33,5))</f>
        <v>#N/A</v>
      </c>
      <c r="W509" s="4" t="e">
        <f>IF($Q509&lt;&gt;3,VLOOKUP(G509,'Points Table A'!C$3:$F$33,4),VLOOKUP(G509,'Points Table A'!I$3:$L$33,4))</f>
        <v>#N/A</v>
      </c>
      <c r="X509" s="4" t="e">
        <f>IF($Q509&lt;&gt;3,VLOOKUP(H509,'Points Table A'!D$3:$F$28,3),VLOOKUP(H509,'Points Table A'!J$3:$L$33,3))</f>
        <v>#N/A</v>
      </c>
      <c r="Y509" s="4" t="e">
        <f>IF($Q509&lt;&gt;3,VLOOKUP(I509,'Points Table A'!E$3:$F$33,2),VLOOKUP(I509,'Points Table A'!K$3:$L$33,2))</f>
        <v>#N/A</v>
      </c>
      <c r="Z509" s="4" t="e">
        <f t="shared" si="45"/>
        <v>#N/A</v>
      </c>
      <c r="AA509" s="4">
        <f>IF($S509=Lookups!$B$113,VLOOKUP(L509,'Points Table C'!A$3:$E$11,5),VLOOKUP(U509,'Points Table C'!B$3:$E$11,4))</f>
        <v>0</v>
      </c>
      <c r="AB509" s="4" t="e">
        <f>IF($Q509=1,0,VLOOKUP($J509,'Points Table C'!$C$3:$E$18,3))</f>
        <v>#N/A</v>
      </c>
      <c r="AC509" s="4">
        <f>VLOOKUP($K509,'Points Table C'!$D$3:$E$18,2)</f>
        <v>0</v>
      </c>
      <c r="AD509" s="4" t="e">
        <f>IF($Z509&lt;Lookups!$C$106,($AA509+AB509+AC509),IF($AA509&gt;=Lookups!$C$120,($AA509+AB509+AC509),$AA509+$AB509))</f>
        <v>#N/A</v>
      </c>
      <c r="AF509" s="7"/>
      <c r="AG509" s="7"/>
      <c r="AH509" s="7"/>
      <c r="AI509" s="7"/>
      <c r="AJ509" s="7"/>
      <c r="AK509" s="7"/>
      <c r="AL509" s="7"/>
      <c r="AM509" s="7"/>
      <c r="AN509" s="7"/>
      <c r="AO509" s="7"/>
      <c r="AP509" s="7"/>
      <c r="AQ509" s="7"/>
      <c r="AR509" s="7"/>
      <c r="AS509" s="7"/>
      <c r="AT509" s="7"/>
      <c r="AU509" s="7"/>
      <c r="AV509" s="7"/>
      <c r="AW509" s="7"/>
      <c r="AY509" s="7"/>
      <c r="AZ509" s="7"/>
      <c r="BA509" s="7"/>
      <c r="BB509" s="7"/>
    </row>
    <row r="510" spans="2:54" x14ac:dyDescent="0.2">
      <c r="B510" s="174"/>
      <c r="C510" s="176"/>
      <c r="F510" s="5">
        <v>0</v>
      </c>
      <c r="G510" s="192">
        <v>0</v>
      </c>
      <c r="H510" s="192">
        <v>0</v>
      </c>
      <c r="I510" s="5">
        <v>0</v>
      </c>
      <c r="J510" s="192">
        <v>0</v>
      </c>
      <c r="K510" s="192">
        <v>0</v>
      </c>
      <c r="L510" s="5">
        <v>0</v>
      </c>
      <c r="M510" s="5">
        <v>0</v>
      </c>
      <c r="N510" s="4" t="e">
        <f t="shared" si="46"/>
        <v>#N/A</v>
      </c>
      <c r="O510" s="4" t="e">
        <f>IF(ROUND(10.499-(((N510-VLOOKUP($C510,Lookups!$A$55:$D$64,3))/(VLOOKUP($C510,Lookups!$A$55:$D$64,4))*VLOOKUP($C510,Lookups!$C$2:$D$11,2))),0)&lt;1,1,IF(ROUND(10.499-(((N510-VLOOKUP($C510,Lookups!$A$55:$D$64,3))/(VLOOKUP($C510,Lookups!$A$55:$D$64,4))*VLOOKUP($C510,Lookups!$C$2:$D$11,2))),0)&lt;11,ROUND(10.499-(((N510-VLOOKUP($C510,Lookups!$A$55:$D$64,3))/(VLOOKUP($C510,Lookups!$A$55:$D$64,4))*VLOOKUP($C510,Lookups!$C$2:$D$11,2))),0),10))</f>
        <v>#N/A</v>
      </c>
      <c r="P510" s="13" t="str">
        <f>IF((SUM(F510:M510)=0),"J",VLOOKUP(O510,Lookups!$A$1:$B$11,2))</f>
        <v>J</v>
      </c>
      <c r="Q510" s="8" t="e">
        <f>VLOOKUP(C510,Lookups!$A$136:$C$144,3)</f>
        <v>#N/A</v>
      </c>
      <c r="R510" s="8" t="e">
        <f>VLOOKUP(C510,Lookups!$A$136:$C$144,2)</f>
        <v>#N/A</v>
      </c>
      <c r="S510" s="4" t="str">
        <f t="shared" si="42"/>
        <v>No</v>
      </c>
      <c r="T510" s="125">
        <f t="shared" si="43"/>
        <v>0</v>
      </c>
      <c r="U510" s="125">
        <f t="shared" si="44"/>
        <v>0</v>
      </c>
      <c r="V510" s="4" t="e">
        <f>IF($Q510&lt;&gt;3,VLOOKUP(F510,'Points Table A'!B$3:$F$33,5),VLOOKUP(F510,'Points Table A'!H$3:$L$33,5))</f>
        <v>#N/A</v>
      </c>
      <c r="W510" s="4" t="e">
        <f>IF($Q510&lt;&gt;3,VLOOKUP(G510,'Points Table A'!C$3:$F$33,4),VLOOKUP(G510,'Points Table A'!I$3:$L$33,4))</f>
        <v>#N/A</v>
      </c>
      <c r="X510" s="4" t="e">
        <f>IF($Q510&lt;&gt;3,VLOOKUP(H510,'Points Table A'!D$3:$F$28,3),VLOOKUP(H510,'Points Table A'!J$3:$L$33,3))</f>
        <v>#N/A</v>
      </c>
      <c r="Y510" s="4" t="e">
        <f>IF($Q510&lt;&gt;3,VLOOKUP(I510,'Points Table A'!E$3:$F$33,2),VLOOKUP(I510,'Points Table A'!K$3:$L$33,2))</f>
        <v>#N/A</v>
      </c>
      <c r="Z510" s="4" t="e">
        <f t="shared" si="45"/>
        <v>#N/A</v>
      </c>
      <c r="AA510" s="4">
        <f>IF($S510=Lookups!$B$113,VLOOKUP(L510,'Points Table C'!A$3:$E$11,5),VLOOKUP(U510,'Points Table C'!B$3:$E$11,4))</f>
        <v>0</v>
      </c>
      <c r="AB510" s="4" t="e">
        <f>IF($Q510=1,0,VLOOKUP($J510,'Points Table C'!$C$3:$E$18,3))</f>
        <v>#N/A</v>
      </c>
      <c r="AC510" s="4">
        <f>VLOOKUP($K510,'Points Table C'!$D$3:$E$18,2)</f>
        <v>0</v>
      </c>
      <c r="AD510" s="4" t="e">
        <f>IF($Z510&lt;Lookups!$C$106,($AA510+AB510+AC510),IF($AA510&gt;=Lookups!$C$120,($AA510+AB510+AC510),$AA510+$AB510))</f>
        <v>#N/A</v>
      </c>
      <c r="AF510" s="7"/>
      <c r="AG510" s="7"/>
      <c r="AH510" s="7"/>
      <c r="AI510" s="7"/>
      <c r="AJ510" s="7"/>
      <c r="AK510" s="7"/>
      <c r="AL510" s="7"/>
      <c r="AM510" s="7"/>
      <c r="AN510" s="7"/>
      <c r="AO510" s="7"/>
      <c r="AP510" s="7"/>
      <c r="AQ510" s="7"/>
      <c r="AR510" s="7"/>
      <c r="AS510" s="7"/>
      <c r="AT510" s="7"/>
      <c r="AU510" s="7"/>
      <c r="AV510" s="7"/>
      <c r="AW510" s="7"/>
      <c r="AY510" s="7"/>
      <c r="AZ510" s="7"/>
      <c r="BA510" s="7"/>
      <c r="BB510" s="7"/>
    </row>
    <row r="511" spans="2:54" x14ac:dyDescent="0.2">
      <c r="B511" s="174"/>
      <c r="C511" s="176"/>
      <c r="F511" s="5">
        <v>0</v>
      </c>
      <c r="G511" s="192">
        <v>0</v>
      </c>
      <c r="H511" s="192">
        <v>0</v>
      </c>
      <c r="I511" s="5">
        <v>0</v>
      </c>
      <c r="J511" s="192">
        <v>0</v>
      </c>
      <c r="K511" s="192">
        <v>0</v>
      </c>
      <c r="L511" s="5">
        <v>0</v>
      </c>
      <c r="M511" s="5">
        <v>0</v>
      </c>
      <c r="N511" s="4" t="e">
        <f t="shared" si="46"/>
        <v>#N/A</v>
      </c>
      <c r="O511" s="4" t="e">
        <f>IF(ROUND(10.499-(((N511-VLOOKUP($C511,Lookups!$A$55:$D$64,3))/(VLOOKUP($C511,Lookups!$A$55:$D$64,4))*VLOOKUP($C511,Lookups!$C$2:$D$11,2))),0)&lt;1,1,IF(ROUND(10.499-(((N511-VLOOKUP($C511,Lookups!$A$55:$D$64,3))/(VLOOKUP($C511,Lookups!$A$55:$D$64,4))*VLOOKUP($C511,Lookups!$C$2:$D$11,2))),0)&lt;11,ROUND(10.499-(((N511-VLOOKUP($C511,Lookups!$A$55:$D$64,3))/(VLOOKUP($C511,Lookups!$A$55:$D$64,4))*VLOOKUP($C511,Lookups!$C$2:$D$11,2))),0),10))</f>
        <v>#N/A</v>
      </c>
      <c r="P511" s="13" t="str">
        <f>IF((SUM(F511:M511)=0),"J",VLOOKUP(O511,Lookups!$A$1:$B$11,2))</f>
        <v>J</v>
      </c>
      <c r="Q511" s="8" t="e">
        <f>VLOOKUP(C511,Lookups!$A$136:$C$144,3)</f>
        <v>#N/A</v>
      </c>
      <c r="R511" s="8" t="e">
        <f>VLOOKUP(C511,Lookups!$A$136:$C$144,2)</f>
        <v>#N/A</v>
      </c>
      <c r="S511" s="4" t="str">
        <f t="shared" si="42"/>
        <v>No</v>
      </c>
      <c r="T511" s="125">
        <f t="shared" si="43"/>
        <v>0</v>
      </c>
      <c r="U511" s="125">
        <f t="shared" si="44"/>
        <v>0</v>
      </c>
      <c r="V511" s="4" t="e">
        <f>IF($Q511&lt;&gt;3,VLOOKUP(F511,'Points Table A'!B$3:$F$33,5),VLOOKUP(F511,'Points Table A'!H$3:$L$33,5))</f>
        <v>#N/A</v>
      </c>
      <c r="W511" s="4" t="e">
        <f>IF($Q511&lt;&gt;3,VLOOKUP(G511,'Points Table A'!C$3:$F$33,4),VLOOKUP(G511,'Points Table A'!I$3:$L$33,4))</f>
        <v>#N/A</v>
      </c>
      <c r="X511" s="4" t="e">
        <f>IF($Q511&lt;&gt;3,VLOOKUP(H511,'Points Table A'!D$3:$F$28,3),VLOOKUP(H511,'Points Table A'!J$3:$L$33,3))</f>
        <v>#N/A</v>
      </c>
      <c r="Y511" s="4" t="e">
        <f>IF($Q511&lt;&gt;3,VLOOKUP(I511,'Points Table A'!E$3:$F$33,2),VLOOKUP(I511,'Points Table A'!K$3:$L$33,2))</f>
        <v>#N/A</v>
      </c>
      <c r="Z511" s="4" t="e">
        <f t="shared" si="45"/>
        <v>#N/A</v>
      </c>
      <c r="AA511" s="4">
        <f>IF($S511=Lookups!$B$113,VLOOKUP(L511,'Points Table C'!A$3:$E$11,5),VLOOKUP(U511,'Points Table C'!B$3:$E$11,4))</f>
        <v>0</v>
      </c>
      <c r="AB511" s="4" t="e">
        <f>IF($Q511=1,0,VLOOKUP($J511,'Points Table C'!$C$3:$E$18,3))</f>
        <v>#N/A</v>
      </c>
      <c r="AC511" s="4">
        <f>VLOOKUP($K511,'Points Table C'!$D$3:$E$18,2)</f>
        <v>0</v>
      </c>
      <c r="AD511" s="4" t="e">
        <f>IF($Z511&lt;Lookups!$C$106,($AA511+AB511+AC511),IF($AA511&gt;=Lookups!$C$120,($AA511+AB511+AC511),$AA511+$AB511))</f>
        <v>#N/A</v>
      </c>
      <c r="AF511" s="7"/>
      <c r="AG511" s="7"/>
      <c r="AH511" s="7"/>
      <c r="AI511" s="7"/>
      <c r="AJ511" s="7"/>
      <c r="AK511" s="7"/>
      <c r="AL511" s="7"/>
      <c r="AM511" s="7"/>
      <c r="AN511" s="7"/>
      <c r="AO511" s="7"/>
      <c r="AP511" s="7"/>
      <c r="AQ511" s="7"/>
      <c r="AR511" s="7"/>
      <c r="AS511" s="7"/>
      <c r="AT511" s="7"/>
      <c r="AU511" s="7"/>
      <c r="AV511" s="7"/>
      <c r="AW511" s="7"/>
      <c r="AY511" s="7"/>
      <c r="AZ511" s="7"/>
      <c r="BA511" s="7"/>
      <c r="BB511" s="7"/>
    </row>
    <row r="512" spans="2:54" x14ac:dyDescent="0.2">
      <c r="B512" s="174"/>
      <c r="C512" s="176"/>
      <c r="F512" s="5">
        <v>0</v>
      </c>
      <c r="G512" s="192">
        <v>0</v>
      </c>
      <c r="H512" s="192">
        <v>0</v>
      </c>
      <c r="I512" s="5">
        <v>0</v>
      </c>
      <c r="J512" s="192">
        <v>0</v>
      </c>
      <c r="K512" s="192">
        <v>0</v>
      </c>
      <c r="L512" s="5">
        <v>0</v>
      </c>
      <c r="M512" s="5">
        <v>0</v>
      </c>
      <c r="N512" s="4" t="e">
        <f t="shared" si="46"/>
        <v>#N/A</v>
      </c>
      <c r="O512" s="4" t="e">
        <f>IF(ROUND(10.499-(((N512-VLOOKUP($C512,Lookups!$A$55:$D$64,3))/(VLOOKUP($C512,Lookups!$A$55:$D$64,4))*VLOOKUP($C512,Lookups!$C$2:$D$11,2))),0)&lt;1,1,IF(ROUND(10.499-(((N512-VLOOKUP($C512,Lookups!$A$55:$D$64,3))/(VLOOKUP($C512,Lookups!$A$55:$D$64,4))*VLOOKUP($C512,Lookups!$C$2:$D$11,2))),0)&lt;11,ROUND(10.499-(((N512-VLOOKUP($C512,Lookups!$A$55:$D$64,3))/(VLOOKUP($C512,Lookups!$A$55:$D$64,4))*VLOOKUP($C512,Lookups!$C$2:$D$11,2))),0),10))</f>
        <v>#N/A</v>
      </c>
      <c r="P512" s="13" t="str">
        <f>IF((SUM(F512:M512)=0),"J",VLOOKUP(O512,Lookups!$A$1:$B$11,2))</f>
        <v>J</v>
      </c>
      <c r="Q512" s="8" t="e">
        <f>VLOOKUP(C512,Lookups!$A$136:$C$144,3)</f>
        <v>#N/A</v>
      </c>
      <c r="R512" s="8" t="e">
        <f>VLOOKUP(C512,Lookups!$A$136:$C$144,2)</f>
        <v>#N/A</v>
      </c>
      <c r="S512" s="4" t="str">
        <f t="shared" si="42"/>
        <v>No</v>
      </c>
      <c r="T512" s="125">
        <f t="shared" si="43"/>
        <v>0</v>
      </c>
      <c r="U512" s="125">
        <f t="shared" si="44"/>
        <v>0</v>
      </c>
      <c r="V512" s="4" t="e">
        <f>IF($Q512&lt;&gt;3,VLOOKUP(F512,'Points Table A'!B$3:$F$33,5),VLOOKUP(F512,'Points Table A'!H$3:$L$33,5))</f>
        <v>#N/A</v>
      </c>
      <c r="W512" s="4" t="e">
        <f>IF($Q512&lt;&gt;3,VLOOKUP(G512,'Points Table A'!C$3:$F$33,4),VLOOKUP(G512,'Points Table A'!I$3:$L$33,4))</f>
        <v>#N/A</v>
      </c>
      <c r="X512" s="4" t="e">
        <f>IF($Q512&lt;&gt;3,VLOOKUP(H512,'Points Table A'!D$3:$F$28,3),VLOOKUP(H512,'Points Table A'!J$3:$L$33,3))</f>
        <v>#N/A</v>
      </c>
      <c r="Y512" s="4" t="e">
        <f>IF($Q512&lt;&gt;3,VLOOKUP(I512,'Points Table A'!E$3:$F$33,2),VLOOKUP(I512,'Points Table A'!K$3:$L$33,2))</f>
        <v>#N/A</v>
      </c>
      <c r="Z512" s="4" t="e">
        <f t="shared" si="45"/>
        <v>#N/A</v>
      </c>
      <c r="AA512" s="4">
        <f>IF($S512=Lookups!$B$113,VLOOKUP(L512,'Points Table C'!A$3:$E$11,5),VLOOKUP(U512,'Points Table C'!B$3:$E$11,4))</f>
        <v>0</v>
      </c>
      <c r="AB512" s="4" t="e">
        <f>IF($Q512=1,0,VLOOKUP($J512,'Points Table C'!$C$3:$E$18,3))</f>
        <v>#N/A</v>
      </c>
      <c r="AC512" s="4">
        <f>VLOOKUP($K512,'Points Table C'!$D$3:$E$18,2)</f>
        <v>0</v>
      </c>
      <c r="AD512" s="4" t="e">
        <f>IF($Z512&lt;Lookups!$C$106,($AA512+AB512+AC512),IF($AA512&gt;=Lookups!$C$120,($AA512+AB512+AC512),$AA512+$AB512))</f>
        <v>#N/A</v>
      </c>
      <c r="AF512" s="7"/>
      <c r="AG512" s="7"/>
      <c r="AH512" s="7"/>
      <c r="AI512" s="7"/>
      <c r="AJ512" s="7"/>
      <c r="AK512" s="7"/>
      <c r="AL512" s="7"/>
      <c r="AM512" s="7"/>
      <c r="AN512" s="7"/>
      <c r="AO512" s="7"/>
      <c r="AP512" s="7"/>
      <c r="AQ512" s="7"/>
      <c r="AR512" s="7"/>
      <c r="AS512" s="7"/>
      <c r="AT512" s="7"/>
      <c r="AU512" s="7"/>
      <c r="AV512" s="7"/>
      <c r="AW512" s="7"/>
      <c r="AY512" s="7"/>
      <c r="AZ512" s="7"/>
      <c r="BA512" s="7"/>
      <c r="BB512" s="7"/>
    </row>
    <row r="513" spans="2:54" x14ac:dyDescent="0.2">
      <c r="B513" s="174"/>
      <c r="C513" s="176"/>
      <c r="F513" s="5">
        <v>0</v>
      </c>
      <c r="G513" s="192">
        <v>0</v>
      </c>
      <c r="H513" s="192">
        <v>0</v>
      </c>
      <c r="I513" s="5">
        <v>0</v>
      </c>
      <c r="J513" s="192">
        <v>0</v>
      </c>
      <c r="K513" s="192">
        <v>0</v>
      </c>
      <c r="L513" s="5">
        <v>0</v>
      </c>
      <c r="M513" s="5">
        <v>0</v>
      </c>
      <c r="N513" s="4" t="e">
        <f t="shared" si="46"/>
        <v>#N/A</v>
      </c>
      <c r="O513" s="4" t="e">
        <f>IF(ROUND(10.499-(((N513-VLOOKUP($C513,Lookups!$A$55:$D$64,3))/(VLOOKUP($C513,Lookups!$A$55:$D$64,4))*VLOOKUP($C513,Lookups!$C$2:$D$11,2))),0)&lt;1,1,IF(ROUND(10.499-(((N513-VLOOKUP($C513,Lookups!$A$55:$D$64,3))/(VLOOKUP($C513,Lookups!$A$55:$D$64,4))*VLOOKUP($C513,Lookups!$C$2:$D$11,2))),0)&lt;11,ROUND(10.499-(((N513-VLOOKUP($C513,Lookups!$A$55:$D$64,3))/(VLOOKUP($C513,Lookups!$A$55:$D$64,4))*VLOOKUP($C513,Lookups!$C$2:$D$11,2))),0),10))</f>
        <v>#N/A</v>
      </c>
      <c r="P513" s="13" t="str">
        <f>IF((SUM(F513:M513)=0),"J",VLOOKUP(O513,Lookups!$A$1:$B$11,2))</f>
        <v>J</v>
      </c>
      <c r="Q513" s="8" t="e">
        <f>VLOOKUP(C513,Lookups!$A$136:$C$144,3)</f>
        <v>#N/A</v>
      </c>
      <c r="R513" s="8" t="e">
        <f>VLOOKUP(C513,Lookups!$A$136:$C$144,2)</f>
        <v>#N/A</v>
      </c>
      <c r="S513" s="4" t="str">
        <f t="shared" si="42"/>
        <v>No</v>
      </c>
      <c r="T513" s="125">
        <f t="shared" si="43"/>
        <v>0</v>
      </c>
      <c r="U513" s="125">
        <f t="shared" si="44"/>
        <v>0</v>
      </c>
      <c r="V513" s="4" t="e">
        <f>IF($Q513&lt;&gt;3,VLOOKUP(F513,'Points Table A'!B$3:$F$33,5),VLOOKUP(F513,'Points Table A'!H$3:$L$33,5))</f>
        <v>#N/A</v>
      </c>
      <c r="W513" s="4" t="e">
        <f>IF($Q513&lt;&gt;3,VLOOKUP(G513,'Points Table A'!C$3:$F$33,4),VLOOKUP(G513,'Points Table A'!I$3:$L$33,4))</f>
        <v>#N/A</v>
      </c>
      <c r="X513" s="4" t="e">
        <f>IF($Q513&lt;&gt;3,VLOOKUP(H513,'Points Table A'!D$3:$F$28,3),VLOOKUP(H513,'Points Table A'!J$3:$L$33,3))</f>
        <v>#N/A</v>
      </c>
      <c r="Y513" s="4" t="e">
        <f>IF($Q513&lt;&gt;3,VLOOKUP(I513,'Points Table A'!E$3:$F$33,2),VLOOKUP(I513,'Points Table A'!K$3:$L$33,2))</f>
        <v>#N/A</v>
      </c>
      <c r="Z513" s="4" t="e">
        <f t="shared" si="45"/>
        <v>#N/A</v>
      </c>
      <c r="AA513" s="4">
        <f>IF($S513=Lookups!$B$113,VLOOKUP(L513,'Points Table C'!A$3:$E$11,5),VLOOKUP(U513,'Points Table C'!B$3:$E$11,4))</f>
        <v>0</v>
      </c>
      <c r="AB513" s="4" t="e">
        <f>IF($Q513=1,0,VLOOKUP($J513,'Points Table C'!$C$3:$E$18,3))</f>
        <v>#N/A</v>
      </c>
      <c r="AC513" s="4">
        <f>VLOOKUP($K513,'Points Table C'!$D$3:$E$18,2)</f>
        <v>0</v>
      </c>
      <c r="AD513" s="4" t="e">
        <f>IF($Z513&lt;Lookups!$C$106,($AA513+AB513+AC513),IF($AA513&gt;=Lookups!$C$120,($AA513+AB513+AC513),$AA513+$AB513))</f>
        <v>#N/A</v>
      </c>
      <c r="AF513" s="7"/>
      <c r="AG513" s="7"/>
      <c r="AH513" s="7"/>
      <c r="AI513" s="7"/>
      <c r="AJ513" s="7"/>
      <c r="AK513" s="7"/>
      <c r="AL513" s="7"/>
      <c r="AM513" s="7"/>
      <c r="AN513" s="7"/>
      <c r="AO513" s="7"/>
      <c r="AP513" s="7"/>
      <c r="AQ513" s="7"/>
      <c r="AR513" s="7"/>
      <c r="AS513" s="7"/>
      <c r="AT513" s="7"/>
      <c r="AU513" s="7"/>
      <c r="AV513" s="7"/>
      <c r="AW513" s="7"/>
      <c r="AY513" s="7"/>
      <c r="AZ513" s="7"/>
      <c r="BA513" s="7"/>
      <c r="BB513" s="7"/>
    </row>
    <row r="514" spans="2:54" x14ac:dyDescent="0.2">
      <c r="B514" s="174"/>
      <c r="C514" s="176"/>
      <c r="F514" s="5">
        <v>0</v>
      </c>
      <c r="G514" s="192">
        <v>0</v>
      </c>
      <c r="H514" s="192">
        <v>0</v>
      </c>
      <c r="I514" s="5">
        <v>0</v>
      </c>
      <c r="J514" s="192">
        <v>0</v>
      </c>
      <c r="K514" s="192">
        <v>0</v>
      </c>
      <c r="L514" s="5">
        <v>0</v>
      </c>
      <c r="M514" s="5">
        <v>0</v>
      </c>
      <c r="N514" s="4" t="e">
        <f t="shared" si="46"/>
        <v>#N/A</v>
      </c>
      <c r="O514" s="4" t="e">
        <f>IF(ROUND(10.499-(((N514-VLOOKUP($C514,Lookups!$A$55:$D$64,3))/(VLOOKUP($C514,Lookups!$A$55:$D$64,4))*VLOOKUP($C514,Lookups!$C$2:$D$11,2))),0)&lt;1,1,IF(ROUND(10.499-(((N514-VLOOKUP($C514,Lookups!$A$55:$D$64,3))/(VLOOKUP($C514,Lookups!$A$55:$D$64,4))*VLOOKUP($C514,Lookups!$C$2:$D$11,2))),0)&lt;11,ROUND(10.499-(((N514-VLOOKUP($C514,Lookups!$A$55:$D$64,3))/(VLOOKUP($C514,Lookups!$A$55:$D$64,4))*VLOOKUP($C514,Lookups!$C$2:$D$11,2))),0),10))</f>
        <v>#N/A</v>
      </c>
      <c r="P514" s="13" t="str">
        <f>IF((SUM(F514:M514)=0),"J",VLOOKUP(O514,Lookups!$A$1:$B$11,2))</f>
        <v>J</v>
      </c>
      <c r="Q514" s="8" t="e">
        <f>VLOOKUP(C514,Lookups!$A$136:$C$144,3)</f>
        <v>#N/A</v>
      </c>
      <c r="R514" s="8" t="e">
        <f>VLOOKUP(C514,Lookups!$A$136:$C$144,2)</f>
        <v>#N/A</v>
      </c>
      <c r="S514" s="4" t="str">
        <f t="shared" si="42"/>
        <v>No</v>
      </c>
      <c r="T514" s="125">
        <f t="shared" si="43"/>
        <v>0</v>
      </c>
      <c r="U514" s="125">
        <f t="shared" si="44"/>
        <v>0</v>
      </c>
      <c r="V514" s="4" t="e">
        <f>IF($Q514&lt;&gt;3,VLOOKUP(F514,'Points Table A'!B$3:$F$33,5),VLOOKUP(F514,'Points Table A'!H$3:$L$33,5))</f>
        <v>#N/A</v>
      </c>
      <c r="W514" s="4" t="e">
        <f>IF($Q514&lt;&gt;3,VLOOKUP(G514,'Points Table A'!C$3:$F$33,4),VLOOKUP(G514,'Points Table A'!I$3:$L$33,4))</f>
        <v>#N/A</v>
      </c>
      <c r="X514" s="4" t="e">
        <f>IF($Q514&lt;&gt;3,VLOOKUP(H514,'Points Table A'!D$3:$F$28,3),VLOOKUP(H514,'Points Table A'!J$3:$L$33,3))</f>
        <v>#N/A</v>
      </c>
      <c r="Y514" s="4" t="e">
        <f>IF($Q514&lt;&gt;3,VLOOKUP(I514,'Points Table A'!E$3:$F$33,2),VLOOKUP(I514,'Points Table A'!K$3:$L$33,2))</f>
        <v>#N/A</v>
      </c>
      <c r="Z514" s="4" t="e">
        <f t="shared" si="45"/>
        <v>#N/A</v>
      </c>
      <c r="AA514" s="4">
        <f>IF($S514=Lookups!$B$113,VLOOKUP(L514,'Points Table C'!A$3:$E$11,5),VLOOKUP(U514,'Points Table C'!B$3:$E$11,4))</f>
        <v>0</v>
      </c>
      <c r="AB514" s="4" t="e">
        <f>IF($Q514=1,0,VLOOKUP($J514,'Points Table C'!$C$3:$E$18,3))</f>
        <v>#N/A</v>
      </c>
      <c r="AC514" s="4">
        <f>VLOOKUP($K514,'Points Table C'!$D$3:$E$18,2)</f>
        <v>0</v>
      </c>
      <c r="AD514" s="4" t="e">
        <f>IF($Z514&lt;Lookups!$C$106,($AA514+AB514+AC514),IF($AA514&gt;=Lookups!$C$120,($AA514+AB514+AC514),$AA514+$AB514))</f>
        <v>#N/A</v>
      </c>
      <c r="AF514" s="7"/>
      <c r="AG514" s="7"/>
      <c r="AH514" s="7"/>
      <c r="AI514" s="7"/>
      <c r="AJ514" s="7"/>
      <c r="AK514" s="7"/>
      <c r="AL514" s="7"/>
      <c r="AM514" s="7"/>
      <c r="AN514" s="7"/>
      <c r="AO514" s="7"/>
      <c r="AP514" s="7"/>
      <c r="AQ514" s="7"/>
      <c r="AR514" s="7"/>
      <c r="AS514" s="7"/>
      <c r="AT514" s="7"/>
      <c r="AU514" s="7"/>
      <c r="AV514" s="7"/>
      <c r="AW514" s="7"/>
      <c r="AY514" s="7"/>
      <c r="AZ514" s="7"/>
      <c r="BA514" s="7"/>
      <c r="BB514" s="7"/>
    </row>
    <row r="515" spans="2:54" x14ac:dyDescent="0.2">
      <c r="B515" s="174"/>
      <c r="C515" s="176"/>
      <c r="F515" s="5">
        <v>0</v>
      </c>
      <c r="G515" s="192">
        <v>0</v>
      </c>
      <c r="H515" s="192">
        <v>0</v>
      </c>
      <c r="I515" s="5">
        <v>0</v>
      </c>
      <c r="J515" s="192">
        <v>0</v>
      </c>
      <c r="K515" s="192">
        <v>0</v>
      </c>
      <c r="L515" s="5">
        <v>0</v>
      </c>
      <c r="M515" s="5">
        <v>0</v>
      </c>
      <c r="N515" s="4" t="e">
        <f t="shared" si="46"/>
        <v>#N/A</v>
      </c>
      <c r="O515" s="4" t="e">
        <f>IF(ROUND(10.499-(((N515-VLOOKUP($C515,Lookups!$A$55:$D$64,3))/(VLOOKUP($C515,Lookups!$A$55:$D$64,4))*VLOOKUP($C515,Lookups!$C$2:$D$11,2))),0)&lt;1,1,IF(ROUND(10.499-(((N515-VLOOKUP($C515,Lookups!$A$55:$D$64,3))/(VLOOKUP($C515,Lookups!$A$55:$D$64,4))*VLOOKUP($C515,Lookups!$C$2:$D$11,2))),0)&lt;11,ROUND(10.499-(((N515-VLOOKUP($C515,Lookups!$A$55:$D$64,3))/(VLOOKUP($C515,Lookups!$A$55:$D$64,4))*VLOOKUP($C515,Lookups!$C$2:$D$11,2))),0),10))</f>
        <v>#N/A</v>
      </c>
      <c r="P515" s="13" t="str">
        <f>IF((SUM(F515:M515)=0),"J",VLOOKUP(O515,Lookups!$A$1:$B$11,2))</f>
        <v>J</v>
      </c>
      <c r="Q515" s="8" t="e">
        <f>VLOOKUP(C515,Lookups!$A$136:$C$144,3)</f>
        <v>#N/A</v>
      </c>
      <c r="R515" s="8" t="e">
        <f>VLOOKUP(C515,Lookups!$A$136:$C$144,2)</f>
        <v>#N/A</v>
      </c>
      <c r="S515" s="4" t="str">
        <f t="shared" si="42"/>
        <v>No</v>
      </c>
      <c r="T515" s="125">
        <f t="shared" si="43"/>
        <v>0</v>
      </c>
      <c r="U515" s="125">
        <f t="shared" si="44"/>
        <v>0</v>
      </c>
      <c r="V515" s="4" t="e">
        <f>IF($Q515&lt;&gt;3,VLOOKUP(F515,'Points Table A'!B$3:$F$33,5),VLOOKUP(F515,'Points Table A'!H$3:$L$33,5))</f>
        <v>#N/A</v>
      </c>
      <c r="W515" s="4" t="e">
        <f>IF($Q515&lt;&gt;3,VLOOKUP(G515,'Points Table A'!C$3:$F$33,4),VLOOKUP(G515,'Points Table A'!I$3:$L$33,4))</f>
        <v>#N/A</v>
      </c>
      <c r="X515" s="4" t="e">
        <f>IF($Q515&lt;&gt;3,VLOOKUP(H515,'Points Table A'!D$3:$F$28,3),VLOOKUP(H515,'Points Table A'!J$3:$L$33,3))</f>
        <v>#N/A</v>
      </c>
      <c r="Y515" s="4" t="e">
        <f>IF($Q515&lt;&gt;3,VLOOKUP(I515,'Points Table A'!E$3:$F$33,2),VLOOKUP(I515,'Points Table A'!K$3:$L$33,2))</f>
        <v>#N/A</v>
      </c>
      <c r="Z515" s="4" t="e">
        <f t="shared" si="45"/>
        <v>#N/A</v>
      </c>
      <c r="AA515" s="4">
        <f>IF($S515=Lookups!$B$113,VLOOKUP(L515,'Points Table C'!A$3:$E$11,5),VLOOKUP(U515,'Points Table C'!B$3:$E$11,4))</f>
        <v>0</v>
      </c>
      <c r="AB515" s="4" t="e">
        <f>IF($Q515=1,0,VLOOKUP($J515,'Points Table C'!$C$3:$E$18,3))</f>
        <v>#N/A</v>
      </c>
      <c r="AC515" s="4">
        <f>VLOOKUP($K515,'Points Table C'!$D$3:$E$18,2)</f>
        <v>0</v>
      </c>
      <c r="AD515" s="4" t="e">
        <f>IF($Z515&lt;Lookups!$C$106,($AA515+AB515+AC515),IF($AA515&gt;=Lookups!$C$120,($AA515+AB515+AC515),$AA515+$AB515))</f>
        <v>#N/A</v>
      </c>
      <c r="AF515" s="7"/>
      <c r="AG515" s="7"/>
      <c r="AH515" s="7"/>
      <c r="AI515" s="7"/>
      <c r="AJ515" s="7"/>
      <c r="AK515" s="7"/>
      <c r="AL515" s="7"/>
      <c r="AM515" s="7"/>
      <c r="AN515" s="7"/>
      <c r="AO515" s="7"/>
      <c r="AP515" s="7"/>
      <c r="AQ515" s="7"/>
      <c r="AR515" s="7"/>
      <c r="AS515" s="7"/>
      <c r="AT515" s="7"/>
      <c r="AU515" s="7"/>
      <c r="AV515" s="7"/>
      <c r="AW515" s="7"/>
      <c r="AY515" s="7"/>
      <c r="AZ515" s="7"/>
      <c r="BA515" s="7"/>
      <c r="BB515" s="7"/>
    </row>
    <row r="516" spans="2:54" x14ac:dyDescent="0.2">
      <c r="B516" s="174"/>
      <c r="C516" s="176"/>
      <c r="F516" s="5">
        <v>0</v>
      </c>
      <c r="G516" s="192">
        <v>0</v>
      </c>
      <c r="H516" s="192">
        <v>0</v>
      </c>
      <c r="I516" s="5">
        <v>0</v>
      </c>
      <c r="J516" s="192">
        <v>0</v>
      </c>
      <c r="K516" s="192">
        <v>0</v>
      </c>
      <c r="L516" s="5">
        <v>0</v>
      </c>
      <c r="M516" s="5">
        <v>0</v>
      </c>
      <c r="N516" s="4" t="e">
        <f t="shared" si="46"/>
        <v>#N/A</v>
      </c>
      <c r="O516" s="4" t="e">
        <f>IF(ROUND(10.499-(((N516-VLOOKUP($C516,Lookups!$A$55:$D$64,3))/(VLOOKUP($C516,Lookups!$A$55:$D$64,4))*VLOOKUP($C516,Lookups!$C$2:$D$11,2))),0)&lt;1,1,IF(ROUND(10.499-(((N516-VLOOKUP($C516,Lookups!$A$55:$D$64,3))/(VLOOKUP($C516,Lookups!$A$55:$D$64,4))*VLOOKUP($C516,Lookups!$C$2:$D$11,2))),0)&lt;11,ROUND(10.499-(((N516-VLOOKUP($C516,Lookups!$A$55:$D$64,3))/(VLOOKUP($C516,Lookups!$A$55:$D$64,4))*VLOOKUP($C516,Lookups!$C$2:$D$11,2))),0),10))</f>
        <v>#N/A</v>
      </c>
      <c r="P516" s="13" t="str">
        <f>IF((SUM(F516:M516)=0),"J",VLOOKUP(O516,Lookups!$A$1:$B$11,2))</f>
        <v>J</v>
      </c>
      <c r="Q516" s="8" t="e">
        <f>VLOOKUP(C516,Lookups!$A$136:$C$144,3)</f>
        <v>#N/A</v>
      </c>
      <c r="R516" s="8" t="e">
        <f>VLOOKUP(C516,Lookups!$A$136:$C$144,2)</f>
        <v>#N/A</v>
      </c>
      <c r="S516" s="4" t="str">
        <f t="shared" si="42"/>
        <v>No</v>
      </c>
      <c r="T516" s="125">
        <f t="shared" si="43"/>
        <v>0</v>
      </c>
      <c r="U516" s="125">
        <f t="shared" si="44"/>
        <v>0</v>
      </c>
      <c r="V516" s="4" t="e">
        <f>IF($Q516&lt;&gt;3,VLOOKUP(F516,'Points Table A'!B$3:$F$33,5),VLOOKUP(F516,'Points Table A'!H$3:$L$33,5))</f>
        <v>#N/A</v>
      </c>
      <c r="W516" s="4" t="e">
        <f>IF($Q516&lt;&gt;3,VLOOKUP(G516,'Points Table A'!C$3:$F$33,4),VLOOKUP(G516,'Points Table A'!I$3:$L$33,4))</f>
        <v>#N/A</v>
      </c>
      <c r="X516" s="4" t="e">
        <f>IF($Q516&lt;&gt;3,VLOOKUP(H516,'Points Table A'!D$3:$F$28,3),VLOOKUP(H516,'Points Table A'!J$3:$L$33,3))</f>
        <v>#N/A</v>
      </c>
      <c r="Y516" s="4" t="e">
        <f>IF($Q516&lt;&gt;3,VLOOKUP(I516,'Points Table A'!E$3:$F$33,2),VLOOKUP(I516,'Points Table A'!K$3:$L$33,2))</f>
        <v>#N/A</v>
      </c>
      <c r="Z516" s="4" t="e">
        <f t="shared" si="45"/>
        <v>#N/A</v>
      </c>
      <c r="AA516" s="4">
        <f>IF($S516=Lookups!$B$113,VLOOKUP(L516,'Points Table C'!A$3:$E$11,5),VLOOKUP(U516,'Points Table C'!B$3:$E$11,4))</f>
        <v>0</v>
      </c>
      <c r="AB516" s="4" t="e">
        <f>IF($Q516=1,0,VLOOKUP($J516,'Points Table C'!$C$3:$E$18,3))</f>
        <v>#N/A</v>
      </c>
      <c r="AC516" s="4">
        <f>VLOOKUP($K516,'Points Table C'!$D$3:$E$18,2)</f>
        <v>0</v>
      </c>
      <c r="AD516" s="4" t="e">
        <f>IF($Z516&lt;Lookups!$C$106,($AA516+AB516+AC516),IF($AA516&gt;=Lookups!$C$120,($AA516+AB516+AC516),$AA516+$AB516))</f>
        <v>#N/A</v>
      </c>
      <c r="AF516" s="7"/>
      <c r="AG516" s="7"/>
      <c r="AH516" s="7"/>
      <c r="AI516" s="7"/>
      <c r="AJ516" s="7"/>
      <c r="AK516" s="7"/>
      <c r="AL516" s="7"/>
      <c r="AM516" s="7"/>
      <c r="AN516" s="7"/>
      <c r="AO516" s="7"/>
      <c r="AP516" s="7"/>
      <c r="AQ516" s="7"/>
      <c r="AR516" s="7"/>
      <c r="AS516" s="7"/>
      <c r="AT516" s="7"/>
      <c r="AU516" s="7"/>
      <c r="AV516" s="7"/>
      <c r="AW516" s="7"/>
      <c r="AY516" s="7"/>
      <c r="AZ516" s="7"/>
      <c r="BA516" s="7"/>
      <c r="BB516" s="7"/>
    </row>
    <row r="517" spans="2:54" x14ac:dyDescent="0.2">
      <c r="B517" s="174"/>
      <c r="C517" s="176"/>
      <c r="F517" s="5">
        <v>0</v>
      </c>
      <c r="G517" s="192">
        <v>0</v>
      </c>
      <c r="H517" s="192">
        <v>0</v>
      </c>
      <c r="I517" s="5">
        <v>0</v>
      </c>
      <c r="J517" s="192">
        <v>0</v>
      </c>
      <c r="K517" s="192">
        <v>0</v>
      </c>
      <c r="L517" s="5">
        <v>0</v>
      </c>
      <c r="M517" s="5">
        <v>0</v>
      </c>
      <c r="N517" s="4" t="e">
        <f t="shared" si="46"/>
        <v>#N/A</v>
      </c>
      <c r="O517" s="4" t="e">
        <f>IF(ROUND(10.499-(((N517-VLOOKUP($C517,Lookups!$A$55:$D$64,3))/(VLOOKUP($C517,Lookups!$A$55:$D$64,4))*VLOOKUP($C517,Lookups!$C$2:$D$11,2))),0)&lt;1,1,IF(ROUND(10.499-(((N517-VLOOKUP($C517,Lookups!$A$55:$D$64,3))/(VLOOKUP($C517,Lookups!$A$55:$D$64,4))*VLOOKUP($C517,Lookups!$C$2:$D$11,2))),0)&lt;11,ROUND(10.499-(((N517-VLOOKUP($C517,Lookups!$A$55:$D$64,3))/(VLOOKUP($C517,Lookups!$A$55:$D$64,4))*VLOOKUP($C517,Lookups!$C$2:$D$11,2))),0),10))</f>
        <v>#N/A</v>
      </c>
      <c r="P517" s="13" t="str">
        <f>IF((SUM(F517:M517)=0),"J",VLOOKUP(O517,Lookups!$A$1:$B$11,2))</f>
        <v>J</v>
      </c>
      <c r="Q517" s="8" t="e">
        <f>VLOOKUP(C517,Lookups!$A$136:$C$144,3)</f>
        <v>#N/A</v>
      </c>
      <c r="R517" s="8" t="e">
        <f>VLOOKUP(C517,Lookups!$A$136:$C$144,2)</f>
        <v>#N/A</v>
      </c>
      <c r="S517" s="4" t="str">
        <f t="shared" si="42"/>
        <v>No</v>
      </c>
      <c r="T517" s="125">
        <f t="shared" si="43"/>
        <v>0</v>
      </c>
      <c r="U517" s="125">
        <f t="shared" si="44"/>
        <v>0</v>
      </c>
      <c r="V517" s="4" t="e">
        <f>IF($Q517&lt;&gt;3,VLOOKUP(F517,'Points Table A'!B$3:$F$33,5),VLOOKUP(F517,'Points Table A'!H$3:$L$33,5))</f>
        <v>#N/A</v>
      </c>
      <c r="W517" s="4" t="e">
        <f>IF($Q517&lt;&gt;3,VLOOKUP(G517,'Points Table A'!C$3:$F$33,4),VLOOKUP(G517,'Points Table A'!I$3:$L$33,4))</f>
        <v>#N/A</v>
      </c>
      <c r="X517" s="4" t="e">
        <f>IF($Q517&lt;&gt;3,VLOOKUP(H517,'Points Table A'!D$3:$F$28,3),VLOOKUP(H517,'Points Table A'!J$3:$L$33,3))</f>
        <v>#N/A</v>
      </c>
      <c r="Y517" s="4" t="e">
        <f>IF($Q517&lt;&gt;3,VLOOKUP(I517,'Points Table A'!E$3:$F$33,2),VLOOKUP(I517,'Points Table A'!K$3:$L$33,2))</f>
        <v>#N/A</v>
      </c>
      <c r="Z517" s="4" t="e">
        <f t="shared" si="45"/>
        <v>#N/A</v>
      </c>
      <c r="AA517" s="4">
        <f>IF($S517=Lookups!$B$113,VLOOKUP(L517,'Points Table C'!A$3:$E$11,5),VLOOKUP(U517,'Points Table C'!B$3:$E$11,4))</f>
        <v>0</v>
      </c>
      <c r="AB517" s="4" t="e">
        <f>IF($Q517=1,0,VLOOKUP($J517,'Points Table C'!$C$3:$E$18,3))</f>
        <v>#N/A</v>
      </c>
      <c r="AC517" s="4">
        <f>VLOOKUP($K517,'Points Table C'!$D$3:$E$18,2)</f>
        <v>0</v>
      </c>
      <c r="AD517" s="4" t="e">
        <f>IF($Z517&lt;Lookups!$C$106,($AA517+AB517+AC517),IF($AA517&gt;=Lookups!$C$120,($AA517+AB517+AC517),$AA517+$AB517))</f>
        <v>#N/A</v>
      </c>
      <c r="AF517" s="7"/>
      <c r="AG517" s="7"/>
      <c r="AH517" s="7"/>
      <c r="AI517" s="7"/>
      <c r="AJ517" s="7"/>
      <c r="AK517" s="7"/>
      <c r="AL517" s="7"/>
      <c r="AM517" s="7"/>
      <c r="AN517" s="7"/>
      <c r="AO517" s="7"/>
      <c r="AP517" s="7"/>
      <c r="AQ517" s="7"/>
      <c r="AR517" s="7"/>
      <c r="AS517" s="7"/>
      <c r="AT517" s="7"/>
      <c r="AU517" s="7"/>
      <c r="AV517" s="7"/>
      <c r="AW517" s="7"/>
      <c r="AY517" s="7"/>
      <c r="AZ517" s="7"/>
      <c r="BA517" s="7"/>
      <c r="BB517" s="7"/>
    </row>
    <row r="518" spans="2:54" x14ac:dyDescent="0.2">
      <c r="B518" s="174"/>
      <c r="C518" s="176"/>
      <c r="F518" s="5">
        <v>0</v>
      </c>
      <c r="G518" s="192">
        <v>0</v>
      </c>
      <c r="H518" s="192">
        <v>0</v>
      </c>
      <c r="I518" s="5">
        <v>0</v>
      </c>
      <c r="J518" s="192">
        <v>0</v>
      </c>
      <c r="K518" s="192">
        <v>0</v>
      </c>
      <c r="L518" s="5">
        <v>0</v>
      </c>
      <c r="M518" s="5">
        <v>0</v>
      </c>
      <c r="N518" s="4" t="e">
        <f t="shared" si="46"/>
        <v>#N/A</v>
      </c>
      <c r="O518" s="4" t="e">
        <f>IF(ROUND(10.499-(((N518-VLOOKUP($C518,Lookups!$A$55:$D$64,3))/(VLOOKUP($C518,Lookups!$A$55:$D$64,4))*VLOOKUP($C518,Lookups!$C$2:$D$11,2))),0)&lt;1,1,IF(ROUND(10.499-(((N518-VLOOKUP($C518,Lookups!$A$55:$D$64,3))/(VLOOKUP($C518,Lookups!$A$55:$D$64,4))*VLOOKUP($C518,Lookups!$C$2:$D$11,2))),0)&lt;11,ROUND(10.499-(((N518-VLOOKUP($C518,Lookups!$A$55:$D$64,3))/(VLOOKUP($C518,Lookups!$A$55:$D$64,4))*VLOOKUP($C518,Lookups!$C$2:$D$11,2))),0),10))</f>
        <v>#N/A</v>
      </c>
      <c r="P518" s="13" t="str">
        <f>IF((SUM(F518:M518)=0),"J",VLOOKUP(O518,Lookups!$A$1:$B$11,2))</f>
        <v>J</v>
      </c>
      <c r="Q518" s="8" t="e">
        <f>VLOOKUP(C518,Lookups!$A$136:$C$144,3)</f>
        <v>#N/A</v>
      </c>
      <c r="R518" s="8" t="e">
        <f>VLOOKUP(C518,Lookups!$A$136:$C$144,2)</f>
        <v>#N/A</v>
      </c>
      <c r="S518" s="4" t="str">
        <f t="shared" si="42"/>
        <v>No</v>
      </c>
      <c r="T518" s="125">
        <f t="shared" si="43"/>
        <v>0</v>
      </c>
      <c r="U518" s="125">
        <f t="shared" si="44"/>
        <v>0</v>
      </c>
      <c r="V518" s="4" t="e">
        <f>IF($Q518&lt;&gt;3,VLOOKUP(F518,'Points Table A'!B$3:$F$33,5),VLOOKUP(F518,'Points Table A'!H$3:$L$33,5))</f>
        <v>#N/A</v>
      </c>
      <c r="W518" s="4" t="e">
        <f>IF($Q518&lt;&gt;3,VLOOKUP(G518,'Points Table A'!C$3:$F$33,4),VLOOKUP(G518,'Points Table A'!I$3:$L$33,4))</f>
        <v>#N/A</v>
      </c>
      <c r="X518" s="4" t="e">
        <f>IF($Q518&lt;&gt;3,VLOOKUP(H518,'Points Table A'!D$3:$F$28,3),VLOOKUP(H518,'Points Table A'!J$3:$L$33,3))</f>
        <v>#N/A</v>
      </c>
      <c r="Y518" s="4" t="e">
        <f>IF($Q518&lt;&gt;3,VLOOKUP(I518,'Points Table A'!E$3:$F$33,2),VLOOKUP(I518,'Points Table A'!K$3:$L$33,2))</f>
        <v>#N/A</v>
      </c>
      <c r="Z518" s="4" t="e">
        <f t="shared" si="45"/>
        <v>#N/A</v>
      </c>
      <c r="AA518" s="4">
        <f>IF($S518=Lookups!$B$113,VLOOKUP(L518,'Points Table C'!A$3:$E$11,5),VLOOKUP(U518,'Points Table C'!B$3:$E$11,4))</f>
        <v>0</v>
      </c>
      <c r="AB518" s="4" t="e">
        <f>IF($Q518=1,0,VLOOKUP($J518,'Points Table C'!$C$3:$E$18,3))</f>
        <v>#N/A</v>
      </c>
      <c r="AC518" s="4">
        <f>VLOOKUP($K518,'Points Table C'!$D$3:$E$18,2)</f>
        <v>0</v>
      </c>
      <c r="AD518" s="4" t="e">
        <f>IF($Z518&lt;Lookups!$C$106,($AA518+AB518+AC518),IF($AA518&gt;=Lookups!$C$120,($AA518+AB518+AC518),$AA518+$AB518))</f>
        <v>#N/A</v>
      </c>
      <c r="AF518" s="7"/>
      <c r="AG518" s="7"/>
      <c r="AH518" s="7"/>
      <c r="AI518" s="7"/>
      <c r="AJ518" s="7"/>
      <c r="AK518" s="7"/>
      <c r="AL518" s="7"/>
      <c r="AM518" s="7"/>
      <c r="AN518" s="7"/>
      <c r="AO518" s="7"/>
      <c r="AP518" s="7"/>
      <c r="AQ518" s="7"/>
      <c r="AR518" s="7"/>
      <c r="AS518" s="7"/>
      <c r="AT518" s="7"/>
      <c r="AU518" s="7"/>
      <c r="AV518" s="7"/>
      <c r="AW518" s="7"/>
      <c r="AY518" s="7"/>
      <c r="AZ518" s="7"/>
      <c r="BA518" s="7"/>
      <c r="BB518" s="7"/>
    </row>
    <row r="519" spans="2:54" x14ac:dyDescent="0.2">
      <c r="B519" s="174"/>
      <c r="C519" s="176"/>
      <c r="F519" s="5">
        <v>0</v>
      </c>
      <c r="G519" s="192">
        <v>0</v>
      </c>
      <c r="H519" s="192">
        <v>0</v>
      </c>
      <c r="I519" s="5">
        <v>0</v>
      </c>
      <c r="J519" s="192">
        <v>0</v>
      </c>
      <c r="K519" s="192">
        <v>0</v>
      </c>
      <c r="L519" s="5">
        <v>0</v>
      </c>
      <c r="M519" s="5">
        <v>0</v>
      </c>
      <c r="N519" s="4" t="e">
        <f t="shared" si="46"/>
        <v>#N/A</v>
      </c>
      <c r="O519" s="4" t="e">
        <f>IF(ROUND(10.499-(((N519-VLOOKUP($C519,Lookups!$A$55:$D$64,3))/(VLOOKUP($C519,Lookups!$A$55:$D$64,4))*VLOOKUP($C519,Lookups!$C$2:$D$11,2))),0)&lt;1,1,IF(ROUND(10.499-(((N519-VLOOKUP($C519,Lookups!$A$55:$D$64,3))/(VLOOKUP($C519,Lookups!$A$55:$D$64,4))*VLOOKUP($C519,Lookups!$C$2:$D$11,2))),0)&lt;11,ROUND(10.499-(((N519-VLOOKUP($C519,Lookups!$A$55:$D$64,3))/(VLOOKUP($C519,Lookups!$A$55:$D$64,4))*VLOOKUP($C519,Lookups!$C$2:$D$11,2))),0),10))</f>
        <v>#N/A</v>
      </c>
      <c r="P519" s="13" t="str">
        <f>IF((SUM(F519:M519)=0),"J",VLOOKUP(O519,Lookups!$A$1:$B$11,2))</f>
        <v>J</v>
      </c>
      <c r="Q519" s="8" t="e">
        <f>VLOOKUP(C519,Lookups!$A$136:$C$144,3)</f>
        <v>#N/A</v>
      </c>
      <c r="R519" s="8" t="e">
        <f>VLOOKUP(C519,Lookups!$A$136:$C$144,2)</f>
        <v>#N/A</v>
      </c>
      <c r="S519" s="4" t="str">
        <f t="shared" si="42"/>
        <v>No</v>
      </c>
      <c r="T519" s="125">
        <f t="shared" si="43"/>
        <v>0</v>
      </c>
      <c r="U519" s="125">
        <f t="shared" si="44"/>
        <v>0</v>
      </c>
      <c r="V519" s="4" t="e">
        <f>IF($Q519&lt;&gt;3,VLOOKUP(F519,'Points Table A'!B$3:$F$33,5),VLOOKUP(F519,'Points Table A'!H$3:$L$33,5))</f>
        <v>#N/A</v>
      </c>
      <c r="W519" s="4" t="e">
        <f>IF($Q519&lt;&gt;3,VLOOKUP(G519,'Points Table A'!C$3:$F$33,4),VLOOKUP(G519,'Points Table A'!I$3:$L$33,4))</f>
        <v>#N/A</v>
      </c>
      <c r="X519" s="4" t="e">
        <f>IF($Q519&lt;&gt;3,VLOOKUP(H519,'Points Table A'!D$3:$F$28,3),VLOOKUP(H519,'Points Table A'!J$3:$L$33,3))</f>
        <v>#N/A</v>
      </c>
      <c r="Y519" s="4" t="e">
        <f>IF($Q519&lt;&gt;3,VLOOKUP(I519,'Points Table A'!E$3:$F$33,2),VLOOKUP(I519,'Points Table A'!K$3:$L$33,2))</f>
        <v>#N/A</v>
      </c>
      <c r="Z519" s="4" t="e">
        <f t="shared" si="45"/>
        <v>#N/A</v>
      </c>
      <c r="AA519" s="4">
        <f>IF($S519=Lookups!$B$113,VLOOKUP(L519,'Points Table C'!A$3:$E$11,5),VLOOKUP(U519,'Points Table C'!B$3:$E$11,4))</f>
        <v>0</v>
      </c>
      <c r="AB519" s="4" t="e">
        <f>IF($Q519=1,0,VLOOKUP($J519,'Points Table C'!$C$3:$E$18,3))</f>
        <v>#N/A</v>
      </c>
      <c r="AC519" s="4">
        <f>VLOOKUP($K519,'Points Table C'!$D$3:$E$18,2)</f>
        <v>0</v>
      </c>
      <c r="AD519" s="4" t="e">
        <f>IF($Z519&lt;Lookups!$C$106,($AA519+AB519+AC519),IF($AA519&gt;=Lookups!$C$120,($AA519+AB519+AC519),$AA519+$AB519))</f>
        <v>#N/A</v>
      </c>
      <c r="AF519" s="7"/>
      <c r="AG519" s="7"/>
      <c r="AH519" s="7"/>
      <c r="AI519" s="7"/>
      <c r="AJ519" s="7"/>
      <c r="AK519" s="7"/>
      <c r="AL519" s="7"/>
      <c r="AM519" s="7"/>
      <c r="AN519" s="7"/>
      <c r="AO519" s="7"/>
      <c r="AP519" s="7"/>
      <c r="AQ519" s="7"/>
      <c r="AR519" s="7"/>
      <c r="AS519" s="7"/>
      <c r="AT519" s="7"/>
      <c r="AU519" s="7"/>
      <c r="AV519" s="7"/>
      <c r="AW519" s="7"/>
      <c r="AY519" s="7"/>
      <c r="AZ519" s="7"/>
      <c r="BA519" s="7"/>
      <c r="BB519" s="7"/>
    </row>
    <row r="520" spans="2:54" x14ac:dyDescent="0.2">
      <c r="B520" s="174"/>
      <c r="C520" s="176"/>
      <c r="F520" s="5">
        <v>0</v>
      </c>
      <c r="G520" s="192">
        <v>0</v>
      </c>
      <c r="H520" s="192">
        <v>0</v>
      </c>
      <c r="I520" s="5">
        <v>0</v>
      </c>
      <c r="J520" s="192">
        <v>0</v>
      </c>
      <c r="K520" s="192">
        <v>0</v>
      </c>
      <c r="L520" s="5">
        <v>0</v>
      </c>
      <c r="M520" s="5">
        <v>0</v>
      </c>
      <c r="N520" s="4" t="e">
        <f t="shared" si="46"/>
        <v>#N/A</v>
      </c>
      <c r="O520" s="4" t="e">
        <f>IF(ROUND(10.499-(((N520-VLOOKUP($C520,Lookups!$A$55:$D$64,3))/(VLOOKUP($C520,Lookups!$A$55:$D$64,4))*VLOOKUP($C520,Lookups!$C$2:$D$11,2))),0)&lt;1,1,IF(ROUND(10.499-(((N520-VLOOKUP($C520,Lookups!$A$55:$D$64,3))/(VLOOKUP($C520,Lookups!$A$55:$D$64,4))*VLOOKUP($C520,Lookups!$C$2:$D$11,2))),0)&lt;11,ROUND(10.499-(((N520-VLOOKUP($C520,Lookups!$A$55:$D$64,3))/(VLOOKUP($C520,Lookups!$A$55:$D$64,4))*VLOOKUP($C520,Lookups!$C$2:$D$11,2))),0),10))</f>
        <v>#N/A</v>
      </c>
      <c r="P520" s="13" t="str">
        <f>IF((SUM(F520:M520)=0),"J",VLOOKUP(O520,Lookups!$A$1:$B$11,2))</f>
        <v>J</v>
      </c>
      <c r="Q520" s="8" t="e">
        <f>VLOOKUP(C520,Lookups!$A$136:$C$144,3)</f>
        <v>#N/A</v>
      </c>
      <c r="R520" s="8" t="e">
        <f>VLOOKUP(C520,Lookups!$A$136:$C$144,2)</f>
        <v>#N/A</v>
      </c>
      <c r="S520" s="4" t="str">
        <f t="shared" si="42"/>
        <v>No</v>
      </c>
      <c r="T520" s="125">
        <f t="shared" si="43"/>
        <v>0</v>
      </c>
      <c r="U520" s="125">
        <f t="shared" si="44"/>
        <v>0</v>
      </c>
      <c r="V520" s="4" t="e">
        <f>IF($Q520&lt;&gt;3,VLOOKUP(F520,'Points Table A'!B$3:$F$33,5),VLOOKUP(F520,'Points Table A'!H$3:$L$33,5))</f>
        <v>#N/A</v>
      </c>
      <c r="W520" s="4" t="e">
        <f>IF($Q520&lt;&gt;3,VLOOKUP(G520,'Points Table A'!C$3:$F$33,4),VLOOKUP(G520,'Points Table A'!I$3:$L$33,4))</f>
        <v>#N/A</v>
      </c>
      <c r="X520" s="4" t="e">
        <f>IF($Q520&lt;&gt;3,VLOOKUP(H520,'Points Table A'!D$3:$F$28,3),VLOOKUP(H520,'Points Table A'!J$3:$L$33,3))</f>
        <v>#N/A</v>
      </c>
      <c r="Y520" s="4" t="e">
        <f>IF($Q520&lt;&gt;3,VLOOKUP(I520,'Points Table A'!E$3:$F$33,2),VLOOKUP(I520,'Points Table A'!K$3:$L$33,2))</f>
        <v>#N/A</v>
      </c>
      <c r="Z520" s="4" t="e">
        <f t="shared" si="45"/>
        <v>#N/A</v>
      </c>
      <c r="AA520" s="4">
        <f>IF($S520=Lookups!$B$113,VLOOKUP(L520,'Points Table C'!A$3:$E$11,5),VLOOKUP(U520,'Points Table C'!B$3:$E$11,4))</f>
        <v>0</v>
      </c>
      <c r="AB520" s="4" t="e">
        <f>IF($Q520=1,0,VLOOKUP($J520,'Points Table C'!$C$3:$E$18,3))</f>
        <v>#N/A</v>
      </c>
      <c r="AC520" s="4">
        <f>VLOOKUP($K520,'Points Table C'!$D$3:$E$18,2)</f>
        <v>0</v>
      </c>
      <c r="AD520" s="4" t="e">
        <f>IF($Z520&lt;Lookups!$C$106,($AA520+AB520+AC520),IF($AA520&gt;=Lookups!$C$120,($AA520+AB520+AC520),$AA520+$AB520))</f>
        <v>#N/A</v>
      </c>
      <c r="AF520" s="7"/>
      <c r="AG520" s="7"/>
      <c r="AH520" s="7"/>
      <c r="AI520" s="7"/>
      <c r="AJ520" s="7"/>
      <c r="AK520" s="7"/>
      <c r="AL520" s="7"/>
      <c r="AM520" s="7"/>
      <c r="AN520" s="7"/>
      <c r="AO520" s="7"/>
      <c r="AP520" s="7"/>
      <c r="AQ520" s="7"/>
      <c r="AR520" s="7"/>
      <c r="AS520" s="7"/>
      <c r="AT520" s="7"/>
      <c r="AU520" s="7"/>
      <c r="AV520" s="7"/>
      <c r="AW520" s="7"/>
      <c r="AY520" s="7"/>
      <c r="AZ520" s="7"/>
      <c r="BA520" s="7"/>
      <c r="BB520" s="7"/>
    </row>
    <row r="521" spans="2:54" x14ac:dyDescent="0.2">
      <c r="B521" s="174"/>
      <c r="C521" s="176"/>
      <c r="F521" s="5">
        <v>0</v>
      </c>
      <c r="G521" s="192">
        <v>0</v>
      </c>
      <c r="H521" s="192">
        <v>0</v>
      </c>
      <c r="I521" s="5">
        <v>0</v>
      </c>
      <c r="J521" s="192">
        <v>0</v>
      </c>
      <c r="K521" s="192">
        <v>0</v>
      </c>
      <c r="L521" s="5">
        <v>0</v>
      </c>
      <c r="M521" s="5">
        <v>0</v>
      </c>
      <c r="N521" s="4" t="e">
        <f t="shared" si="46"/>
        <v>#N/A</v>
      </c>
      <c r="O521" s="4" t="e">
        <f>IF(ROUND(10.499-(((N521-VLOOKUP($C521,Lookups!$A$55:$D$64,3))/(VLOOKUP($C521,Lookups!$A$55:$D$64,4))*VLOOKUP($C521,Lookups!$C$2:$D$11,2))),0)&lt;1,1,IF(ROUND(10.499-(((N521-VLOOKUP($C521,Lookups!$A$55:$D$64,3))/(VLOOKUP($C521,Lookups!$A$55:$D$64,4))*VLOOKUP($C521,Lookups!$C$2:$D$11,2))),0)&lt;11,ROUND(10.499-(((N521-VLOOKUP($C521,Lookups!$A$55:$D$64,3))/(VLOOKUP($C521,Lookups!$A$55:$D$64,4))*VLOOKUP($C521,Lookups!$C$2:$D$11,2))),0),10))</f>
        <v>#N/A</v>
      </c>
      <c r="P521" s="13" t="str">
        <f>IF((SUM(F521:M521)=0),"J",VLOOKUP(O521,Lookups!$A$1:$B$11,2))</f>
        <v>J</v>
      </c>
      <c r="Q521" s="8" t="e">
        <f>VLOOKUP(C521,Lookups!$A$136:$C$144,3)</f>
        <v>#N/A</v>
      </c>
      <c r="R521" s="8" t="e">
        <f>VLOOKUP(C521,Lookups!$A$136:$C$144,2)</f>
        <v>#N/A</v>
      </c>
      <c r="S521" s="4" t="str">
        <f t="shared" si="42"/>
        <v>No</v>
      </c>
      <c r="T521" s="125">
        <f t="shared" si="43"/>
        <v>0</v>
      </c>
      <c r="U521" s="125">
        <f t="shared" si="44"/>
        <v>0</v>
      </c>
      <c r="V521" s="4" t="e">
        <f>IF($Q521&lt;&gt;3,VLOOKUP(F521,'Points Table A'!B$3:$F$33,5),VLOOKUP(F521,'Points Table A'!H$3:$L$33,5))</f>
        <v>#N/A</v>
      </c>
      <c r="W521" s="4" t="e">
        <f>IF($Q521&lt;&gt;3,VLOOKUP(G521,'Points Table A'!C$3:$F$33,4),VLOOKUP(G521,'Points Table A'!I$3:$L$33,4))</f>
        <v>#N/A</v>
      </c>
      <c r="X521" s="4" t="e">
        <f>IF($Q521&lt;&gt;3,VLOOKUP(H521,'Points Table A'!D$3:$F$28,3),VLOOKUP(H521,'Points Table A'!J$3:$L$33,3))</f>
        <v>#N/A</v>
      </c>
      <c r="Y521" s="4" t="e">
        <f>IF($Q521&lt;&gt;3,VLOOKUP(I521,'Points Table A'!E$3:$F$33,2),VLOOKUP(I521,'Points Table A'!K$3:$L$33,2))</f>
        <v>#N/A</v>
      </c>
      <c r="Z521" s="4" t="e">
        <f t="shared" si="45"/>
        <v>#N/A</v>
      </c>
      <c r="AA521" s="4">
        <f>IF($S521=Lookups!$B$113,VLOOKUP(L521,'Points Table C'!A$3:$E$11,5),VLOOKUP(U521,'Points Table C'!B$3:$E$11,4))</f>
        <v>0</v>
      </c>
      <c r="AB521" s="4" t="e">
        <f>IF($Q521=1,0,VLOOKUP($J521,'Points Table C'!$C$3:$E$18,3))</f>
        <v>#N/A</v>
      </c>
      <c r="AC521" s="4">
        <f>VLOOKUP($K521,'Points Table C'!$D$3:$E$18,2)</f>
        <v>0</v>
      </c>
      <c r="AD521" s="4" t="e">
        <f>IF($Z521&lt;Lookups!$C$106,($AA521+AB521+AC521),IF($AA521&gt;=Lookups!$C$120,($AA521+AB521+AC521),$AA521+$AB521))</f>
        <v>#N/A</v>
      </c>
      <c r="AF521" s="7"/>
      <c r="AG521" s="7"/>
      <c r="AH521" s="7"/>
      <c r="AI521" s="7"/>
      <c r="AJ521" s="7"/>
      <c r="AK521" s="7"/>
      <c r="AL521" s="7"/>
      <c r="AM521" s="7"/>
      <c r="AN521" s="7"/>
      <c r="AO521" s="7"/>
      <c r="AP521" s="7"/>
      <c r="AQ521" s="7"/>
      <c r="AR521" s="7"/>
      <c r="AS521" s="7"/>
      <c r="AT521" s="7"/>
      <c r="AU521" s="7"/>
      <c r="AV521" s="7"/>
      <c r="AW521" s="7"/>
      <c r="AY521" s="7"/>
      <c r="AZ521" s="7"/>
      <c r="BA521" s="7"/>
      <c r="BB521" s="7"/>
    </row>
    <row r="522" spans="2:54" x14ac:dyDescent="0.2">
      <c r="B522" s="174"/>
      <c r="C522" s="176"/>
      <c r="F522" s="5">
        <v>0</v>
      </c>
      <c r="G522" s="192">
        <v>0</v>
      </c>
      <c r="H522" s="192">
        <v>0</v>
      </c>
      <c r="I522" s="5">
        <v>0</v>
      </c>
      <c r="J522" s="192">
        <v>0</v>
      </c>
      <c r="K522" s="192">
        <v>0</v>
      </c>
      <c r="L522" s="5">
        <v>0</v>
      </c>
      <c r="M522" s="5">
        <v>0</v>
      </c>
      <c r="N522" s="4" t="e">
        <f t="shared" si="46"/>
        <v>#N/A</v>
      </c>
      <c r="O522" s="4" t="e">
        <f>IF(ROUND(10.499-(((N522-VLOOKUP($C522,Lookups!$A$55:$D$64,3))/(VLOOKUP($C522,Lookups!$A$55:$D$64,4))*VLOOKUP($C522,Lookups!$C$2:$D$11,2))),0)&lt;1,1,IF(ROUND(10.499-(((N522-VLOOKUP($C522,Lookups!$A$55:$D$64,3))/(VLOOKUP($C522,Lookups!$A$55:$D$64,4))*VLOOKUP($C522,Lookups!$C$2:$D$11,2))),0)&lt;11,ROUND(10.499-(((N522-VLOOKUP($C522,Lookups!$A$55:$D$64,3))/(VLOOKUP($C522,Lookups!$A$55:$D$64,4))*VLOOKUP($C522,Lookups!$C$2:$D$11,2))),0),10))</f>
        <v>#N/A</v>
      </c>
      <c r="P522" s="13" t="str">
        <f>IF((SUM(F522:M522)=0),"J",VLOOKUP(O522,Lookups!$A$1:$B$11,2))</f>
        <v>J</v>
      </c>
      <c r="Q522" s="8" t="e">
        <f>VLOOKUP(C522,Lookups!$A$136:$C$144,3)</f>
        <v>#N/A</v>
      </c>
      <c r="R522" s="8" t="e">
        <f>VLOOKUP(C522,Lookups!$A$136:$C$144,2)</f>
        <v>#N/A</v>
      </c>
      <c r="S522" s="4" t="str">
        <f t="shared" si="42"/>
        <v>No</v>
      </c>
      <c r="T522" s="125">
        <f t="shared" si="43"/>
        <v>0</v>
      </c>
      <c r="U522" s="125">
        <f t="shared" si="44"/>
        <v>0</v>
      </c>
      <c r="V522" s="4" t="e">
        <f>IF($Q522&lt;&gt;3,VLOOKUP(F522,'Points Table A'!B$3:$F$33,5),VLOOKUP(F522,'Points Table A'!H$3:$L$33,5))</f>
        <v>#N/A</v>
      </c>
      <c r="W522" s="4" t="e">
        <f>IF($Q522&lt;&gt;3,VLOOKUP(G522,'Points Table A'!C$3:$F$33,4),VLOOKUP(G522,'Points Table A'!I$3:$L$33,4))</f>
        <v>#N/A</v>
      </c>
      <c r="X522" s="4" t="e">
        <f>IF($Q522&lt;&gt;3,VLOOKUP(H522,'Points Table A'!D$3:$F$28,3),VLOOKUP(H522,'Points Table A'!J$3:$L$33,3))</f>
        <v>#N/A</v>
      </c>
      <c r="Y522" s="4" t="e">
        <f>IF($Q522&lt;&gt;3,VLOOKUP(I522,'Points Table A'!E$3:$F$33,2),VLOOKUP(I522,'Points Table A'!K$3:$L$33,2))</f>
        <v>#N/A</v>
      </c>
      <c r="Z522" s="4" t="e">
        <f t="shared" si="45"/>
        <v>#N/A</v>
      </c>
      <c r="AA522" s="4">
        <f>IF($S522=Lookups!$B$113,VLOOKUP(L522,'Points Table C'!A$3:$E$11,5),VLOOKUP(U522,'Points Table C'!B$3:$E$11,4))</f>
        <v>0</v>
      </c>
      <c r="AB522" s="4" t="e">
        <f>IF($Q522=1,0,VLOOKUP($J522,'Points Table C'!$C$3:$E$18,3))</f>
        <v>#N/A</v>
      </c>
      <c r="AC522" s="4">
        <f>VLOOKUP($K522,'Points Table C'!$D$3:$E$18,2)</f>
        <v>0</v>
      </c>
      <c r="AD522" s="4" t="e">
        <f>IF($Z522&lt;Lookups!$C$106,($AA522+AB522+AC522),IF($AA522&gt;=Lookups!$C$120,($AA522+AB522+AC522),$AA522+$AB522))</f>
        <v>#N/A</v>
      </c>
      <c r="AF522" s="7"/>
      <c r="AG522" s="7"/>
      <c r="AH522" s="7"/>
      <c r="AI522" s="7"/>
      <c r="AJ522" s="7"/>
      <c r="AK522" s="7"/>
      <c r="AL522" s="7"/>
      <c r="AM522" s="7"/>
      <c r="AN522" s="7"/>
      <c r="AO522" s="7"/>
      <c r="AP522" s="7"/>
      <c r="AQ522" s="7"/>
      <c r="AR522" s="7"/>
      <c r="AS522" s="7"/>
      <c r="AT522" s="7"/>
      <c r="AU522" s="7"/>
      <c r="AV522" s="7"/>
      <c r="AW522" s="7"/>
      <c r="AY522" s="7"/>
      <c r="AZ522" s="7"/>
      <c r="BA522" s="7"/>
      <c r="BB522" s="7"/>
    </row>
    <row r="523" spans="2:54" x14ac:dyDescent="0.2">
      <c r="B523" s="174"/>
      <c r="C523" s="176"/>
      <c r="F523" s="5">
        <v>0</v>
      </c>
      <c r="G523" s="192">
        <v>0</v>
      </c>
      <c r="H523" s="192">
        <v>0</v>
      </c>
      <c r="I523" s="5">
        <v>0</v>
      </c>
      <c r="J523" s="192">
        <v>0</v>
      </c>
      <c r="K523" s="192">
        <v>0</v>
      </c>
      <c r="L523" s="5">
        <v>0</v>
      </c>
      <c r="M523" s="5">
        <v>0</v>
      </c>
      <c r="N523" s="4" t="e">
        <f t="shared" si="46"/>
        <v>#N/A</v>
      </c>
      <c r="O523" s="4" t="e">
        <f>IF(ROUND(10.499-(((N523-VLOOKUP($C523,Lookups!$A$55:$D$64,3))/(VLOOKUP($C523,Lookups!$A$55:$D$64,4))*VLOOKUP($C523,Lookups!$C$2:$D$11,2))),0)&lt;1,1,IF(ROUND(10.499-(((N523-VLOOKUP($C523,Lookups!$A$55:$D$64,3))/(VLOOKUP($C523,Lookups!$A$55:$D$64,4))*VLOOKUP($C523,Lookups!$C$2:$D$11,2))),0)&lt;11,ROUND(10.499-(((N523-VLOOKUP($C523,Lookups!$A$55:$D$64,3))/(VLOOKUP($C523,Lookups!$A$55:$D$64,4))*VLOOKUP($C523,Lookups!$C$2:$D$11,2))),0),10))</f>
        <v>#N/A</v>
      </c>
      <c r="P523" s="13" t="str">
        <f>IF((SUM(F523:M523)=0),"J",VLOOKUP(O523,Lookups!$A$1:$B$11,2))</f>
        <v>J</v>
      </c>
      <c r="Q523" s="8" t="e">
        <f>VLOOKUP(C523,Lookups!$A$136:$C$144,3)</f>
        <v>#N/A</v>
      </c>
      <c r="R523" s="8" t="e">
        <f>VLOOKUP(C523,Lookups!$A$136:$C$144,2)</f>
        <v>#N/A</v>
      </c>
      <c r="S523" s="4" t="str">
        <f t="shared" si="42"/>
        <v>No</v>
      </c>
      <c r="T523" s="125">
        <f t="shared" si="43"/>
        <v>0</v>
      </c>
      <c r="U523" s="125">
        <f t="shared" si="44"/>
        <v>0</v>
      </c>
      <c r="V523" s="4" t="e">
        <f>IF($Q523&lt;&gt;3,VLOOKUP(F523,'Points Table A'!B$3:$F$33,5),VLOOKUP(F523,'Points Table A'!H$3:$L$33,5))</f>
        <v>#N/A</v>
      </c>
      <c r="W523" s="4" t="e">
        <f>IF($Q523&lt;&gt;3,VLOOKUP(G523,'Points Table A'!C$3:$F$33,4),VLOOKUP(G523,'Points Table A'!I$3:$L$33,4))</f>
        <v>#N/A</v>
      </c>
      <c r="X523" s="4" t="e">
        <f>IF($Q523&lt;&gt;3,VLOOKUP(H523,'Points Table A'!D$3:$F$28,3),VLOOKUP(H523,'Points Table A'!J$3:$L$33,3))</f>
        <v>#N/A</v>
      </c>
      <c r="Y523" s="4" t="e">
        <f>IF($Q523&lt;&gt;3,VLOOKUP(I523,'Points Table A'!E$3:$F$33,2),VLOOKUP(I523,'Points Table A'!K$3:$L$33,2))</f>
        <v>#N/A</v>
      </c>
      <c r="Z523" s="4" t="e">
        <f t="shared" si="45"/>
        <v>#N/A</v>
      </c>
      <c r="AA523" s="4">
        <f>IF($S523=Lookups!$B$113,VLOOKUP(L523,'Points Table C'!A$3:$E$11,5),VLOOKUP(U523,'Points Table C'!B$3:$E$11,4))</f>
        <v>0</v>
      </c>
      <c r="AB523" s="4" t="e">
        <f>IF($Q523=1,0,VLOOKUP($J523,'Points Table C'!$C$3:$E$18,3))</f>
        <v>#N/A</v>
      </c>
      <c r="AC523" s="4">
        <f>VLOOKUP($K523,'Points Table C'!$D$3:$E$18,2)</f>
        <v>0</v>
      </c>
      <c r="AD523" s="4" t="e">
        <f>IF($Z523&lt;Lookups!$C$106,($AA523+AB523+AC523),IF($AA523&gt;=Lookups!$C$120,($AA523+AB523+AC523),$AA523+$AB523))</f>
        <v>#N/A</v>
      </c>
      <c r="AF523" s="7"/>
      <c r="AG523" s="7"/>
      <c r="AH523" s="7"/>
      <c r="AI523" s="7"/>
      <c r="AJ523" s="7"/>
      <c r="AK523" s="7"/>
      <c r="AL523" s="7"/>
      <c r="AM523" s="7"/>
      <c r="AN523" s="7"/>
      <c r="AO523" s="7"/>
      <c r="AP523" s="7"/>
      <c r="AQ523" s="7"/>
      <c r="AR523" s="7"/>
      <c r="AS523" s="7"/>
      <c r="AT523" s="7"/>
      <c r="AU523" s="7"/>
      <c r="AV523" s="7"/>
      <c r="AW523" s="7"/>
      <c r="AY523" s="7"/>
      <c r="AZ523" s="7"/>
      <c r="BA523" s="7"/>
      <c r="BB523" s="7"/>
    </row>
    <row r="524" spans="2:54" x14ac:dyDescent="0.2">
      <c r="B524" s="174"/>
      <c r="C524" s="176"/>
      <c r="F524" s="5">
        <v>0</v>
      </c>
      <c r="G524" s="192">
        <v>0</v>
      </c>
      <c r="H524" s="192">
        <v>0</v>
      </c>
      <c r="I524" s="5">
        <v>0</v>
      </c>
      <c r="J524" s="192">
        <v>0</v>
      </c>
      <c r="K524" s="192">
        <v>0</v>
      </c>
      <c r="L524" s="5">
        <v>0</v>
      </c>
      <c r="M524" s="5">
        <v>0</v>
      </c>
      <c r="N524" s="4" t="e">
        <f t="shared" si="46"/>
        <v>#N/A</v>
      </c>
      <c r="O524" s="4" t="e">
        <f>IF(ROUND(10.499-(((N524-VLOOKUP($C524,Lookups!$A$55:$D$64,3))/(VLOOKUP($C524,Lookups!$A$55:$D$64,4))*VLOOKUP($C524,Lookups!$C$2:$D$11,2))),0)&lt;1,1,IF(ROUND(10.499-(((N524-VLOOKUP($C524,Lookups!$A$55:$D$64,3))/(VLOOKUP($C524,Lookups!$A$55:$D$64,4))*VLOOKUP($C524,Lookups!$C$2:$D$11,2))),0)&lt;11,ROUND(10.499-(((N524-VLOOKUP($C524,Lookups!$A$55:$D$64,3))/(VLOOKUP($C524,Lookups!$A$55:$D$64,4))*VLOOKUP($C524,Lookups!$C$2:$D$11,2))),0),10))</f>
        <v>#N/A</v>
      </c>
      <c r="P524" s="13" t="str">
        <f>IF((SUM(F524:M524)=0),"J",VLOOKUP(O524,Lookups!$A$1:$B$11,2))</f>
        <v>J</v>
      </c>
      <c r="Q524" s="8" t="e">
        <f>VLOOKUP(C524,Lookups!$A$136:$C$144,3)</f>
        <v>#N/A</v>
      </c>
      <c r="R524" s="8" t="e">
        <f>VLOOKUP(C524,Lookups!$A$136:$C$144,2)</f>
        <v>#N/A</v>
      </c>
      <c r="S524" s="4" t="str">
        <f t="shared" si="42"/>
        <v>No</v>
      </c>
      <c r="T524" s="125">
        <f t="shared" si="43"/>
        <v>0</v>
      </c>
      <c r="U524" s="125">
        <f t="shared" si="44"/>
        <v>0</v>
      </c>
      <c r="V524" s="4" t="e">
        <f>IF($Q524&lt;&gt;3,VLOOKUP(F524,'Points Table A'!B$3:$F$33,5),VLOOKUP(F524,'Points Table A'!H$3:$L$33,5))</f>
        <v>#N/A</v>
      </c>
      <c r="W524" s="4" t="e">
        <f>IF($Q524&lt;&gt;3,VLOOKUP(G524,'Points Table A'!C$3:$F$33,4),VLOOKUP(G524,'Points Table A'!I$3:$L$33,4))</f>
        <v>#N/A</v>
      </c>
      <c r="X524" s="4" t="e">
        <f>IF($Q524&lt;&gt;3,VLOOKUP(H524,'Points Table A'!D$3:$F$28,3),VLOOKUP(H524,'Points Table A'!J$3:$L$33,3))</f>
        <v>#N/A</v>
      </c>
      <c r="Y524" s="4" t="e">
        <f>IF($Q524&lt;&gt;3,VLOOKUP(I524,'Points Table A'!E$3:$F$33,2),VLOOKUP(I524,'Points Table A'!K$3:$L$33,2))</f>
        <v>#N/A</v>
      </c>
      <c r="Z524" s="4" t="e">
        <f t="shared" si="45"/>
        <v>#N/A</v>
      </c>
      <c r="AA524" s="4">
        <f>IF($S524=Lookups!$B$113,VLOOKUP(L524,'Points Table C'!A$3:$E$11,5),VLOOKUP(U524,'Points Table C'!B$3:$E$11,4))</f>
        <v>0</v>
      </c>
      <c r="AB524" s="4" t="e">
        <f>IF($Q524=1,0,VLOOKUP($J524,'Points Table C'!$C$3:$E$18,3))</f>
        <v>#N/A</v>
      </c>
      <c r="AC524" s="4">
        <f>VLOOKUP($K524,'Points Table C'!$D$3:$E$18,2)</f>
        <v>0</v>
      </c>
      <c r="AD524" s="4" t="e">
        <f>IF($Z524&lt;Lookups!$C$106,($AA524+AB524+AC524),IF($AA524&gt;=Lookups!$C$120,($AA524+AB524+AC524),$AA524+$AB524))</f>
        <v>#N/A</v>
      </c>
      <c r="AF524" s="7"/>
      <c r="AG524" s="7"/>
      <c r="AH524" s="7"/>
      <c r="AI524" s="7"/>
      <c r="AJ524" s="7"/>
      <c r="AK524" s="7"/>
      <c r="AL524" s="7"/>
      <c r="AM524" s="7"/>
      <c r="AN524" s="7"/>
      <c r="AO524" s="7"/>
      <c r="AP524" s="7"/>
      <c r="AQ524" s="7"/>
      <c r="AR524" s="7"/>
      <c r="AS524" s="7"/>
      <c r="AT524" s="7"/>
      <c r="AU524" s="7"/>
      <c r="AV524" s="7"/>
      <c r="AW524" s="7"/>
      <c r="AY524" s="7"/>
      <c r="AZ524" s="7"/>
      <c r="BA524" s="7"/>
      <c r="BB524" s="7"/>
    </row>
    <row r="525" spans="2:54" x14ac:dyDescent="0.2">
      <c r="B525" s="174"/>
      <c r="C525" s="176"/>
      <c r="F525" s="5">
        <v>0</v>
      </c>
      <c r="G525" s="192">
        <v>0</v>
      </c>
      <c r="H525" s="192">
        <v>0</v>
      </c>
      <c r="I525" s="5">
        <v>0</v>
      </c>
      <c r="J525" s="192">
        <v>0</v>
      </c>
      <c r="K525" s="192">
        <v>0</v>
      </c>
      <c r="L525" s="5">
        <v>0</v>
      </c>
      <c r="M525" s="5">
        <v>0</v>
      </c>
      <c r="N525" s="4" t="e">
        <f t="shared" si="46"/>
        <v>#N/A</v>
      </c>
      <c r="O525" s="4" t="e">
        <f>IF(ROUND(10.499-(((N525-VLOOKUP($C525,Lookups!$A$55:$D$64,3))/(VLOOKUP($C525,Lookups!$A$55:$D$64,4))*VLOOKUP($C525,Lookups!$C$2:$D$11,2))),0)&lt;1,1,IF(ROUND(10.499-(((N525-VLOOKUP($C525,Lookups!$A$55:$D$64,3))/(VLOOKUP($C525,Lookups!$A$55:$D$64,4))*VLOOKUP($C525,Lookups!$C$2:$D$11,2))),0)&lt;11,ROUND(10.499-(((N525-VLOOKUP($C525,Lookups!$A$55:$D$64,3))/(VLOOKUP($C525,Lookups!$A$55:$D$64,4))*VLOOKUP($C525,Lookups!$C$2:$D$11,2))),0),10))</f>
        <v>#N/A</v>
      </c>
      <c r="P525" s="13" t="str">
        <f>IF((SUM(F525:M525)=0),"J",VLOOKUP(O525,Lookups!$A$1:$B$11,2))</f>
        <v>J</v>
      </c>
      <c r="Q525" s="8" t="e">
        <f>VLOOKUP(C525,Lookups!$A$136:$C$144,3)</f>
        <v>#N/A</v>
      </c>
      <c r="R525" s="8" t="e">
        <f>VLOOKUP(C525,Lookups!$A$136:$C$144,2)</f>
        <v>#N/A</v>
      </c>
      <c r="S525" s="4" t="str">
        <f t="shared" si="42"/>
        <v>No</v>
      </c>
      <c r="T525" s="125">
        <f t="shared" si="43"/>
        <v>0</v>
      </c>
      <c r="U525" s="125">
        <f t="shared" si="44"/>
        <v>0</v>
      </c>
      <c r="V525" s="4" t="e">
        <f>IF($Q525&lt;&gt;3,VLOOKUP(F525,'Points Table A'!B$3:$F$33,5),VLOOKUP(F525,'Points Table A'!H$3:$L$33,5))</f>
        <v>#N/A</v>
      </c>
      <c r="W525" s="4" t="e">
        <f>IF($Q525&lt;&gt;3,VLOOKUP(G525,'Points Table A'!C$3:$F$33,4),VLOOKUP(G525,'Points Table A'!I$3:$L$33,4))</f>
        <v>#N/A</v>
      </c>
      <c r="X525" s="4" t="e">
        <f>IF($Q525&lt;&gt;3,VLOOKUP(H525,'Points Table A'!D$3:$F$28,3),VLOOKUP(H525,'Points Table A'!J$3:$L$33,3))</f>
        <v>#N/A</v>
      </c>
      <c r="Y525" s="4" t="e">
        <f>IF($Q525&lt;&gt;3,VLOOKUP(I525,'Points Table A'!E$3:$F$33,2),VLOOKUP(I525,'Points Table A'!K$3:$L$33,2))</f>
        <v>#N/A</v>
      </c>
      <c r="Z525" s="4" t="e">
        <f t="shared" si="45"/>
        <v>#N/A</v>
      </c>
      <c r="AA525" s="4">
        <f>IF($S525=Lookups!$B$113,VLOOKUP(L525,'Points Table C'!A$3:$E$11,5),VLOOKUP(U525,'Points Table C'!B$3:$E$11,4))</f>
        <v>0</v>
      </c>
      <c r="AB525" s="4" t="e">
        <f>IF($Q525=1,0,VLOOKUP($J525,'Points Table C'!$C$3:$E$18,3))</f>
        <v>#N/A</v>
      </c>
      <c r="AC525" s="4">
        <f>VLOOKUP($K525,'Points Table C'!$D$3:$E$18,2)</f>
        <v>0</v>
      </c>
      <c r="AD525" s="4" t="e">
        <f>IF($Z525&lt;Lookups!$C$106,($AA525+AB525+AC525),IF($AA525&gt;=Lookups!$C$120,($AA525+AB525+AC525),$AA525+$AB525))</f>
        <v>#N/A</v>
      </c>
      <c r="AF525" s="7"/>
      <c r="AG525" s="7"/>
      <c r="AH525" s="7"/>
      <c r="AI525" s="7"/>
      <c r="AJ525" s="7"/>
      <c r="AK525" s="7"/>
      <c r="AL525" s="7"/>
      <c r="AM525" s="7"/>
      <c r="AN525" s="7"/>
      <c r="AO525" s="7"/>
      <c r="AP525" s="7"/>
      <c r="AQ525" s="7"/>
      <c r="AR525" s="7"/>
      <c r="AS525" s="7"/>
      <c r="AT525" s="7"/>
      <c r="AU525" s="7"/>
      <c r="AV525" s="7"/>
      <c r="AW525" s="7"/>
      <c r="AY525" s="7"/>
      <c r="AZ525" s="7"/>
      <c r="BA525" s="7"/>
      <c r="BB525" s="7"/>
    </row>
    <row r="526" spans="2:54" x14ac:dyDescent="0.2">
      <c r="B526" s="174"/>
      <c r="C526" s="176"/>
      <c r="F526" s="5">
        <v>0</v>
      </c>
      <c r="G526" s="192">
        <v>0</v>
      </c>
      <c r="H526" s="192">
        <v>0</v>
      </c>
      <c r="I526" s="5">
        <v>0</v>
      </c>
      <c r="J526" s="192">
        <v>0</v>
      </c>
      <c r="K526" s="192">
        <v>0</v>
      </c>
      <c r="L526" s="5">
        <v>0</v>
      </c>
      <c r="M526" s="5">
        <v>0</v>
      </c>
      <c r="N526" s="4" t="e">
        <f t="shared" si="46"/>
        <v>#N/A</v>
      </c>
      <c r="O526" s="4" t="e">
        <f>IF(ROUND(10.499-(((N526-VLOOKUP($C526,Lookups!$A$55:$D$64,3))/(VLOOKUP($C526,Lookups!$A$55:$D$64,4))*VLOOKUP($C526,Lookups!$C$2:$D$11,2))),0)&lt;1,1,IF(ROUND(10.499-(((N526-VLOOKUP($C526,Lookups!$A$55:$D$64,3))/(VLOOKUP($C526,Lookups!$A$55:$D$64,4))*VLOOKUP($C526,Lookups!$C$2:$D$11,2))),0)&lt;11,ROUND(10.499-(((N526-VLOOKUP($C526,Lookups!$A$55:$D$64,3))/(VLOOKUP($C526,Lookups!$A$55:$D$64,4))*VLOOKUP($C526,Lookups!$C$2:$D$11,2))),0),10))</f>
        <v>#N/A</v>
      </c>
      <c r="P526" s="13" t="str">
        <f>IF((SUM(F526:M526)=0),"J",VLOOKUP(O526,Lookups!$A$1:$B$11,2))</f>
        <v>J</v>
      </c>
      <c r="Q526" s="8" t="e">
        <f>VLOOKUP(C526,Lookups!$A$136:$C$144,3)</f>
        <v>#N/A</v>
      </c>
      <c r="R526" s="8" t="e">
        <f>VLOOKUP(C526,Lookups!$A$136:$C$144,2)</f>
        <v>#N/A</v>
      </c>
      <c r="S526" s="4" t="str">
        <f t="shared" si="42"/>
        <v>No</v>
      </c>
      <c r="T526" s="125">
        <f t="shared" si="43"/>
        <v>0</v>
      </c>
      <c r="U526" s="125">
        <f t="shared" si="44"/>
        <v>0</v>
      </c>
      <c r="V526" s="4" t="e">
        <f>IF($Q526&lt;&gt;3,VLOOKUP(F526,'Points Table A'!B$3:$F$33,5),VLOOKUP(F526,'Points Table A'!H$3:$L$33,5))</f>
        <v>#N/A</v>
      </c>
      <c r="W526" s="4" t="e">
        <f>IF($Q526&lt;&gt;3,VLOOKUP(G526,'Points Table A'!C$3:$F$33,4),VLOOKUP(G526,'Points Table A'!I$3:$L$33,4))</f>
        <v>#N/A</v>
      </c>
      <c r="X526" s="4" t="e">
        <f>IF($Q526&lt;&gt;3,VLOOKUP(H526,'Points Table A'!D$3:$F$28,3),VLOOKUP(H526,'Points Table A'!J$3:$L$33,3))</f>
        <v>#N/A</v>
      </c>
      <c r="Y526" s="4" t="e">
        <f>IF($Q526&lt;&gt;3,VLOOKUP(I526,'Points Table A'!E$3:$F$33,2),VLOOKUP(I526,'Points Table A'!K$3:$L$33,2))</f>
        <v>#N/A</v>
      </c>
      <c r="Z526" s="4" t="e">
        <f t="shared" si="45"/>
        <v>#N/A</v>
      </c>
      <c r="AA526" s="4">
        <f>IF($S526=Lookups!$B$113,VLOOKUP(L526,'Points Table C'!A$3:$E$11,5),VLOOKUP(U526,'Points Table C'!B$3:$E$11,4))</f>
        <v>0</v>
      </c>
      <c r="AB526" s="4" t="e">
        <f>IF($Q526=1,0,VLOOKUP($J526,'Points Table C'!$C$3:$E$18,3))</f>
        <v>#N/A</v>
      </c>
      <c r="AC526" s="4">
        <f>VLOOKUP($K526,'Points Table C'!$D$3:$E$18,2)</f>
        <v>0</v>
      </c>
      <c r="AD526" s="4" t="e">
        <f>IF($Z526&lt;Lookups!$C$106,($AA526+AB526+AC526),IF($AA526&gt;=Lookups!$C$120,($AA526+AB526+AC526),$AA526+$AB526))</f>
        <v>#N/A</v>
      </c>
      <c r="AF526" s="7"/>
      <c r="AG526" s="7"/>
      <c r="AH526" s="7"/>
      <c r="AI526" s="7"/>
      <c r="AJ526" s="7"/>
      <c r="AK526" s="7"/>
      <c r="AL526" s="7"/>
      <c r="AM526" s="7"/>
      <c r="AN526" s="7"/>
      <c r="AO526" s="7"/>
      <c r="AP526" s="7"/>
      <c r="AQ526" s="7"/>
      <c r="AR526" s="7"/>
      <c r="AS526" s="7"/>
      <c r="AT526" s="7"/>
      <c r="AU526" s="7"/>
      <c r="AV526" s="7"/>
      <c r="AW526" s="7"/>
      <c r="AY526" s="7"/>
      <c r="AZ526" s="7"/>
      <c r="BA526" s="7"/>
      <c r="BB526" s="7"/>
    </row>
    <row r="527" spans="2:54" x14ac:dyDescent="0.2">
      <c r="B527" s="174"/>
      <c r="C527" s="176"/>
      <c r="F527" s="5">
        <v>0</v>
      </c>
      <c r="G527" s="192">
        <v>0</v>
      </c>
      <c r="H527" s="192">
        <v>0</v>
      </c>
      <c r="I527" s="5">
        <v>0</v>
      </c>
      <c r="J527" s="192">
        <v>0</v>
      </c>
      <c r="K527" s="192">
        <v>0</v>
      </c>
      <c r="L527" s="5">
        <v>0</v>
      </c>
      <c r="M527" s="5">
        <v>0</v>
      </c>
      <c r="N527" s="4" t="e">
        <f t="shared" si="46"/>
        <v>#N/A</v>
      </c>
      <c r="O527" s="4" t="e">
        <f>IF(ROUND(10.499-(((N527-VLOOKUP($C527,Lookups!$A$55:$D$64,3))/(VLOOKUP($C527,Lookups!$A$55:$D$64,4))*VLOOKUP($C527,Lookups!$C$2:$D$11,2))),0)&lt;1,1,IF(ROUND(10.499-(((N527-VLOOKUP($C527,Lookups!$A$55:$D$64,3))/(VLOOKUP($C527,Lookups!$A$55:$D$64,4))*VLOOKUP($C527,Lookups!$C$2:$D$11,2))),0)&lt;11,ROUND(10.499-(((N527-VLOOKUP($C527,Lookups!$A$55:$D$64,3))/(VLOOKUP($C527,Lookups!$A$55:$D$64,4))*VLOOKUP($C527,Lookups!$C$2:$D$11,2))),0),10))</f>
        <v>#N/A</v>
      </c>
      <c r="P527" s="13" t="str">
        <f>IF((SUM(F527:M527)=0),"J",VLOOKUP(O527,Lookups!$A$1:$B$11,2))</f>
        <v>J</v>
      </c>
      <c r="Q527" s="8" t="e">
        <f>VLOOKUP(C527,Lookups!$A$136:$C$144,3)</f>
        <v>#N/A</v>
      </c>
      <c r="R527" s="8" t="e">
        <f>VLOOKUP(C527,Lookups!$A$136:$C$144,2)</f>
        <v>#N/A</v>
      </c>
      <c r="S527" s="4" t="str">
        <f t="shared" ref="S527:S590" si="47">IF(AND(L527&gt;0,M527=0),"Yes","No")</f>
        <v>No</v>
      </c>
      <c r="T527" s="125">
        <f t="shared" ref="T527:T590" si="48">L527+M527</f>
        <v>0</v>
      </c>
      <c r="U527" s="125">
        <f t="shared" ref="U527:U590" si="49">ROUND(100*(M527+2*L527)/(M527+2*L527+(100-L527-M527)),2)</f>
        <v>0</v>
      </c>
      <c r="V527" s="4" t="e">
        <f>IF($Q527&lt;&gt;3,VLOOKUP(F527,'Points Table A'!B$3:$F$33,5),VLOOKUP(F527,'Points Table A'!H$3:$L$33,5))</f>
        <v>#N/A</v>
      </c>
      <c r="W527" s="4" t="e">
        <f>IF($Q527&lt;&gt;3,VLOOKUP(G527,'Points Table A'!C$3:$F$33,4),VLOOKUP(G527,'Points Table A'!I$3:$L$33,4))</f>
        <v>#N/A</v>
      </c>
      <c r="X527" s="4" t="e">
        <f>IF($Q527&lt;&gt;3,VLOOKUP(H527,'Points Table A'!D$3:$F$28,3),VLOOKUP(H527,'Points Table A'!J$3:$L$33,3))</f>
        <v>#N/A</v>
      </c>
      <c r="Y527" s="4" t="e">
        <f>IF($Q527&lt;&gt;3,VLOOKUP(I527,'Points Table A'!E$3:$F$33,2),VLOOKUP(I527,'Points Table A'!K$3:$L$33,2))</f>
        <v>#N/A</v>
      </c>
      <c r="Z527" s="4" t="e">
        <f t="shared" ref="Z527:Z590" si="50">SUM(V527:Y527)</f>
        <v>#N/A</v>
      </c>
      <c r="AA527" s="4">
        <f>IF($S527=Lookups!$B$113,VLOOKUP(L527,'Points Table C'!A$3:$E$11,5),VLOOKUP(U527,'Points Table C'!B$3:$E$11,4))</f>
        <v>0</v>
      </c>
      <c r="AB527" s="4" t="e">
        <f>IF($Q527=1,0,VLOOKUP($J527,'Points Table C'!$C$3:$E$18,3))</f>
        <v>#N/A</v>
      </c>
      <c r="AC527" s="4">
        <f>VLOOKUP($K527,'Points Table C'!$D$3:$E$18,2)</f>
        <v>0</v>
      </c>
      <c r="AD527" s="4" t="e">
        <f>IF($Z527&lt;Lookups!$C$106,($AA527+AB527+AC527),IF($AA527&gt;=Lookups!$C$120,($AA527+AB527+AC527),$AA527+$AB527))</f>
        <v>#N/A</v>
      </c>
      <c r="AF527" s="7"/>
      <c r="AG527" s="7"/>
      <c r="AH527" s="7"/>
      <c r="AI527" s="7"/>
      <c r="AJ527" s="7"/>
      <c r="AK527" s="7"/>
      <c r="AL527" s="7"/>
      <c r="AM527" s="7"/>
      <c r="AN527" s="7"/>
      <c r="AO527" s="7"/>
      <c r="AP527" s="7"/>
      <c r="AQ527" s="7"/>
      <c r="AR527" s="7"/>
      <c r="AS527" s="7"/>
      <c r="AT527" s="7"/>
      <c r="AU527" s="7"/>
      <c r="AV527" s="7"/>
      <c r="AW527" s="7"/>
      <c r="AY527" s="7"/>
      <c r="AZ527" s="7"/>
      <c r="BA527" s="7"/>
      <c r="BB527" s="7"/>
    </row>
    <row r="528" spans="2:54" x14ac:dyDescent="0.2">
      <c r="B528" s="174"/>
      <c r="C528" s="176"/>
      <c r="F528" s="5">
        <v>0</v>
      </c>
      <c r="G528" s="192">
        <v>0</v>
      </c>
      <c r="H528" s="192">
        <v>0</v>
      </c>
      <c r="I528" s="5">
        <v>0</v>
      </c>
      <c r="J528" s="192">
        <v>0</v>
      </c>
      <c r="K528" s="192">
        <v>0</v>
      </c>
      <c r="L528" s="5">
        <v>0</v>
      </c>
      <c r="M528" s="5">
        <v>0</v>
      </c>
      <c r="N528" s="4" t="e">
        <f t="shared" si="46"/>
        <v>#N/A</v>
      </c>
      <c r="O528" s="4" t="e">
        <f>IF(ROUND(10.499-(((N528-VLOOKUP($C528,Lookups!$A$55:$D$64,3))/(VLOOKUP($C528,Lookups!$A$55:$D$64,4))*VLOOKUP($C528,Lookups!$C$2:$D$11,2))),0)&lt;1,1,IF(ROUND(10.499-(((N528-VLOOKUP($C528,Lookups!$A$55:$D$64,3))/(VLOOKUP($C528,Lookups!$A$55:$D$64,4))*VLOOKUP($C528,Lookups!$C$2:$D$11,2))),0)&lt;11,ROUND(10.499-(((N528-VLOOKUP($C528,Lookups!$A$55:$D$64,3))/(VLOOKUP($C528,Lookups!$A$55:$D$64,4))*VLOOKUP($C528,Lookups!$C$2:$D$11,2))),0),10))</f>
        <v>#N/A</v>
      </c>
      <c r="P528" s="13" t="str">
        <f>IF((SUM(F528:M528)=0),"J",VLOOKUP(O528,Lookups!$A$1:$B$11,2))</f>
        <v>J</v>
      </c>
      <c r="Q528" s="8" t="e">
        <f>VLOOKUP(C528,Lookups!$A$136:$C$144,3)</f>
        <v>#N/A</v>
      </c>
      <c r="R528" s="8" t="e">
        <f>VLOOKUP(C528,Lookups!$A$136:$C$144,2)</f>
        <v>#N/A</v>
      </c>
      <c r="S528" s="4" t="str">
        <f t="shared" si="47"/>
        <v>No</v>
      </c>
      <c r="T528" s="125">
        <f t="shared" si="48"/>
        <v>0</v>
      </c>
      <c r="U528" s="125">
        <f t="shared" si="49"/>
        <v>0</v>
      </c>
      <c r="V528" s="4" t="e">
        <f>IF($Q528&lt;&gt;3,VLOOKUP(F528,'Points Table A'!B$3:$F$33,5),VLOOKUP(F528,'Points Table A'!H$3:$L$33,5))</f>
        <v>#N/A</v>
      </c>
      <c r="W528" s="4" t="e">
        <f>IF($Q528&lt;&gt;3,VLOOKUP(G528,'Points Table A'!C$3:$F$33,4),VLOOKUP(G528,'Points Table A'!I$3:$L$33,4))</f>
        <v>#N/A</v>
      </c>
      <c r="X528" s="4" t="e">
        <f>IF($Q528&lt;&gt;3,VLOOKUP(H528,'Points Table A'!D$3:$F$28,3),VLOOKUP(H528,'Points Table A'!J$3:$L$33,3))</f>
        <v>#N/A</v>
      </c>
      <c r="Y528" s="4" t="e">
        <f>IF($Q528&lt;&gt;3,VLOOKUP(I528,'Points Table A'!E$3:$F$33,2),VLOOKUP(I528,'Points Table A'!K$3:$L$33,2))</f>
        <v>#N/A</v>
      </c>
      <c r="Z528" s="4" t="e">
        <f t="shared" si="50"/>
        <v>#N/A</v>
      </c>
      <c r="AA528" s="4">
        <f>IF($S528=Lookups!$B$113,VLOOKUP(L528,'Points Table C'!A$3:$E$11,5),VLOOKUP(U528,'Points Table C'!B$3:$E$11,4))</f>
        <v>0</v>
      </c>
      <c r="AB528" s="4" t="e">
        <f>IF($Q528=1,0,VLOOKUP($J528,'Points Table C'!$C$3:$E$18,3))</f>
        <v>#N/A</v>
      </c>
      <c r="AC528" s="4">
        <f>VLOOKUP($K528,'Points Table C'!$D$3:$E$18,2)</f>
        <v>0</v>
      </c>
      <c r="AD528" s="4" t="e">
        <f>IF($Z528&lt;Lookups!$C$106,($AA528+AB528+AC528),IF($AA528&gt;=Lookups!$C$120,($AA528+AB528+AC528),$AA528+$AB528))</f>
        <v>#N/A</v>
      </c>
      <c r="AF528" s="7"/>
      <c r="AG528" s="7"/>
      <c r="AH528" s="7"/>
      <c r="AI528" s="7"/>
      <c r="AJ528" s="7"/>
      <c r="AK528" s="7"/>
      <c r="AL528" s="7"/>
      <c r="AM528" s="7"/>
      <c r="AN528" s="7"/>
      <c r="AO528" s="7"/>
      <c r="AP528" s="7"/>
      <c r="AQ528" s="7"/>
      <c r="AR528" s="7"/>
      <c r="AS528" s="7"/>
      <c r="AT528" s="7"/>
      <c r="AU528" s="7"/>
      <c r="AV528" s="7"/>
      <c r="AW528" s="7"/>
      <c r="AY528" s="7"/>
      <c r="AZ528" s="7"/>
      <c r="BA528" s="7"/>
      <c r="BB528" s="7"/>
    </row>
    <row r="529" spans="2:54" x14ac:dyDescent="0.2">
      <c r="B529" s="174"/>
      <c r="C529" s="176"/>
      <c r="F529" s="5">
        <v>0</v>
      </c>
      <c r="G529" s="192">
        <v>0</v>
      </c>
      <c r="H529" s="192">
        <v>0</v>
      </c>
      <c r="I529" s="5">
        <v>0</v>
      </c>
      <c r="J529" s="192">
        <v>0</v>
      </c>
      <c r="K529" s="192">
        <v>0</v>
      </c>
      <c r="L529" s="5">
        <v>0</v>
      </c>
      <c r="M529" s="5">
        <v>0</v>
      </c>
      <c r="N529" s="4" t="e">
        <f t="shared" si="46"/>
        <v>#N/A</v>
      </c>
      <c r="O529" s="4" t="e">
        <f>IF(ROUND(10.499-(((N529-VLOOKUP($C529,Lookups!$A$55:$D$64,3))/(VLOOKUP($C529,Lookups!$A$55:$D$64,4))*VLOOKUP($C529,Lookups!$C$2:$D$11,2))),0)&lt;1,1,IF(ROUND(10.499-(((N529-VLOOKUP($C529,Lookups!$A$55:$D$64,3))/(VLOOKUP($C529,Lookups!$A$55:$D$64,4))*VLOOKUP($C529,Lookups!$C$2:$D$11,2))),0)&lt;11,ROUND(10.499-(((N529-VLOOKUP($C529,Lookups!$A$55:$D$64,3))/(VLOOKUP($C529,Lookups!$A$55:$D$64,4))*VLOOKUP($C529,Lookups!$C$2:$D$11,2))),0),10))</f>
        <v>#N/A</v>
      </c>
      <c r="P529" s="13" t="str">
        <f>IF((SUM(F529:M529)=0),"J",VLOOKUP(O529,Lookups!$A$1:$B$11,2))</f>
        <v>J</v>
      </c>
      <c r="Q529" s="8" t="e">
        <f>VLOOKUP(C529,Lookups!$A$136:$C$144,3)</f>
        <v>#N/A</v>
      </c>
      <c r="R529" s="8" t="e">
        <f>VLOOKUP(C529,Lookups!$A$136:$C$144,2)</f>
        <v>#N/A</v>
      </c>
      <c r="S529" s="4" t="str">
        <f t="shared" si="47"/>
        <v>No</v>
      </c>
      <c r="T529" s="125">
        <f t="shared" si="48"/>
        <v>0</v>
      </c>
      <c r="U529" s="125">
        <f t="shared" si="49"/>
        <v>0</v>
      </c>
      <c r="V529" s="4" t="e">
        <f>IF($Q529&lt;&gt;3,VLOOKUP(F529,'Points Table A'!B$3:$F$33,5),VLOOKUP(F529,'Points Table A'!H$3:$L$33,5))</f>
        <v>#N/A</v>
      </c>
      <c r="W529" s="4" t="e">
        <f>IF($Q529&lt;&gt;3,VLOOKUP(G529,'Points Table A'!C$3:$F$33,4),VLOOKUP(G529,'Points Table A'!I$3:$L$33,4))</f>
        <v>#N/A</v>
      </c>
      <c r="X529" s="4" t="e">
        <f>IF($Q529&lt;&gt;3,VLOOKUP(H529,'Points Table A'!D$3:$F$28,3),VLOOKUP(H529,'Points Table A'!J$3:$L$33,3))</f>
        <v>#N/A</v>
      </c>
      <c r="Y529" s="4" t="e">
        <f>IF($Q529&lt;&gt;3,VLOOKUP(I529,'Points Table A'!E$3:$F$33,2),VLOOKUP(I529,'Points Table A'!K$3:$L$33,2))</f>
        <v>#N/A</v>
      </c>
      <c r="Z529" s="4" t="e">
        <f t="shared" si="50"/>
        <v>#N/A</v>
      </c>
      <c r="AA529" s="4">
        <f>IF($S529=Lookups!$B$113,VLOOKUP(L529,'Points Table C'!A$3:$E$11,5),VLOOKUP(U529,'Points Table C'!B$3:$E$11,4))</f>
        <v>0</v>
      </c>
      <c r="AB529" s="4" t="e">
        <f>IF($Q529=1,0,VLOOKUP($J529,'Points Table C'!$C$3:$E$18,3))</f>
        <v>#N/A</v>
      </c>
      <c r="AC529" s="4">
        <f>VLOOKUP($K529,'Points Table C'!$D$3:$E$18,2)</f>
        <v>0</v>
      </c>
      <c r="AD529" s="4" t="e">
        <f>IF($Z529&lt;Lookups!$C$106,($AA529+AB529+AC529),IF($AA529&gt;=Lookups!$C$120,($AA529+AB529+AC529),$AA529+$AB529))</f>
        <v>#N/A</v>
      </c>
      <c r="AF529" s="7"/>
      <c r="AG529" s="7"/>
      <c r="AH529" s="7"/>
      <c r="AI529" s="7"/>
      <c r="AJ529" s="7"/>
      <c r="AK529" s="7"/>
      <c r="AL529" s="7"/>
      <c r="AM529" s="7"/>
      <c r="AN529" s="7"/>
      <c r="AO529" s="7"/>
      <c r="AP529" s="7"/>
      <c r="AQ529" s="7"/>
      <c r="AR529" s="7"/>
      <c r="AS529" s="7"/>
      <c r="AT529" s="7"/>
      <c r="AU529" s="7"/>
      <c r="AV529" s="7"/>
      <c r="AW529" s="7"/>
      <c r="AY529" s="7"/>
      <c r="AZ529" s="7"/>
      <c r="BA529" s="7"/>
      <c r="BB529" s="7"/>
    </row>
    <row r="530" spans="2:54" x14ac:dyDescent="0.2">
      <c r="B530" s="174"/>
      <c r="C530" s="176"/>
      <c r="F530" s="5">
        <v>0</v>
      </c>
      <c r="G530" s="192">
        <v>0</v>
      </c>
      <c r="H530" s="192">
        <v>0</v>
      </c>
      <c r="I530" s="5">
        <v>0</v>
      </c>
      <c r="J530" s="192">
        <v>0</v>
      </c>
      <c r="K530" s="192">
        <v>0</v>
      </c>
      <c r="L530" s="5">
        <v>0</v>
      </c>
      <c r="M530" s="5">
        <v>0</v>
      </c>
      <c r="N530" s="4" t="e">
        <f t="shared" si="46"/>
        <v>#N/A</v>
      </c>
      <c r="O530" s="4" t="e">
        <f>IF(ROUND(10.499-(((N530-VLOOKUP($C530,Lookups!$A$55:$D$64,3))/(VLOOKUP($C530,Lookups!$A$55:$D$64,4))*VLOOKUP($C530,Lookups!$C$2:$D$11,2))),0)&lt;1,1,IF(ROUND(10.499-(((N530-VLOOKUP($C530,Lookups!$A$55:$D$64,3))/(VLOOKUP($C530,Lookups!$A$55:$D$64,4))*VLOOKUP($C530,Lookups!$C$2:$D$11,2))),0)&lt;11,ROUND(10.499-(((N530-VLOOKUP($C530,Lookups!$A$55:$D$64,3))/(VLOOKUP($C530,Lookups!$A$55:$D$64,4))*VLOOKUP($C530,Lookups!$C$2:$D$11,2))),0),10))</f>
        <v>#N/A</v>
      </c>
      <c r="P530" s="13" t="str">
        <f>IF((SUM(F530:M530)=0),"J",VLOOKUP(O530,Lookups!$A$1:$B$11,2))</f>
        <v>J</v>
      </c>
      <c r="Q530" s="8" t="e">
        <f>VLOOKUP(C530,Lookups!$A$136:$C$144,3)</f>
        <v>#N/A</v>
      </c>
      <c r="R530" s="8" t="e">
        <f>VLOOKUP(C530,Lookups!$A$136:$C$144,2)</f>
        <v>#N/A</v>
      </c>
      <c r="S530" s="4" t="str">
        <f t="shared" si="47"/>
        <v>No</v>
      </c>
      <c r="T530" s="125">
        <f t="shared" si="48"/>
        <v>0</v>
      </c>
      <c r="U530" s="125">
        <f t="shared" si="49"/>
        <v>0</v>
      </c>
      <c r="V530" s="4" t="e">
        <f>IF($Q530&lt;&gt;3,VLOOKUP(F530,'Points Table A'!B$3:$F$33,5),VLOOKUP(F530,'Points Table A'!H$3:$L$33,5))</f>
        <v>#N/A</v>
      </c>
      <c r="W530" s="4" t="e">
        <f>IF($Q530&lt;&gt;3,VLOOKUP(G530,'Points Table A'!C$3:$F$33,4),VLOOKUP(G530,'Points Table A'!I$3:$L$33,4))</f>
        <v>#N/A</v>
      </c>
      <c r="X530" s="4" t="e">
        <f>IF($Q530&lt;&gt;3,VLOOKUP(H530,'Points Table A'!D$3:$F$28,3),VLOOKUP(H530,'Points Table A'!J$3:$L$33,3))</f>
        <v>#N/A</v>
      </c>
      <c r="Y530" s="4" t="e">
        <f>IF($Q530&lt;&gt;3,VLOOKUP(I530,'Points Table A'!E$3:$F$33,2),VLOOKUP(I530,'Points Table A'!K$3:$L$33,2))</f>
        <v>#N/A</v>
      </c>
      <c r="Z530" s="4" t="e">
        <f t="shared" si="50"/>
        <v>#N/A</v>
      </c>
      <c r="AA530" s="4">
        <f>IF($S530=Lookups!$B$113,VLOOKUP(L530,'Points Table C'!A$3:$E$11,5),VLOOKUP(U530,'Points Table C'!B$3:$E$11,4))</f>
        <v>0</v>
      </c>
      <c r="AB530" s="4" t="e">
        <f>IF($Q530=1,0,VLOOKUP($J530,'Points Table C'!$C$3:$E$18,3))</f>
        <v>#N/A</v>
      </c>
      <c r="AC530" s="4">
        <f>VLOOKUP($K530,'Points Table C'!$D$3:$E$18,2)</f>
        <v>0</v>
      </c>
      <c r="AD530" s="4" t="e">
        <f>IF($Z530&lt;Lookups!$C$106,($AA530+AB530+AC530),IF($AA530&gt;=Lookups!$C$120,($AA530+AB530+AC530),$AA530+$AB530))</f>
        <v>#N/A</v>
      </c>
      <c r="AF530" s="7"/>
      <c r="AG530" s="7"/>
      <c r="AH530" s="7"/>
      <c r="AI530" s="7"/>
      <c r="AJ530" s="7"/>
      <c r="AK530" s="7"/>
      <c r="AL530" s="7"/>
      <c r="AM530" s="7"/>
      <c r="AN530" s="7"/>
      <c r="AO530" s="7"/>
      <c r="AP530" s="7"/>
      <c r="AQ530" s="7"/>
      <c r="AR530" s="7"/>
      <c r="AS530" s="7"/>
      <c r="AT530" s="7"/>
      <c r="AU530" s="7"/>
      <c r="AV530" s="7"/>
      <c r="AW530" s="7"/>
      <c r="AY530" s="7"/>
      <c r="AZ530" s="7"/>
      <c r="BA530" s="7"/>
      <c r="BB530" s="7"/>
    </row>
    <row r="531" spans="2:54" x14ac:dyDescent="0.2">
      <c r="B531" s="174"/>
      <c r="C531" s="176"/>
      <c r="F531" s="5">
        <v>0</v>
      </c>
      <c r="G531" s="192">
        <v>0</v>
      </c>
      <c r="H531" s="192">
        <v>0</v>
      </c>
      <c r="I531" s="5">
        <v>0</v>
      </c>
      <c r="J531" s="192">
        <v>0</v>
      </c>
      <c r="K531" s="192">
        <v>0</v>
      </c>
      <c r="L531" s="5">
        <v>0</v>
      </c>
      <c r="M531" s="5">
        <v>0</v>
      </c>
      <c r="N531" s="4" t="e">
        <f t="shared" si="46"/>
        <v>#N/A</v>
      </c>
      <c r="O531" s="4" t="e">
        <f>IF(ROUND(10.499-(((N531-VLOOKUP($C531,Lookups!$A$55:$D$64,3))/(VLOOKUP($C531,Lookups!$A$55:$D$64,4))*VLOOKUP($C531,Lookups!$C$2:$D$11,2))),0)&lt;1,1,IF(ROUND(10.499-(((N531-VLOOKUP($C531,Lookups!$A$55:$D$64,3))/(VLOOKUP($C531,Lookups!$A$55:$D$64,4))*VLOOKUP($C531,Lookups!$C$2:$D$11,2))),0)&lt;11,ROUND(10.499-(((N531-VLOOKUP($C531,Lookups!$A$55:$D$64,3))/(VLOOKUP($C531,Lookups!$A$55:$D$64,4))*VLOOKUP($C531,Lookups!$C$2:$D$11,2))),0),10))</f>
        <v>#N/A</v>
      </c>
      <c r="P531" s="13" t="str">
        <f>IF((SUM(F531:M531)=0),"J",VLOOKUP(O531,Lookups!$A$1:$B$11,2))</f>
        <v>J</v>
      </c>
      <c r="Q531" s="8" t="e">
        <f>VLOOKUP(C531,Lookups!$A$136:$C$144,3)</f>
        <v>#N/A</v>
      </c>
      <c r="R531" s="8" t="e">
        <f>VLOOKUP(C531,Lookups!$A$136:$C$144,2)</f>
        <v>#N/A</v>
      </c>
      <c r="S531" s="4" t="str">
        <f t="shared" si="47"/>
        <v>No</v>
      </c>
      <c r="T531" s="125">
        <f t="shared" si="48"/>
        <v>0</v>
      </c>
      <c r="U531" s="125">
        <f t="shared" si="49"/>
        <v>0</v>
      </c>
      <c r="V531" s="4" t="e">
        <f>IF($Q531&lt;&gt;3,VLOOKUP(F531,'Points Table A'!B$3:$F$33,5),VLOOKUP(F531,'Points Table A'!H$3:$L$33,5))</f>
        <v>#N/A</v>
      </c>
      <c r="W531" s="4" t="e">
        <f>IF($Q531&lt;&gt;3,VLOOKUP(G531,'Points Table A'!C$3:$F$33,4),VLOOKUP(G531,'Points Table A'!I$3:$L$33,4))</f>
        <v>#N/A</v>
      </c>
      <c r="X531" s="4" t="e">
        <f>IF($Q531&lt;&gt;3,VLOOKUP(H531,'Points Table A'!D$3:$F$28,3),VLOOKUP(H531,'Points Table A'!J$3:$L$33,3))</f>
        <v>#N/A</v>
      </c>
      <c r="Y531" s="4" t="e">
        <f>IF($Q531&lt;&gt;3,VLOOKUP(I531,'Points Table A'!E$3:$F$33,2),VLOOKUP(I531,'Points Table A'!K$3:$L$33,2))</f>
        <v>#N/A</v>
      </c>
      <c r="Z531" s="4" t="e">
        <f t="shared" si="50"/>
        <v>#N/A</v>
      </c>
      <c r="AA531" s="4">
        <f>IF($S531=Lookups!$B$113,VLOOKUP(L531,'Points Table C'!A$3:$E$11,5),VLOOKUP(U531,'Points Table C'!B$3:$E$11,4))</f>
        <v>0</v>
      </c>
      <c r="AB531" s="4" t="e">
        <f>IF($Q531=1,0,VLOOKUP($J531,'Points Table C'!$C$3:$E$18,3))</f>
        <v>#N/A</v>
      </c>
      <c r="AC531" s="4">
        <f>VLOOKUP($K531,'Points Table C'!$D$3:$E$18,2)</f>
        <v>0</v>
      </c>
      <c r="AD531" s="4" t="e">
        <f>IF($Z531&lt;Lookups!$C$106,($AA531+AB531+AC531),IF($AA531&gt;=Lookups!$C$120,($AA531+AB531+AC531),$AA531+$AB531))</f>
        <v>#N/A</v>
      </c>
      <c r="AF531" s="7"/>
      <c r="AG531" s="7"/>
      <c r="AH531" s="7"/>
      <c r="AI531" s="7"/>
      <c r="AJ531" s="7"/>
      <c r="AK531" s="7"/>
      <c r="AL531" s="7"/>
      <c r="AM531" s="7"/>
      <c r="AN531" s="7"/>
      <c r="AO531" s="7"/>
      <c r="AP531" s="7"/>
      <c r="AQ531" s="7"/>
      <c r="AR531" s="7"/>
      <c r="AS531" s="7"/>
      <c r="AT531" s="7"/>
      <c r="AU531" s="7"/>
      <c r="AV531" s="7"/>
      <c r="AW531" s="7"/>
      <c r="AY531" s="7"/>
      <c r="AZ531" s="7"/>
      <c r="BA531" s="7"/>
      <c r="BB531" s="7"/>
    </row>
    <row r="532" spans="2:54" x14ac:dyDescent="0.2">
      <c r="B532" s="174"/>
      <c r="C532" s="176"/>
      <c r="F532" s="5">
        <v>0</v>
      </c>
      <c r="G532" s="192">
        <v>0</v>
      </c>
      <c r="H532" s="192">
        <v>0</v>
      </c>
      <c r="I532" s="5">
        <v>0</v>
      </c>
      <c r="J532" s="192">
        <v>0</v>
      </c>
      <c r="K532" s="192">
        <v>0</v>
      </c>
      <c r="L532" s="5">
        <v>0</v>
      </c>
      <c r="M532" s="5">
        <v>0</v>
      </c>
      <c r="N532" s="4" t="e">
        <f t="shared" si="46"/>
        <v>#N/A</v>
      </c>
      <c r="O532" s="4" t="e">
        <f>IF(ROUND(10.499-(((N532-VLOOKUP($C532,Lookups!$A$55:$D$64,3))/(VLOOKUP($C532,Lookups!$A$55:$D$64,4))*VLOOKUP($C532,Lookups!$C$2:$D$11,2))),0)&lt;1,1,IF(ROUND(10.499-(((N532-VLOOKUP($C532,Lookups!$A$55:$D$64,3))/(VLOOKUP($C532,Lookups!$A$55:$D$64,4))*VLOOKUP($C532,Lookups!$C$2:$D$11,2))),0)&lt;11,ROUND(10.499-(((N532-VLOOKUP($C532,Lookups!$A$55:$D$64,3))/(VLOOKUP($C532,Lookups!$A$55:$D$64,4))*VLOOKUP($C532,Lookups!$C$2:$D$11,2))),0),10))</f>
        <v>#N/A</v>
      </c>
      <c r="P532" s="13" t="str">
        <f>IF((SUM(F532:M532)=0),"J",VLOOKUP(O532,Lookups!$A$1:$B$11,2))</f>
        <v>J</v>
      </c>
      <c r="Q532" s="8" t="e">
        <f>VLOOKUP(C532,Lookups!$A$136:$C$144,3)</f>
        <v>#N/A</v>
      </c>
      <c r="R532" s="8" t="e">
        <f>VLOOKUP(C532,Lookups!$A$136:$C$144,2)</f>
        <v>#N/A</v>
      </c>
      <c r="S532" s="4" t="str">
        <f t="shared" si="47"/>
        <v>No</v>
      </c>
      <c r="T532" s="125">
        <f t="shared" si="48"/>
        <v>0</v>
      </c>
      <c r="U532" s="125">
        <f t="shared" si="49"/>
        <v>0</v>
      </c>
      <c r="V532" s="4" t="e">
        <f>IF($Q532&lt;&gt;3,VLOOKUP(F532,'Points Table A'!B$3:$F$33,5),VLOOKUP(F532,'Points Table A'!H$3:$L$33,5))</f>
        <v>#N/A</v>
      </c>
      <c r="W532" s="4" t="e">
        <f>IF($Q532&lt;&gt;3,VLOOKUP(G532,'Points Table A'!C$3:$F$33,4),VLOOKUP(G532,'Points Table A'!I$3:$L$33,4))</f>
        <v>#N/A</v>
      </c>
      <c r="X532" s="4" t="e">
        <f>IF($Q532&lt;&gt;3,VLOOKUP(H532,'Points Table A'!D$3:$F$28,3),VLOOKUP(H532,'Points Table A'!J$3:$L$33,3))</f>
        <v>#N/A</v>
      </c>
      <c r="Y532" s="4" t="e">
        <f>IF($Q532&lt;&gt;3,VLOOKUP(I532,'Points Table A'!E$3:$F$33,2),VLOOKUP(I532,'Points Table A'!K$3:$L$33,2))</f>
        <v>#N/A</v>
      </c>
      <c r="Z532" s="4" t="e">
        <f t="shared" si="50"/>
        <v>#N/A</v>
      </c>
      <c r="AA532" s="4">
        <f>IF($S532=Lookups!$B$113,VLOOKUP(L532,'Points Table C'!A$3:$E$11,5),VLOOKUP(U532,'Points Table C'!B$3:$E$11,4))</f>
        <v>0</v>
      </c>
      <c r="AB532" s="4" t="e">
        <f>IF($Q532=1,0,VLOOKUP($J532,'Points Table C'!$C$3:$E$18,3))</f>
        <v>#N/A</v>
      </c>
      <c r="AC532" s="4">
        <f>VLOOKUP($K532,'Points Table C'!$D$3:$E$18,2)</f>
        <v>0</v>
      </c>
      <c r="AD532" s="4" t="e">
        <f>IF($Z532&lt;Lookups!$C$106,($AA532+AB532+AC532),IF($AA532&gt;=Lookups!$C$120,($AA532+AB532+AC532),$AA532+$AB532))</f>
        <v>#N/A</v>
      </c>
      <c r="AF532" s="7"/>
      <c r="AG532" s="7"/>
      <c r="AH532" s="7"/>
      <c r="AI532" s="7"/>
      <c r="AJ532" s="7"/>
      <c r="AK532" s="7"/>
      <c r="AL532" s="7"/>
      <c r="AM532" s="7"/>
      <c r="AN532" s="7"/>
      <c r="AO532" s="7"/>
      <c r="AP532" s="7"/>
      <c r="AQ532" s="7"/>
      <c r="AR532" s="7"/>
      <c r="AS532" s="7"/>
      <c r="AT532" s="7"/>
      <c r="AU532" s="7"/>
      <c r="AV532" s="7"/>
      <c r="AW532" s="7"/>
      <c r="AY532" s="7"/>
      <c r="AZ532" s="7"/>
      <c r="BA532" s="7"/>
      <c r="BB532" s="7"/>
    </row>
    <row r="533" spans="2:54" x14ac:dyDescent="0.2">
      <c r="B533" s="174"/>
      <c r="C533" s="176"/>
      <c r="F533" s="5">
        <v>0</v>
      </c>
      <c r="G533" s="192">
        <v>0</v>
      </c>
      <c r="H533" s="192">
        <v>0</v>
      </c>
      <c r="I533" s="5">
        <v>0</v>
      </c>
      <c r="J533" s="192">
        <v>0</v>
      </c>
      <c r="K533" s="192">
        <v>0</v>
      </c>
      <c r="L533" s="5">
        <v>0</v>
      </c>
      <c r="M533" s="5">
        <v>0</v>
      </c>
      <c r="N533" s="4" t="e">
        <f t="shared" si="46"/>
        <v>#N/A</v>
      </c>
      <c r="O533" s="4" t="e">
        <f>IF(ROUND(10.499-(((N533-VLOOKUP($C533,Lookups!$A$55:$D$64,3))/(VLOOKUP($C533,Lookups!$A$55:$D$64,4))*VLOOKUP($C533,Lookups!$C$2:$D$11,2))),0)&lt;1,1,IF(ROUND(10.499-(((N533-VLOOKUP($C533,Lookups!$A$55:$D$64,3))/(VLOOKUP($C533,Lookups!$A$55:$D$64,4))*VLOOKUP($C533,Lookups!$C$2:$D$11,2))),0)&lt;11,ROUND(10.499-(((N533-VLOOKUP($C533,Lookups!$A$55:$D$64,3))/(VLOOKUP($C533,Lookups!$A$55:$D$64,4))*VLOOKUP($C533,Lookups!$C$2:$D$11,2))),0),10))</f>
        <v>#N/A</v>
      </c>
      <c r="P533" s="13" t="str">
        <f>IF((SUM(F533:M533)=0),"J",VLOOKUP(O533,Lookups!$A$1:$B$11,2))</f>
        <v>J</v>
      </c>
      <c r="Q533" s="8" t="e">
        <f>VLOOKUP(C533,Lookups!$A$136:$C$144,3)</f>
        <v>#N/A</v>
      </c>
      <c r="R533" s="8" t="e">
        <f>VLOOKUP(C533,Lookups!$A$136:$C$144,2)</f>
        <v>#N/A</v>
      </c>
      <c r="S533" s="4" t="str">
        <f t="shared" si="47"/>
        <v>No</v>
      </c>
      <c r="T533" s="125">
        <f t="shared" si="48"/>
        <v>0</v>
      </c>
      <c r="U533" s="125">
        <f t="shared" si="49"/>
        <v>0</v>
      </c>
      <c r="V533" s="4" t="e">
        <f>IF($Q533&lt;&gt;3,VLOOKUP(F533,'Points Table A'!B$3:$F$33,5),VLOOKUP(F533,'Points Table A'!H$3:$L$33,5))</f>
        <v>#N/A</v>
      </c>
      <c r="W533" s="4" t="e">
        <f>IF($Q533&lt;&gt;3,VLOOKUP(G533,'Points Table A'!C$3:$F$33,4),VLOOKUP(G533,'Points Table A'!I$3:$L$33,4))</f>
        <v>#N/A</v>
      </c>
      <c r="X533" s="4" t="e">
        <f>IF($Q533&lt;&gt;3,VLOOKUP(H533,'Points Table A'!D$3:$F$28,3),VLOOKUP(H533,'Points Table A'!J$3:$L$33,3))</f>
        <v>#N/A</v>
      </c>
      <c r="Y533" s="4" t="e">
        <f>IF($Q533&lt;&gt;3,VLOOKUP(I533,'Points Table A'!E$3:$F$33,2),VLOOKUP(I533,'Points Table A'!K$3:$L$33,2))</f>
        <v>#N/A</v>
      </c>
      <c r="Z533" s="4" t="e">
        <f t="shared" si="50"/>
        <v>#N/A</v>
      </c>
      <c r="AA533" s="4">
        <f>IF($S533=Lookups!$B$113,VLOOKUP(L533,'Points Table C'!A$3:$E$11,5),VLOOKUP(U533,'Points Table C'!B$3:$E$11,4))</f>
        <v>0</v>
      </c>
      <c r="AB533" s="4" t="e">
        <f>IF($Q533=1,0,VLOOKUP($J533,'Points Table C'!$C$3:$E$18,3))</f>
        <v>#N/A</v>
      </c>
      <c r="AC533" s="4">
        <f>VLOOKUP($K533,'Points Table C'!$D$3:$E$18,2)</f>
        <v>0</v>
      </c>
      <c r="AD533" s="4" t="e">
        <f>IF($Z533&lt;Lookups!$C$106,($AA533+AB533+AC533),IF($AA533&gt;=Lookups!$C$120,($AA533+AB533+AC533),$AA533+$AB533))</f>
        <v>#N/A</v>
      </c>
      <c r="AF533" s="7"/>
      <c r="AG533" s="7"/>
      <c r="AH533" s="7"/>
      <c r="AI533" s="7"/>
      <c r="AJ533" s="7"/>
      <c r="AK533" s="7"/>
      <c r="AL533" s="7"/>
      <c r="AM533" s="7"/>
      <c r="AN533" s="7"/>
      <c r="AO533" s="7"/>
      <c r="AP533" s="7"/>
      <c r="AQ533" s="7"/>
      <c r="AR533" s="7"/>
      <c r="AS533" s="7"/>
      <c r="AT533" s="7"/>
      <c r="AU533" s="7"/>
      <c r="AV533" s="7"/>
      <c r="AW533" s="7"/>
      <c r="AY533" s="7"/>
      <c r="AZ533" s="7"/>
      <c r="BA533" s="7"/>
      <c r="BB533" s="7"/>
    </row>
    <row r="534" spans="2:54" x14ac:dyDescent="0.2">
      <c r="B534" s="174"/>
      <c r="C534" s="176"/>
      <c r="F534" s="5">
        <v>0</v>
      </c>
      <c r="G534" s="192">
        <v>0</v>
      </c>
      <c r="H534" s="192">
        <v>0</v>
      </c>
      <c r="I534" s="5">
        <v>0</v>
      </c>
      <c r="J534" s="192">
        <v>0</v>
      </c>
      <c r="K534" s="192">
        <v>0</v>
      </c>
      <c r="L534" s="5">
        <v>0</v>
      </c>
      <c r="M534" s="5">
        <v>0</v>
      </c>
      <c r="N534" s="4" t="e">
        <f t="shared" si="46"/>
        <v>#N/A</v>
      </c>
      <c r="O534" s="4" t="e">
        <f>IF(ROUND(10.499-(((N534-VLOOKUP($C534,Lookups!$A$55:$D$64,3))/(VLOOKUP($C534,Lookups!$A$55:$D$64,4))*VLOOKUP($C534,Lookups!$C$2:$D$11,2))),0)&lt;1,1,IF(ROUND(10.499-(((N534-VLOOKUP($C534,Lookups!$A$55:$D$64,3))/(VLOOKUP($C534,Lookups!$A$55:$D$64,4))*VLOOKUP($C534,Lookups!$C$2:$D$11,2))),0)&lt;11,ROUND(10.499-(((N534-VLOOKUP($C534,Lookups!$A$55:$D$64,3))/(VLOOKUP($C534,Lookups!$A$55:$D$64,4))*VLOOKUP($C534,Lookups!$C$2:$D$11,2))),0),10))</f>
        <v>#N/A</v>
      </c>
      <c r="P534" s="13" t="str">
        <f>IF((SUM(F534:M534)=0),"J",VLOOKUP(O534,Lookups!$A$1:$B$11,2))</f>
        <v>J</v>
      </c>
      <c r="Q534" s="8" t="e">
        <f>VLOOKUP(C534,Lookups!$A$136:$C$144,3)</f>
        <v>#N/A</v>
      </c>
      <c r="R534" s="8" t="e">
        <f>VLOOKUP(C534,Lookups!$A$136:$C$144,2)</f>
        <v>#N/A</v>
      </c>
      <c r="S534" s="4" t="str">
        <f t="shared" si="47"/>
        <v>No</v>
      </c>
      <c r="T534" s="125">
        <f t="shared" si="48"/>
        <v>0</v>
      </c>
      <c r="U534" s="125">
        <f t="shared" si="49"/>
        <v>0</v>
      </c>
      <c r="V534" s="4" t="e">
        <f>IF($Q534&lt;&gt;3,VLOOKUP(F534,'Points Table A'!B$3:$F$33,5),VLOOKUP(F534,'Points Table A'!H$3:$L$33,5))</f>
        <v>#N/A</v>
      </c>
      <c r="W534" s="4" t="e">
        <f>IF($Q534&lt;&gt;3,VLOOKUP(G534,'Points Table A'!C$3:$F$33,4),VLOOKUP(G534,'Points Table A'!I$3:$L$33,4))</f>
        <v>#N/A</v>
      </c>
      <c r="X534" s="4" t="e">
        <f>IF($Q534&lt;&gt;3,VLOOKUP(H534,'Points Table A'!D$3:$F$28,3),VLOOKUP(H534,'Points Table A'!J$3:$L$33,3))</f>
        <v>#N/A</v>
      </c>
      <c r="Y534" s="4" t="e">
        <f>IF($Q534&lt;&gt;3,VLOOKUP(I534,'Points Table A'!E$3:$F$33,2),VLOOKUP(I534,'Points Table A'!K$3:$L$33,2))</f>
        <v>#N/A</v>
      </c>
      <c r="Z534" s="4" t="e">
        <f t="shared" si="50"/>
        <v>#N/A</v>
      </c>
      <c r="AA534" s="4">
        <f>IF($S534=Lookups!$B$113,VLOOKUP(L534,'Points Table C'!A$3:$E$11,5),VLOOKUP(U534,'Points Table C'!B$3:$E$11,4))</f>
        <v>0</v>
      </c>
      <c r="AB534" s="4" t="e">
        <f>IF($Q534=1,0,VLOOKUP($J534,'Points Table C'!$C$3:$E$18,3))</f>
        <v>#N/A</v>
      </c>
      <c r="AC534" s="4">
        <f>VLOOKUP($K534,'Points Table C'!$D$3:$E$18,2)</f>
        <v>0</v>
      </c>
      <c r="AD534" s="4" t="e">
        <f>IF($Z534&lt;Lookups!$C$106,($AA534+AB534+AC534),IF($AA534&gt;=Lookups!$C$120,($AA534+AB534+AC534),$AA534+$AB534))</f>
        <v>#N/A</v>
      </c>
      <c r="AF534" s="7"/>
      <c r="AG534" s="7"/>
      <c r="AH534" s="7"/>
      <c r="AI534" s="7"/>
      <c r="AJ534" s="7"/>
      <c r="AK534" s="7"/>
      <c r="AL534" s="7"/>
      <c r="AM534" s="7"/>
      <c r="AN534" s="7"/>
      <c r="AO534" s="7"/>
      <c r="AP534" s="7"/>
      <c r="AQ534" s="7"/>
      <c r="AR534" s="7"/>
      <c r="AS534" s="7"/>
      <c r="AT534" s="7"/>
      <c r="AU534" s="7"/>
      <c r="AV534" s="7"/>
      <c r="AW534" s="7"/>
      <c r="AY534" s="7"/>
      <c r="AZ534" s="7"/>
      <c r="BA534" s="7"/>
      <c r="BB534" s="7"/>
    </row>
    <row r="535" spans="2:54" x14ac:dyDescent="0.2">
      <c r="B535" s="174"/>
      <c r="C535" s="176"/>
      <c r="F535" s="5">
        <v>0</v>
      </c>
      <c r="G535" s="192">
        <v>0</v>
      </c>
      <c r="H535" s="192">
        <v>0</v>
      </c>
      <c r="I535" s="5">
        <v>0</v>
      </c>
      <c r="J535" s="192">
        <v>0</v>
      </c>
      <c r="K535" s="192">
        <v>0</v>
      </c>
      <c r="L535" s="5">
        <v>0</v>
      </c>
      <c r="M535" s="5">
        <v>0</v>
      </c>
      <c r="N535" s="4" t="e">
        <f t="shared" si="46"/>
        <v>#N/A</v>
      </c>
      <c r="O535" s="4" t="e">
        <f>IF(ROUND(10.499-(((N535-VLOOKUP($C535,Lookups!$A$55:$D$64,3))/(VLOOKUP($C535,Lookups!$A$55:$D$64,4))*VLOOKUP($C535,Lookups!$C$2:$D$11,2))),0)&lt;1,1,IF(ROUND(10.499-(((N535-VLOOKUP($C535,Lookups!$A$55:$D$64,3))/(VLOOKUP($C535,Lookups!$A$55:$D$64,4))*VLOOKUP($C535,Lookups!$C$2:$D$11,2))),0)&lt;11,ROUND(10.499-(((N535-VLOOKUP($C535,Lookups!$A$55:$D$64,3))/(VLOOKUP($C535,Lookups!$A$55:$D$64,4))*VLOOKUP($C535,Lookups!$C$2:$D$11,2))),0),10))</f>
        <v>#N/A</v>
      </c>
      <c r="P535" s="13" t="str">
        <f>IF((SUM(F535:M535)=0),"J",VLOOKUP(O535,Lookups!$A$1:$B$11,2))</f>
        <v>J</v>
      </c>
      <c r="Q535" s="8" t="e">
        <f>VLOOKUP(C535,Lookups!$A$136:$C$144,3)</f>
        <v>#N/A</v>
      </c>
      <c r="R535" s="8" t="e">
        <f>VLOOKUP(C535,Lookups!$A$136:$C$144,2)</f>
        <v>#N/A</v>
      </c>
      <c r="S535" s="4" t="str">
        <f t="shared" si="47"/>
        <v>No</v>
      </c>
      <c r="T535" s="125">
        <f t="shared" si="48"/>
        <v>0</v>
      </c>
      <c r="U535" s="125">
        <f t="shared" si="49"/>
        <v>0</v>
      </c>
      <c r="V535" s="4" t="e">
        <f>IF($Q535&lt;&gt;3,VLOOKUP(F535,'Points Table A'!B$3:$F$33,5),VLOOKUP(F535,'Points Table A'!H$3:$L$33,5))</f>
        <v>#N/A</v>
      </c>
      <c r="W535" s="4" t="e">
        <f>IF($Q535&lt;&gt;3,VLOOKUP(G535,'Points Table A'!C$3:$F$33,4),VLOOKUP(G535,'Points Table A'!I$3:$L$33,4))</f>
        <v>#N/A</v>
      </c>
      <c r="X535" s="4" t="e">
        <f>IF($Q535&lt;&gt;3,VLOOKUP(H535,'Points Table A'!D$3:$F$28,3),VLOOKUP(H535,'Points Table A'!J$3:$L$33,3))</f>
        <v>#N/A</v>
      </c>
      <c r="Y535" s="4" t="e">
        <f>IF($Q535&lt;&gt;3,VLOOKUP(I535,'Points Table A'!E$3:$F$33,2),VLOOKUP(I535,'Points Table A'!K$3:$L$33,2))</f>
        <v>#N/A</v>
      </c>
      <c r="Z535" s="4" t="e">
        <f t="shared" si="50"/>
        <v>#N/A</v>
      </c>
      <c r="AA535" s="4">
        <f>IF($S535=Lookups!$B$113,VLOOKUP(L535,'Points Table C'!A$3:$E$11,5),VLOOKUP(U535,'Points Table C'!B$3:$E$11,4))</f>
        <v>0</v>
      </c>
      <c r="AB535" s="4" t="e">
        <f>IF($Q535=1,0,VLOOKUP($J535,'Points Table C'!$C$3:$E$18,3))</f>
        <v>#N/A</v>
      </c>
      <c r="AC535" s="4">
        <f>VLOOKUP($K535,'Points Table C'!$D$3:$E$18,2)</f>
        <v>0</v>
      </c>
      <c r="AD535" s="4" t="e">
        <f>IF($Z535&lt;Lookups!$C$106,($AA535+AB535+AC535),IF($AA535&gt;=Lookups!$C$120,($AA535+AB535+AC535),$AA535+$AB535))</f>
        <v>#N/A</v>
      </c>
      <c r="AF535" s="7"/>
      <c r="AG535" s="7"/>
      <c r="AH535" s="7"/>
      <c r="AI535" s="7"/>
      <c r="AJ535" s="7"/>
      <c r="AK535" s="7"/>
      <c r="AL535" s="7"/>
      <c r="AM535" s="7"/>
      <c r="AN535" s="7"/>
      <c r="AO535" s="7"/>
      <c r="AP535" s="7"/>
      <c r="AQ535" s="7"/>
      <c r="AR535" s="7"/>
      <c r="AS535" s="7"/>
      <c r="AT535" s="7"/>
      <c r="AU535" s="7"/>
      <c r="AV535" s="7"/>
      <c r="AW535" s="7"/>
      <c r="AY535" s="7"/>
      <c r="AZ535" s="7"/>
      <c r="BA535" s="7"/>
      <c r="BB535" s="7"/>
    </row>
    <row r="536" spans="2:54" x14ac:dyDescent="0.2">
      <c r="B536" s="174"/>
      <c r="C536" s="176"/>
      <c r="F536" s="5">
        <v>0</v>
      </c>
      <c r="G536" s="192">
        <v>0</v>
      </c>
      <c r="H536" s="192">
        <v>0</v>
      </c>
      <c r="I536" s="5">
        <v>0</v>
      </c>
      <c r="J536" s="192">
        <v>0</v>
      </c>
      <c r="K536" s="192">
        <v>0</v>
      </c>
      <c r="L536" s="5">
        <v>0</v>
      </c>
      <c r="M536" s="5">
        <v>0</v>
      </c>
      <c r="N536" s="4" t="e">
        <f t="shared" si="46"/>
        <v>#N/A</v>
      </c>
      <c r="O536" s="4" t="e">
        <f>IF(ROUND(10.499-(((N536-VLOOKUP($C536,Lookups!$A$55:$D$64,3))/(VLOOKUP($C536,Lookups!$A$55:$D$64,4))*VLOOKUP($C536,Lookups!$C$2:$D$11,2))),0)&lt;1,1,IF(ROUND(10.499-(((N536-VLOOKUP($C536,Lookups!$A$55:$D$64,3))/(VLOOKUP($C536,Lookups!$A$55:$D$64,4))*VLOOKUP($C536,Lookups!$C$2:$D$11,2))),0)&lt;11,ROUND(10.499-(((N536-VLOOKUP($C536,Lookups!$A$55:$D$64,3))/(VLOOKUP($C536,Lookups!$A$55:$D$64,4))*VLOOKUP($C536,Lookups!$C$2:$D$11,2))),0),10))</f>
        <v>#N/A</v>
      </c>
      <c r="P536" s="13" t="str">
        <f>IF((SUM(F536:M536)=0),"J",VLOOKUP(O536,Lookups!$A$1:$B$11,2))</f>
        <v>J</v>
      </c>
      <c r="Q536" s="8" t="e">
        <f>VLOOKUP(C536,Lookups!$A$136:$C$144,3)</f>
        <v>#N/A</v>
      </c>
      <c r="R536" s="8" t="e">
        <f>VLOOKUP(C536,Lookups!$A$136:$C$144,2)</f>
        <v>#N/A</v>
      </c>
      <c r="S536" s="4" t="str">
        <f t="shared" si="47"/>
        <v>No</v>
      </c>
      <c r="T536" s="125">
        <f t="shared" si="48"/>
        <v>0</v>
      </c>
      <c r="U536" s="125">
        <f t="shared" si="49"/>
        <v>0</v>
      </c>
      <c r="V536" s="4" t="e">
        <f>IF($Q536&lt;&gt;3,VLOOKUP(F536,'Points Table A'!B$3:$F$33,5),VLOOKUP(F536,'Points Table A'!H$3:$L$33,5))</f>
        <v>#N/A</v>
      </c>
      <c r="W536" s="4" t="e">
        <f>IF($Q536&lt;&gt;3,VLOOKUP(G536,'Points Table A'!C$3:$F$33,4),VLOOKUP(G536,'Points Table A'!I$3:$L$33,4))</f>
        <v>#N/A</v>
      </c>
      <c r="X536" s="4" t="e">
        <f>IF($Q536&lt;&gt;3,VLOOKUP(H536,'Points Table A'!D$3:$F$28,3),VLOOKUP(H536,'Points Table A'!J$3:$L$33,3))</f>
        <v>#N/A</v>
      </c>
      <c r="Y536" s="4" t="e">
        <f>IF($Q536&lt;&gt;3,VLOOKUP(I536,'Points Table A'!E$3:$F$33,2),VLOOKUP(I536,'Points Table A'!K$3:$L$33,2))</f>
        <v>#N/A</v>
      </c>
      <c r="Z536" s="4" t="e">
        <f t="shared" si="50"/>
        <v>#N/A</v>
      </c>
      <c r="AA536" s="4">
        <f>IF($S536=Lookups!$B$113,VLOOKUP(L536,'Points Table C'!A$3:$E$11,5),VLOOKUP(U536,'Points Table C'!B$3:$E$11,4))</f>
        <v>0</v>
      </c>
      <c r="AB536" s="4" t="e">
        <f>IF($Q536=1,0,VLOOKUP($J536,'Points Table C'!$C$3:$E$18,3))</f>
        <v>#N/A</v>
      </c>
      <c r="AC536" s="4">
        <f>VLOOKUP($K536,'Points Table C'!$D$3:$E$18,2)</f>
        <v>0</v>
      </c>
      <c r="AD536" s="4" t="e">
        <f>IF($Z536&lt;Lookups!$C$106,($AA536+AB536+AC536),IF($AA536&gt;=Lookups!$C$120,($AA536+AB536+AC536),$AA536+$AB536))</f>
        <v>#N/A</v>
      </c>
      <c r="AF536" s="7"/>
      <c r="AG536" s="7"/>
      <c r="AH536" s="7"/>
      <c r="AI536" s="7"/>
      <c r="AJ536" s="7"/>
      <c r="AK536" s="7"/>
      <c r="AL536" s="7"/>
      <c r="AM536" s="7"/>
      <c r="AN536" s="7"/>
      <c r="AO536" s="7"/>
      <c r="AP536" s="7"/>
      <c r="AQ536" s="7"/>
      <c r="AR536" s="7"/>
      <c r="AS536" s="7"/>
      <c r="AT536" s="7"/>
      <c r="AU536" s="7"/>
      <c r="AV536" s="7"/>
      <c r="AW536" s="7"/>
      <c r="AY536" s="7"/>
      <c r="AZ536" s="7"/>
      <c r="BA536" s="7"/>
      <c r="BB536" s="7"/>
    </row>
    <row r="537" spans="2:54" x14ac:dyDescent="0.2">
      <c r="B537" s="174"/>
      <c r="C537" s="176"/>
      <c r="F537" s="5">
        <v>0</v>
      </c>
      <c r="G537" s="192">
        <v>0</v>
      </c>
      <c r="H537" s="192">
        <v>0</v>
      </c>
      <c r="I537" s="5">
        <v>0</v>
      </c>
      <c r="J537" s="192">
        <v>0</v>
      </c>
      <c r="K537" s="192">
        <v>0</v>
      </c>
      <c r="L537" s="5">
        <v>0</v>
      </c>
      <c r="M537" s="5">
        <v>0</v>
      </c>
      <c r="N537" s="4" t="e">
        <f t="shared" si="46"/>
        <v>#N/A</v>
      </c>
      <c r="O537" s="4" t="e">
        <f>IF(ROUND(10.499-(((N537-VLOOKUP($C537,Lookups!$A$55:$D$64,3))/(VLOOKUP($C537,Lookups!$A$55:$D$64,4))*VLOOKUP($C537,Lookups!$C$2:$D$11,2))),0)&lt;1,1,IF(ROUND(10.499-(((N537-VLOOKUP($C537,Lookups!$A$55:$D$64,3))/(VLOOKUP($C537,Lookups!$A$55:$D$64,4))*VLOOKUP($C537,Lookups!$C$2:$D$11,2))),0)&lt;11,ROUND(10.499-(((N537-VLOOKUP($C537,Lookups!$A$55:$D$64,3))/(VLOOKUP($C537,Lookups!$A$55:$D$64,4))*VLOOKUP($C537,Lookups!$C$2:$D$11,2))),0),10))</f>
        <v>#N/A</v>
      </c>
      <c r="P537" s="13" t="str">
        <f>IF((SUM(F537:M537)=0),"J",VLOOKUP(O537,Lookups!$A$1:$B$11,2))</f>
        <v>J</v>
      </c>
      <c r="Q537" s="8" t="e">
        <f>VLOOKUP(C537,Lookups!$A$136:$C$144,3)</f>
        <v>#N/A</v>
      </c>
      <c r="R537" s="8" t="e">
        <f>VLOOKUP(C537,Lookups!$A$136:$C$144,2)</f>
        <v>#N/A</v>
      </c>
      <c r="S537" s="4" t="str">
        <f t="shared" si="47"/>
        <v>No</v>
      </c>
      <c r="T537" s="125">
        <f t="shared" si="48"/>
        <v>0</v>
      </c>
      <c r="U537" s="125">
        <f t="shared" si="49"/>
        <v>0</v>
      </c>
      <c r="V537" s="4" t="e">
        <f>IF($Q537&lt;&gt;3,VLOOKUP(F537,'Points Table A'!B$3:$F$33,5),VLOOKUP(F537,'Points Table A'!H$3:$L$33,5))</f>
        <v>#N/A</v>
      </c>
      <c r="W537" s="4" t="e">
        <f>IF($Q537&lt;&gt;3,VLOOKUP(G537,'Points Table A'!C$3:$F$33,4),VLOOKUP(G537,'Points Table A'!I$3:$L$33,4))</f>
        <v>#N/A</v>
      </c>
      <c r="X537" s="4" t="e">
        <f>IF($Q537&lt;&gt;3,VLOOKUP(H537,'Points Table A'!D$3:$F$28,3),VLOOKUP(H537,'Points Table A'!J$3:$L$33,3))</f>
        <v>#N/A</v>
      </c>
      <c r="Y537" s="4" t="e">
        <f>IF($Q537&lt;&gt;3,VLOOKUP(I537,'Points Table A'!E$3:$F$33,2),VLOOKUP(I537,'Points Table A'!K$3:$L$33,2))</f>
        <v>#N/A</v>
      </c>
      <c r="Z537" s="4" t="e">
        <f t="shared" si="50"/>
        <v>#N/A</v>
      </c>
      <c r="AA537" s="4">
        <f>IF($S537=Lookups!$B$113,VLOOKUP(L537,'Points Table C'!A$3:$E$11,5),VLOOKUP(U537,'Points Table C'!B$3:$E$11,4))</f>
        <v>0</v>
      </c>
      <c r="AB537" s="4" t="e">
        <f>IF($Q537=1,0,VLOOKUP($J537,'Points Table C'!$C$3:$E$18,3))</f>
        <v>#N/A</v>
      </c>
      <c r="AC537" s="4">
        <f>VLOOKUP($K537,'Points Table C'!$D$3:$E$18,2)</f>
        <v>0</v>
      </c>
      <c r="AD537" s="4" t="e">
        <f>IF($Z537&lt;Lookups!$C$106,($AA537+AB537+AC537),IF($AA537&gt;=Lookups!$C$120,($AA537+AB537+AC537),$AA537+$AB537))</f>
        <v>#N/A</v>
      </c>
      <c r="AF537" s="7"/>
      <c r="AG537" s="7"/>
      <c r="AH537" s="7"/>
      <c r="AI537" s="7"/>
      <c r="AJ537" s="7"/>
      <c r="AK537" s="7"/>
      <c r="AL537" s="7"/>
      <c r="AM537" s="7"/>
      <c r="AN537" s="7"/>
      <c r="AO537" s="7"/>
      <c r="AP537" s="7"/>
      <c r="AQ537" s="7"/>
      <c r="AR537" s="7"/>
      <c r="AS537" s="7"/>
      <c r="AT537" s="7"/>
      <c r="AU537" s="7"/>
      <c r="AV537" s="7"/>
      <c r="AW537" s="7"/>
      <c r="AY537" s="7"/>
      <c r="AZ537" s="7"/>
      <c r="BA537" s="7"/>
      <c r="BB537" s="7"/>
    </row>
    <row r="538" spans="2:54" x14ac:dyDescent="0.2">
      <c r="B538" s="174"/>
      <c r="C538" s="176"/>
      <c r="F538" s="5">
        <v>0</v>
      </c>
      <c r="G538" s="192">
        <v>0</v>
      </c>
      <c r="H538" s="192">
        <v>0</v>
      </c>
      <c r="I538" s="5">
        <v>0</v>
      </c>
      <c r="J538" s="192">
        <v>0</v>
      </c>
      <c r="K538" s="192">
        <v>0</v>
      </c>
      <c r="L538" s="5">
        <v>0</v>
      </c>
      <c r="M538" s="5">
        <v>0</v>
      </c>
      <c r="N538" s="4" t="e">
        <f t="shared" si="46"/>
        <v>#N/A</v>
      </c>
      <c r="O538" s="4" t="e">
        <f>IF(ROUND(10.499-(((N538-VLOOKUP($C538,Lookups!$A$55:$D$64,3))/(VLOOKUP($C538,Lookups!$A$55:$D$64,4))*VLOOKUP($C538,Lookups!$C$2:$D$11,2))),0)&lt;1,1,IF(ROUND(10.499-(((N538-VLOOKUP($C538,Lookups!$A$55:$D$64,3))/(VLOOKUP($C538,Lookups!$A$55:$D$64,4))*VLOOKUP($C538,Lookups!$C$2:$D$11,2))),0)&lt;11,ROUND(10.499-(((N538-VLOOKUP($C538,Lookups!$A$55:$D$64,3))/(VLOOKUP($C538,Lookups!$A$55:$D$64,4))*VLOOKUP($C538,Lookups!$C$2:$D$11,2))),0),10))</f>
        <v>#N/A</v>
      </c>
      <c r="P538" s="13" t="str">
        <f>IF((SUM(F538:M538)=0),"J",VLOOKUP(O538,Lookups!$A$1:$B$11,2))</f>
        <v>J</v>
      </c>
      <c r="Q538" s="8" t="e">
        <f>VLOOKUP(C538,Lookups!$A$136:$C$144,3)</f>
        <v>#N/A</v>
      </c>
      <c r="R538" s="8" t="e">
        <f>VLOOKUP(C538,Lookups!$A$136:$C$144,2)</f>
        <v>#N/A</v>
      </c>
      <c r="S538" s="4" t="str">
        <f t="shared" si="47"/>
        <v>No</v>
      </c>
      <c r="T538" s="125">
        <f t="shared" si="48"/>
        <v>0</v>
      </c>
      <c r="U538" s="125">
        <f t="shared" si="49"/>
        <v>0</v>
      </c>
      <c r="V538" s="4" t="e">
        <f>IF($Q538&lt;&gt;3,VLOOKUP(F538,'Points Table A'!B$3:$F$33,5),VLOOKUP(F538,'Points Table A'!H$3:$L$33,5))</f>
        <v>#N/A</v>
      </c>
      <c r="W538" s="4" t="e">
        <f>IF($Q538&lt;&gt;3,VLOOKUP(G538,'Points Table A'!C$3:$F$33,4),VLOOKUP(G538,'Points Table A'!I$3:$L$33,4))</f>
        <v>#N/A</v>
      </c>
      <c r="X538" s="4" t="e">
        <f>IF($Q538&lt;&gt;3,VLOOKUP(H538,'Points Table A'!D$3:$F$28,3),VLOOKUP(H538,'Points Table A'!J$3:$L$33,3))</f>
        <v>#N/A</v>
      </c>
      <c r="Y538" s="4" t="e">
        <f>IF($Q538&lt;&gt;3,VLOOKUP(I538,'Points Table A'!E$3:$F$33,2),VLOOKUP(I538,'Points Table A'!K$3:$L$33,2))</f>
        <v>#N/A</v>
      </c>
      <c r="Z538" s="4" t="e">
        <f t="shared" si="50"/>
        <v>#N/A</v>
      </c>
      <c r="AA538" s="4">
        <f>IF($S538=Lookups!$B$113,VLOOKUP(L538,'Points Table C'!A$3:$E$11,5),VLOOKUP(U538,'Points Table C'!B$3:$E$11,4))</f>
        <v>0</v>
      </c>
      <c r="AB538" s="4" t="e">
        <f>IF($Q538=1,0,VLOOKUP($J538,'Points Table C'!$C$3:$E$18,3))</f>
        <v>#N/A</v>
      </c>
      <c r="AC538" s="4">
        <f>VLOOKUP($K538,'Points Table C'!$D$3:$E$18,2)</f>
        <v>0</v>
      </c>
      <c r="AD538" s="4" t="e">
        <f>IF($Z538&lt;Lookups!$C$106,($AA538+AB538+AC538),IF($AA538&gt;=Lookups!$C$120,($AA538+AB538+AC538),$AA538+$AB538))</f>
        <v>#N/A</v>
      </c>
      <c r="AF538" s="7"/>
      <c r="AG538" s="7"/>
      <c r="AH538" s="7"/>
      <c r="AI538" s="7"/>
      <c r="AJ538" s="7"/>
      <c r="AK538" s="7"/>
      <c r="AL538" s="7"/>
      <c r="AM538" s="7"/>
      <c r="AN538" s="7"/>
      <c r="AO538" s="7"/>
      <c r="AP538" s="7"/>
      <c r="AQ538" s="7"/>
      <c r="AR538" s="7"/>
      <c r="AS538" s="7"/>
      <c r="AT538" s="7"/>
      <c r="AU538" s="7"/>
      <c r="AV538" s="7"/>
      <c r="AW538" s="7"/>
      <c r="AY538" s="7"/>
      <c r="AZ538" s="7"/>
      <c r="BA538" s="7"/>
      <c r="BB538" s="7"/>
    </row>
    <row r="539" spans="2:54" x14ac:dyDescent="0.2">
      <c r="B539" s="174"/>
      <c r="C539" s="176"/>
      <c r="F539" s="5">
        <v>0</v>
      </c>
      <c r="G539" s="192">
        <v>0</v>
      </c>
      <c r="H539" s="192">
        <v>0</v>
      </c>
      <c r="I539" s="5">
        <v>0</v>
      </c>
      <c r="J539" s="192">
        <v>0</v>
      </c>
      <c r="K539" s="192">
        <v>0</v>
      </c>
      <c r="L539" s="5">
        <v>0</v>
      </c>
      <c r="M539" s="5">
        <v>0</v>
      </c>
      <c r="N539" s="4" t="e">
        <f t="shared" si="46"/>
        <v>#N/A</v>
      </c>
      <c r="O539" s="4" t="e">
        <f>IF(ROUND(10.499-(((N539-VLOOKUP($C539,Lookups!$A$55:$D$64,3))/(VLOOKUP($C539,Lookups!$A$55:$D$64,4))*VLOOKUP($C539,Lookups!$C$2:$D$11,2))),0)&lt;1,1,IF(ROUND(10.499-(((N539-VLOOKUP($C539,Lookups!$A$55:$D$64,3))/(VLOOKUP($C539,Lookups!$A$55:$D$64,4))*VLOOKUP($C539,Lookups!$C$2:$D$11,2))),0)&lt;11,ROUND(10.499-(((N539-VLOOKUP($C539,Lookups!$A$55:$D$64,3))/(VLOOKUP($C539,Lookups!$A$55:$D$64,4))*VLOOKUP($C539,Lookups!$C$2:$D$11,2))),0),10))</f>
        <v>#N/A</v>
      </c>
      <c r="P539" s="13" t="str">
        <f>IF((SUM(F539:M539)=0),"J",VLOOKUP(O539,Lookups!$A$1:$B$11,2))</f>
        <v>J</v>
      </c>
      <c r="Q539" s="8" t="e">
        <f>VLOOKUP(C539,Lookups!$A$136:$C$144,3)</f>
        <v>#N/A</v>
      </c>
      <c r="R539" s="8" t="e">
        <f>VLOOKUP(C539,Lookups!$A$136:$C$144,2)</f>
        <v>#N/A</v>
      </c>
      <c r="S539" s="4" t="str">
        <f t="shared" si="47"/>
        <v>No</v>
      </c>
      <c r="T539" s="125">
        <f t="shared" si="48"/>
        <v>0</v>
      </c>
      <c r="U539" s="125">
        <f t="shared" si="49"/>
        <v>0</v>
      </c>
      <c r="V539" s="4" t="e">
        <f>IF($Q539&lt;&gt;3,VLOOKUP(F539,'Points Table A'!B$3:$F$33,5),VLOOKUP(F539,'Points Table A'!H$3:$L$33,5))</f>
        <v>#N/A</v>
      </c>
      <c r="W539" s="4" t="e">
        <f>IF($Q539&lt;&gt;3,VLOOKUP(G539,'Points Table A'!C$3:$F$33,4),VLOOKUP(G539,'Points Table A'!I$3:$L$33,4))</f>
        <v>#N/A</v>
      </c>
      <c r="X539" s="4" t="e">
        <f>IF($Q539&lt;&gt;3,VLOOKUP(H539,'Points Table A'!D$3:$F$28,3),VLOOKUP(H539,'Points Table A'!J$3:$L$33,3))</f>
        <v>#N/A</v>
      </c>
      <c r="Y539" s="4" t="e">
        <f>IF($Q539&lt;&gt;3,VLOOKUP(I539,'Points Table A'!E$3:$F$33,2),VLOOKUP(I539,'Points Table A'!K$3:$L$33,2))</f>
        <v>#N/A</v>
      </c>
      <c r="Z539" s="4" t="e">
        <f t="shared" si="50"/>
        <v>#N/A</v>
      </c>
      <c r="AA539" s="4">
        <f>IF($S539=Lookups!$B$113,VLOOKUP(L539,'Points Table C'!A$3:$E$11,5),VLOOKUP(U539,'Points Table C'!B$3:$E$11,4))</f>
        <v>0</v>
      </c>
      <c r="AB539" s="4" t="e">
        <f>IF($Q539=1,0,VLOOKUP($J539,'Points Table C'!$C$3:$E$18,3))</f>
        <v>#N/A</v>
      </c>
      <c r="AC539" s="4">
        <f>VLOOKUP($K539,'Points Table C'!$D$3:$E$18,2)</f>
        <v>0</v>
      </c>
      <c r="AD539" s="4" t="e">
        <f>IF($Z539&lt;Lookups!$C$106,($AA539+AB539+AC539),IF($AA539&gt;=Lookups!$C$120,($AA539+AB539+AC539),$AA539+$AB539))</f>
        <v>#N/A</v>
      </c>
      <c r="AF539" s="7"/>
      <c r="AG539" s="7"/>
      <c r="AH539" s="7"/>
      <c r="AI539" s="7"/>
      <c r="AJ539" s="7"/>
      <c r="AK539" s="7"/>
      <c r="AL539" s="7"/>
      <c r="AM539" s="7"/>
      <c r="AN539" s="7"/>
      <c r="AO539" s="7"/>
      <c r="AP539" s="7"/>
      <c r="AQ539" s="7"/>
      <c r="AR539" s="7"/>
      <c r="AS539" s="7"/>
      <c r="AT539" s="7"/>
      <c r="AU539" s="7"/>
      <c r="AV539" s="7"/>
      <c r="AW539" s="7"/>
      <c r="AY539" s="7"/>
      <c r="AZ539" s="7"/>
      <c r="BA539" s="7"/>
      <c r="BB539" s="7"/>
    </row>
    <row r="540" spans="2:54" x14ac:dyDescent="0.2">
      <c r="B540" s="174"/>
      <c r="C540" s="176"/>
      <c r="F540" s="5">
        <v>0</v>
      </c>
      <c r="G540" s="192">
        <v>0</v>
      </c>
      <c r="H540" s="192">
        <v>0</v>
      </c>
      <c r="I540" s="5">
        <v>0</v>
      </c>
      <c r="J540" s="192">
        <v>0</v>
      </c>
      <c r="K540" s="192">
        <v>0</v>
      </c>
      <c r="L540" s="5">
        <v>0</v>
      </c>
      <c r="M540" s="5">
        <v>0</v>
      </c>
      <c r="N540" s="4" t="e">
        <f t="shared" si="46"/>
        <v>#N/A</v>
      </c>
      <c r="O540" s="4" t="e">
        <f>IF(ROUND(10.499-(((N540-VLOOKUP($C540,Lookups!$A$55:$D$64,3))/(VLOOKUP($C540,Lookups!$A$55:$D$64,4))*VLOOKUP($C540,Lookups!$C$2:$D$11,2))),0)&lt;1,1,IF(ROUND(10.499-(((N540-VLOOKUP($C540,Lookups!$A$55:$D$64,3))/(VLOOKUP($C540,Lookups!$A$55:$D$64,4))*VLOOKUP($C540,Lookups!$C$2:$D$11,2))),0)&lt;11,ROUND(10.499-(((N540-VLOOKUP($C540,Lookups!$A$55:$D$64,3))/(VLOOKUP($C540,Lookups!$A$55:$D$64,4))*VLOOKUP($C540,Lookups!$C$2:$D$11,2))),0),10))</f>
        <v>#N/A</v>
      </c>
      <c r="P540" s="13" t="str">
        <f>IF((SUM(F540:M540)=0),"J",VLOOKUP(O540,Lookups!$A$1:$B$11,2))</f>
        <v>J</v>
      </c>
      <c r="Q540" s="8" t="e">
        <f>VLOOKUP(C540,Lookups!$A$136:$C$144,3)</f>
        <v>#N/A</v>
      </c>
      <c r="R540" s="8" t="e">
        <f>VLOOKUP(C540,Lookups!$A$136:$C$144,2)</f>
        <v>#N/A</v>
      </c>
      <c r="S540" s="4" t="str">
        <f t="shared" si="47"/>
        <v>No</v>
      </c>
      <c r="T540" s="125">
        <f t="shared" si="48"/>
        <v>0</v>
      </c>
      <c r="U540" s="125">
        <f t="shared" si="49"/>
        <v>0</v>
      </c>
      <c r="V540" s="4" t="e">
        <f>IF($Q540&lt;&gt;3,VLOOKUP(F540,'Points Table A'!B$3:$F$33,5),VLOOKUP(F540,'Points Table A'!H$3:$L$33,5))</f>
        <v>#N/A</v>
      </c>
      <c r="W540" s="4" t="e">
        <f>IF($Q540&lt;&gt;3,VLOOKUP(G540,'Points Table A'!C$3:$F$33,4),VLOOKUP(G540,'Points Table A'!I$3:$L$33,4))</f>
        <v>#N/A</v>
      </c>
      <c r="X540" s="4" t="e">
        <f>IF($Q540&lt;&gt;3,VLOOKUP(H540,'Points Table A'!D$3:$F$28,3),VLOOKUP(H540,'Points Table A'!J$3:$L$33,3))</f>
        <v>#N/A</v>
      </c>
      <c r="Y540" s="4" t="e">
        <f>IF($Q540&lt;&gt;3,VLOOKUP(I540,'Points Table A'!E$3:$F$33,2),VLOOKUP(I540,'Points Table A'!K$3:$L$33,2))</f>
        <v>#N/A</v>
      </c>
      <c r="Z540" s="4" t="e">
        <f t="shared" si="50"/>
        <v>#N/A</v>
      </c>
      <c r="AA540" s="4">
        <f>IF($S540=Lookups!$B$113,VLOOKUP(L540,'Points Table C'!A$3:$E$11,5),VLOOKUP(U540,'Points Table C'!B$3:$E$11,4))</f>
        <v>0</v>
      </c>
      <c r="AB540" s="4" t="e">
        <f>IF($Q540=1,0,VLOOKUP($J540,'Points Table C'!$C$3:$E$18,3))</f>
        <v>#N/A</v>
      </c>
      <c r="AC540" s="4">
        <f>VLOOKUP($K540,'Points Table C'!$D$3:$E$18,2)</f>
        <v>0</v>
      </c>
      <c r="AD540" s="4" t="e">
        <f>IF($Z540&lt;Lookups!$C$106,($AA540+AB540+AC540),IF($AA540&gt;=Lookups!$C$120,($AA540+AB540+AC540),$AA540+$AB540))</f>
        <v>#N/A</v>
      </c>
      <c r="AF540" s="7"/>
      <c r="AG540" s="7"/>
      <c r="AH540" s="7"/>
      <c r="AI540" s="7"/>
      <c r="AJ540" s="7"/>
      <c r="AK540" s="7"/>
      <c r="AL540" s="7"/>
      <c r="AM540" s="7"/>
      <c r="AN540" s="7"/>
      <c r="AO540" s="7"/>
      <c r="AP540" s="7"/>
      <c r="AQ540" s="7"/>
      <c r="AR540" s="7"/>
      <c r="AS540" s="7"/>
      <c r="AT540" s="7"/>
      <c r="AU540" s="7"/>
      <c r="AV540" s="7"/>
      <c r="AW540" s="7"/>
      <c r="AY540" s="7"/>
      <c r="AZ540" s="7"/>
      <c r="BA540" s="7"/>
      <c r="BB540" s="7"/>
    </row>
    <row r="541" spans="2:54" x14ac:dyDescent="0.2">
      <c r="B541" s="174"/>
      <c r="C541" s="176"/>
      <c r="F541" s="5">
        <v>0</v>
      </c>
      <c r="G541" s="192">
        <v>0</v>
      </c>
      <c r="H541" s="192">
        <v>0</v>
      </c>
      <c r="I541" s="5">
        <v>0</v>
      </c>
      <c r="J541" s="192">
        <v>0</v>
      </c>
      <c r="K541" s="192">
        <v>0</v>
      </c>
      <c r="L541" s="5">
        <v>0</v>
      </c>
      <c r="M541" s="5">
        <v>0</v>
      </c>
      <c r="N541" s="4" t="e">
        <f t="shared" si="46"/>
        <v>#N/A</v>
      </c>
      <c r="O541" s="4" t="e">
        <f>IF(ROUND(10.499-(((N541-VLOOKUP($C541,Lookups!$A$55:$D$64,3))/(VLOOKUP($C541,Lookups!$A$55:$D$64,4))*VLOOKUP($C541,Lookups!$C$2:$D$11,2))),0)&lt;1,1,IF(ROUND(10.499-(((N541-VLOOKUP($C541,Lookups!$A$55:$D$64,3))/(VLOOKUP($C541,Lookups!$A$55:$D$64,4))*VLOOKUP($C541,Lookups!$C$2:$D$11,2))),0)&lt;11,ROUND(10.499-(((N541-VLOOKUP($C541,Lookups!$A$55:$D$64,3))/(VLOOKUP($C541,Lookups!$A$55:$D$64,4))*VLOOKUP($C541,Lookups!$C$2:$D$11,2))),0),10))</f>
        <v>#N/A</v>
      </c>
      <c r="P541" s="13" t="str">
        <f>IF((SUM(F541:M541)=0),"J",VLOOKUP(O541,Lookups!$A$1:$B$11,2))</f>
        <v>J</v>
      </c>
      <c r="Q541" s="8" t="e">
        <f>VLOOKUP(C541,Lookups!$A$136:$C$144,3)</f>
        <v>#N/A</v>
      </c>
      <c r="R541" s="8" t="e">
        <f>VLOOKUP(C541,Lookups!$A$136:$C$144,2)</f>
        <v>#N/A</v>
      </c>
      <c r="S541" s="4" t="str">
        <f t="shared" si="47"/>
        <v>No</v>
      </c>
      <c r="T541" s="125">
        <f t="shared" si="48"/>
        <v>0</v>
      </c>
      <c r="U541" s="125">
        <f t="shared" si="49"/>
        <v>0</v>
      </c>
      <c r="V541" s="4" t="e">
        <f>IF($Q541&lt;&gt;3,VLOOKUP(F541,'Points Table A'!B$3:$F$33,5),VLOOKUP(F541,'Points Table A'!H$3:$L$33,5))</f>
        <v>#N/A</v>
      </c>
      <c r="W541" s="4" t="e">
        <f>IF($Q541&lt;&gt;3,VLOOKUP(G541,'Points Table A'!C$3:$F$33,4),VLOOKUP(G541,'Points Table A'!I$3:$L$33,4))</f>
        <v>#N/A</v>
      </c>
      <c r="X541" s="4" t="e">
        <f>IF($Q541&lt;&gt;3,VLOOKUP(H541,'Points Table A'!D$3:$F$28,3),VLOOKUP(H541,'Points Table A'!J$3:$L$33,3))</f>
        <v>#N/A</v>
      </c>
      <c r="Y541" s="4" t="e">
        <f>IF($Q541&lt;&gt;3,VLOOKUP(I541,'Points Table A'!E$3:$F$33,2),VLOOKUP(I541,'Points Table A'!K$3:$L$33,2))</f>
        <v>#N/A</v>
      </c>
      <c r="Z541" s="4" t="e">
        <f t="shared" si="50"/>
        <v>#N/A</v>
      </c>
      <c r="AA541" s="4">
        <f>IF($S541=Lookups!$B$113,VLOOKUP(L541,'Points Table C'!A$3:$E$11,5),VLOOKUP(U541,'Points Table C'!B$3:$E$11,4))</f>
        <v>0</v>
      </c>
      <c r="AB541" s="4" t="e">
        <f>IF($Q541=1,0,VLOOKUP($J541,'Points Table C'!$C$3:$E$18,3))</f>
        <v>#N/A</v>
      </c>
      <c r="AC541" s="4">
        <f>VLOOKUP($K541,'Points Table C'!$D$3:$E$18,2)</f>
        <v>0</v>
      </c>
      <c r="AD541" s="4" t="e">
        <f>IF($Z541&lt;Lookups!$C$106,($AA541+AB541+AC541),IF($AA541&gt;=Lookups!$C$120,($AA541+AB541+AC541),$AA541+$AB541))</f>
        <v>#N/A</v>
      </c>
      <c r="AF541" s="7"/>
      <c r="AG541" s="7"/>
      <c r="AH541" s="7"/>
      <c r="AI541" s="7"/>
      <c r="AJ541" s="7"/>
      <c r="AK541" s="7"/>
      <c r="AL541" s="7"/>
      <c r="AM541" s="7"/>
      <c r="AN541" s="7"/>
      <c r="AO541" s="7"/>
      <c r="AP541" s="7"/>
      <c r="AQ541" s="7"/>
      <c r="AR541" s="7"/>
      <c r="AS541" s="7"/>
      <c r="AT541" s="7"/>
      <c r="AU541" s="7"/>
      <c r="AV541" s="7"/>
      <c r="AW541" s="7"/>
      <c r="AY541" s="7"/>
      <c r="AZ541" s="7"/>
      <c r="BA541" s="7"/>
      <c r="BB541" s="7"/>
    </row>
    <row r="542" spans="2:54" x14ac:dyDescent="0.2">
      <c r="B542" s="174"/>
      <c r="C542" s="176"/>
      <c r="F542" s="5">
        <v>0</v>
      </c>
      <c r="G542" s="192">
        <v>0</v>
      </c>
      <c r="H542" s="192">
        <v>0</v>
      </c>
      <c r="I542" s="5">
        <v>0</v>
      </c>
      <c r="J542" s="192">
        <v>0</v>
      </c>
      <c r="K542" s="192">
        <v>0</v>
      </c>
      <c r="L542" s="5">
        <v>0</v>
      </c>
      <c r="M542" s="5">
        <v>0</v>
      </c>
      <c r="N542" s="4" t="e">
        <f t="shared" si="46"/>
        <v>#N/A</v>
      </c>
      <c r="O542" s="4" t="e">
        <f>IF(ROUND(10.499-(((N542-VLOOKUP($C542,Lookups!$A$55:$D$64,3))/(VLOOKUP($C542,Lookups!$A$55:$D$64,4))*VLOOKUP($C542,Lookups!$C$2:$D$11,2))),0)&lt;1,1,IF(ROUND(10.499-(((N542-VLOOKUP($C542,Lookups!$A$55:$D$64,3))/(VLOOKUP($C542,Lookups!$A$55:$D$64,4))*VLOOKUP($C542,Lookups!$C$2:$D$11,2))),0)&lt;11,ROUND(10.499-(((N542-VLOOKUP($C542,Lookups!$A$55:$D$64,3))/(VLOOKUP($C542,Lookups!$A$55:$D$64,4))*VLOOKUP($C542,Lookups!$C$2:$D$11,2))),0),10))</f>
        <v>#N/A</v>
      </c>
      <c r="P542" s="13" t="str">
        <f>IF((SUM(F542:M542)=0),"J",VLOOKUP(O542,Lookups!$A$1:$B$11,2))</f>
        <v>J</v>
      </c>
      <c r="Q542" s="8" t="e">
        <f>VLOOKUP(C542,Lookups!$A$136:$C$144,3)</f>
        <v>#N/A</v>
      </c>
      <c r="R542" s="8" t="e">
        <f>VLOOKUP(C542,Lookups!$A$136:$C$144,2)</f>
        <v>#N/A</v>
      </c>
      <c r="S542" s="4" t="str">
        <f t="shared" si="47"/>
        <v>No</v>
      </c>
      <c r="T542" s="125">
        <f t="shared" si="48"/>
        <v>0</v>
      </c>
      <c r="U542" s="125">
        <f t="shared" si="49"/>
        <v>0</v>
      </c>
      <c r="V542" s="4" t="e">
        <f>IF($Q542&lt;&gt;3,VLOOKUP(F542,'Points Table A'!B$3:$F$33,5),VLOOKUP(F542,'Points Table A'!H$3:$L$33,5))</f>
        <v>#N/A</v>
      </c>
      <c r="W542" s="4" t="e">
        <f>IF($Q542&lt;&gt;3,VLOOKUP(G542,'Points Table A'!C$3:$F$33,4),VLOOKUP(G542,'Points Table A'!I$3:$L$33,4))</f>
        <v>#N/A</v>
      </c>
      <c r="X542" s="4" t="e">
        <f>IF($Q542&lt;&gt;3,VLOOKUP(H542,'Points Table A'!D$3:$F$28,3),VLOOKUP(H542,'Points Table A'!J$3:$L$33,3))</f>
        <v>#N/A</v>
      </c>
      <c r="Y542" s="4" t="e">
        <f>IF($Q542&lt;&gt;3,VLOOKUP(I542,'Points Table A'!E$3:$F$33,2),VLOOKUP(I542,'Points Table A'!K$3:$L$33,2))</f>
        <v>#N/A</v>
      </c>
      <c r="Z542" s="4" t="e">
        <f t="shared" si="50"/>
        <v>#N/A</v>
      </c>
      <c r="AA542" s="4">
        <f>IF($S542=Lookups!$B$113,VLOOKUP(L542,'Points Table C'!A$3:$E$11,5),VLOOKUP(U542,'Points Table C'!B$3:$E$11,4))</f>
        <v>0</v>
      </c>
      <c r="AB542" s="4" t="e">
        <f>IF($Q542=1,0,VLOOKUP($J542,'Points Table C'!$C$3:$E$18,3))</f>
        <v>#N/A</v>
      </c>
      <c r="AC542" s="4">
        <f>VLOOKUP($K542,'Points Table C'!$D$3:$E$18,2)</f>
        <v>0</v>
      </c>
      <c r="AD542" s="4" t="e">
        <f>IF($Z542&lt;Lookups!$C$106,($AA542+AB542+AC542),IF($AA542&gt;=Lookups!$C$120,($AA542+AB542+AC542),$AA542+$AB542))</f>
        <v>#N/A</v>
      </c>
      <c r="AF542" s="7"/>
      <c r="AG542" s="7"/>
      <c r="AH542" s="7"/>
      <c r="AI542" s="7"/>
      <c r="AJ542" s="7"/>
      <c r="AK542" s="7"/>
      <c r="AL542" s="7"/>
      <c r="AM542" s="7"/>
      <c r="AN542" s="7"/>
      <c r="AO542" s="7"/>
      <c r="AP542" s="7"/>
      <c r="AQ542" s="7"/>
      <c r="AR542" s="7"/>
      <c r="AS542" s="7"/>
      <c r="AT542" s="7"/>
      <c r="AU542" s="7"/>
      <c r="AV542" s="7"/>
      <c r="AW542" s="7"/>
      <c r="AY542" s="7"/>
      <c r="AZ542" s="7"/>
      <c r="BA542" s="7"/>
      <c r="BB542" s="7"/>
    </row>
    <row r="543" spans="2:54" x14ac:dyDescent="0.2">
      <c r="B543" s="174"/>
      <c r="C543" s="176"/>
      <c r="F543" s="5">
        <v>0</v>
      </c>
      <c r="G543" s="192">
        <v>0</v>
      </c>
      <c r="H543" s="192">
        <v>0</v>
      </c>
      <c r="I543" s="5">
        <v>0</v>
      </c>
      <c r="J543" s="192">
        <v>0</v>
      </c>
      <c r="K543" s="192">
        <v>0</v>
      </c>
      <c r="L543" s="5">
        <v>0</v>
      </c>
      <c r="M543" s="5">
        <v>0</v>
      </c>
      <c r="N543" s="4" t="e">
        <f t="shared" si="46"/>
        <v>#N/A</v>
      </c>
      <c r="O543" s="4" t="e">
        <f>IF(ROUND(10.499-(((N543-VLOOKUP($C543,Lookups!$A$55:$D$64,3))/(VLOOKUP($C543,Lookups!$A$55:$D$64,4))*VLOOKUP($C543,Lookups!$C$2:$D$11,2))),0)&lt;1,1,IF(ROUND(10.499-(((N543-VLOOKUP($C543,Lookups!$A$55:$D$64,3))/(VLOOKUP($C543,Lookups!$A$55:$D$64,4))*VLOOKUP($C543,Lookups!$C$2:$D$11,2))),0)&lt;11,ROUND(10.499-(((N543-VLOOKUP($C543,Lookups!$A$55:$D$64,3))/(VLOOKUP($C543,Lookups!$A$55:$D$64,4))*VLOOKUP($C543,Lookups!$C$2:$D$11,2))),0),10))</f>
        <v>#N/A</v>
      </c>
      <c r="P543" s="13" t="str">
        <f>IF((SUM(F543:M543)=0),"J",VLOOKUP(O543,Lookups!$A$1:$B$11,2))</f>
        <v>J</v>
      </c>
      <c r="Q543" s="8" t="e">
        <f>VLOOKUP(C543,Lookups!$A$136:$C$144,3)</f>
        <v>#N/A</v>
      </c>
      <c r="R543" s="8" t="e">
        <f>VLOOKUP(C543,Lookups!$A$136:$C$144,2)</f>
        <v>#N/A</v>
      </c>
      <c r="S543" s="4" t="str">
        <f t="shared" si="47"/>
        <v>No</v>
      </c>
      <c r="T543" s="125">
        <f t="shared" si="48"/>
        <v>0</v>
      </c>
      <c r="U543" s="125">
        <f t="shared" si="49"/>
        <v>0</v>
      </c>
      <c r="V543" s="4" t="e">
        <f>IF($Q543&lt;&gt;3,VLOOKUP(F543,'Points Table A'!B$3:$F$33,5),VLOOKUP(F543,'Points Table A'!H$3:$L$33,5))</f>
        <v>#N/A</v>
      </c>
      <c r="W543" s="4" t="e">
        <f>IF($Q543&lt;&gt;3,VLOOKUP(G543,'Points Table A'!C$3:$F$33,4),VLOOKUP(G543,'Points Table A'!I$3:$L$33,4))</f>
        <v>#N/A</v>
      </c>
      <c r="X543" s="4" t="e">
        <f>IF($Q543&lt;&gt;3,VLOOKUP(H543,'Points Table A'!D$3:$F$28,3),VLOOKUP(H543,'Points Table A'!J$3:$L$33,3))</f>
        <v>#N/A</v>
      </c>
      <c r="Y543" s="4" t="e">
        <f>IF($Q543&lt;&gt;3,VLOOKUP(I543,'Points Table A'!E$3:$F$33,2),VLOOKUP(I543,'Points Table A'!K$3:$L$33,2))</f>
        <v>#N/A</v>
      </c>
      <c r="Z543" s="4" t="e">
        <f t="shared" si="50"/>
        <v>#N/A</v>
      </c>
      <c r="AA543" s="4">
        <f>IF($S543=Lookups!$B$113,VLOOKUP(L543,'Points Table C'!A$3:$E$11,5),VLOOKUP(U543,'Points Table C'!B$3:$E$11,4))</f>
        <v>0</v>
      </c>
      <c r="AB543" s="4" t="e">
        <f>IF($Q543=1,0,VLOOKUP($J543,'Points Table C'!$C$3:$E$18,3))</f>
        <v>#N/A</v>
      </c>
      <c r="AC543" s="4">
        <f>VLOOKUP($K543,'Points Table C'!$D$3:$E$18,2)</f>
        <v>0</v>
      </c>
      <c r="AD543" s="4" t="e">
        <f>IF($Z543&lt;Lookups!$C$106,($AA543+AB543+AC543),IF($AA543&gt;=Lookups!$C$120,($AA543+AB543+AC543),$AA543+$AB543))</f>
        <v>#N/A</v>
      </c>
      <c r="AF543" s="7"/>
      <c r="AG543" s="7"/>
      <c r="AH543" s="7"/>
      <c r="AI543" s="7"/>
      <c r="AJ543" s="7"/>
      <c r="AK543" s="7"/>
      <c r="AL543" s="7"/>
      <c r="AM543" s="7"/>
      <c r="AN543" s="7"/>
      <c r="AO543" s="7"/>
      <c r="AP543" s="7"/>
      <c r="AQ543" s="7"/>
      <c r="AR543" s="7"/>
      <c r="AS543" s="7"/>
      <c r="AT543" s="7"/>
      <c r="AU543" s="7"/>
      <c r="AV543" s="7"/>
      <c r="AW543" s="7"/>
      <c r="AY543" s="7"/>
      <c r="AZ543" s="7"/>
      <c r="BA543" s="7"/>
      <c r="BB543" s="7"/>
    </row>
    <row r="544" spans="2:54" x14ac:dyDescent="0.2">
      <c r="B544" s="174"/>
      <c r="C544" s="176"/>
      <c r="F544" s="5">
        <v>0</v>
      </c>
      <c r="G544" s="192">
        <v>0</v>
      </c>
      <c r="H544" s="192">
        <v>0</v>
      </c>
      <c r="I544" s="5">
        <v>0</v>
      </c>
      <c r="J544" s="192">
        <v>0</v>
      </c>
      <c r="K544" s="192">
        <v>0</v>
      </c>
      <c r="L544" s="5">
        <v>0</v>
      </c>
      <c r="M544" s="5">
        <v>0</v>
      </c>
      <c r="N544" s="4" t="e">
        <f t="shared" si="46"/>
        <v>#N/A</v>
      </c>
      <c r="O544" s="4" t="e">
        <f>IF(ROUND(10.499-(((N544-VLOOKUP($C544,Lookups!$A$55:$D$64,3))/(VLOOKUP($C544,Lookups!$A$55:$D$64,4))*VLOOKUP($C544,Lookups!$C$2:$D$11,2))),0)&lt;1,1,IF(ROUND(10.499-(((N544-VLOOKUP($C544,Lookups!$A$55:$D$64,3))/(VLOOKUP($C544,Lookups!$A$55:$D$64,4))*VLOOKUP($C544,Lookups!$C$2:$D$11,2))),0)&lt;11,ROUND(10.499-(((N544-VLOOKUP($C544,Lookups!$A$55:$D$64,3))/(VLOOKUP($C544,Lookups!$A$55:$D$64,4))*VLOOKUP($C544,Lookups!$C$2:$D$11,2))),0),10))</f>
        <v>#N/A</v>
      </c>
      <c r="P544" s="13" t="str">
        <f>IF((SUM(F544:M544)=0),"J",VLOOKUP(O544,Lookups!$A$1:$B$11,2))</f>
        <v>J</v>
      </c>
      <c r="Q544" s="8" t="e">
        <f>VLOOKUP(C544,Lookups!$A$136:$C$144,3)</f>
        <v>#N/A</v>
      </c>
      <c r="R544" s="8" t="e">
        <f>VLOOKUP(C544,Lookups!$A$136:$C$144,2)</f>
        <v>#N/A</v>
      </c>
      <c r="S544" s="4" t="str">
        <f t="shared" si="47"/>
        <v>No</v>
      </c>
      <c r="T544" s="125">
        <f t="shared" si="48"/>
        <v>0</v>
      </c>
      <c r="U544" s="125">
        <f t="shared" si="49"/>
        <v>0</v>
      </c>
      <c r="V544" s="4" t="e">
        <f>IF($Q544&lt;&gt;3,VLOOKUP(F544,'Points Table A'!B$3:$F$33,5),VLOOKUP(F544,'Points Table A'!H$3:$L$33,5))</f>
        <v>#N/A</v>
      </c>
      <c r="W544" s="4" t="e">
        <f>IF($Q544&lt;&gt;3,VLOOKUP(G544,'Points Table A'!C$3:$F$33,4),VLOOKUP(G544,'Points Table A'!I$3:$L$33,4))</f>
        <v>#N/A</v>
      </c>
      <c r="X544" s="4" t="e">
        <f>IF($Q544&lt;&gt;3,VLOOKUP(H544,'Points Table A'!D$3:$F$28,3),VLOOKUP(H544,'Points Table A'!J$3:$L$33,3))</f>
        <v>#N/A</v>
      </c>
      <c r="Y544" s="4" t="e">
        <f>IF($Q544&lt;&gt;3,VLOOKUP(I544,'Points Table A'!E$3:$F$33,2),VLOOKUP(I544,'Points Table A'!K$3:$L$33,2))</f>
        <v>#N/A</v>
      </c>
      <c r="Z544" s="4" t="e">
        <f t="shared" si="50"/>
        <v>#N/A</v>
      </c>
      <c r="AA544" s="4">
        <f>IF($S544=Lookups!$B$113,VLOOKUP(L544,'Points Table C'!A$3:$E$11,5),VLOOKUP(U544,'Points Table C'!B$3:$E$11,4))</f>
        <v>0</v>
      </c>
      <c r="AB544" s="4" t="e">
        <f>IF($Q544=1,0,VLOOKUP($J544,'Points Table C'!$C$3:$E$18,3))</f>
        <v>#N/A</v>
      </c>
      <c r="AC544" s="4">
        <f>VLOOKUP($K544,'Points Table C'!$D$3:$E$18,2)</f>
        <v>0</v>
      </c>
      <c r="AD544" s="4" t="e">
        <f>IF($Z544&lt;Lookups!$C$106,($AA544+AB544+AC544),IF($AA544&gt;=Lookups!$C$120,($AA544+AB544+AC544),$AA544+$AB544))</f>
        <v>#N/A</v>
      </c>
      <c r="AF544" s="7"/>
      <c r="AG544" s="7"/>
      <c r="AH544" s="7"/>
      <c r="AI544" s="7"/>
      <c r="AJ544" s="7"/>
      <c r="AK544" s="7"/>
      <c r="AL544" s="7"/>
      <c r="AM544" s="7"/>
      <c r="AN544" s="7"/>
      <c r="AO544" s="7"/>
      <c r="AP544" s="7"/>
      <c r="AQ544" s="7"/>
      <c r="AR544" s="7"/>
      <c r="AS544" s="7"/>
      <c r="AT544" s="7"/>
      <c r="AU544" s="7"/>
      <c r="AV544" s="7"/>
      <c r="AW544" s="7"/>
      <c r="AY544" s="7"/>
      <c r="AZ544" s="7"/>
      <c r="BA544" s="7"/>
      <c r="BB544" s="7"/>
    </row>
    <row r="545" spans="2:54" x14ac:dyDescent="0.2">
      <c r="B545" s="174"/>
      <c r="C545" s="176"/>
      <c r="F545" s="5">
        <v>0</v>
      </c>
      <c r="G545" s="192">
        <v>0</v>
      </c>
      <c r="H545" s="192">
        <v>0</v>
      </c>
      <c r="I545" s="5">
        <v>0</v>
      </c>
      <c r="J545" s="192">
        <v>0</v>
      </c>
      <c r="K545" s="192">
        <v>0</v>
      </c>
      <c r="L545" s="5">
        <v>0</v>
      </c>
      <c r="M545" s="5">
        <v>0</v>
      </c>
      <c r="N545" s="4" t="e">
        <f t="shared" si="46"/>
        <v>#N/A</v>
      </c>
      <c r="O545" s="4" t="e">
        <f>IF(ROUND(10.499-(((N545-VLOOKUP($C545,Lookups!$A$55:$D$64,3))/(VLOOKUP($C545,Lookups!$A$55:$D$64,4))*VLOOKUP($C545,Lookups!$C$2:$D$11,2))),0)&lt;1,1,IF(ROUND(10.499-(((N545-VLOOKUP($C545,Lookups!$A$55:$D$64,3))/(VLOOKUP($C545,Lookups!$A$55:$D$64,4))*VLOOKUP($C545,Lookups!$C$2:$D$11,2))),0)&lt;11,ROUND(10.499-(((N545-VLOOKUP($C545,Lookups!$A$55:$D$64,3))/(VLOOKUP($C545,Lookups!$A$55:$D$64,4))*VLOOKUP($C545,Lookups!$C$2:$D$11,2))),0),10))</f>
        <v>#N/A</v>
      </c>
      <c r="P545" s="13" t="str">
        <f>IF((SUM(F545:M545)=0),"J",VLOOKUP(O545,Lookups!$A$1:$B$11,2))</f>
        <v>J</v>
      </c>
      <c r="Q545" s="8" t="e">
        <f>VLOOKUP(C545,Lookups!$A$136:$C$144,3)</f>
        <v>#N/A</v>
      </c>
      <c r="R545" s="8" t="e">
        <f>VLOOKUP(C545,Lookups!$A$136:$C$144,2)</f>
        <v>#N/A</v>
      </c>
      <c r="S545" s="4" t="str">
        <f t="shared" si="47"/>
        <v>No</v>
      </c>
      <c r="T545" s="125">
        <f t="shared" si="48"/>
        <v>0</v>
      </c>
      <c r="U545" s="125">
        <f t="shared" si="49"/>
        <v>0</v>
      </c>
      <c r="V545" s="4" t="e">
        <f>IF($Q545&lt;&gt;3,VLOOKUP(F545,'Points Table A'!B$3:$F$33,5),VLOOKUP(F545,'Points Table A'!H$3:$L$33,5))</f>
        <v>#N/A</v>
      </c>
      <c r="W545" s="4" t="e">
        <f>IF($Q545&lt;&gt;3,VLOOKUP(G545,'Points Table A'!C$3:$F$33,4),VLOOKUP(G545,'Points Table A'!I$3:$L$33,4))</f>
        <v>#N/A</v>
      </c>
      <c r="X545" s="4" t="e">
        <f>IF($Q545&lt;&gt;3,VLOOKUP(H545,'Points Table A'!D$3:$F$28,3),VLOOKUP(H545,'Points Table A'!J$3:$L$33,3))</f>
        <v>#N/A</v>
      </c>
      <c r="Y545" s="4" t="e">
        <f>IF($Q545&lt;&gt;3,VLOOKUP(I545,'Points Table A'!E$3:$F$33,2),VLOOKUP(I545,'Points Table A'!K$3:$L$33,2))</f>
        <v>#N/A</v>
      </c>
      <c r="Z545" s="4" t="e">
        <f t="shared" si="50"/>
        <v>#N/A</v>
      </c>
      <c r="AA545" s="4">
        <f>IF($S545=Lookups!$B$113,VLOOKUP(L545,'Points Table C'!A$3:$E$11,5),VLOOKUP(U545,'Points Table C'!B$3:$E$11,4))</f>
        <v>0</v>
      </c>
      <c r="AB545" s="4" t="e">
        <f>IF($Q545=1,0,VLOOKUP($J545,'Points Table C'!$C$3:$E$18,3))</f>
        <v>#N/A</v>
      </c>
      <c r="AC545" s="4">
        <f>VLOOKUP($K545,'Points Table C'!$D$3:$E$18,2)</f>
        <v>0</v>
      </c>
      <c r="AD545" s="4" t="e">
        <f>IF($Z545&lt;Lookups!$C$106,($AA545+AB545+AC545),IF($AA545&gt;=Lookups!$C$120,($AA545+AB545+AC545),$AA545+$AB545))</f>
        <v>#N/A</v>
      </c>
      <c r="AF545" s="7"/>
      <c r="AG545" s="7"/>
      <c r="AH545" s="7"/>
      <c r="AI545" s="7"/>
      <c r="AJ545" s="7"/>
      <c r="AK545" s="7"/>
      <c r="AL545" s="7"/>
      <c r="AM545" s="7"/>
      <c r="AN545" s="7"/>
      <c r="AO545" s="7"/>
      <c r="AP545" s="7"/>
      <c r="AQ545" s="7"/>
      <c r="AR545" s="7"/>
      <c r="AS545" s="7"/>
      <c r="AT545" s="7"/>
      <c r="AU545" s="7"/>
      <c r="AV545" s="7"/>
      <c r="AW545" s="7"/>
      <c r="AY545" s="7"/>
      <c r="AZ545" s="7"/>
      <c r="BA545" s="7"/>
      <c r="BB545" s="7"/>
    </row>
    <row r="546" spans="2:54" x14ac:dyDescent="0.2">
      <c r="B546" s="174"/>
      <c r="C546" s="176"/>
      <c r="F546" s="5">
        <v>0</v>
      </c>
      <c r="G546" s="192">
        <v>0</v>
      </c>
      <c r="H546" s="192">
        <v>0</v>
      </c>
      <c r="I546" s="5">
        <v>0</v>
      </c>
      <c r="J546" s="192">
        <v>0</v>
      </c>
      <c r="K546" s="192">
        <v>0</v>
      </c>
      <c r="L546" s="5">
        <v>0</v>
      </c>
      <c r="M546" s="5">
        <v>0</v>
      </c>
      <c r="N546" s="4" t="e">
        <f t="shared" si="46"/>
        <v>#N/A</v>
      </c>
      <c r="O546" s="4" t="e">
        <f>IF(ROUND(10.499-(((N546-VLOOKUP($C546,Lookups!$A$55:$D$64,3))/(VLOOKUP($C546,Lookups!$A$55:$D$64,4))*VLOOKUP($C546,Lookups!$C$2:$D$11,2))),0)&lt;1,1,IF(ROUND(10.499-(((N546-VLOOKUP($C546,Lookups!$A$55:$D$64,3))/(VLOOKUP($C546,Lookups!$A$55:$D$64,4))*VLOOKUP($C546,Lookups!$C$2:$D$11,2))),0)&lt;11,ROUND(10.499-(((N546-VLOOKUP($C546,Lookups!$A$55:$D$64,3))/(VLOOKUP($C546,Lookups!$A$55:$D$64,4))*VLOOKUP($C546,Lookups!$C$2:$D$11,2))),0),10))</f>
        <v>#N/A</v>
      </c>
      <c r="P546" s="13" t="str">
        <f>IF((SUM(F546:M546)=0),"J",VLOOKUP(O546,Lookups!$A$1:$B$11,2))</f>
        <v>J</v>
      </c>
      <c r="Q546" s="8" t="e">
        <f>VLOOKUP(C546,Lookups!$A$136:$C$144,3)</f>
        <v>#N/A</v>
      </c>
      <c r="R546" s="8" t="e">
        <f>VLOOKUP(C546,Lookups!$A$136:$C$144,2)</f>
        <v>#N/A</v>
      </c>
      <c r="S546" s="4" t="str">
        <f t="shared" si="47"/>
        <v>No</v>
      </c>
      <c r="T546" s="125">
        <f t="shared" si="48"/>
        <v>0</v>
      </c>
      <c r="U546" s="125">
        <f t="shared" si="49"/>
        <v>0</v>
      </c>
      <c r="V546" s="4" t="e">
        <f>IF($Q546&lt;&gt;3,VLOOKUP(F546,'Points Table A'!B$3:$F$33,5),VLOOKUP(F546,'Points Table A'!H$3:$L$33,5))</f>
        <v>#N/A</v>
      </c>
      <c r="W546" s="4" t="e">
        <f>IF($Q546&lt;&gt;3,VLOOKUP(G546,'Points Table A'!C$3:$F$33,4),VLOOKUP(G546,'Points Table A'!I$3:$L$33,4))</f>
        <v>#N/A</v>
      </c>
      <c r="X546" s="4" t="e">
        <f>IF($Q546&lt;&gt;3,VLOOKUP(H546,'Points Table A'!D$3:$F$28,3),VLOOKUP(H546,'Points Table A'!J$3:$L$33,3))</f>
        <v>#N/A</v>
      </c>
      <c r="Y546" s="4" t="e">
        <f>IF($Q546&lt;&gt;3,VLOOKUP(I546,'Points Table A'!E$3:$F$33,2),VLOOKUP(I546,'Points Table A'!K$3:$L$33,2))</f>
        <v>#N/A</v>
      </c>
      <c r="Z546" s="4" t="e">
        <f t="shared" si="50"/>
        <v>#N/A</v>
      </c>
      <c r="AA546" s="4">
        <f>IF($S546=Lookups!$B$113,VLOOKUP(L546,'Points Table C'!A$3:$E$11,5),VLOOKUP(U546,'Points Table C'!B$3:$E$11,4))</f>
        <v>0</v>
      </c>
      <c r="AB546" s="4" t="e">
        <f>IF($Q546=1,0,VLOOKUP($J546,'Points Table C'!$C$3:$E$18,3))</f>
        <v>#N/A</v>
      </c>
      <c r="AC546" s="4">
        <f>VLOOKUP($K546,'Points Table C'!$D$3:$E$18,2)</f>
        <v>0</v>
      </c>
      <c r="AD546" s="4" t="e">
        <f>IF($Z546&lt;Lookups!$C$106,($AA546+AB546+AC546),IF($AA546&gt;=Lookups!$C$120,($AA546+AB546+AC546),$AA546+$AB546))</f>
        <v>#N/A</v>
      </c>
      <c r="AF546" s="7"/>
      <c r="AG546" s="7"/>
      <c r="AH546" s="7"/>
      <c r="AI546" s="7"/>
      <c r="AJ546" s="7"/>
      <c r="AK546" s="7"/>
      <c r="AL546" s="7"/>
      <c r="AM546" s="7"/>
      <c r="AN546" s="7"/>
      <c r="AO546" s="7"/>
      <c r="AP546" s="7"/>
      <c r="AQ546" s="7"/>
      <c r="AR546" s="7"/>
      <c r="AS546" s="7"/>
      <c r="AT546" s="7"/>
      <c r="AU546" s="7"/>
      <c r="AV546" s="7"/>
      <c r="AW546" s="7"/>
      <c r="AY546" s="7"/>
      <c r="AZ546" s="7"/>
      <c r="BA546" s="7"/>
      <c r="BB546" s="7"/>
    </row>
    <row r="547" spans="2:54" x14ac:dyDescent="0.2">
      <c r="B547" s="174"/>
      <c r="C547" s="176"/>
      <c r="F547" s="5">
        <v>0</v>
      </c>
      <c r="G547" s="192">
        <v>0</v>
      </c>
      <c r="H547" s="192">
        <v>0</v>
      </c>
      <c r="I547" s="5">
        <v>0</v>
      </c>
      <c r="J547" s="192">
        <v>0</v>
      </c>
      <c r="K547" s="192">
        <v>0</v>
      </c>
      <c r="L547" s="5">
        <v>0</v>
      </c>
      <c r="M547" s="5">
        <v>0</v>
      </c>
      <c r="N547" s="4" t="e">
        <f t="shared" si="46"/>
        <v>#N/A</v>
      </c>
      <c r="O547" s="4" t="e">
        <f>IF(ROUND(10.499-(((N547-VLOOKUP($C547,Lookups!$A$55:$D$64,3))/(VLOOKUP($C547,Lookups!$A$55:$D$64,4))*VLOOKUP($C547,Lookups!$C$2:$D$11,2))),0)&lt;1,1,IF(ROUND(10.499-(((N547-VLOOKUP($C547,Lookups!$A$55:$D$64,3))/(VLOOKUP($C547,Lookups!$A$55:$D$64,4))*VLOOKUP($C547,Lookups!$C$2:$D$11,2))),0)&lt;11,ROUND(10.499-(((N547-VLOOKUP($C547,Lookups!$A$55:$D$64,3))/(VLOOKUP($C547,Lookups!$A$55:$D$64,4))*VLOOKUP($C547,Lookups!$C$2:$D$11,2))),0),10))</f>
        <v>#N/A</v>
      </c>
      <c r="P547" s="13" t="str">
        <f>IF((SUM(F547:M547)=0),"J",VLOOKUP(O547,Lookups!$A$1:$B$11,2))</f>
        <v>J</v>
      </c>
      <c r="Q547" s="8" t="e">
        <f>VLOOKUP(C547,Lookups!$A$136:$C$144,3)</f>
        <v>#N/A</v>
      </c>
      <c r="R547" s="8" t="e">
        <f>VLOOKUP(C547,Lookups!$A$136:$C$144,2)</f>
        <v>#N/A</v>
      </c>
      <c r="S547" s="4" t="str">
        <f t="shared" si="47"/>
        <v>No</v>
      </c>
      <c r="T547" s="125">
        <f t="shared" si="48"/>
        <v>0</v>
      </c>
      <c r="U547" s="125">
        <f t="shared" si="49"/>
        <v>0</v>
      </c>
      <c r="V547" s="4" t="e">
        <f>IF($Q547&lt;&gt;3,VLOOKUP(F547,'Points Table A'!B$3:$F$33,5),VLOOKUP(F547,'Points Table A'!H$3:$L$33,5))</f>
        <v>#N/A</v>
      </c>
      <c r="W547" s="4" t="e">
        <f>IF($Q547&lt;&gt;3,VLOOKUP(G547,'Points Table A'!C$3:$F$33,4),VLOOKUP(G547,'Points Table A'!I$3:$L$33,4))</f>
        <v>#N/A</v>
      </c>
      <c r="X547" s="4" t="e">
        <f>IF($Q547&lt;&gt;3,VLOOKUP(H547,'Points Table A'!D$3:$F$28,3),VLOOKUP(H547,'Points Table A'!J$3:$L$33,3))</f>
        <v>#N/A</v>
      </c>
      <c r="Y547" s="4" t="e">
        <f>IF($Q547&lt;&gt;3,VLOOKUP(I547,'Points Table A'!E$3:$F$33,2),VLOOKUP(I547,'Points Table A'!K$3:$L$33,2))</f>
        <v>#N/A</v>
      </c>
      <c r="Z547" s="4" t="e">
        <f t="shared" si="50"/>
        <v>#N/A</v>
      </c>
      <c r="AA547" s="4">
        <f>IF($S547=Lookups!$B$113,VLOOKUP(L547,'Points Table C'!A$3:$E$11,5),VLOOKUP(U547,'Points Table C'!B$3:$E$11,4))</f>
        <v>0</v>
      </c>
      <c r="AB547" s="4" t="e">
        <f>IF($Q547=1,0,VLOOKUP($J547,'Points Table C'!$C$3:$E$18,3))</f>
        <v>#N/A</v>
      </c>
      <c r="AC547" s="4">
        <f>VLOOKUP($K547,'Points Table C'!$D$3:$E$18,2)</f>
        <v>0</v>
      </c>
      <c r="AD547" s="4" t="e">
        <f>IF($Z547&lt;Lookups!$C$106,($AA547+AB547+AC547),IF($AA547&gt;=Lookups!$C$120,($AA547+AB547+AC547),$AA547+$AB547))</f>
        <v>#N/A</v>
      </c>
      <c r="AF547" s="7"/>
      <c r="AG547" s="7"/>
      <c r="AH547" s="7"/>
      <c r="AI547" s="7"/>
      <c r="AJ547" s="7"/>
      <c r="AK547" s="7"/>
      <c r="AL547" s="7"/>
      <c r="AM547" s="7"/>
      <c r="AN547" s="7"/>
      <c r="AO547" s="7"/>
      <c r="AP547" s="7"/>
      <c r="AQ547" s="7"/>
      <c r="AR547" s="7"/>
      <c r="AS547" s="7"/>
      <c r="AT547" s="7"/>
      <c r="AU547" s="7"/>
      <c r="AV547" s="7"/>
      <c r="AW547" s="7"/>
      <c r="AY547" s="7"/>
      <c r="AZ547" s="7"/>
      <c r="BA547" s="7"/>
      <c r="BB547" s="7"/>
    </row>
    <row r="548" spans="2:54" x14ac:dyDescent="0.2">
      <c r="B548" s="174"/>
      <c r="C548" s="176"/>
      <c r="F548" s="5">
        <v>0</v>
      </c>
      <c r="G548" s="192">
        <v>0</v>
      </c>
      <c r="H548" s="192">
        <v>0</v>
      </c>
      <c r="I548" s="5">
        <v>0</v>
      </c>
      <c r="J548" s="192">
        <v>0</v>
      </c>
      <c r="K548" s="192">
        <v>0</v>
      </c>
      <c r="L548" s="5">
        <v>0</v>
      </c>
      <c r="M548" s="5">
        <v>0</v>
      </c>
      <c r="N548" s="4" t="e">
        <f t="shared" si="46"/>
        <v>#N/A</v>
      </c>
      <c r="O548" s="4" t="e">
        <f>IF(ROUND(10.499-(((N548-VLOOKUP($C548,Lookups!$A$55:$D$64,3))/(VLOOKUP($C548,Lookups!$A$55:$D$64,4))*VLOOKUP($C548,Lookups!$C$2:$D$11,2))),0)&lt;1,1,IF(ROUND(10.499-(((N548-VLOOKUP($C548,Lookups!$A$55:$D$64,3))/(VLOOKUP($C548,Lookups!$A$55:$D$64,4))*VLOOKUP($C548,Lookups!$C$2:$D$11,2))),0)&lt;11,ROUND(10.499-(((N548-VLOOKUP($C548,Lookups!$A$55:$D$64,3))/(VLOOKUP($C548,Lookups!$A$55:$D$64,4))*VLOOKUP($C548,Lookups!$C$2:$D$11,2))),0),10))</f>
        <v>#N/A</v>
      </c>
      <c r="P548" s="13" t="str">
        <f>IF((SUM(F548:M548)=0),"J",VLOOKUP(O548,Lookups!$A$1:$B$11,2))</f>
        <v>J</v>
      </c>
      <c r="Q548" s="8" t="e">
        <f>VLOOKUP(C548,Lookups!$A$136:$C$144,3)</f>
        <v>#N/A</v>
      </c>
      <c r="R548" s="8" t="e">
        <f>VLOOKUP(C548,Lookups!$A$136:$C$144,2)</f>
        <v>#N/A</v>
      </c>
      <c r="S548" s="4" t="str">
        <f t="shared" si="47"/>
        <v>No</v>
      </c>
      <c r="T548" s="125">
        <f t="shared" si="48"/>
        <v>0</v>
      </c>
      <c r="U548" s="125">
        <f t="shared" si="49"/>
        <v>0</v>
      </c>
      <c r="V548" s="4" t="e">
        <f>IF($Q548&lt;&gt;3,VLOOKUP(F548,'Points Table A'!B$3:$F$33,5),VLOOKUP(F548,'Points Table A'!H$3:$L$33,5))</f>
        <v>#N/A</v>
      </c>
      <c r="W548" s="4" t="e">
        <f>IF($Q548&lt;&gt;3,VLOOKUP(G548,'Points Table A'!C$3:$F$33,4),VLOOKUP(G548,'Points Table A'!I$3:$L$33,4))</f>
        <v>#N/A</v>
      </c>
      <c r="X548" s="4" t="e">
        <f>IF($Q548&lt;&gt;3,VLOOKUP(H548,'Points Table A'!D$3:$F$28,3),VLOOKUP(H548,'Points Table A'!J$3:$L$33,3))</f>
        <v>#N/A</v>
      </c>
      <c r="Y548" s="4" t="e">
        <f>IF($Q548&lt;&gt;3,VLOOKUP(I548,'Points Table A'!E$3:$F$33,2),VLOOKUP(I548,'Points Table A'!K$3:$L$33,2))</f>
        <v>#N/A</v>
      </c>
      <c r="Z548" s="4" t="e">
        <f t="shared" si="50"/>
        <v>#N/A</v>
      </c>
      <c r="AA548" s="4">
        <f>IF($S548=Lookups!$B$113,VLOOKUP(L548,'Points Table C'!A$3:$E$11,5),VLOOKUP(U548,'Points Table C'!B$3:$E$11,4))</f>
        <v>0</v>
      </c>
      <c r="AB548" s="4" t="e">
        <f>IF($Q548=1,0,VLOOKUP($J548,'Points Table C'!$C$3:$E$18,3))</f>
        <v>#N/A</v>
      </c>
      <c r="AC548" s="4">
        <f>VLOOKUP($K548,'Points Table C'!$D$3:$E$18,2)</f>
        <v>0</v>
      </c>
      <c r="AD548" s="4" t="e">
        <f>IF($Z548&lt;Lookups!$C$106,($AA548+AB548+AC548),IF($AA548&gt;=Lookups!$C$120,($AA548+AB548+AC548),$AA548+$AB548))</f>
        <v>#N/A</v>
      </c>
      <c r="AF548" s="7"/>
      <c r="AG548" s="7"/>
      <c r="AH548" s="7"/>
      <c r="AI548" s="7"/>
      <c r="AJ548" s="7"/>
      <c r="AK548" s="7"/>
      <c r="AL548" s="7"/>
      <c r="AM548" s="7"/>
      <c r="AN548" s="7"/>
      <c r="AO548" s="7"/>
      <c r="AP548" s="7"/>
      <c r="AQ548" s="7"/>
      <c r="AR548" s="7"/>
      <c r="AS548" s="7"/>
      <c r="AT548" s="7"/>
      <c r="AU548" s="7"/>
      <c r="AV548" s="7"/>
      <c r="AW548" s="7"/>
      <c r="AY548" s="7"/>
      <c r="AZ548" s="7"/>
      <c r="BA548" s="7"/>
      <c r="BB548" s="7"/>
    </row>
    <row r="549" spans="2:54" x14ac:dyDescent="0.2">
      <c r="B549" s="174"/>
      <c r="C549" s="176"/>
      <c r="F549" s="5">
        <v>0</v>
      </c>
      <c r="G549" s="192">
        <v>0</v>
      </c>
      <c r="H549" s="192">
        <v>0</v>
      </c>
      <c r="I549" s="5">
        <v>0</v>
      </c>
      <c r="J549" s="192">
        <v>0</v>
      </c>
      <c r="K549" s="192">
        <v>0</v>
      </c>
      <c r="L549" s="5">
        <v>0</v>
      </c>
      <c r="M549" s="5">
        <v>0</v>
      </c>
      <c r="N549" s="4" t="e">
        <f t="shared" si="46"/>
        <v>#N/A</v>
      </c>
      <c r="O549" s="4" t="e">
        <f>IF(ROUND(10.499-(((N549-VLOOKUP($C549,Lookups!$A$55:$D$64,3))/(VLOOKUP($C549,Lookups!$A$55:$D$64,4))*VLOOKUP($C549,Lookups!$C$2:$D$11,2))),0)&lt;1,1,IF(ROUND(10.499-(((N549-VLOOKUP($C549,Lookups!$A$55:$D$64,3))/(VLOOKUP($C549,Lookups!$A$55:$D$64,4))*VLOOKUP($C549,Lookups!$C$2:$D$11,2))),0)&lt;11,ROUND(10.499-(((N549-VLOOKUP($C549,Lookups!$A$55:$D$64,3))/(VLOOKUP($C549,Lookups!$A$55:$D$64,4))*VLOOKUP($C549,Lookups!$C$2:$D$11,2))),0),10))</f>
        <v>#N/A</v>
      </c>
      <c r="P549" s="13" t="str">
        <f>IF((SUM(F549:M549)=0),"J",VLOOKUP(O549,Lookups!$A$1:$B$11,2))</f>
        <v>J</v>
      </c>
      <c r="Q549" s="8" t="e">
        <f>VLOOKUP(C549,Lookups!$A$136:$C$144,3)</f>
        <v>#N/A</v>
      </c>
      <c r="R549" s="8" t="e">
        <f>VLOOKUP(C549,Lookups!$A$136:$C$144,2)</f>
        <v>#N/A</v>
      </c>
      <c r="S549" s="4" t="str">
        <f t="shared" si="47"/>
        <v>No</v>
      </c>
      <c r="T549" s="125">
        <f t="shared" si="48"/>
        <v>0</v>
      </c>
      <c r="U549" s="125">
        <f t="shared" si="49"/>
        <v>0</v>
      </c>
      <c r="V549" s="4" t="e">
        <f>IF($Q549&lt;&gt;3,VLOOKUP(F549,'Points Table A'!B$3:$F$33,5),VLOOKUP(F549,'Points Table A'!H$3:$L$33,5))</f>
        <v>#N/A</v>
      </c>
      <c r="W549" s="4" t="e">
        <f>IF($Q549&lt;&gt;3,VLOOKUP(G549,'Points Table A'!C$3:$F$33,4),VLOOKUP(G549,'Points Table A'!I$3:$L$33,4))</f>
        <v>#N/A</v>
      </c>
      <c r="X549" s="4" t="e">
        <f>IF($Q549&lt;&gt;3,VLOOKUP(H549,'Points Table A'!D$3:$F$28,3),VLOOKUP(H549,'Points Table A'!J$3:$L$33,3))</f>
        <v>#N/A</v>
      </c>
      <c r="Y549" s="4" t="e">
        <f>IF($Q549&lt;&gt;3,VLOOKUP(I549,'Points Table A'!E$3:$F$33,2),VLOOKUP(I549,'Points Table A'!K$3:$L$33,2))</f>
        <v>#N/A</v>
      </c>
      <c r="Z549" s="4" t="e">
        <f t="shared" si="50"/>
        <v>#N/A</v>
      </c>
      <c r="AA549" s="4">
        <f>IF($S549=Lookups!$B$113,VLOOKUP(L549,'Points Table C'!A$3:$E$11,5),VLOOKUP(U549,'Points Table C'!B$3:$E$11,4))</f>
        <v>0</v>
      </c>
      <c r="AB549" s="4" t="e">
        <f>IF($Q549=1,0,VLOOKUP($J549,'Points Table C'!$C$3:$E$18,3))</f>
        <v>#N/A</v>
      </c>
      <c r="AC549" s="4">
        <f>VLOOKUP($K549,'Points Table C'!$D$3:$E$18,2)</f>
        <v>0</v>
      </c>
      <c r="AD549" s="4" t="e">
        <f>IF($Z549&lt;Lookups!$C$106,($AA549+AB549+AC549),IF($AA549&gt;=Lookups!$C$120,($AA549+AB549+AC549),$AA549+$AB549))</f>
        <v>#N/A</v>
      </c>
      <c r="AF549" s="7"/>
      <c r="AG549" s="7"/>
      <c r="AH549" s="7"/>
      <c r="AI549" s="7"/>
      <c r="AJ549" s="7"/>
      <c r="AK549" s="7"/>
      <c r="AL549" s="7"/>
      <c r="AM549" s="7"/>
      <c r="AN549" s="7"/>
      <c r="AO549" s="7"/>
      <c r="AP549" s="7"/>
      <c r="AQ549" s="7"/>
      <c r="AR549" s="7"/>
      <c r="AS549" s="7"/>
      <c r="AT549" s="7"/>
      <c r="AU549" s="7"/>
      <c r="AV549" s="7"/>
      <c r="AW549" s="7"/>
      <c r="AY549" s="7"/>
      <c r="AZ549" s="7"/>
      <c r="BA549" s="7"/>
      <c r="BB549" s="7"/>
    </row>
    <row r="550" spans="2:54" x14ac:dyDescent="0.2">
      <c r="B550" s="174"/>
      <c r="C550" s="176"/>
      <c r="F550" s="5">
        <v>0</v>
      </c>
      <c r="G550" s="192">
        <v>0</v>
      </c>
      <c r="H550" s="192">
        <v>0</v>
      </c>
      <c r="I550" s="5">
        <v>0</v>
      </c>
      <c r="J550" s="192">
        <v>0</v>
      </c>
      <c r="K550" s="192">
        <v>0</v>
      </c>
      <c r="L550" s="5">
        <v>0</v>
      </c>
      <c r="M550" s="5">
        <v>0</v>
      </c>
      <c r="N550" s="4" t="e">
        <f t="shared" si="46"/>
        <v>#N/A</v>
      </c>
      <c r="O550" s="4" t="e">
        <f>IF(ROUND(10.499-(((N550-VLOOKUP($C550,Lookups!$A$55:$D$64,3))/(VLOOKUP($C550,Lookups!$A$55:$D$64,4))*VLOOKUP($C550,Lookups!$C$2:$D$11,2))),0)&lt;1,1,IF(ROUND(10.499-(((N550-VLOOKUP($C550,Lookups!$A$55:$D$64,3))/(VLOOKUP($C550,Lookups!$A$55:$D$64,4))*VLOOKUP($C550,Lookups!$C$2:$D$11,2))),0)&lt;11,ROUND(10.499-(((N550-VLOOKUP($C550,Lookups!$A$55:$D$64,3))/(VLOOKUP($C550,Lookups!$A$55:$D$64,4))*VLOOKUP($C550,Lookups!$C$2:$D$11,2))),0),10))</f>
        <v>#N/A</v>
      </c>
      <c r="P550" s="13" t="str">
        <f>IF((SUM(F550:M550)=0),"J",VLOOKUP(O550,Lookups!$A$1:$B$11,2))</f>
        <v>J</v>
      </c>
      <c r="Q550" s="8" t="e">
        <f>VLOOKUP(C550,Lookups!$A$136:$C$144,3)</f>
        <v>#N/A</v>
      </c>
      <c r="R550" s="8" t="e">
        <f>VLOOKUP(C550,Lookups!$A$136:$C$144,2)</f>
        <v>#N/A</v>
      </c>
      <c r="S550" s="4" t="str">
        <f t="shared" si="47"/>
        <v>No</v>
      </c>
      <c r="T550" s="125">
        <f t="shared" si="48"/>
        <v>0</v>
      </c>
      <c r="U550" s="125">
        <f t="shared" si="49"/>
        <v>0</v>
      </c>
      <c r="V550" s="4" t="e">
        <f>IF($Q550&lt;&gt;3,VLOOKUP(F550,'Points Table A'!B$3:$F$33,5),VLOOKUP(F550,'Points Table A'!H$3:$L$33,5))</f>
        <v>#N/A</v>
      </c>
      <c r="W550" s="4" t="e">
        <f>IF($Q550&lt;&gt;3,VLOOKUP(G550,'Points Table A'!C$3:$F$33,4),VLOOKUP(G550,'Points Table A'!I$3:$L$33,4))</f>
        <v>#N/A</v>
      </c>
      <c r="X550" s="4" t="e">
        <f>IF($Q550&lt;&gt;3,VLOOKUP(H550,'Points Table A'!D$3:$F$28,3),VLOOKUP(H550,'Points Table A'!J$3:$L$33,3))</f>
        <v>#N/A</v>
      </c>
      <c r="Y550" s="4" t="e">
        <f>IF($Q550&lt;&gt;3,VLOOKUP(I550,'Points Table A'!E$3:$F$33,2),VLOOKUP(I550,'Points Table A'!K$3:$L$33,2))</f>
        <v>#N/A</v>
      </c>
      <c r="Z550" s="4" t="e">
        <f t="shared" si="50"/>
        <v>#N/A</v>
      </c>
      <c r="AA550" s="4">
        <f>IF($S550=Lookups!$B$113,VLOOKUP(L550,'Points Table C'!A$3:$E$11,5),VLOOKUP(U550,'Points Table C'!B$3:$E$11,4))</f>
        <v>0</v>
      </c>
      <c r="AB550" s="4" t="e">
        <f>IF($Q550=1,0,VLOOKUP($J550,'Points Table C'!$C$3:$E$18,3))</f>
        <v>#N/A</v>
      </c>
      <c r="AC550" s="4">
        <f>VLOOKUP($K550,'Points Table C'!$D$3:$E$18,2)</f>
        <v>0</v>
      </c>
      <c r="AD550" s="4" t="e">
        <f>IF($Z550&lt;Lookups!$C$106,($AA550+AB550+AC550),IF($AA550&gt;=Lookups!$C$120,($AA550+AB550+AC550),$AA550+$AB550))</f>
        <v>#N/A</v>
      </c>
      <c r="AF550" s="7"/>
      <c r="AG550" s="7"/>
      <c r="AH550" s="7"/>
      <c r="AI550" s="7"/>
      <c r="AJ550" s="7"/>
      <c r="AK550" s="7"/>
      <c r="AL550" s="7"/>
      <c r="AM550" s="7"/>
      <c r="AN550" s="7"/>
      <c r="AO550" s="7"/>
      <c r="AP550" s="7"/>
      <c r="AQ550" s="7"/>
      <c r="AR550" s="7"/>
      <c r="AS550" s="7"/>
      <c r="AT550" s="7"/>
      <c r="AU550" s="7"/>
      <c r="AV550" s="7"/>
      <c r="AW550" s="7"/>
      <c r="AY550" s="7"/>
      <c r="AZ550" s="7"/>
      <c r="BA550" s="7"/>
      <c r="BB550" s="7"/>
    </row>
    <row r="551" spans="2:54" x14ac:dyDescent="0.2">
      <c r="B551" s="174"/>
      <c r="C551" s="176"/>
      <c r="F551" s="5">
        <v>0</v>
      </c>
      <c r="G551" s="192">
        <v>0</v>
      </c>
      <c r="H551" s="192">
        <v>0</v>
      </c>
      <c r="I551" s="5">
        <v>0</v>
      </c>
      <c r="J551" s="192">
        <v>0</v>
      </c>
      <c r="K551" s="192">
        <v>0</v>
      </c>
      <c r="L551" s="5">
        <v>0</v>
      </c>
      <c r="M551" s="5">
        <v>0</v>
      </c>
      <c r="N551" s="4" t="e">
        <f t="shared" si="46"/>
        <v>#N/A</v>
      </c>
      <c r="O551" s="4" t="e">
        <f>IF(ROUND(10.499-(((N551-VLOOKUP($C551,Lookups!$A$55:$D$64,3))/(VLOOKUP($C551,Lookups!$A$55:$D$64,4))*VLOOKUP($C551,Lookups!$C$2:$D$11,2))),0)&lt;1,1,IF(ROUND(10.499-(((N551-VLOOKUP($C551,Lookups!$A$55:$D$64,3))/(VLOOKUP($C551,Lookups!$A$55:$D$64,4))*VLOOKUP($C551,Lookups!$C$2:$D$11,2))),0)&lt;11,ROUND(10.499-(((N551-VLOOKUP($C551,Lookups!$A$55:$D$64,3))/(VLOOKUP($C551,Lookups!$A$55:$D$64,4))*VLOOKUP($C551,Lookups!$C$2:$D$11,2))),0),10))</f>
        <v>#N/A</v>
      </c>
      <c r="P551" s="13" t="str">
        <f>IF((SUM(F551:M551)=0),"J",VLOOKUP(O551,Lookups!$A$1:$B$11,2))</f>
        <v>J</v>
      </c>
      <c r="Q551" s="8" t="e">
        <f>VLOOKUP(C551,Lookups!$A$136:$C$144,3)</f>
        <v>#N/A</v>
      </c>
      <c r="R551" s="8" t="e">
        <f>VLOOKUP(C551,Lookups!$A$136:$C$144,2)</f>
        <v>#N/A</v>
      </c>
      <c r="S551" s="4" t="str">
        <f t="shared" si="47"/>
        <v>No</v>
      </c>
      <c r="T551" s="125">
        <f t="shared" si="48"/>
        <v>0</v>
      </c>
      <c r="U551" s="125">
        <f t="shared" si="49"/>
        <v>0</v>
      </c>
      <c r="V551" s="4" t="e">
        <f>IF($Q551&lt;&gt;3,VLOOKUP(F551,'Points Table A'!B$3:$F$33,5),VLOOKUP(F551,'Points Table A'!H$3:$L$33,5))</f>
        <v>#N/A</v>
      </c>
      <c r="W551" s="4" t="e">
        <f>IF($Q551&lt;&gt;3,VLOOKUP(G551,'Points Table A'!C$3:$F$33,4),VLOOKUP(G551,'Points Table A'!I$3:$L$33,4))</f>
        <v>#N/A</v>
      </c>
      <c r="X551" s="4" t="e">
        <f>IF($Q551&lt;&gt;3,VLOOKUP(H551,'Points Table A'!D$3:$F$28,3),VLOOKUP(H551,'Points Table A'!J$3:$L$33,3))</f>
        <v>#N/A</v>
      </c>
      <c r="Y551" s="4" t="e">
        <f>IF($Q551&lt;&gt;3,VLOOKUP(I551,'Points Table A'!E$3:$F$33,2),VLOOKUP(I551,'Points Table A'!K$3:$L$33,2))</f>
        <v>#N/A</v>
      </c>
      <c r="Z551" s="4" t="e">
        <f t="shared" si="50"/>
        <v>#N/A</v>
      </c>
      <c r="AA551" s="4">
        <f>IF($S551=Lookups!$B$113,VLOOKUP(L551,'Points Table C'!A$3:$E$11,5),VLOOKUP(U551,'Points Table C'!B$3:$E$11,4))</f>
        <v>0</v>
      </c>
      <c r="AB551" s="4" t="e">
        <f>IF($Q551=1,0,VLOOKUP($J551,'Points Table C'!$C$3:$E$18,3))</f>
        <v>#N/A</v>
      </c>
      <c r="AC551" s="4">
        <f>VLOOKUP($K551,'Points Table C'!$D$3:$E$18,2)</f>
        <v>0</v>
      </c>
      <c r="AD551" s="4" t="e">
        <f>IF($Z551&lt;Lookups!$C$106,($AA551+AB551+AC551),IF($AA551&gt;=Lookups!$C$120,($AA551+AB551+AC551),$AA551+$AB551))</f>
        <v>#N/A</v>
      </c>
      <c r="AF551" s="7"/>
      <c r="AG551" s="7"/>
      <c r="AH551" s="7"/>
      <c r="AI551" s="7"/>
      <c r="AJ551" s="7"/>
      <c r="AK551" s="7"/>
      <c r="AL551" s="7"/>
      <c r="AM551" s="7"/>
      <c r="AN551" s="7"/>
      <c r="AO551" s="7"/>
      <c r="AP551" s="7"/>
      <c r="AQ551" s="7"/>
      <c r="AR551" s="7"/>
      <c r="AS551" s="7"/>
      <c r="AT551" s="7"/>
      <c r="AU551" s="7"/>
      <c r="AV551" s="7"/>
      <c r="AW551" s="7"/>
      <c r="AY551" s="7"/>
      <c r="AZ551" s="7"/>
      <c r="BA551" s="7"/>
      <c r="BB551" s="7"/>
    </row>
    <row r="552" spans="2:54" x14ac:dyDescent="0.2">
      <c r="B552" s="174"/>
      <c r="C552" s="176"/>
      <c r="F552" s="5">
        <v>0</v>
      </c>
      <c r="G552" s="192">
        <v>0</v>
      </c>
      <c r="H552" s="192">
        <v>0</v>
      </c>
      <c r="I552" s="5">
        <v>0</v>
      </c>
      <c r="J552" s="192">
        <v>0</v>
      </c>
      <c r="K552" s="192">
        <v>0</v>
      </c>
      <c r="L552" s="5">
        <v>0</v>
      </c>
      <c r="M552" s="5">
        <v>0</v>
      </c>
      <c r="N552" s="4" t="e">
        <f t="shared" si="46"/>
        <v>#N/A</v>
      </c>
      <c r="O552" s="4" t="e">
        <f>IF(ROUND(10.499-(((N552-VLOOKUP($C552,Lookups!$A$55:$D$64,3))/(VLOOKUP($C552,Lookups!$A$55:$D$64,4))*VLOOKUP($C552,Lookups!$C$2:$D$11,2))),0)&lt;1,1,IF(ROUND(10.499-(((N552-VLOOKUP($C552,Lookups!$A$55:$D$64,3))/(VLOOKUP($C552,Lookups!$A$55:$D$64,4))*VLOOKUP($C552,Lookups!$C$2:$D$11,2))),0)&lt;11,ROUND(10.499-(((N552-VLOOKUP($C552,Lookups!$A$55:$D$64,3))/(VLOOKUP($C552,Lookups!$A$55:$D$64,4))*VLOOKUP($C552,Lookups!$C$2:$D$11,2))),0),10))</f>
        <v>#N/A</v>
      </c>
      <c r="P552" s="13" t="str">
        <f>IF((SUM(F552:M552)=0),"J",VLOOKUP(O552,Lookups!$A$1:$B$11,2))</f>
        <v>J</v>
      </c>
      <c r="Q552" s="8" t="e">
        <f>VLOOKUP(C552,Lookups!$A$136:$C$144,3)</f>
        <v>#N/A</v>
      </c>
      <c r="R552" s="8" t="e">
        <f>VLOOKUP(C552,Lookups!$A$136:$C$144,2)</f>
        <v>#N/A</v>
      </c>
      <c r="S552" s="4" t="str">
        <f t="shared" si="47"/>
        <v>No</v>
      </c>
      <c r="T552" s="125">
        <f t="shared" si="48"/>
        <v>0</v>
      </c>
      <c r="U552" s="125">
        <f t="shared" si="49"/>
        <v>0</v>
      </c>
      <c r="V552" s="4" t="e">
        <f>IF($Q552&lt;&gt;3,VLOOKUP(F552,'Points Table A'!B$3:$F$33,5),VLOOKUP(F552,'Points Table A'!H$3:$L$33,5))</f>
        <v>#N/A</v>
      </c>
      <c r="W552" s="4" t="e">
        <f>IF($Q552&lt;&gt;3,VLOOKUP(G552,'Points Table A'!C$3:$F$33,4),VLOOKUP(G552,'Points Table A'!I$3:$L$33,4))</f>
        <v>#N/A</v>
      </c>
      <c r="X552" s="4" t="e">
        <f>IF($Q552&lt;&gt;3,VLOOKUP(H552,'Points Table A'!D$3:$F$28,3),VLOOKUP(H552,'Points Table A'!J$3:$L$33,3))</f>
        <v>#N/A</v>
      </c>
      <c r="Y552" s="4" t="e">
        <f>IF($Q552&lt;&gt;3,VLOOKUP(I552,'Points Table A'!E$3:$F$33,2),VLOOKUP(I552,'Points Table A'!K$3:$L$33,2))</f>
        <v>#N/A</v>
      </c>
      <c r="Z552" s="4" t="e">
        <f t="shared" si="50"/>
        <v>#N/A</v>
      </c>
      <c r="AA552" s="4">
        <f>IF($S552=Lookups!$B$113,VLOOKUP(L552,'Points Table C'!A$3:$E$11,5),VLOOKUP(U552,'Points Table C'!B$3:$E$11,4))</f>
        <v>0</v>
      </c>
      <c r="AB552" s="4" t="e">
        <f>IF($Q552=1,0,VLOOKUP($J552,'Points Table C'!$C$3:$E$18,3))</f>
        <v>#N/A</v>
      </c>
      <c r="AC552" s="4">
        <f>VLOOKUP($K552,'Points Table C'!$D$3:$E$18,2)</f>
        <v>0</v>
      </c>
      <c r="AD552" s="4" t="e">
        <f>IF($Z552&lt;Lookups!$C$106,($AA552+AB552+AC552),IF($AA552&gt;=Lookups!$C$120,($AA552+AB552+AC552),$AA552+$AB552))</f>
        <v>#N/A</v>
      </c>
      <c r="AF552" s="7"/>
      <c r="AG552" s="7"/>
      <c r="AH552" s="7"/>
      <c r="AI552" s="7"/>
      <c r="AJ552" s="7"/>
      <c r="AK552" s="7"/>
      <c r="AL552" s="7"/>
      <c r="AM552" s="7"/>
      <c r="AN552" s="7"/>
      <c r="AO552" s="7"/>
      <c r="AP552" s="7"/>
      <c r="AQ552" s="7"/>
      <c r="AR552" s="7"/>
      <c r="AS552" s="7"/>
      <c r="AT552" s="7"/>
      <c r="AU552" s="7"/>
      <c r="AV552" s="7"/>
      <c r="AW552" s="7"/>
      <c r="AY552" s="7"/>
      <c r="AZ552" s="7"/>
      <c r="BA552" s="7"/>
      <c r="BB552" s="7"/>
    </row>
    <row r="553" spans="2:54" x14ac:dyDescent="0.2">
      <c r="B553" s="174"/>
      <c r="C553" s="176"/>
      <c r="F553" s="5">
        <v>0</v>
      </c>
      <c r="G553" s="192">
        <v>0</v>
      </c>
      <c r="H553" s="192">
        <v>0</v>
      </c>
      <c r="I553" s="5">
        <v>0</v>
      </c>
      <c r="J553" s="192">
        <v>0</v>
      </c>
      <c r="K553" s="192">
        <v>0</v>
      </c>
      <c r="L553" s="5">
        <v>0</v>
      </c>
      <c r="M553" s="5">
        <v>0</v>
      </c>
      <c r="N553" s="4" t="e">
        <f t="shared" si="46"/>
        <v>#N/A</v>
      </c>
      <c r="O553" s="4" t="e">
        <f>IF(ROUND(10.499-(((N553-VLOOKUP($C553,Lookups!$A$55:$D$64,3))/(VLOOKUP($C553,Lookups!$A$55:$D$64,4))*VLOOKUP($C553,Lookups!$C$2:$D$11,2))),0)&lt;1,1,IF(ROUND(10.499-(((N553-VLOOKUP($C553,Lookups!$A$55:$D$64,3))/(VLOOKUP($C553,Lookups!$A$55:$D$64,4))*VLOOKUP($C553,Lookups!$C$2:$D$11,2))),0)&lt;11,ROUND(10.499-(((N553-VLOOKUP($C553,Lookups!$A$55:$D$64,3))/(VLOOKUP($C553,Lookups!$A$55:$D$64,4))*VLOOKUP($C553,Lookups!$C$2:$D$11,2))),0),10))</f>
        <v>#N/A</v>
      </c>
      <c r="P553" s="13" t="str">
        <f>IF((SUM(F553:M553)=0),"J",VLOOKUP(O553,Lookups!$A$1:$B$11,2))</f>
        <v>J</v>
      </c>
      <c r="Q553" s="8" t="e">
        <f>VLOOKUP(C553,Lookups!$A$136:$C$144,3)</f>
        <v>#N/A</v>
      </c>
      <c r="R553" s="8" t="e">
        <f>VLOOKUP(C553,Lookups!$A$136:$C$144,2)</f>
        <v>#N/A</v>
      </c>
      <c r="S553" s="4" t="str">
        <f t="shared" si="47"/>
        <v>No</v>
      </c>
      <c r="T553" s="125">
        <f t="shared" si="48"/>
        <v>0</v>
      </c>
      <c r="U553" s="125">
        <f t="shared" si="49"/>
        <v>0</v>
      </c>
      <c r="V553" s="4" t="e">
        <f>IF($Q553&lt;&gt;3,VLOOKUP(F553,'Points Table A'!B$3:$F$33,5),VLOOKUP(F553,'Points Table A'!H$3:$L$33,5))</f>
        <v>#N/A</v>
      </c>
      <c r="W553" s="4" t="e">
        <f>IF($Q553&lt;&gt;3,VLOOKUP(G553,'Points Table A'!C$3:$F$33,4),VLOOKUP(G553,'Points Table A'!I$3:$L$33,4))</f>
        <v>#N/A</v>
      </c>
      <c r="X553" s="4" t="e">
        <f>IF($Q553&lt;&gt;3,VLOOKUP(H553,'Points Table A'!D$3:$F$28,3),VLOOKUP(H553,'Points Table A'!J$3:$L$33,3))</f>
        <v>#N/A</v>
      </c>
      <c r="Y553" s="4" t="e">
        <f>IF($Q553&lt;&gt;3,VLOOKUP(I553,'Points Table A'!E$3:$F$33,2),VLOOKUP(I553,'Points Table A'!K$3:$L$33,2))</f>
        <v>#N/A</v>
      </c>
      <c r="Z553" s="4" t="e">
        <f t="shared" si="50"/>
        <v>#N/A</v>
      </c>
      <c r="AA553" s="4">
        <f>IF($S553=Lookups!$B$113,VLOOKUP(L553,'Points Table C'!A$3:$E$11,5),VLOOKUP(U553,'Points Table C'!B$3:$E$11,4))</f>
        <v>0</v>
      </c>
      <c r="AB553" s="4" t="e">
        <f>IF($Q553=1,0,VLOOKUP($J553,'Points Table C'!$C$3:$E$18,3))</f>
        <v>#N/A</v>
      </c>
      <c r="AC553" s="4">
        <f>VLOOKUP($K553,'Points Table C'!$D$3:$E$18,2)</f>
        <v>0</v>
      </c>
      <c r="AD553" s="4" t="e">
        <f>IF($Z553&lt;Lookups!$C$106,($AA553+AB553+AC553),IF($AA553&gt;=Lookups!$C$120,($AA553+AB553+AC553),$AA553+$AB553))</f>
        <v>#N/A</v>
      </c>
      <c r="AF553" s="7"/>
      <c r="AG553" s="7"/>
      <c r="AH553" s="7"/>
      <c r="AI553" s="7"/>
      <c r="AJ553" s="7"/>
      <c r="AK553" s="7"/>
      <c r="AL553" s="7"/>
      <c r="AM553" s="7"/>
      <c r="AN553" s="7"/>
      <c r="AO553" s="7"/>
      <c r="AP553" s="7"/>
      <c r="AQ553" s="7"/>
      <c r="AR553" s="7"/>
      <c r="AS553" s="7"/>
      <c r="AT553" s="7"/>
      <c r="AU553" s="7"/>
      <c r="AV553" s="7"/>
      <c r="AW553" s="7"/>
      <c r="AY553" s="7"/>
      <c r="AZ553" s="7"/>
      <c r="BA553" s="7"/>
      <c r="BB553" s="7"/>
    </row>
    <row r="554" spans="2:54" x14ac:dyDescent="0.2">
      <c r="B554" s="174"/>
      <c r="C554" s="176"/>
      <c r="F554" s="5">
        <v>0</v>
      </c>
      <c r="G554" s="192">
        <v>0</v>
      </c>
      <c r="H554" s="192">
        <v>0</v>
      </c>
      <c r="I554" s="5">
        <v>0</v>
      </c>
      <c r="J554" s="192">
        <v>0</v>
      </c>
      <c r="K554" s="192">
        <v>0</v>
      </c>
      <c r="L554" s="5">
        <v>0</v>
      </c>
      <c r="M554" s="5">
        <v>0</v>
      </c>
      <c r="N554" s="4" t="e">
        <f t="shared" si="46"/>
        <v>#N/A</v>
      </c>
      <c r="O554" s="4" t="e">
        <f>IF(ROUND(10.499-(((N554-VLOOKUP($C554,Lookups!$A$55:$D$64,3))/(VLOOKUP($C554,Lookups!$A$55:$D$64,4))*VLOOKUP($C554,Lookups!$C$2:$D$11,2))),0)&lt;1,1,IF(ROUND(10.499-(((N554-VLOOKUP($C554,Lookups!$A$55:$D$64,3))/(VLOOKUP($C554,Lookups!$A$55:$D$64,4))*VLOOKUP($C554,Lookups!$C$2:$D$11,2))),0)&lt;11,ROUND(10.499-(((N554-VLOOKUP($C554,Lookups!$A$55:$D$64,3))/(VLOOKUP($C554,Lookups!$A$55:$D$64,4))*VLOOKUP($C554,Lookups!$C$2:$D$11,2))),0),10))</f>
        <v>#N/A</v>
      </c>
      <c r="P554" s="13" t="str">
        <f>IF((SUM(F554:M554)=0),"J",VLOOKUP(O554,Lookups!$A$1:$B$11,2))</f>
        <v>J</v>
      </c>
      <c r="Q554" s="8" t="e">
        <f>VLOOKUP(C554,Lookups!$A$136:$C$144,3)</f>
        <v>#N/A</v>
      </c>
      <c r="R554" s="8" t="e">
        <f>VLOOKUP(C554,Lookups!$A$136:$C$144,2)</f>
        <v>#N/A</v>
      </c>
      <c r="S554" s="4" t="str">
        <f t="shared" si="47"/>
        <v>No</v>
      </c>
      <c r="T554" s="125">
        <f t="shared" si="48"/>
        <v>0</v>
      </c>
      <c r="U554" s="125">
        <f t="shared" si="49"/>
        <v>0</v>
      </c>
      <c r="V554" s="4" t="e">
        <f>IF($Q554&lt;&gt;3,VLOOKUP(F554,'Points Table A'!B$3:$F$33,5),VLOOKUP(F554,'Points Table A'!H$3:$L$33,5))</f>
        <v>#N/A</v>
      </c>
      <c r="W554" s="4" t="e">
        <f>IF($Q554&lt;&gt;3,VLOOKUP(G554,'Points Table A'!C$3:$F$33,4),VLOOKUP(G554,'Points Table A'!I$3:$L$33,4))</f>
        <v>#N/A</v>
      </c>
      <c r="X554" s="4" t="e">
        <f>IF($Q554&lt;&gt;3,VLOOKUP(H554,'Points Table A'!D$3:$F$28,3),VLOOKUP(H554,'Points Table A'!J$3:$L$33,3))</f>
        <v>#N/A</v>
      </c>
      <c r="Y554" s="4" t="e">
        <f>IF($Q554&lt;&gt;3,VLOOKUP(I554,'Points Table A'!E$3:$F$33,2),VLOOKUP(I554,'Points Table A'!K$3:$L$33,2))</f>
        <v>#N/A</v>
      </c>
      <c r="Z554" s="4" t="e">
        <f t="shared" si="50"/>
        <v>#N/A</v>
      </c>
      <c r="AA554" s="4">
        <f>IF($S554=Lookups!$B$113,VLOOKUP(L554,'Points Table C'!A$3:$E$11,5),VLOOKUP(U554,'Points Table C'!B$3:$E$11,4))</f>
        <v>0</v>
      </c>
      <c r="AB554" s="4" t="e">
        <f>IF($Q554=1,0,VLOOKUP($J554,'Points Table C'!$C$3:$E$18,3))</f>
        <v>#N/A</v>
      </c>
      <c r="AC554" s="4">
        <f>VLOOKUP($K554,'Points Table C'!$D$3:$E$18,2)</f>
        <v>0</v>
      </c>
      <c r="AD554" s="4" t="e">
        <f>IF($Z554&lt;Lookups!$C$106,($AA554+AB554+AC554),IF($AA554&gt;=Lookups!$C$120,($AA554+AB554+AC554),$AA554+$AB554))</f>
        <v>#N/A</v>
      </c>
      <c r="AF554" s="7"/>
      <c r="AG554" s="7"/>
      <c r="AH554" s="7"/>
      <c r="AI554" s="7"/>
      <c r="AJ554" s="7"/>
      <c r="AK554" s="7"/>
      <c r="AL554" s="7"/>
      <c r="AM554" s="7"/>
      <c r="AN554" s="7"/>
      <c r="AO554" s="7"/>
      <c r="AP554" s="7"/>
      <c r="AQ554" s="7"/>
      <c r="AR554" s="7"/>
      <c r="AS554" s="7"/>
      <c r="AT554" s="7"/>
      <c r="AU554" s="7"/>
      <c r="AV554" s="7"/>
      <c r="AW554" s="7"/>
      <c r="AY554" s="7"/>
      <c r="AZ554" s="7"/>
      <c r="BA554" s="7"/>
      <c r="BB554" s="7"/>
    </row>
    <row r="555" spans="2:54" x14ac:dyDescent="0.2">
      <c r="B555" s="174"/>
      <c r="C555" s="176"/>
      <c r="F555" s="5">
        <v>0</v>
      </c>
      <c r="G555" s="192">
        <v>0</v>
      </c>
      <c r="H555" s="192">
        <v>0</v>
      </c>
      <c r="I555" s="5">
        <v>0</v>
      </c>
      <c r="J555" s="192">
        <v>0</v>
      </c>
      <c r="K555" s="192">
        <v>0</v>
      </c>
      <c r="L555" s="5">
        <v>0</v>
      </c>
      <c r="M555" s="5">
        <v>0</v>
      </c>
      <c r="N555" s="4" t="e">
        <f t="shared" si="46"/>
        <v>#N/A</v>
      </c>
      <c r="O555" s="4" t="e">
        <f>IF(ROUND(10.499-(((N555-VLOOKUP($C555,Lookups!$A$55:$D$64,3))/(VLOOKUP($C555,Lookups!$A$55:$D$64,4))*VLOOKUP($C555,Lookups!$C$2:$D$11,2))),0)&lt;1,1,IF(ROUND(10.499-(((N555-VLOOKUP($C555,Lookups!$A$55:$D$64,3))/(VLOOKUP($C555,Lookups!$A$55:$D$64,4))*VLOOKUP($C555,Lookups!$C$2:$D$11,2))),0)&lt;11,ROUND(10.499-(((N555-VLOOKUP($C555,Lookups!$A$55:$D$64,3))/(VLOOKUP($C555,Lookups!$A$55:$D$64,4))*VLOOKUP($C555,Lookups!$C$2:$D$11,2))),0),10))</f>
        <v>#N/A</v>
      </c>
      <c r="P555" s="13" t="str">
        <f>IF((SUM(F555:M555)=0),"J",VLOOKUP(O555,Lookups!$A$1:$B$11,2))</f>
        <v>J</v>
      </c>
      <c r="Q555" s="8" t="e">
        <f>VLOOKUP(C555,Lookups!$A$136:$C$144,3)</f>
        <v>#N/A</v>
      </c>
      <c r="R555" s="8" t="e">
        <f>VLOOKUP(C555,Lookups!$A$136:$C$144,2)</f>
        <v>#N/A</v>
      </c>
      <c r="S555" s="4" t="str">
        <f t="shared" si="47"/>
        <v>No</v>
      </c>
      <c r="T555" s="125">
        <f t="shared" si="48"/>
        <v>0</v>
      </c>
      <c r="U555" s="125">
        <f t="shared" si="49"/>
        <v>0</v>
      </c>
      <c r="V555" s="4" t="e">
        <f>IF($Q555&lt;&gt;3,VLOOKUP(F555,'Points Table A'!B$3:$F$33,5),VLOOKUP(F555,'Points Table A'!H$3:$L$33,5))</f>
        <v>#N/A</v>
      </c>
      <c r="W555" s="4" t="e">
        <f>IF($Q555&lt;&gt;3,VLOOKUP(G555,'Points Table A'!C$3:$F$33,4),VLOOKUP(G555,'Points Table A'!I$3:$L$33,4))</f>
        <v>#N/A</v>
      </c>
      <c r="X555" s="4" t="e">
        <f>IF($Q555&lt;&gt;3,VLOOKUP(H555,'Points Table A'!D$3:$F$28,3),VLOOKUP(H555,'Points Table A'!J$3:$L$33,3))</f>
        <v>#N/A</v>
      </c>
      <c r="Y555" s="4" t="e">
        <f>IF($Q555&lt;&gt;3,VLOOKUP(I555,'Points Table A'!E$3:$F$33,2),VLOOKUP(I555,'Points Table A'!K$3:$L$33,2))</f>
        <v>#N/A</v>
      </c>
      <c r="Z555" s="4" t="e">
        <f t="shared" si="50"/>
        <v>#N/A</v>
      </c>
      <c r="AA555" s="4">
        <f>IF($S555=Lookups!$B$113,VLOOKUP(L555,'Points Table C'!A$3:$E$11,5),VLOOKUP(U555,'Points Table C'!B$3:$E$11,4))</f>
        <v>0</v>
      </c>
      <c r="AB555" s="4" t="e">
        <f>IF($Q555=1,0,VLOOKUP($J555,'Points Table C'!$C$3:$E$18,3))</f>
        <v>#N/A</v>
      </c>
      <c r="AC555" s="4">
        <f>VLOOKUP($K555,'Points Table C'!$D$3:$E$18,2)</f>
        <v>0</v>
      </c>
      <c r="AD555" s="4" t="e">
        <f>IF($Z555&lt;Lookups!$C$106,($AA555+AB555+AC555),IF($AA555&gt;=Lookups!$C$120,($AA555+AB555+AC555),$AA555+$AB555))</f>
        <v>#N/A</v>
      </c>
      <c r="AF555" s="7"/>
      <c r="AG555" s="7"/>
      <c r="AH555" s="7"/>
      <c r="AI555" s="7"/>
      <c r="AJ555" s="7"/>
      <c r="AK555" s="7"/>
      <c r="AL555" s="7"/>
      <c r="AM555" s="7"/>
      <c r="AN555" s="7"/>
      <c r="AO555" s="7"/>
      <c r="AP555" s="7"/>
      <c r="AQ555" s="7"/>
      <c r="AR555" s="7"/>
      <c r="AS555" s="7"/>
      <c r="AT555" s="7"/>
      <c r="AU555" s="7"/>
      <c r="AV555" s="7"/>
      <c r="AW555" s="7"/>
      <c r="AY555" s="7"/>
      <c r="AZ555" s="7"/>
      <c r="BA555" s="7"/>
      <c r="BB555" s="7"/>
    </row>
    <row r="556" spans="2:54" x14ac:dyDescent="0.2">
      <c r="B556" s="174"/>
      <c r="C556" s="176"/>
      <c r="F556" s="5">
        <v>0</v>
      </c>
      <c r="G556" s="192">
        <v>0</v>
      </c>
      <c r="H556" s="192">
        <v>0</v>
      </c>
      <c r="I556" s="5">
        <v>0</v>
      </c>
      <c r="J556" s="192">
        <v>0</v>
      </c>
      <c r="K556" s="192">
        <v>0</v>
      </c>
      <c r="L556" s="5">
        <v>0</v>
      </c>
      <c r="M556" s="5">
        <v>0</v>
      </c>
      <c r="N556" s="4" t="e">
        <f t="shared" si="46"/>
        <v>#N/A</v>
      </c>
      <c r="O556" s="4" t="e">
        <f>IF(ROUND(10.499-(((N556-VLOOKUP($C556,Lookups!$A$55:$D$64,3))/(VLOOKUP($C556,Lookups!$A$55:$D$64,4))*VLOOKUP($C556,Lookups!$C$2:$D$11,2))),0)&lt;1,1,IF(ROUND(10.499-(((N556-VLOOKUP($C556,Lookups!$A$55:$D$64,3))/(VLOOKUP($C556,Lookups!$A$55:$D$64,4))*VLOOKUP($C556,Lookups!$C$2:$D$11,2))),0)&lt;11,ROUND(10.499-(((N556-VLOOKUP($C556,Lookups!$A$55:$D$64,3))/(VLOOKUP($C556,Lookups!$A$55:$D$64,4))*VLOOKUP($C556,Lookups!$C$2:$D$11,2))),0),10))</f>
        <v>#N/A</v>
      </c>
      <c r="P556" s="13" t="str">
        <f>IF((SUM(F556:M556)=0),"J",VLOOKUP(O556,Lookups!$A$1:$B$11,2))</f>
        <v>J</v>
      </c>
      <c r="Q556" s="8" t="e">
        <f>VLOOKUP(C556,Lookups!$A$136:$C$144,3)</f>
        <v>#N/A</v>
      </c>
      <c r="R556" s="8" t="e">
        <f>VLOOKUP(C556,Lookups!$A$136:$C$144,2)</f>
        <v>#N/A</v>
      </c>
      <c r="S556" s="4" t="str">
        <f t="shared" si="47"/>
        <v>No</v>
      </c>
      <c r="T556" s="125">
        <f t="shared" si="48"/>
        <v>0</v>
      </c>
      <c r="U556" s="125">
        <f t="shared" si="49"/>
        <v>0</v>
      </c>
      <c r="V556" s="4" t="e">
        <f>IF($Q556&lt;&gt;3,VLOOKUP(F556,'Points Table A'!B$3:$F$33,5),VLOOKUP(F556,'Points Table A'!H$3:$L$33,5))</f>
        <v>#N/A</v>
      </c>
      <c r="W556" s="4" t="e">
        <f>IF($Q556&lt;&gt;3,VLOOKUP(G556,'Points Table A'!C$3:$F$33,4),VLOOKUP(G556,'Points Table A'!I$3:$L$33,4))</f>
        <v>#N/A</v>
      </c>
      <c r="X556" s="4" t="e">
        <f>IF($Q556&lt;&gt;3,VLOOKUP(H556,'Points Table A'!D$3:$F$28,3),VLOOKUP(H556,'Points Table A'!J$3:$L$33,3))</f>
        <v>#N/A</v>
      </c>
      <c r="Y556" s="4" t="e">
        <f>IF($Q556&lt;&gt;3,VLOOKUP(I556,'Points Table A'!E$3:$F$33,2),VLOOKUP(I556,'Points Table A'!K$3:$L$33,2))</f>
        <v>#N/A</v>
      </c>
      <c r="Z556" s="4" t="e">
        <f t="shared" si="50"/>
        <v>#N/A</v>
      </c>
      <c r="AA556" s="4">
        <f>IF($S556=Lookups!$B$113,VLOOKUP(L556,'Points Table C'!A$3:$E$11,5),VLOOKUP(U556,'Points Table C'!B$3:$E$11,4))</f>
        <v>0</v>
      </c>
      <c r="AB556" s="4" t="e">
        <f>IF($Q556=1,0,VLOOKUP($J556,'Points Table C'!$C$3:$E$18,3))</f>
        <v>#N/A</v>
      </c>
      <c r="AC556" s="4">
        <f>VLOOKUP($K556,'Points Table C'!$D$3:$E$18,2)</f>
        <v>0</v>
      </c>
      <c r="AD556" s="4" t="e">
        <f>IF($Z556&lt;Lookups!$C$106,($AA556+AB556+AC556),IF($AA556&gt;=Lookups!$C$120,($AA556+AB556+AC556),$AA556+$AB556))</f>
        <v>#N/A</v>
      </c>
      <c r="AF556" s="7"/>
      <c r="AG556" s="7"/>
      <c r="AH556" s="7"/>
      <c r="AI556" s="7"/>
      <c r="AJ556" s="7"/>
      <c r="AK556" s="7"/>
      <c r="AL556" s="7"/>
      <c r="AM556" s="7"/>
      <c r="AN556" s="7"/>
      <c r="AO556" s="7"/>
      <c r="AP556" s="7"/>
      <c r="AQ556" s="7"/>
      <c r="AR556" s="7"/>
      <c r="AS556" s="7"/>
      <c r="AT556" s="7"/>
      <c r="AU556" s="7"/>
      <c r="AV556" s="7"/>
      <c r="AW556" s="7"/>
      <c r="AY556" s="7"/>
      <c r="AZ556" s="7"/>
      <c r="BA556" s="7"/>
      <c r="BB556" s="7"/>
    </row>
    <row r="557" spans="2:54" x14ac:dyDescent="0.2">
      <c r="B557" s="174"/>
      <c r="C557" s="176"/>
      <c r="F557" s="5">
        <v>0</v>
      </c>
      <c r="G557" s="192">
        <v>0</v>
      </c>
      <c r="H557" s="192">
        <v>0</v>
      </c>
      <c r="I557" s="5">
        <v>0</v>
      </c>
      <c r="J557" s="192">
        <v>0</v>
      </c>
      <c r="K557" s="192">
        <v>0</v>
      </c>
      <c r="L557" s="5">
        <v>0</v>
      </c>
      <c r="M557" s="5">
        <v>0</v>
      </c>
      <c r="N557" s="4" t="e">
        <f t="shared" si="46"/>
        <v>#N/A</v>
      </c>
      <c r="O557" s="4" t="e">
        <f>IF(ROUND(10.499-(((N557-VLOOKUP($C557,Lookups!$A$55:$D$64,3))/(VLOOKUP($C557,Lookups!$A$55:$D$64,4))*VLOOKUP($C557,Lookups!$C$2:$D$11,2))),0)&lt;1,1,IF(ROUND(10.499-(((N557-VLOOKUP($C557,Lookups!$A$55:$D$64,3))/(VLOOKUP($C557,Lookups!$A$55:$D$64,4))*VLOOKUP($C557,Lookups!$C$2:$D$11,2))),0)&lt;11,ROUND(10.499-(((N557-VLOOKUP($C557,Lookups!$A$55:$D$64,3))/(VLOOKUP($C557,Lookups!$A$55:$D$64,4))*VLOOKUP($C557,Lookups!$C$2:$D$11,2))),0),10))</f>
        <v>#N/A</v>
      </c>
      <c r="P557" s="13" t="str">
        <f>IF((SUM(F557:M557)=0),"J",VLOOKUP(O557,Lookups!$A$1:$B$11,2))</f>
        <v>J</v>
      </c>
      <c r="Q557" s="8" t="e">
        <f>VLOOKUP(C557,Lookups!$A$136:$C$144,3)</f>
        <v>#N/A</v>
      </c>
      <c r="R557" s="8" t="e">
        <f>VLOOKUP(C557,Lookups!$A$136:$C$144,2)</f>
        <v>#N/A</v>
      </c>
      <c r="S557" s="4" t="str">
        <f t="shared" si="47"/>
        <v>No</v>
      </c>
      <c r="T557" s="125">
        <f t="shared" si="48"/>
        <v>0</v>
      </c>
      <c r="U557" s="125">
        <f t="shared" si="49"/>
        <v>0</v>
      </c>
      <c r="V557" s="4" t="e">
        <f>IF($Q557&lt;&gt;3,VLOOKUP(F557,'Points Table A'!B$3:$F$33,5),VLOOKUP(F557,'Points Table A'!H$3:$L$33,5))</f>
        <v>#N/A</v>
      </c>
      <c r="W557" s="4" t="e">
        <f>IF($Q557&lt;&gt;3,VLOOKUP(G557,'Points Table A'!C$3:$F$33,4),VLOOKUP(G557,'Points Table A'!I$3:$L$33,4))</f>
        <v>#N/A</v>
      </c>
      <c r="X557" s="4" t="e">
        <f>IF($Q557&lt;&gt;3,VLOOKUP(H557,'Points Table A'!D$3:$F$28,3),VLOOKUP(H557,'Points Table A'!J$3:$L$33,3))</f>
        <v>#N/A</v>
      </c>
      <c r="Y557" s="4" t="e">
        <f>IF($Q557&lt;&gt;3,VLOOKUP(I557,'Points Table A'!E$3:$F$33,2),VLOOKUP(I557,'Points Table A'!K$3:$L$33,2))</f>
        <v>#N/A</v>
      </c>
      <c r="Z557" s="4" t="e">
        <f t="shared" si="50"/>
        <v>#N/A</v>
      </c>
      <c r="AA557" s="4">
        <f>IF($S557=Lookups!$B$113,VLOOKUP(L557,'Points Table C'!A$3:$E$11,5),VLOOKUP(U557,'Points Table C'!B$3:$E$11,4))</f>
        <v>0</v>
      </c>
      <c r="AB557" s="4" t="e">
        <f>IF($Q557=1,0,VLOOKUP($J557,'Points Table C'!$C$3:$E$18,3))</f>
        <v>#N/A</v>
      </c>
      <c r="AC557" s="4">
        <f>VLOOKUP($K557,'Points Table C'!$D$3:$E$18,2)</f>
        <v>0</v>
      </c>
      <c r="AD557" s="4" t="e">
        <f>IF($Z557&lt;Lookups!$C$106,($AA557+AB557+AC557),IF($AA557&gt;=Lookups!$C$120,($AA557+AB557+AC557),$AA557+$AB557))</f>
        <v>#N/A</v>
      </c>
      <c r="AF557" s="7"/>
      <c r="AG557" s="7"/>
      <c r="AH557" s="7"/>
      <c r="AI557" s="7"/>
      <c r="AJ557" s="7"/>
      <c r="AK557" s="7"/>
      <c r="AL557" s="7"/>
      <c r="AM557" s="7"/>
      <c r="AN557" s="7"/>
      <c r="AO557" s="7"/>
      <c r="AP557" s="7"/>
      <c r="AQ557" s="7"/>
      <c r="AR557" s="7"/>
      <c r="AS557" s="7"/>
      <c r="AT557" s="7"/>
      <c r="AU557" s="7"/>
      <c r="AV557" s="7"/>
      <c r="AW557" s="7"/>
      <c r="AY557" s="7"/>
      <c r="AZ557" s="7"/>
      <c r="BA557" s="7"/>
      <c r="BB557" s="7"/>
    </row>
    <row r="558" spans="2:54" x14ac:dyDescent="0.2">
      <c r="B558" s="174"/>
      <c r="C558" s="176"/>
      <c r="F558" s="5">
        <v>0</v>
      </c>
      <c r="G558" s="192">
        <v>0</v>
      </c>
      <c r="H558" s="192">
        <v>0</v>
      </c>
      <c r="I558" s="5">
        <v>0</v>
      </c>
      <c r="J558" s="192">
        <v>0</v>
      </c>
      <c r="K558" s="192">
        <v>0</v>
      </c>
      <c r="L558" s="5">
        <v>0</v>
      </c>
      <c r="M558" s="5">
        <v>0</v>
      </c>
      <c r="N558" s="4" t="e">
        <f t="shared" si="46"/>
        <v>#N/A</v>
      </c>
      <c r="O558" s="4" t="e">
        <f>IF(ROUND(10.499-(((N558-VLOOKUP($C558,Lookups!$A$55:$D$64,3))/(VLOOKUP($C558,Lookups!$A$55:$D$64,4))*VLOOKUP($C558,Lookups!$C$2:$D$11,2))),0)&lt;1,1,IF(ROUND(10.499-(((N558-VLOOKUP($C558,Lookups!$A$55:$D$64,3))/(VLOOKUP($C558,Lookups!$A$55:$D$64,4))*VLOOKUP($C558,Lookups!$C$2:$D$11,2))),0)&lt;11,ROUND(10.499-(((N558-VLOOKUP($C558,Lookups!$A$55:$D$64,3))/(VLOOKUP($C558,Lookups!$A$55:$D$64,4))*VLOOKUP($C558,Lookups!$C$2:$D$11,2))),0),10))</f>
        <v>#N/A</v>
      </c>
      <c r="P558" s="13" t="str">
        <f>IF((SUM(F558:M558)=0),"J",VLOOKUP(O558,Lookups!$A$1:$B$11,2))</f>
        <v>J</v>
      </c>
      <c r="Q558" s="8" t="e">
        <f>VLOOKUP(C558,Lookups!$A$136:$C$144,3)</f>
        <v>#N/A</v>
      </c>
      <c r="R558" s="8" t="e">
        <f>VLOOKUP(C558,Lookups!$A$136:$C$144,2)</f>
        <v>#N/A</v>
      </c>
      <c r="S558" s="4" t="str">
        <f t="shared" si="47"/>
        <v>No</v>
      </c>
      <c r="T558" s="125">
        <f t="shared" si="48"/>
        <v>0</v>
      </c>
      <c r="U558" s="125">
        <f t="shared" si="49"/>
        <v>0</v>
      </c>
      <c r="V558" s="4" t="e">
        <f>IF($Q558&lt;&gt;3,VLOOKUP(F558,'Points Table A'!B$3:$F$33,5),VLOOKUP(F558,'Points Table A'!H$3:$L$33,5))</f>
        <v>#N/A</v>
      </c>
      <c r="W558" s="4" t="e">
        <f>IF($Q558&lt;&gt;3,VLOOKUP(G558,'Points Table A'!C$3:$F$33,4),VLOOKUP(G558,'Points Table A'!I$3:$L$33,4))</f>
        <v>#N/A</v>
      </c>
      <c r="X558" s="4" t="e">
        <f>IF($Q558&lt;&gt;3,VLOOKUP(H558,'Points Table A'!D$3:$F$28,3),VLOOKUP(H558,'Points Table A'!J$3:$L$33,3))</f>
        <v>#N/A</v>
      </c>
      <c r="Y558" s="4" t="e">
        <f>IF($Q558&lt;&gt;3,VLOOKUP(I558,'Points Table A'!E$3:$F$33,2),VLOOKUP(I558,'Points Table A'!K$3:$L$33,2))</f>
        <v>#N/A</v>
      </c>
      <c r="Z558" s="4" t="e">
        <f t="shared" si="50"/>
        <v>#N/A</v>
      </c>
      <c r="AA558" s="4">
        <f>IF($S558=Lookups!$B$113,VLOOKUP(L558,'Points Table C'!A$3:$E$11,5),VLOOKUP(U558,'Points Table C'!B$3:$E$11,4))</f>
        <v>0</v>
      </c>
      <c r="AB558" s="4" t="e">
        <f>IF($Q558=1,0,VLOOKUP($J558,'Points Table C'!$C$3:$E$18,3))</f>
        <v>#N/A</v>
      </c>
      <c r="AC558" s="4">
        <f>VLOOKUP($K558,'Points Table C'!$D$3:$E$18,2)</f>
        <v>0</v>
      </c>
      <c r="AD558" s="4" t="e">
        <f>IF($Z558&lt;Lookups!$C$106,($AA558+AB558+AC558),IF($AA558&gt;=Lookups!$C$120,($AA558+AB558+AC558),$AA558+$AB558))</f>
        <v>#N/A</v>
      </c>
      <c r="AF558" s="7"/>
      <c r="AG558" s="7"/>
      <c r="AH558" s="7"/>
      <c r="AI558" s="7"/>
      <c r="AJ558" s="7"/>
      <c r="AK558" s="7"/>
      <c r="AL558" s="7"/>
      <c r="AM558" s="7"/>
      <c r="AN558" s="7"/>
      <c r="AO558" s="7"/>
      <c r="AP558" s="7"/>
      <c r="AQ558" s="7"/>
      <c r="AR558" s="7"/>
      <c r="AS558" s="7"/>
      <c r="AT558" s="7"/>
      <c r="AU558" s="7"/>
      <c r="AV558" s="7"/>
      <c r="AW558" s="7"/>
      <c r="AY558" s="7"/>
      <c r="AZ558" s="7"/>
      <c r="BA558" s="7"/>
      <c r="BB558" s="7"/>
    </row>
    <row r="559" spans="2:54" x14ac:dyDescent="0.2">
      <c r="B559" s="174"/>
      <c r="C559" s="176"/>
      <c r="F559" s="5">
        <v>0</v>
      </c>
      <c r="G559" s="192">
        <v>0</v>
      </c>
      <c r="H559" s="192">
        <v>0</v>
      </c>
      <c r="I559" s="5">
        <v>0</v>
      </c>
      <c r="J559" s="192">
        <v>0</v>
      </c>
      <c r="K559" s="192">
        <v>0</v>
      </c>
      <c r="L559" s="5">
        <v>0</v>
      </c>
      <c r="M559" s="5">
        <v>0</v>
      </c>
      <c r="N559" s="4" t="e">
        <f t="shared" si="46"/>
        <v>#N/A</v>
      </c>
      <c r="O559" s="4" t="e">
        <f>IF(ROUND(10.499-(((N559-VLOOKUP($C559,Lookups!$A$55:$D$64,3))/(VLOOKUP($C559,Lookups!$A$55:$D$64,4))*VLOOKUP($C559,Lookups!$C$2:$D$11,2))),0)&lt;1,1,IF(ROUND(10.499-(((N559-VLOOKUP($C559,Lookups!$A$55:$D$64,3))/(VLOOKUP($C559,Lookups!$A$55:$D$64,4))*VLOOKUP($C559,Lookups!$C$2:$D$11,2))),0)&lt;11,ROUND(10.499-(((N559-VLOOKUP($C559,Lookups!$A$55:$D$64,3))/(VLOOKUP($C559,Lookups!$A$55:$D$64,4))*VLOOKUP($C559,Lookups!$C$2:$D$11,2))),0),10))</f>
        <v>#N/A</v>
      </c>
      <c r="P559" s="13" t="str">
        <f>IF((SUM(F559:M559)=0),"J",VLOOKUP(O559,Lookups!$A$1:$B$11,2))</f>
        <v>J</v>
      </c>
      <c r="Q559" s="8" t="e">
        <f>VLOOKUP(C559,Lookups!$A$136:$C$144,3)</f>
        <v>#N/A</v>
      </c>
      <c r="R559" s="8" t="e">
        <f>VLOOKUP(C559,Lookups!$A$136:$C$144,2)</f>
        <v>#N/A</v>
      </c>
      <c r="S559" s="4" t="str">
        <f t="shared" si="47"/>
        <v>No</v>
      </c>
      <c r="T559" s="125">
        <f t="shared" si="48"/>
        <v>0</v>
      </c>
      <c r="U559" s="125">
        <f t="shared" si="49"/>
        <v>0</v>
      </c>
      <c r="V559" s="4" t="e">
        <f>IF($Q559&lt;&gt;3,VLOOKUP(F559,'Points Table A'!B$3:$F$33,5),VLOOKUP(F559,'Points Table A'!H$3:$L$33,5))</f>
        <v>#N/A</v>
      </c>
      <c r="W559" s="4" t="e">
        <f>IF($Q559&lt;&gt;3,VLOOKUP(G559,'Points Table A'!C$3:$F$33,4),VLOOKUP(G559,'Points Table A'!I$3:$L$33,4))</f>
        <v>#N/A</v>
      </c>
      <c r="X559" s="4" t="e">
        <f>IF($Q559&lt;&gt;3,VLOOKUP(H559,'Points Table A'!D$3:$F$28,3),VLOOKUP(H559,'Points Table A'!J$3:$L$33,3))</f>
        <v>#N/A</v>
      </c>
      <c r="Y559" s="4" t="e">
        <f>IF($Q559&lt;&gt;3,VLOOKUP(I559,'Points Table A'!E$3:$F$33,2),VLOOKUP(I559,'Points Table A'!K$3:$L$33,2))</f>
        <v>#N/A</v>
      </c>
      <c r="Z559" s="4" t="e">
        <f t="shared" si="50"/>
        <v>#N/A</v>
      </c>
      <c r="AA559" s="4">
        <f>IF($S559=Lookups!$B$113,VLOOKUP(L559,'Points Table C'!A$3:$E$11,5),VLOOKUP(U559,'Points Table C'!B$3:$E$11,4))</f>
        <v>0</v>
      </c>
      <c r="AB559" s="4" t="e">
        <f>IF($Q559=1,0,VLOOKUP($J559,'Points Table C'!$C$3:$E$18,3))</f>
        <v>#N/A</v>
      </c>
      <c r="AC559" s="4">
        <f>VLOOKUP($K559,'Points Table C'!$D$3:$E$18,2)</f>
        <v>0</v>
      </c>
      <c r="AD559" s="4" t="e">
        <f>IF($Z559&lt;Lookups!$C$106,($AA559+AB559+AC559),IF($AA559&gt;=Lookups!$C$120,($AA559+AB559+AC559),$AA559+$AB559))</f>
        <v>#N/A</v>
      </c>
      <c r="AF559" s="7"/>
      <c r="AG559" s="7"/>
      <c r="AH559" s="7"/>
      <c r="AI559" s="7"/>
      <c r="AJ559" s="7"/>
      <c r="AK559" s="7"/>
      <c r="AL559" s="7"/>
      <c r="AM559" s="7"/>
      <c r="AN559" s="7"/>
      <c r="AO559" s="7"/>
      <c r="AP559" s="7"/>
      <c r="AQ559" s="7"/>
      <c r="AR559" s="7"/>
      <c r="AS559" s="7"/>
      <c r="AT559" s="7"/>
      <c r="AU559" s="7"/>
      <c r="AV559" s="7"/>
      <c r="AW559" s="7"/>
      <c r="AY559" s="7"/>
      <c r="AZ559" s="7"/>
      <c r="BA559" s="7"/>
      <c r="BB559" s="7"/>
    </row>
    <row r="560" spans="2:54" x14ac:dyDescent="0.2">
      <c r="B560" s="174"/>
      <c r="C560" s="176"/>
      <c r="F560" s="5">
        <v>0</v>
      </c>
      <c r="G560" s="192">
        <v>0</v>
      </c>
      <c r="H560" s="192">
        <v>0</v>
      </c>
      <c r="I560" s="5">
        <v>0</v>
      </c>
      <c r="J560" s="192">
        <v>0</v>
      </c>
      <c r="K560" s="192">
        <v>0</v>
      </c>
      <c r="L560" s="5">
        <v>0</v>
      </c>
      <c r="M560" s="5">
        <v>0</v>
      </c>
      <c r="N560" s="4" t="e">
        <f t="shared" si="46"/>
        <v>#N/A</v>
      </c>
      <c r="O560" s="4" t="e">
        <f>IF(ROUND(10.499-(((N560-VLOOKUP($C560,Lookups!$A$55:$D$64,3))/(VLOOKUP($C560,Lookups!$A$55:$D$64,4))*VLOOKUP($C560,Lookups!$C$2:$D$11,2))),0)&lt;1,1,IF(ROUND(10.499-(((N560-VLOOKUP($C560,Lookups!$A$55:$D$64,3))/(VLOOKUP($C560,Lookups!$A$55:$D$64,4))*VLOOKUP($C560,Lookups!$C$2:$D$11,2))),0)&lt;11,ROUND(10.499-(((N560-VLOOKUP($C560,Lookups!$A$55:$D$64,3))/(VLOOKUP($C560,Lookups!$A$55:$D$64,4))*VLOOKUP($C560,Lookups!$C$2:$D$11,2))),0),10))</f>
        <v>#N/A</v>
      </c>
      <c r="P560" s="13" t="str">
        <f>IF((SUM(F560:M560)=0),"J",VLOOKUP(O560,Lookups!$A$1:$B$11,2))</f>
        <v>J</v>
      </c>
      <c r="Q560" s="8" t="e">
        <f>VLOOKUP(C560,Lookups!$A$136:$C$144,3)</f>
        <v>#N/A</v>
      </c>
      <c r="R560" s="8" t="e">
        <f>VLOOKUP(C560,Lookups!$A$136:$C$144,2)</f>
        <v>#N/A</v>
      </c>
      <c r="S560" s="4" t="str">
        <f t="shared" si="47"/>
        <v>No</v>
      </c>
      <c r="T560" s="125">
        <f t="shared" si="48"/>
        <v>0</v>
      </c>
      <c r="U560" s="125">
        <f t="shared" si="49"/>
        <v>0</v>
      </c>
      <c r="V560" s="4" t="e">
        <f>IF($Q560&lt;&gt;3,VLOOKUP(F560,'Points Table A'!B$3:$F$33,5),VLOOKUP(F560,'Points Table A'!H$3:$L$33,5))</f>
        <v>#N/A</v>
      </c>
      <c r="W560" s="4" t="e">
        <f>IF($Q560&lt;&gt;3,VLOOKUP(G560,'Points Table A'!C$3:$F$33,4),VLOOKUP(G560,'Points Table A'!I$3:$L$33,4))</f>
        <v>#N/A</v>
      </c>
      <c r="X560" s="4" t="e">
        <f>IF($Q560&lt;&gt;3,VLOOKUP(H560,'Points Table A'!D$3:$F$28,3),VLOOKUP(H560,'Points Table A'!J$3:$L$33,3))</f>
        <v>#N/A</v>
      </c>
      <c r="Y560" s="4" t="e">
        <f>IF($Q560&lt;&gt;3,VLOOKUP(I560,'Points Table A'!E$3:$F$33,2),VLOOKUP(I560,'Points Table A'!K$3:$L$33,2))</f>
        <v>#N/A</v>
      </c>
      <c r="Z560" s="4" t="e">
        <f t="shared" si="50"/>
        <v>#N/A</v>
      </c>
      <c r="AA560" s="4">
        <f>IF($S560=Lookups!$B$113,VLOOKUP(L560,'Points Table C'!A$3:$E$11,5),VLOOKUP(U560,'Points Table C'!B$3:$E$11,4))</f>
        <v>0</v>
      </c>
      <c r="AB560" s="4" t="e">
        <f>IF($Q560=1,0,VLOOKUP($J560,'Points Table C'!$C$3:$E$18,3))</f>
        <v>#N/A</v>
      </c>
      <c r="AC560" s="4">
        <f>VLOOKUP($K560,'Points Table C'!$D$3:$E$18,2)</f>
        <v>0</v>
      </c>
      <c r="AD560" s="4" t="e">
        <f>IF($Z560&lt;Lookups!$C$106,($AA560+AB560+AC560),IF($AA560&gt;=Lookups!$C$120,($AA560+AB560+AC560),$AA560+$AB560))</f>
        <v>#N/A</v>
      </c>
      <c r="AF560" s="7"/>
      <c r="AG560" s="7"/>
      <c r="AH560" s="7"/>
      <c r="AI560" s="7"/>
      <c r="AJ560" s="7"/>
      <c r="AK560" s="7"/>
      <c r="AL560" s="7"/>
      <c r="AM560" s="7"/>
      <c r="AN560" s="7"/>
      <c r="AO560" s="7"/>
      <c r="AP560" s="7"/>
      <c r="AQ560" s="7"/>
      <c r="AR560" s="7"/>
      <c r="AS560" s="7"/>
      <c r="AT560" s="7"/>
      <c r="AU560" s="7"/>
      <c r="AV560" s="7"/>
      <c r="AW560" s="7"/>
      <c r="AY560" s="7"/>
      <c r="AZ560" s="7"/>
      <c r="BA560" s="7"/>
      <c r="BB560" s="7"/>
    </row>
    <row r="561" spans="2:54" x14ac:dyDescent="0.2">
      <c r="B561" s="174"/>
      <c r="C561" s="176"/>
      <c r="F561" s="5">
        <v>0</v>
      </c>
      <c r="G561" s="192">
        <v>0</v>
      </c>
      <c r="H561" s="192">
        <v>0</v>
      </c>
      <c r="I561" s="5">
        <v>0</v>
      </c>
      <c r="J561" s="192">
        <v>0</v>
      </c>
      <c r="K561" s="192">
        <v>0</v>
      </c>
      <c r="L561" s="5">
        <v>0</v>
      </c>
      <c r="M561" s="5">
        <v>0</v>
      </c>
      <c r="N561" s="4" t="e">
        <f t="shared" si="46"/>
        <v>#N/A</v>
      </c>
      <c r="O561" s="4" t="e">
        <f>IF(ROUND(10.499-(((N561-VLOOKUP($C561,Lookups!$A$55:$D$64,3))/(VLOOKUP($C561,Lookups!$A$55:$D$64,4))*VLOOKUP($C561,Lookups!$C$2:$D$11,2))),0)&lt;1,1,IF(ROUND(10.499-(((N561-VLOOKUP($C561,Lookups!$A$55:$D$64,3))/(VLOOKUP($C561,Lookups!$A$55:$D$64,4))*VLOOKUP($C561,Lookups!$C$2:$D$11,2))),0)&lt;11,ROUND(10.499-(((N561-VLOOKUP($C561,Lookups!$A$55:$D$64,3))/(VLOOKUP($C561,Lookups!$A$55:$D$64,4))*VLOOKUP($C561,Lookups!$C$2:$D$11,2))),0),10))</f>
        <v>#N/A</v>
      </c>
      <c r="P561" s="13" t="str">
        <f>IF((SUM(F561:M561)=0),"J",VLOOKUP(O561,Lookups!$A$1:$B$11,2))</f>
        <v>J</v>
      </c>
      <c r="Q561" s="8" t="e">
        <f>VLOOKUP(C561,Lookups!$A$136:$C$144,3)</f>
        <v>#N/A</v>
      </c>
      <c r="R561" s="8" t="e">
        <f>VLOOKUP(C561,Lookups!$A$136:$C$144,2)</f>
        <v>#N/A</v>
      </c>
      <c r="S561" s="4" t="str">
        <f t="shared" si="47"/>
        <v>No</v>
      </c>
      <c r="T561" s="125">
        <f t="shared" si="48"/>
        <v>0</v>
      </c>
      <c r="U561" s="125">
        <f t="shared" si="49"/>
        <v>0</v>
      </c>
      <c r="V561" s="4" t="e">
        <f>IF($Q561&lt;&gt;3,VLOOKUP(F561,'Points Table A'!B$3:$F$33,5),VLOOKUP(F561,'Points Table A'!H$3:$L$33,5))</f>
        <v>#N/A</v>
      </c>
      <c r="W561" s="4" t="e">
        <f>IF($Q561&lt;&gt;3,VLOOKUP(G561,'Points Table A'!C$3:$F$33,4),VLOOKUP(G561,'Points Table A'!I$3:$L$33,4))</f>
        <v>#N/A</v>
      </c>
      <c r="X561" s="4" t="e">
        <f>IF($Q561&lt;&gt;3,VLOOKUP(H561,'Points Table A'!D$3:$F$28,3),VLOOKUP(H561,'Points Table A'!J$3:$L$33,3))</f>
        <v>#N/A</v>
      </c>
      <c r="Y561" s="4" t="e">
        <f>IF($Q561&lt;&gt;3,VLOOKUP(I561,'Points Table A'!E$3:$F$33,2),VLOOKUP(I561,'Points Table A'!K$3:$L$33,2))</f>
        <v>#N/A</v>
      </c>
      <c r="Z561" s="4" t="e">
        <f t="shared" si="50"/>
        <v>#N/A</v>
      </c>
      <c r="AA561" s="4">
        <f>IF($S561=Lookups!$B$113,VLOOKUP(L561,'Points Table C'!A$3:$E$11,5),VLOOKUP(U561,'Points Table C'!B$3:$E$11,4))</f>
        <v>0</v>
      </c>
      <c r="AB561" s="4" t="e">
        <f>IF($Q561=1,0,VLOOKUP($J561,'Points Table C'!$C$3:$E$18,3))</f>
        <v>#N/A</v>
      </c>
      <c r="AC561" s="4">
        <f>VLOOKUP($K561,'Points Table C'!$D$3:$E$18,2)</f>
        <v>0</v>
      </c>
      <c r="AD561" s="4" t="e">
        <f>IF($Z561&lt;Lookups!$C$106,($AA561+AB561+AC561),IF($AA561&gt;=Lookups!$C$120,($AA561+AB561+AC561),$AA561+$AB561))</f>
        <v>#N/A</v>
      </c>
      <c r="AF561" s="7"/>
      <c r="AG561" s="7"/>
      <c r="AH561" s="7"/>
      <c r="AI561" s="7"/>
      <c r="AJ561" s="7"/>
      <c r="AK561" s="7"/>
      <c r="AL561" s="7"/>
      <c r="AM561" s="7"/>
      <c r="AN561" s="7"/>
      <c r="AO561" s="7"/>
      <c r="AP561" s="7"/>
      <c r="AQ561" s="7"/>
      <c r="AR561" s="7"/>
      <c r="AS561" s="7"/>
      <c r="AT561" s="7"/>
      <c r="AU561" s="7"/>
      <c r="AV561" s="7"/>
      <c r="AW561" s="7"/>
      <c r="AY561" s="7"/>
      <c r="AZ561" s="7"/>
      <c r="BA561" s="7"/>
      <c r="BB561" s="7"/>
    </row>
    <row r="562" spans="2:54" x14ac:dyDescent="0.2">
      <c r="B562" s="174"/>
      <c r="C562" s="176"/>
      <c r="F562" s="5">
        <v>0</v>
      </c>
      <c r="G562" s="192">
        <v>0</v>
      </c>
      <c r="H562" s="192">
        <v>0</v>
      </c>
      <c r="I562" s="5">
        <v>0</v>
      </c>
      <c r="J562" s="192">
        <v>0</v>
      </c>
      <c r="K562" s="192">
        <v>0</v>
      </c>
      <c r="L562" s="5">
        <v>0</v>
      </c>
      <c r="M562" s="5">
        <v>0</v>
      </c>
      <c r="N562" s="4" t="e">
        <f t="shared" si="46"/>
        <v>#N/A</v>
      </c>
      <c r="O562" s="4" t="e">
        <f>IF(ROUND(10.499-(((N562-VLOOKUP($C562,Lookups!$A$55:$D$64,3))/(VLOOKUP($C562,Lookups!$A$55:$D$64,4))*VLOOKUP($C562,Lookups!$C$2:$D$11,2))),0)&lt;1,1,IF(ROUND(10.499-(((N562-VLOOKUP($C562,Lookups!$A$55:$D$64,3))/(VLOOKUP($C562,Lookups!$A$55:$D$64,4))*VLOOKUP($C562,Lookups!$C$2:$D$11,2))),0)&lt;11,ROUND(10.499-(((N562-VLOOKUP($C562,Lookups!$A$55:$D$64,3))/(VLOOKUP($C562,Lookups!$A$55:$D$64,4))*VLOOKUP($C562,Lookups!$C$2:$D$11,2))),0),10))</f>
        <v>#N/A</v>
      </c>
      <c r="P562" s="13" t="str">
        <f>IF((SUM(F562:M562)=0),"J",VLOOKUP(O562,Lookups!$A$1:$B$11,2))</f>
        <v>J</v>
      </c>
      <c r="Q562" s="8" t="e">
        <f>VLOOKUP(C562,Lookups!$A$136:$C$144,3)</f>
        <v>#N/A</v>
      </c>
      <c r="R562" s="8" t="e">
        <f>VLOOKUP(C562,Lookups!$A$136:$C$144,2)</f>
        <v>#N/A</v>
      </c>
      <c r="S562" s="4" t="str">
        <f t="shared" si="47"/>
        <v>No</v>
      </c>
      <c r="T562" s="125">
        <f t="shared" si="48"/>
        <v>0</v>
      </c>
      <c r="U562" s="125">
        <f t="shared" si="49"/>
        <v>0</v>
      </c>
      <c r="V562" s="4" t="e">
        <f>IF($Q562&lt;&gt;3,VLOOKUP(F562,'Points Table A'!B$3:$F$33,5),VLOOKUP(F562,'Points Table A'!H$3:$L$33,5))</f>
        <v>#N/A</v>
      </c>
      <c r="W562" s="4" t="e">
        <f>IF($Q562&lt;&gt;3,VLOOKUP(G562,'Points Table A'!C$3:$F$33,4),VLOOKUP(G562,'Points Table A'!I$3:$L$33,4))</f>
        <v>#N/A</v>
      </c>
      <c r="X562" s="4" t="e">
        <f>IF($Q562&lt;&gt;3,VLOOKUP(H562,'Points Table A'!D$3:$F$28,3),VLOOKUP(H562,'Points Table A'!J$3:$L$33,3))</f>
        <v>#N/A</v>
      </c>
      <c r="Y562" s="4" t="e">
        <f>IF($Q562&lt;&gt;3,VLOOKUP(I562,'Points Table A'!E$3:$F$33,2),VLOOKUP(I562,'Points Table A'!K$3:$L$33,2))</f>
        <v>#N/A</v>
      </c>
      <c r="Z562" s="4" t="e">
        <f t="shared" si="50"/>
        <v>#N/A</v>
      </c>
      <c r="AA562" s="4">
        <f>IF($S562=Lookups!$B$113,VLOOKUP(L562,'Points Table C'!A$3:$E$11,5),VLOOKUP(U562,'Points Table C'!B$3:$E$11,4))</f>
        <v>0</v>
      </c>
      <c r="AB562" s="4" t="e">
        <f>IF($Q562=1,0,VLOOKUP($J562,'Points Table C'!$C$3:$E$18,3))</f>
        <v>#N/A</v>
      </c>
      <c r="AC562" s="4">
        <f>VLOOKUP($K562,'Points Table C'!$D$3:$E$18,2)</f>
        <v>0</v>
      </c>
      <c r="AD562" s="4" t="e">
        <f>IF($Z562&lt;Lookups!$C$106,($AA562+AB562+AC562),IF($AA562&gt;=Lookups!$C$120,($AA562+AB562+AC562),$AA562+$AB562))</f>
        <v>#N/A</v>
      </c>
      <c r="AF562" s="7"/>
      <c r="AG562" s="7"/>
      <c r="AH562" s="7"/>
      <c r="AI562" s="7"/>
      <c r="AJ562" s="7"/>
      <c r="AK562" s="7"/>
      <c r="AL562" s="7"/>
      <c r="AM562" s="7"/>
      <c r="AN562" s="7"/>
      <c r="AO562" s="7"/>
      <c r="AP562" s="7"/>
      <c r="AQ562" s="7"/>
      <c r="AR562" s="7"/>
      <c r="AS562" s="7"/>
      <c r="AT562" s="7"/>
      <c r="AU562" s="7"/>
      <c r="AV562" s="7"/>
      <c r="AW562" s="7"/>
      <c r="AY562" s="7"/>
      <c r="AZ562" s="7"/>
      <c r="BA562" s="7"/>
      <c r="BB562" s="7"/>
    </row>
    <row r="563" spans="2:54" x14ac:dyDescent="0.2">
      <c r="B563" s="174"/>
      <c r="C563" s="176"/>
      <c r="F563" s="5">
        <v>0</v>
      </c>
      <c r="G563" s="192">
        <v>0</v>
      </c>
      <c r="H563" s="192">
        <v>0</v>
      </c>
      <c r="I563" s="5">
        <v>0</v>
      </c>
      <c r="J563" s="192">
        <v>0</v>
      </c>
      <c r="K563" s="192">
        <v>0</v>
      </c>
      <c r="L563" s="5">
        <v>0</v>
      </c>
      <c r="M563" s="5">
        <v>0</v>
      </c>
      <c r="N563" s="4" t="e">
        <f t="shared" si="46"/>
        <v>#N/A</v>
      </c>
      <c r="O563" s="4" t="e">
        <f>IF(ROUND(10.499-(((N563-VLOOKUP($C563,Lookups!$A$55:$D$64,3))/(VLOOKUP($C563,Lookups!$A$55:$D$64,4))*VLOOKUP($C563,Lookups!$C$2:$D$11,2))),0)&lt;1,1,IF(ROUND(10.499-(((N563-VLOOKUP($C563,Lookups!$A$55:$D$64,3))/(VLOOKUP($C563,Lookups!$A$55:$D$64,4))*VLOOKUP($C563,Lookups!$C$2:$D$11,2))),0)&lt;11,ROUND(10.499-(((N563-VLOOKUP($C563,Lookups!$A$55:$D$64,3))/(VLOOKUP($C563,Lookups!$A$55:$D$64,4))*VLOOKUP($C563,Lookups!$C$2:$D$11,2))),0),10))</f>
        <v>#N/A</v>
      </c>
      <c r="P563" s="13" t="str">
        <f>IF((SUM(F563:M563)=0),"J",VLOOKUP(O563,Lookups!$A$1:$B$11,2))</f>
        <v>J</v>
      </c>
      <c r="Q563" s="8" t="e">
        <f>VLOOKUP(C563,Lookups!$A$136:$C$144,3)</f>
        <v>#N/A</v>
      </c>
      <c r="R563" s="8" t="e">
        <f>VLOOKUP(C563,Lookups!$A$136:$C$144,2)</f>
        <v>#N/A</v>
      </c>
      <c r="S563" s="4" t="str">
        <f t="shared" si="47"/>
        <v>No</v>
      </c>
      <c r="T563" s="125">
        <f t="shared" si="48"/>
        <v>0</v>
      </c>
      <c r="U563" s="125">
        <f t="shared" si="49"/>
        <v>0</v>
      </c>
      <c r="V563" s="4" t="e">
        <f>IF($Q563&lt;&gt;3,VLOOKUP(F563,'Points Table A'!B$3:$F$33,5),VLOOKUP(F563,'Points Table A'!H$3:$L$33,5))</f>
        <v>#N/A</v>
      </c>
      <c r="W563" s="4" t="e">
        <f>IF($Q563&lt;&gt;3,VLOOKUP(G563,'Points Table A'!C$3:$F$33,4),VLOOKUP(G563,'Points Table A'!I$3:$L$33,4))</f>
        <v>#N/A</v>
      </c>
      <c r="X563" s="4" t="e">
        <f>IF($Q563&lt;&gt;3,VLOOKUP(H563,'Points Table A'!D$3:$F$28,3),VLOOKUP(H563,'Points Table A'!J$3:$L$33,3))</f>
        <v>#N/A</v>
      </c>
      <c r="Y563" s="4" t="e">
        <f>IF($Q563&lt;&gt;3,VLOOKUP(I563,'Points Table A'!E$3:$F$33,2),VLOOKUP(I563,'Points Table A'!K$3:$L$33,2))</f>
        <v>#N/A</v>
      </c>
      <c r="Z563" s="4" t="e">
        <f t="shared" si="50"/>
        <v>#N/A</v>
      </c>
      <c r="AA563" s="4">
        <f>IF($S563=Lookups!$B$113,VLOOKUP(L563,'Points Table C'!A$3:$E$11,5),VLOOKUP(U563,'Points Table C'!B$3:$E$11,4))</f>
        <v>0</v>
      </c>
      <c r="AB563" s="4" t="e">
        <f>IF($Q563=1,0,VLOOKUP($J563,'Points Table C'!$C$3:$E$18,3))</f>
        <v>#N/A</v>
      </c>
      <c r="AC563" s="4">
        <f>VLOOKUP($K563,'Points Table C'!$D$3:$E$18,2)</f>
        <v>0</v>
      </c>
      <c r="AD563" s="4" t="e">
        <f>IF($Z563&lt;Lookups!$C$106,($AA563+AB563+AC563),IF($AA563&gt;=Lookups!$C$120,($AA563+AB563+AC563),$AA563+$AB563))</f>
        <v>#N/A</v>
      </c>
      <c r="AF563" s="7"/>
      <c r="AG563" s="7"/>
      <c r="AH563" s="7"/>
      <c r="AI563" s="7"/>
      <c r="AJ563" s="7"/>
      <c r="AK563" s="7"/>
      <c r="AL563" s="7"/>
      <c r="AM563" s="7"/>
      <c r="AN563" s="7"/>
      <c r="AO563" s="7"/>
      <c r="AP563" s="7"/>
      <c r="AQ563" s="7"/>
      <c r="AR563" s="7"/>
      <c r="AS563" s="7"/>
      <c r="AT563" s="7"/>
      <c r="AU563" s="7"/>
      <c r="AV563" s="7"/>
      <c r="AW563" s="7"/>
      <c r="AY563" s="7"/>
      <c r="AZ563" s="7"/>
      <c r="BA563" s="7"/>
      <c r="BB563" s="7"/>
    </row>
    <row r="564" spans="2:54" x14ac:dyDescent="0.2">
      <c r="B564" s="174"/>
      <c r="C564" s="176"/>
      <c r="F564" s="5">
        <v>0</v>
      </c>
      <c r="G564" s="192">
        <v>0</v>
      </c>
      <c r="H564" s="192">
        <v>0</v>
      </c>
      <c r="I564" s="5">
        <v>0</v>
      </c>
      <c r="J564" s="192">
        <v>0</v>
      </c>
      <c r="K564" s="192">
        <v>0</v>
      </c>
      <c r="L564" s="5">
        <v>0</v>
      </c>
      <c r="M564" s="5">
        <v>0</v>
      </c>
      <c r="N564" s="4" t="e">
        <f t="shared" si="46"/>
        <v>#N/A</v>
      </c>
      <c r="O564" s="4" t="e">
        <f>IF(ROUND(10.499-(((N564-VLOOKUP($C564,Lookups!$A$55:$D$64,3))/(VLOOKUP($C564,Lookups!$A$55:$D$64,4))*VLOOKUP($C564,Lookups!$C$2:$D$11,2))),0)&lt;1,1,IF(ROUND(10.499-(((N564-VLOOKUP($C564,Lookups!$A$55:$D$64,3))/(VLOOKUP($C564,Lookups!$A$55:$D$64,4))*VLOOKUP($C564,Lookups!$C$2:$D$11,2))),0)&lt;11,ROUND(10.499-(((N564-VLOOKUP($C564,Lookups!$A$55:$D$64,3))/(VLOOKUP($C564,Lookups!$A$55:$D$64,4))*VLOOKUP($C564,Lookups!$C$2:$D$11,2))),0),10))</f>
        <v>#N/A</v>
      </c>
      <c r="P564" s="13" t="str">
        <f>IF((SUM(F564:M564)=0),"J",VLOOKUP(O564,Lookups!$A$1:$B$11,2))</f>
        <v>J</v>
      </c>
      <c r="Q564" s="8" t="e">
        <f>VLOOKUP(C564,Lookups!$A$136:$C$144,3)</f>
        <v>#N/A</v>
      </c>
      <c r="R564" s="8" t="e">
        <f>VLOOKUP(C564,Lookups!$A$136:$C$144,2)</f>
        <v>#N/A</v>
      </c>
      <c r="S564" s="4" t="str">
        <f t="shared" si="47"/>
        <v>No</v>
      </c>
      <c r="T564" s="125">
        <f t="shared" si="48"/>
        <v>0</v>
      </c>
      <c r="U564" s="125">
        <f t="shared" si="49"/>
        <v>0</v>
      </c>
      <c r="V564" s="4" t="e">
        <f>IF($Q564&lt;&gt;3,VLOOKUP(F564,'Points Table A'!B$3:$F$33,5),VLOOKUP(F564,'Points Table A'!H$3:$L$33,5))</f>
        <v>#N/A</v>
      </c>
      <c r="W564" s="4" t="e">
        <f>IF($Q564&lt;&gt;3,VLOOKUP(G564,'Points Table A'!C$3:$F$33,4),VLOOKUP(G564,'Points Table A'!I$3:$L$33,4))</f>
        <v>#N/A</v>
      </c>
      <c r="X564" s="4" t="e">
        <f>IF($Q564&lt;&gt;3,VLOOKUP(H564,'Points Table A'!D$3:$F$28,3),VLOOKUP(H564,'Points Table A'!J$3:$L$33,3))</f>
        <v>#N/A</v>
      </c>
      <c r="Y564" s="4" t="e">
        <f>IF($Q564&lt;&gt;3,VLOOKUP(I564,'Points Table A'!E$3:$F$33,2),VLOOKUP(I564,'Points Table A'!K$3:$L$33,2))</f>
        <v>#N/A</v>
      </c>
      <c r="Z564" s="4" t="e">
        <f t="shared" si="50"/>
        <v>#N/A</v>
      </c>
      <c r="AA564" s="4">
        <f>IF($S564=Lookups!$B$113,VLOOKUP(L564,'Points Table C'!A$3:$E$11,5),VLOOKUP(U564,'Points Table C'!B$3:$E$11,4))</f>
        <v>0</v>
      </c>
      <c r="AB564" s="4" t="e">
        <f>IF($Q564=1,0,VLOOKUP($J564,'Points Table C'!$C$3:$E$18,3))</f>
        <v>#N/A</v>
      </c>
      <c r="AC564" s="4">
        <f>VLOOKUP($K564,'Points Table C'!$D$3:$E$18,2)</f>
        <v>0</v>
      </c>
      <c r="AD564" s="4" t="e">
        <f>IF($Z564&lt;Lookups!$C$106,($AA564+AB564+AC564),IF($AA564&gt;=Lookups!$C$120,($AA564+AB564+AC564),$AA564+$AB564))</f>
        <v>#N/A</v>
      </c>
      <c r="AF564" s="7"/>
      <c r="AG564" s="7"/>
      <c r="AH564" s="7"/>
      <c r="AI564" s="7"/>
      <c r="AJ564" s="7"/>
      <c r="AK564" s="7"/>
      <c r="AL564" s="7"/>
      <c r="AM564" s="7"/>
      <c r="AN564" s="7"/>
      <c r="AO564" s="7"/>
      <c r="AP564" s="7"/>
      <c r="AQ564" s="7"/>
      <c r="AR564" s="7"/>
      <c r="AS564" s="7"/>
      <c r="AT564" s="7"/>
      <c r="AU564" s="7"/>
      <c r="AV564" s="7"/>
      <c r="AW564" s="7"/>
      <c r="AY564" s="7"/>
      <c r="AZ564" s="7"/>
      <c r="BA564" s="7"/>
      <c r="BB564" s="7"/>
    </row>
    <row r="565" spans="2:54" x14ac:dyDescent="0.2">
      <c r="B565" s="174"/>
      <c r="C565" s="176"/>
      <c r="F565" s="5">
        <v>0</v>
      </c>
      <c r="G565" s="192">
        <v>0</v>
      </c>
      <c r="H565" s="192">
        <v>0</v>
      </c>
      <c r="I565" s="5">
        <v>0</v>
      </c>
      <c r="J565" s="192">
        <v>0</v>
      </c>
      <c r="K565" s="192">
        <v>0</v>
      </c>
      <c r="L565" s="5">
        <v>0</v>
      </c>
      <c r="M565" s="5">
        <v>0</v>
      </c>
      <c r="N565" s="4" t="e">
        <f t="shared" si="46"/>
        <v>#N/A</v>
      </c>
      <c r="O565" s="4" t="e">
        <f>IF(ROUND(10.499-(((N565-VLOOKUP($C565,Lookups!$A$55:$D$64,3))/(VLOOKUP($C565,Lookups!$A$55:$D$64,4))*VLOOKUP($C565,Lookups!$C$2:$D$11,2))),0)&lt;1,1,IF(ROUND(10.499-(((N565-VLOOKUP($C565,Lookups!$A$55:$D$64,3))/(VLOOKUP($C565,Lookups!$A$55:$D$64,4))*VLOOKUP($C565,Lookups!$C$2:$D$11,2))),0)&lt;11,ROUND(10.499-(((N565-VLOOKUP($C565,Lookups!$A$55:$D$64,3))/(VLOOKUP($C565,Lookups!$A$55:$D$64,4))*VLOOKUP($C565,Lookups!$C$2:$D$11,2))),0),10))</f>
        <v>#N/A</v>
      </c>
      <c r="P565" s="13" t="str">
        <f>IF((SUM(F565:M565)=0),"J",VLOOKUP(O565,Lookups!$A$1:$B$11,2))</f>
        <v>J</v>
      </c>
      <c r="Q565" s="8" t="e">
        <f>VLOOKUP(C565,Lookups!$A$136:$C$144,3)</f>
        <v>#N/A</v>
      </c>
      <c r="R565" s="8" t="e">
        <f>VLOOKUP(C565,Lookups!$A$136:$C$144,2)</f>
        <v>#N/A</v>
      </c>
      <c r="S565" s="4" t="str">
        <f t="shared" si="47"/>
        <v>No</v>
      </c>
      <c r="T565" s="125">
        <f t="shared" si="48"/>
        <v>0</v>
      </c>
      <c r="U565" s="125">
        <f t="shared" si="49"/>
        <v>0</v>
      </c>
      <c r="V565" s="4" t="e">
        <f>IF($Q565&lt;&gt;3,VLOOKUP(F565,'Points Table A'!B$3:$F$33,5),VLOOKUP(F565,'Points Table A'!H$3:$L$33,5))</f>
        <v>#N/A</v>
      </c>
      <c r="W565" s="4" t="e">
        <f>IF($Q565&lt;&gt;3,VLOOKUP(G565,'Points Table A'!C$3:$F$33,4),VLOOKUP(G565,'Points Table A'!I$3:$L$33,4))</f>
        <v>#N/A</v>
      </c>
      <c r="X565" s="4" t="e">
        <f>IF($Q565&lt;&gt;3,VLOOKUP(H565,'Points Table A'!D$3:$F$28,3),VLOOKUP(H565,'Points Table A'!J$3:$L$33,3))</f>
        <v>#N/A</v>
      </c>
      <c r="Y565" s="4" t="e">
        <f>IF($Q565&lt;&gt;3,VLOOKUP(I565,'Points Table A'!E$3:$F$33,2),VLOOKUP(I565,'Points Table A'!K$3:$L$33,2))</f>
        <v>#N/A</v>
      </c>
      <c r="Z565" s="4" t="e">
        <f t="shared" si="50"/>
        <v>#N/A</v>
      </c>
      <c r="AA565" s="4">
        <f>IF($S565=Lookups!$B$113,VLOOKUP(L565,'Points Table C'!A$3:$E$11,5),VLOOKUP(U565,'Points Table C'!B$3:$E$11,4))</f>
        <v>0</v>
      </c>
      <c r="AB565" s="4" t="e">
        <f>IF($Q565=1,0,VLOOKUP($J565,'Points Table C'!$C$3:$E$18,3))</f>
        <v>#N/A</v>
      </c>
      <c r="AC565" s="4">
        <f>VLOOKUP($K565,'Points Table C'!$D$3:$E$18,2)</f>
        <v>0</v>
      </c>
      <c r="AD565" s="4" t="e">
        <f>IF($Z565&lt;Lookups!$C$106,($AA565+AB565+AC565),IF($AA565&gt;=Lookups!$C$120,($AA565+AB565+AC565),$AA565+$AB565))</f>
        <v>#N/A</v>
      </c>
      <c r="AF565" s="7"/>
      <c r="AG565" s="7"/>
      <c r="AH565" s="7"/>
      <c r="AI565" s="7"/>
      <c r="AJ565" s="7"/>
      <c r="AK565" s="7"/>
      <c r="AL565" s="7"/>
      <c r="AM565" s="7"/>
      <c r="AN565" s="7"/>
      <c r="AO565" s="7"/>
      <c r="AP565" s="7"/>
      <c r="AQ565" s="7"/>
      <c r="AR565" s="7"/>
      <c r="AS565" s="7"/>
      <c r="AT565" s="7"/>
      <c r="AU565" s="7"/>
      <c r="AV565" s="7"/>
      <c r="AW565" s="7"/>
      <c r="AY565" s="7"/>
      <c r="AZ565" s="7"/>
      <c r="BA565" s="7"/>
      <c r="BB565" s="7"/>
    </row>
    <row r="566" spans="2:54" x14ac:dyDescent="0.2">
      <c r="B566" s="174"/>
      <c r="C566" s="176"/>
      <c r="F566" s="5">
        <v>0</v>
      </c>
      <c r="G566" s="192">
        <v>0</v>
      </c>
      <c r="H566" s="192">
        <v>0</v>
      </c>
      <c r="I566" s="5">
        <v>0</v>
      </c>
      <c r="J566" s="192">
        <v>0</v>
      </c>
      <c r="K566" s="192">
        <v>0</v>
      </c>
      <c r="L566" s="5">
        <v>0</v>
      </c>
      <c r="M566" s="5">
        <v>0</v>
      </c>
      <c r="N566" s="4" t="e">
        <f t="shared" si="46"/>
        <v>#N/A</v>
      </c>
      <c r="O566" s="4" t="e">
        <f>IF(ROUND(10.499-(((N566-VLOOKUP($C566,Lookups!$A$55:$D$64,3))/(VLOOKUP($C566,Lookups!$A$55:$D$64,4))*VLOOKUP($C566,Lookups!$C$2:$D$11,2))),0)&lt;1,1,IF(ROUND(10.499-(((N566-VLOOKUP($C566,Lookups!$A$55:$D$64,3))/(VLOOKUP($C566,Lookups!$A$55:$D$64,4))*VLOOKUP($C566,Lookups!$C$2:$D$11,2))),0)&lt;11,ROUND(10.499-(((N566-VLOOKUP($C566,Lookups!$A$55:$D$64,3))/(VLOOKUP($C566,Lookups!$A$55:$D$64,4))*VLOOKUP($C566,Lookups!$C$2:$D$11,2))),0),10))</f>
        <v>#N/A</v>
      </c>
      <c r="P566" s="13" t="str">
        <f>IF((SUM(F566:M566)=0),"J",VLOOKUP(O566,Lookups!$A$1:$B$11,2))</f>
        <v>J</v>
      </c>
      <c r="Q566" s="8" t="e">
        <f>VLOOKUP(C566,Lookups!$A$136:$C$144,3)</f>
        <v>#N/A</v>
      </c>
      <c r="R566" s="8" t="e">
        <f>VLOOKUP(C566,Lookups!$A$136:$C$144,2)</f>
        <v>#N/A</v>
      </c>
      <c r="S566" s="4" t="str">
        <f t="shared" si="47"/>
        <v>No</v>
      </c>
      <c r="T566" s="125">
        <f t="shared" si="48"/>
        <v>0</v>
      </c>
      <c r="U566" s="125">
        <f t="shared" si="49"/>
        <v>0</v>
      </c>
      <c r="V566" s="4" t="e">
        <f>IF($Q566&lt;&gt;3,VLOOKUP(F566,'Points Table A'!B$3:$F$33,5),VLOOKUP(F566,'Points Table A'!H$3:$L$33,5))</f>
        <v>#N/A</v>
      </c>
      <c r="W566" s="4" t="e">
        <f>IF($Q566&lt;&gt;3,VLOOKUP(G566,'Points Table A'!C$3:$F$33,4),VLOOKUP(G566,'Points Table A'!I$3:$L$33,4))</f>
        <v>#N/A</v>
      </c>
      <c r="X566" s="4" t="e">
        <f>IF($Q566&lt;&gt;3,VLOOKUP(H566,'Points Table A'!D$3:$F$28,3),VLOOKUP(H566,'Points Table A'!J$3:$L$33,3))</f>
        <v>#N/A</v>
      </c>
      <c r="Y566" s="4" t="e">
        <f>IF($Q566&lt;&gt;3,VLOOKUP(I566,'Points Table A'!E$3:$F$33,2),VLOOKUP(I566,'Points Table A'!K$3:$L$33,2))</f>
        <v>#N/A</v>
      </c>
      <c r="Z566" s="4" t="e">
        <f t="shared" si="50"/>
        <v>#N/A</v>
      </c>
      <c r="AA566" s="4">
        <f>IF($S566=Lookups!$B$113,VLOOKUP(L566,'Points Table C'!A$3:$E$11,5),VLOOKUP(U566,'Points Table C'!B$3:$E$11,4))</f>
        <v>0</v>
      </c>
      <c r="AB566" s="4" t="e">
        <f>IF($Q566=1,0,VLOOKUP($J566,'Points Table C'!$C$3:$E$18,3))</f>
        <v>#N/A</v>
      </c>
      <c r="AC566" s="4">
        <f>VLOOKUP($K566,'Points Table C'!$D$3:$E$18,2)</f>
        <v>0</v>
      </c>
      <c r="AD566" s="4" t="e">
        <f>IF($Z566&lt;Lookups!$C$106,($AA566+AB566+AC566),IF($AA566&gt;=Lookups!$C$120,($AA566+AB566+AC566),$AA566+$AB566))</f>
        <v>#N/A</v>
      </c>
      <c r="AF566" s="7"/>
      <c r="AG566" s="7"/>
      <c r="AH566" s="7"/>
      <c r="AI566" s="7"/>
      <c r="AJ566" s="7"/>
      <c r="AK566" s="7"/>
      <c r="AL566" s="7"/>
      <c r="AM566" s="7"/>
      <c r="AN566" s="7"/>
      <c r="AO566" s="7"/>
      <c r="AP566" s="7"/>
      <c r="AQ566" s="7"/>
      <c r="AR566" s="7"/>
      <c r="AS566" s="7"/>
      <c r="AT566" s="7"/>
      <c r="AU566" s="7"/>
      <c r="AV566" s="7"/>
      <c r="AW566" s="7"/>
      <c r="AY566" s="7"/>
      <c r="AZ566" s="7"/>
      <c r="BA566" s="7"/>
      <c r="BB566" s="7"/>
    </row>
    <row r="567" spans="2:54" x14ac:dyDescent="0.2">
      <c r="B567" s="174"/>
      <c r="C567" s="176"/>
      <c r="F567" s="5">
        <v>0</v>
      </c>
      <c r="G567" s="192">
        <v>0</v>
      </c>
      <c r="H567" s="192">
        <v>0</v>
      </c>
      <c r="I567" s="5">
        <v>0</v>
      </c>
      <c r="J567" s="192">
        <v>0</v>
      </c>
      <c r="K567" s="192">
        <v>0</v>
      </c>
      <c r="L567" s="5">
        <v>0</v>
      </c>
      <c r="M567" s="5">
        <v>0</v>
      </c>
      <c r="N567" s="4" t="e">
        <f t="shared" si="46"/>
        <v>#N/A</v>
      </c>
      <c r="O567" s="4" t="e">
        <f>IF(ROUND(10.499-(((N567-VLOOKUP($C567,Lookups!$A$55:$D$64,3))/(VLOOKUP($C567,Lookups!$A$55:$D$64,4))*VLOOKUP($C567,Lookups!$C$2:$D$11,2))),0)&lt;1,1,IF(ROUND(10.499-(((N567-VLOOKUP($C567,Lookups!$A$55:$D$64,3))/(VLOOKUP($C567,Lookups!$A$55:$D$64,4))*VLOOKUP($C567,Lookups!$C$2:$D$11,2))),0)&lt;11,ROUND(10.499-(((N567-VLOOKUP($C567,Lookups!$A$55:$D$64,3))/(VLOOKUP($C567,Lookups!$A$55:$D$64,4))*VLOOKUP($C567,Lookups!$C$2:$D$11,2))),0),10))</f>
        <v>#N/A</v>
      </c>
      <c r="P567" s="13" t="str">
        <f>IF((SUM(F567:M567)=0),"J",VLOOKUP(O567,Lookups!$A$1:$B$11,2))</f>
        <v>J</v>
      </c>
      <c r="Q567" s="8" t="e">
        <f>VLOOKUP(C567,Lookups!$A$136:$C$144,3)</f>
        <v>#N/A</v>
      </c>
      <c r="R567" s="8" t="e">
        <f>VLOOKUP(C567,Lookups!$A$136:$C$144,2)</f>
        <v>#N/A</v>
      </c>
      <c r="S567" s="4" t="str">
        <f t="shared" si="47"/>
        <v>No</v>
      </c>
      <c r="T567" s="125">
        <f t="shared" si="48"/>
        <v>0</v>
      </c>
      <c r="U567" s="125">
        <f t="shared" si="49"/>
        <v>0</v>
      </c>
      <c r="V567" s="4" t="e">
        <f>IF($Q567&lt;&gt;3,VLOOKUP(F567,'Points Table A'!B$3:$F$33,5),VLOOKUP(F567,'Points Table A'!H$3:$L$33,5))</f>
        <v>#N/A</v>
      </c>
      <c r="W567" s="4" t="e">
        <f>IF($Q567&lt;&gt;3,VLOOKUP(G567,'Points Table A'!C$3:$F$33,4),VLOOKUP(G567,'Points Table A'!I$3:$L$33,4))</f>
        <v>#N/A</v>
      </c>
      <c r="X567" s="4" t="e">
        <f>IF($Q567&lt;&gt;3,VLOOKUP(H567,'Points Table A'!D$3:$F$28,3),VLOOKUP(H567,'Points Table A'!J$3:$L$33,3))</f>
        <v>#N/A</v>
      </c>
      <c r="Y567" s="4" t="e">
        <f>IF($Q567&lt;&gt;3,VLOOKUP(I567,'Points Table A'!E$3:$F$33,2),VLOOKUP(I567,'Points Table A'!K$3:$L$33,2))</f>
        <v>#N/A</v>
      </c>
      <c r="Z567" s="4" t="e">
        <f t="shared" si="50"/>
        <v>#N/A</v>
      </c>
      <c r="AA567" s="4">
        <f>IF($S567=Lookups!$B$113,VLOOKUP(L567,'Points Table C'!A$3:$E$11,5),VLOOKUP(U567,'Points Table C'!B$3:$E$11,4))</f>
        <v>0</v>
      </c>
      <c r="AB567" s="4" t="e">
        <f>IF($Q567=1,0,VLOOKUP($J567,'Points Table C'!$C$3:$E$18,3))</f>
        <v>#N/A</v>
      </c>
      <c r="AC567" s="4">
        <f>VLOOKUP($K567,'Points Table C'!$D$3:$E$18,2)</f>
        <v>0</v>
      </c>
      <c r="AD567" s="4" t="e">
        <f>IF($Z567&lt;Lookups!$C$106,($AA567+AB567+AC567),IF($AA567&gt;=Lookups!$C$120,($AA567+AB567+AC567),$AA567+$AB567))</f>
        <v>#N/A</v>
      </c>
      <c r="AF567" s="7"/>
      <c r="AG567" s="7"/>
      <c r="AH567" s="7"/>
      <c r="AI567" s="7"/>
      <c r="AJ567" s="7"/>
      <c r="AK567" s="7"/>
      <c r="AL567" s="7"/>
      <c r="AM567" s="7"/>
      <c r="AN567" s="7"/>
      <c r="AO567" s="7"/>
      <c r="AP567" s="7"/>
      <c r="AQ567" s="7"/>
      <c r="AR567" s="7"/>
      <c r="AS567" s="7"/>
      <c r="AT567" s="7"/>
      <c r="AU567" s="7"/>
      <c r="AV567" s="7"/>
      <c r="AW567" s="7"/>
      <c r="AY567" s="7"/>
      <c r="AZ567" s="7"/>
      <c r="BA567" s="7"/>
      <c r="BB567" s="7"/>
    </row>
    <row r="568" spans="2:54" x14ac:dyDescent="0.2">
      <c r="B568" s="174"/>
      <c r="C568" s="176"/>
      <c r="F568" s="5">
        <v>0</v>
      </c>
      <c r="G568" s="192">
        <v>0</v>
      </c>
      <c r="H568" s="192">
        <v>0</v>
      </c>
      <c r="I568" s="5">
        <v>0</v>
      </c>
      <c r="J568" s="192">
        <v>0</v>
      </c>
      <c r="K568" s="192">
        <v>0</v>
      </c>
      <c r="L568" s="5">
        <v>0</v>
      </c>
      <c r="M568" s="5">
        <v>0</v>
      </c>
      <c r="N568" s="4" t="e">
        <f t="shared" si="46"/>
        <v>#N/A</v>
      </c>
      <c r="O568" s="4" t="e">
        <f>IF(ROUND(10.499-(((N568-VLOOKUP($C568,Lookups!$A$55:$D$64,3))/(VLOOKUP($C568,Lookups!$A$55:$D$64,4))*VLOOKUP($C568,Lookups!$C$2:$D$11,2))),0)&lt;1,1,IF(ROUND(10.499-(((N568-VLOOKUP($C568,Lookups!$A$55:$D$64,3))/(VLOOKUP($C568,Lookups!$A$55:$D$64,4))*VLOOKUP($C568,Lookups!$C$2:$D$11,2))),0)&lt;11,ROUND(10.499-(((N568-VLOOKUP($C568,Lookups!$A$55:$D$64,3))/(VLOOKUP($C568,Lookups!$A$55:$D$64,4))*VLOOKUP($C568,Lookups!$C$2:$D$11,2))),0),10))</f>
        <v>#N/A</v>
      </c>
      <c r="P568" s="13" t="str">
        <f>IF((SUM(F568:M568)=0),"J",VLOOKUP(O568,Lookups!$A$1:$B$11,2))</f>
        <v>J</v>
      </c>
      <c r="Q568" s="8" t="e">
        <f>VLOOKUP(C568,Lookups!$A$136:$C$144,3)</f>
        <v>#N/A</v>
      </c>
      <c r="R568" s="8" t="e">
        <f>VLOOKUP(C568,Lookups!$A$136:$C$144,2)</f>
        <v>#N/A</v>
      </c>
      <c r="S568" s="4" t="str">
        <f t="shared" si="47"/>
        <v>No</v>
      </c>
      <c r="T568" s="125">
        <f t="shared" si="48"/>
        <v>0</v>
      </c>
      <c r="U568" s="125">
        <f t="shared" si="49"/>
        <v>0</v>
      </c>
      <c r="V568" s="4" t="e">
        <f>IF($Q568&lt;&gt;3,VLOOKUP(F568,'Points Table A'!B$3:$F$33,5),VLOOKUP(F568,'Points Table A'!H$3:$L$33,5))</f>
        <v>#N/A</v>
      </c>
      <c r="W568" s="4" t="e">
        <f>IF($Q568&lt;&gt;3,VLOOKUP(G568,'Points Table A'!C$3:$F$33,4),VLOOKUP(G568,'Points Table A'!I$3:$L$33,4))</f>
        <v>#N/A</v>
      </c>
      <c r="X568" s="4" t="e">
        <f>IF($Q568&lt;&gt;3,VLOOKUP(H568,'Points Table A'!D$3:$F$28,3),VLOOKUP(H568,'Points Table A'!J$3:$L$33,3))</f>
        <v>#N/A</v>
      </c>
      <c r="Y568" s="4" t="e">
        <f>IF($Q568&lt;&gt;3,VLOOKUP(I568,'Points Table A'!E$3:$F$33,2),VLOOKUP(I568,'Points Table A'!K$3:$L$33,2))</f>
        <v>#N/A</v>
      </c>
      <c r="Z568" s="4" t="e">
        <f t="shared" si="50"/>
        <v>#N/A</v>
      </c>
      <c r="AA568" s="4">
        <f>IF($S568=Lookups!$B$113,VLOOKUP(L568,'Points Table C'!A$3:$E$11,5),VLOOKUP(U568,'Points Table C'!B$3:$E$11,4))</f>
        <v>0</v>
      </c>
      <c r="AB568" s="4" t="e">
        <f>IF($Q568=1,0,VLOOKUP($J568,'Points Table C'!$C$3:$E$18,3))</f>
        <v>#N/A</v>
      </c>
      <c r="AC568" s="4">
        <f>VLOOKUP($K568,'Points Table C'!$D$3:$E$18,2)</f>
        <v>0</v>
      </c>
      <c r="AD568" s="4" t="e">
        <f>IF($Z568&lt;Lookups!$C$106,($AA568+AB568+AC568),IF($AA568&gt;=Lookups!$C$120,($AA568+AB568+AC568),$AA568+$AB568))</f>
        <v>#N/A</v>
      </c>
      <c r="AF568" s="7"/>
      <c r="AG568" s="7"/>
      <c r="AH568" s="7"/>
      <c r="AI568" s="7"/>
      <c r="AJ568" s="7"/>
      <c r="AK568" s="7"/>
      <c r="AL568" s="7"/>
      <c r="AM568" s="7"/>
      <c r="AN568" s="7"/>
      <c r="AO568" s="7"/>
      <c r="AP568" s="7"/>
      <c r="AQ568" s="7"/>
      <c r="AR568" s="7"/>
      <c r="AS568" s="7"/>
      <c r="AT568" s="7"/>
      <c r="AU568" s="7"/>
      <c r="AV568" s="7"/>
      <c r="AW568" s="7"/>
      <c r="AY568" s="7"/>
      <c r="AZ568" s="7"/>
      <c r="BA568" s="7"/>
      <c r="BB568" s="7"/>
    </row>
    <row r="569" spans="2:54" x14ac:dyDescent="0.2">
      <c r="B569" s="174"/>
      <c r="C569" s="176"/>
      <c r="F569" s="5">
        <v>0</v>
      </c>
      <c r="G569" s="192">
        <v>0</v>
      </c>
      <c r="H569" s="192">
        <v>0</v>
      </c>
      <c r="I569" s="5">
        <v>0</v>
      </c>
      <c r="J569" s="192">
        <v>0</v>
      </c>
      <c r="K569" s="192">
        <v>0</v>
      </c>
      <c r="L569" s="5">
        <v>0</v>
      </c>
      <c r="M569" s="5">
        <v>0</v>
      </c>
      <c r="N569" s="4" t="e">
        <f t="shared" ref="N569:N632" si="51">$Z569-$AD569</f>
        <v>#N/A</v>
      </c>
      <c r="O569" s="4" t="e">
        <f>IF(ROUND(10.499-(((N569-VLOOKUP($C569,Lookups!$A$55:$D$64,3))/(VLOOKUP($C569,Lookups!$A$55:$D$64,4))*VLOOKUP($C569,Lookups!$C$2:$D$11,2))),0)&lt;1,1,IF(ROUND(10.499-(((N569-VLOOKUP($C569,Lookups!$A$55:$D$64,3))/(VLOOKUP($C569,Lookups!$A$55:$D$64,4))*VLOOKUP($C569,Lookups!$C$2:$D$11,2))),0)&lt;11,ROUND(10.499-(((N569-VLOOKUP($C569,Lookups!$A$55:$D$64,3))/(VLOOKUP($C569,Lookups!$A$55:$D$64,4))*VLOOKUP($C569,Lookups!$C$2:$D$11,2))),0),10))</f>
        <v>#N/A</v>
      </c>
      <c r="P569" s="13" t="str">
        <f>IF((SUM(F569:M569)=0),"J",VLOOKUP(O569,Lookups!$A$1:$B$11,2))</f>
        <v>J</v>
      </c>
      <c r="Q569" s="8" t="e">
        <f>VLOOKUP(C569,Lookups!$A$136:$C$144,3)</f>
        <v>#N/A</v>
      </c>
      <c r="R569" s="8" t="e">
        <f>VLOOKUP(C569,Lookups!$A$136:$C$144,2)</f>
        <v>#N/A</v>
      </c>
      <c r="S569" s="4" t="str">
        <f t="shared" si="47"/>
        <v>No</v>
      </c>
      <c r="T569" s="125">
        <f t="shared" si="48"/>
        <v>0</v>
      </c>
      <c r="U569" s="125">
        <f t="shared" si="49"/>
        <v>0</v>
      </c>
      <c r="V569" s="4" t="e">
        <f>IF($Q569&lt;&gt;3,VLOOKUP(F569,'Points Table A'!B$3:$F$33,5),VLOOKUP(F569,'Points Table A'!H$3:$L$33,5))</f>
        <v>#N/A</v>
      </c>
      <c r="W569" s="4" t="e">
        <f>IF($Q569&lt;&gt;3,VLOOKUP(G569,'Points Table A'!C$3:$F$33,4),VLOOKUP(G569,'Points Table A'!I$3:$L$33,4))</f>
        <v>#N/A</v>
      </c>
      <c r="X569" s="4" t="e">
        <f>IF($Q569&lt;&gt;3,VLOOKUP(H569,'Points Table A'!D$3:$F$28,3),VLOOKUP(H569,'Points Table A'!J$3:$L$33,3))</f>
        <v>#N/A</v>
      </c>
      <c r="Y569" s="4" t="e">
        <f>IF($Q569&lt;&gt;3,VLOOKUP(I569,'Points Table A'!E$3:$F$33,2),VLOOKUP(I569,'Points Table A'!K$3:$L$33,2))</f>
        <v>#N/A</v>
      </c>
      <c r="Z569" s="4" t="e">
        <f t="shared" si="50"/>
        <v>#N/A</v>
      </c>
      <c r="AA569" s="4">
        <f>IF($S569=Lookups!$B$113,VLOOKUP(L569,'Points Table C'!A$3:$E$11,5),VLOOKUP(U569,'Points Table C'!B$3:$E$11,4))</f>
        <v>0</v>
      </c>
      <c r="AB569" s="4" t="e">
        <f>IF($Q569=1,0,VLOOKUP($J569,'Points Table C'!$C$3:$E$18,3))</f>
        <v>#N/A</v>
      </c>
      <c r="AC569" s="4">
        <f>VLOOKUP($K569,'Points Table C'!$D$3:$E$18,2)</f>
        <v>0</v>
      </c>
      <c r="AD569" s="4" t="e">
        <f>IF($Z569&lt;Lookups!$C$106,($AA569+AB569+AC569),IF($AA569&gt;=Lookups!$C$120,($AA569+AB569+AC569),$AA569+$AB569))</f>
        <v>#N/A</v>
      </c>
      <c r="AF569" s="7"/>
      <c r="AG569" s="7"/>
      <c r="AH569" s="7"/>
      <c r="AI569" s="7"/>
      <c r="AJ569" s="7"/>
      <c r="AK569" s="7"/>
      <c r="AL569" s="7"/>
      <c r="AM569" s="7"/>
      <c r="AN569" s="7"/>
      <c r="AO569" s="7"/>
      <c r="AP569" s="7"/>
      <c r="AQ569" s="7"/>
      <c r="AR569" s="7"/>
      <c r="AS569" s="7"/>
      <c r="AT569" s="7"/>
      <c r="AU569" s="7"/>
      <c r="AV569" s="7"/>
      <c r="AW569" s="7"/>
      <c r="AY569" s="7"/>
      <c r="AZ569" s="7"/>
      <c r="BA569" s="7"/>
      <c r="BB569" s="7"/>
    </row>
    <row r="570" spans="2:54" x14ac:dyDescent="0.2">
      <c r="B570" s="174"/>
      <c r="C570" s="176"/>
      <c r="F570" s="5">
        <v>0</v>
      </c>
      <c r="G570" s="192">
        <v>0</v>
      </c>
      <c r="H570" s="192">
        <v>0</v>
      </c>
      <c r="I570" s="5">
        <v>0</v>
      </c>
      <c r="J570" s="192">
        <v>0</v>
      </c>
      <c r="K570" s="192">
        <v>0</v>
      </c>
      <c r="L570" s="5">
        <v>0</v>
      </c>
      <c r="M570" s="5">
        <v>0</v>
      </c>
      <c r="N570" s="4" t="e">
        <f t="shared" si="51"/>
        <v>#N/A</v>
      </c>
      <c r="O570" s="4" t="e">
        <f>IF(ROUND(10.499-(((N570-VLOOKUP($C570,Lookups!$A$55:$D$64,3))/(VLOOKUP($C570,Lookups!$A$55:$D$64,4))*VLOOKUP($C570,Lookups!$C$2:$D$11,2))),0)&lt;1,1,IF(ROUND(10.499-(((N570-VLOOKUP($C570,Lookups!$A$55:$D$64,3))/(VLOOKUP($C570,Lookups!$A$55:$D$64,4))*VLOOKUP($C570,Lookups!$C$2:$D$11,2))),0)&lt;11,ROUND(10.499-(((N570-VLOOKUP($C570,Lookups!$A$55:$D$64,3))/(VLOOKUP($C570,Lookups!$A$55:$D$64,4))*VLOOKUP($C570,Lookups!$C$2:$D$11,2))),0),10))</f>
        <v>#N/A</v>
      </c>
      <c r="P570" s="13" t="str">
        <f>IF((SUM(F570:M570)=0),"J",VLOOKUP(O570,Lookups!$A$1:$B$11,2))</f>
        <v>J</v>
      </c>
      <c r="Q570" s="8" t="e">
        <f>VLOOKUP(C570,Lookups!$A$136:$C$144,3)</f>
        <v>#N/A</v>
      </c>
      <c r="R570" s="8" t="e">
        <f>VLOOKUP(C570,Lookups!$A$136:$C$144,2)</f>
        <v>#N/A</v>
      </c>
      <c r="S570" s="4" t="str">
        <f t="shared" si="47"/>
        <v>No</v>
      </c>
      <c r="T570" s="125">
        <f t="shared" si="48"/>
        <v>0</v>
      </c>
      <c r="U570" s="125">
        <f t="shared" si="49"/>
        <v>0</v>
      </c>
      <c r="V570" s="4" t="e">
        <f>IF($Q570&lt;&gt;3,VLOOKUP(F570,'Points Table A'!B$3:$F$33,5),VLOOKUP(F570,'Points Table A'!H$3:$L$33,5))</f>
        <v>#N/A</v>
      </c>
      <c r="W570" s="4" t="e">
        <f>IF($Q570&lt;&gt;3,VLOOKUP(G570,'Points Table A'!C$3:$F$33,4),VLOOKUP(G570,'Points Table A'!I$3:$L$33,4))</f>
        <v>#N/A</v>
      </c>
      <c r="X570" s="4" t="e">
        <f>IF($Q570&lt;&gt;3,VLOOKUP(H570,'Points Table A'!D$3:$F$28,3),VLOOKUP(H570,'Points Table A'!J$3:$L$33,3))</f>
        <v>#N/A</v>
      </c>
      <c r="Y570" s="4" t="e">
        <f>IF($Q570&lt;&gt;3,VLOOKUP(I570,'Points Table A'!E$3:$F$33,2),VLOOKUP(I570,'Points Table A'!K$3:$L$33,2))</f>
        <v>#N/A</v>
      </c>
      <c r="Z570" s="4" t="e">
        <f t="shared" si="50"/>
        <v>#N/A</v>
      </c>
      <c r="AA570" s="4">
        <f>IF($S570=Lookups!$B$113,VLOOKUP(L570,'Points Table C'!A$3:$E$11,5),VLOOKUP(U570,'Points Table C'!B$3:$E$11,4))</f>
        <v>0</v>
      </c>
      <c r="AB570" s="4" t="e">
        <f>IF($Q570=1,0,VLOOKUP($J570,'Points Table C'!$C$3:$E$18,3))</f>
        <v>#N/A</v>
      </c>
      <c r="AC570" s="4">
        <f>VLOOKUP($K570,'Points Table C'!$D$3:$E$18,2)</f>
        <v>0</v>
      </c>
      <c r="AD570" s="4" t="e">
        <f>IF($Z570&lt;Lookups!$C$106,($AA570+AB570+AC570),IF($AA570&gt;=Lookups!$C$120,($AA570+AB570+AC570),$AA570+$AB570))</f>
        <v>#N/A</v>
      </c>
      <c r="AF570" s="7"/>
      <c r="AG570" s="7"/>
      <c r="AH570" s="7"/>
      <c r="AI570" s="7"/>
      <c r="AJ570" s="7"/>
      <c r="AK570" s="7"/>
      <c r="AL570" s="7"/>
      <c r="AM570" s="7"/>
      <c r="AN570" s="7"/>
      <c r="AO570" s="7"/>
      <c r="AP570" s="7"/>
      <c r="AQ570" s="7"/>
      <c r="AR570" s="7"/>
      <c r="AS570" s="7"/>
      <c r="AT570" s="7"/>
      <c r="AU570" s="7"/>
      <c r="AV570" s="7"/>
      <c r="AW570" s="7"/>
      <c r="AY570" s="7"/>
      <c r="AZ570" s="7"/>
      <c r="BA570" s="7"/>
      <c r="BB570" s="7"/>
    </row>
    <row r="571" spans="2:54" x14ac:dyDescent="0.2">
      <c r="B571" s="174"/>
      <c r="C571" s="176"/>
      <c r="F571" s="5">
        <v>0</v>
      </c>
      <c r="G571" s="192">
        <v>0</v>
      </c>
      <c r="H571" s="192">
        <v>0</v>
      </c>
      <c r="I571" s="5">
        <v>0</v>
      </c>
      <c r="J571" s="192">
        <v>0</v>
      </c>
      <c r="K571" s="192">
        <v>0</v>
      </c>
      <c r="L571" s="5">
        <v>0</v>
      </c>
      <c r="M571" s="5">
        <v>0</v>
      </c>
      <c r="N571" s="4" t="e">
        <f t="shared" si="51"/>
        <v>#N/A</v>
      </c>
      <c r="O571" s="4" t="e">
        <f>IF(ROUND(10.499-(((N571-VLOOKUP($C571,Lookups!$A$55:$D$64,3))/(VLOOKUP($C571,Lookups!$A$55:$D$64,4))*VLOOKUP($C571,Lookups!$C$2:$D$11,2))),0)&lt;1,1,IF(ROUND(10.499-(((N571-VLOOKUP($C571,Lookups!$A$55:$D$64,3))/(VLOOKUP($C571,Lookups!$A$55:$D$64,4))*VLOOKUP($C571,Lookups!$C$2:$D$11,2))),0)&lt;11,ROUND(10.499-(((N571-VLOOKUP($C571,Lookups!$A$55:$D$64,3))/(VLOOKUP($C571,Lookups!$A$55:$D$64,4))*VLOOKUP($C571,Lookups!$C$2:$D$11,2))),0),10))</f>
        <v>#N/A</v>
      </c>
      <c r="P571" s="13" t="str">
        <f>IF((SUM(F571:M571)=0),"J",VLOOKUP(O571,Lookups!$A$1:$B$11,2))</f>
        <v>J</v>
      </c>
      <c r="Q571" s="8" t="e">
        <f>VLOOKUP(C571,Lookups!$A$136:$C$144,3)</f>
        <v>#N/A</v>
      </c>
      <c r="R571" s="8" t="e">
        <f>VLOOKUP(C571,Lookups!$A$136:$C$144,2)</f>
        <v>#N/A</v>
      </c>
      <c r="S571" s="4" t="str">
        <f t="shared" si="47"/>
        <v>No</v>
      </c>
      <c r="T571" s="125">
        <f t="shared" si="48"/>
        <v>0</v>
      </c>
      <c r="U571" s="125">
        <f t="shared" si="49"/>
        <v>0</v>
      </c>
      <c r="V571" s="4" t="e">
        <f>IF($Q571&lt;&gt;3,VLOOKUP(F571,'Points Table A'!B$3:$F$33,5),VLOOKUP(F571,'Points Table A'!H$3:$L$33,5))</f>
        <v>#N/A</v>
      </c>
      <c r="W571" s="4" t="e">
        <f>IF($Q571&lt;&gt;3,VLOOKUP(G571,'Points Table A'!C$3:$F$33,4),VLOOKUP(G571,'Points Table A'!I$3:$L$33,4))</f>
        <v>#N/A</v>
      </c>
      <c r="X571" s="4" t="e">
        <f>IF($Q571&lt;&gt;3,VLOOKUP(H571,'Points Table A'!D$3:$F$28,3),VLOOKUP(H571,'Points Table A'!J$3:$L$33,3))</f>
        <v>#N/A</v>
      </c>
      <c r="Y571" s="4" t="e">
        <f>IF($Q571&lt;&gt;3,VLOOKUP(I571,'Points Table A'!E$3:$F$33,2),VLOOKUP(I571,'Points Table A'!K$3:$L$33,2))</f>
        <v>#N/A</v>
      </c>
      <c r="Z571" s="4" t="e">
        <f t="shared" si="50"/>
        <v>#N/A</v>
      </c>
      <c r="AA571" s="4">
        <f>IF($S571=Lookups!$B$113,VLOOKUP(L571,'Points Table C'!A$3:$E$11,5),VLOOKUP(U571,'Points Table C'!B$3:$E$11,4))</f>
        <v>0</v>
      </c>
      <c r="AB571" s="4" t="e">
        <f>IF($Q571=1,0,VLOOKUP($J571,'Points Table C'!$C$3:$E$18,3))</f>
        <v>#N/A</v>
      </c>
      <c r="AC571" s="4">
        <f>VLOOKUP($K571,'Points Table C'!$D$3:$E$18,2)</f>
        <v>0</v>
      </c>
      <c r="AD571" s="4" t="e">
        <f>IF($Z571&lt;Lookups!$C$106,($AA571+AB571+AC571),IF($AA571&gt;=Lookups!$C$120,($AA571+AB571+AC571),$AA571+$AB571))</f>
        <v>#N/A</v>
      </c>
      <c r="AF571" s="7"/>
      <c r="AG571" s="7"/>
      <c r="AH571" s="7"/>
      <c r="AI571" s="7"/>
      <c r="AJ571" s="7"/>
      <c r="AK571" s="7"/>
      <c r="AL571" s="7"/>
      <c r="AM571" s="7"/>
      <c r="AN571" s="7"/>
      <c r="AO571" s="7"/>
      <c r="AP571" s="7"/>
      <c r="AQ571" s="7"/>
      <c r="AR571" s="7"/>
      <c r="AS571" s="7"/>
      <c r="AT571" s="7"/>
      <c r="AU571" s="7"/>
      <c r="AV571" s="7"/>
      <c r="AW571" s="7"/>
      <c r="AY571" s="7"/>
      <c r="AZ571" s="7"/>
      <c r="BA571" s="7"/>
      <c r="BB571" s="7"/>
    </row>
    <row r="572" spans="2:54" x14ac:dyDescent="0.2">
      <c r="B572" s="174"/>
      <c r="C572" s="176"/>
      <c r="F572" s="5">
        <v>0</v>
      </c>
      <c r="G572" s="192">
        <v>0</v>
      </c>
      <c r="H572" s="192">
        <v>0</v>
      </c>
      <c r="I572" s="5">
        <v>0</v>
      </c>
      <c r="J572" s="192">
        <v>0</v>
      </c>
      <c r="K572" s="192">
        <v>0</v>
      </c>
      <c r="L572" s="5">
        <v>0</v>
      </c>
      <c r="M572" s="5">
        <v>0</v>
      </c>
      <c r="N572" s="4" t="e">
        <f t="shared" si="51"/>
        <v>#N/A</v>
      </c>
      <c r="O572" s="4" t="e">
        <f>IF(ROUND(10.499-(((N572-VLOOKUP($C572,Lookups!$A$55:$D$64,3))/(VLOOKUP($C572,Lookups!$A$55:$D$64,4))*VLOOKUP($C572,Lookups!$C$2:$D$11,2))),0)&lt;1,1,IF(ROUND(10.499-(((N572-VLOOKUP($C572,Lookups!$A$55:$D$64,3))/(VLOOKUP($C572,Lookups!$A$55:$D$64,4))*VLOOKUP($C572,Lookups!$C$2:$D$11,2))),0)&lt;11,ROUND(10.499-(((N572-VLOOKUP($C572,Lookups!$A$55:$D$64,3))/(VLOOKUP($C572,Lookups!$A$55:$D$64,4))*VLOOKUP($C572,Lookups!$C$2:$D$11,2))),0),10))</f>
        <v>#N/A</v>
      </c>
      <c r="P572" s="13" t="str">
        <f>IF((SUM(F572:M572)=0),"J",VLOOKUP(O572,Lookups!$A$1:$B$11,2))</f>
        <v>J</v>
      </c>
      <c r="Q572" s="8" t="e">
        <f>VLOOKUP(C572,Lookups!$A$136:$C$144,3)</f>
        <v>#N/A</v>
      </c>
      <c r="R572" s="8" t="e">
        <f>VLOOKUP(C572,Lookups!$A$136:$C$144,2)</f>
        <v>#N/A</v>
      </c>
      <c r="S572" s="4" t="str">
        <f t="shared" si="47"/>
        <v>No</v>
      </c>
      <c r="T572" s="125">
        <f t="shared" si="48"/>
        <v>0</v>
      </c>
      <c r="U572" s="125">
        <f t="shared" si="49"/>
        <v>0</v>
      </c>
      <c r="V572" s="4" t="e">
        <f>IF($Q572&lt;&gt;3,VLOOKUP(F572,'Points Table A'!B$3:$F$33,5),VLOOKUP(F572,'Points Table A'!H$3:$L$33,5))</f>
        <v>#N/A</v>
      </c>
      <c r="W572" s="4" t="e">
        <f>IF($Q572&lt;&gt;3,VLOOKUP(G572,'Points Table A'!C$3:$F$33,4),VLOOKUP(G572,'Points Table A'!I$3:$L$33,4))</f>
        <v>#N/A</v>
      </c>
      <c r="X572" s="4" t="e">
        <f>IF($Q572&lt;&gt;3,VLOOKUP(H572,'Points Table A'!D$3:$F$28,3),VLOOKUP(H572,'Points Table A'!J$3:$L$33,3))</f>
        <v>#N/A</v>
      </c>
      <c r="Y572" s="4" t="e">
        <f>IF($Q572&lt;&gt;3,VLOOKUP(I572,'Points Table A'!E$3:$F$33,2),VLOOKUP(I572,'Points Table A'!K$3:$L$33,2))</f>
        <v>#N/A</v>
      </c>
      <c r="Z572" s="4" t="e">
        <f t="shared" si="50"/>
        <v>#N/A</v>
      </c>
      <c r="AA572" s="4">
        <f>IF($S572=Lookups!$B$113,VLOOKUP(L572,'Points Table C'!A$3:$E$11,5),VLOOKUP(U572,'Points Table C'!B$3:$E$11,4))</f>
        <v>0</v>
      </c>
      <c r="AB572" s="4" t="e">
        <f>IF($Q572=1,0,VLOOKUP($J572,'Points Table C'!$C$3:$E$18,3))</f>
        <v>#N/A</v>
      </c>
      <c r="AC572" s="4">
        <f>VLOOKUP($K572,'Points Table C'!$D$3:$E$18,2)</f>
        <v>0</v>
      </c>
      <c r="AD572" s="4" t="e">
        <f>IF($Z572&lt;Lookups!$C$106,($AA572+AB572+AC572),IF($AA572&gt;=Lookups!$C$120,($AA572+AB572+AC572),$AA572+$AB572))</f>
        <v>#N/A</v>
      </c>
      <c r="AF572" s="7"/>
      <c r="AG572" s="7"/>
      <c r="AH572" s="7"/>
      <c r="AI572" s="7"/>
      <c r="AJ572" s="7"/>
      <c r="AK572" s="7"/>
      <c r="AL572" s="7"/>
      <c r="AM572" s="7"/>
      <c r="AN572" s="7"/>
      <c r="AO572" s="7"/>
      <c r="AP572" s="7"/>
      <c r="AQ572" s="7"/>
      <c r="AR572" s="7"/>
      <c r="AS572" s="7"/>
      <c r="AT572" s="7"/>
      <c r="AU572" s="7"/>
      <c r="AV572" s="7"/>
      <c r="AW572" s="7"/>
      <c r="AY572" s="7"/>
      <c r="AZ572" s="7"/>
      <c r="BA572" s="7"/>
      <c r="BB572" s="7"/>
    </row>
    <row r="573" spans="2:54" x14ac:dyDescent="0.2">
      <c r="B573" s="174"/>
      <c r="C573" s="176"/>
      <c r="F573" s="5">
        <v>0</v>
      </c>
      <c r="G573" s="192">
        <v>0</v>
      </c>
      <c r="H573" s="192">
        <v>0</v>
      </c>
      <c r="I573" s="5">
        <v>0</v>
      </c>
      <c r="J573" s="192">
        <v>0</v>
      </c>
      <c r="K573" s="192">
        <v>0</v>
      </c>
      <c r="L573" s="5">
        <v>0</v>
      </c>
      <c r="M573" s="5">
        <v>0</v>
      </c>
      <c r="N573" s="4" t="e">
        <f t="shared" si="51"/>
        <v>#N/A</v>
      </c>
      <c r="O573" s="4" t="e">
        <f>IF(ROUND(10.499-(((N573-VLOOKUP($C573,Lookups!$A$55:$D$64,3))/(VLOOKUP($C573,Lookups!$A$55:$D$64,4))*VLOOKUP($C573,Lookups!$C$2:$D$11,2))),0)&lt;1,1,IF(ROUND(10.499-(((N573-VLOOKUP($C573,Lookups!$A$55:$D$64,3))/(VLOOKUP($C573,Lookups!$A$55:$D$64,4))*VLOOKUP($C573,Lookups!$C$2:$D$11,2))),0)&lt;11,ROUND(10.499-(((N573-VLOOKUP($C573,Lookups!$A$55:$D$64,3))/(VLOOKUP($C573,Lookups!$A$55:$D$64,4))*VLOOKUP($C573,Lookups!$C$2:$D$11,2))),0),10))</f>
        <v>#N/A</v>
      </c>
      <c r="P573" s="13" t="str">
        <f>IF((SUM(F573:M573)=0),"J",VLOOKUP(O573,Lookups!$A$1:$B$11,2))</f>
        <v>J</v>
      </c>
      <c r="Q573" s="8" t="e">
        <f>VLOOKUP(C573,Lookups!$A$136:$C$144,3)</f>
        <v>#N/A</v>
      </c>
      <c r="R573" s="8" t="e">
        <f>VLOOKUP(C573,Lookups!$A$136:$C$144,2)</f>
        <v>#N/A</v>
      </c>
      <c r="S573" s="4" t="str">
        <f t="shared" si="47"/>
        <v>No</v>
      </c>
      <c r="T573" s="125">
        <f t="shared" si="48"/>
        <v>0</v>
      </c>
      <c r="U573" s="125">
        <f t="shared" si="49"/>
        <v>0</v>
      </c>
      <c r="V573" s="4" t="e">
        <f>IF($Q573&lt;&gt;3,VLOOKUP(F573,'Points Table A'!B$3:$F$33,5),VLOOKUP(F573,'Points Table A'!H$3:$L$33,5))</f>
        <v>#N/A</v>
      </c>
      <c r="W573" s="4" t="e">
        <f>IF($Q573&lt;&gt;3,VLOOKUP(G573,'Points Table A'!C$3:$F$33,4),VLOOKUP(G573,'Points Table A'!I$3:$L$33,4))</f>
        <v>#N/A</v>
      </c>
      <c r="X573" s="4" t="e">
        <f>IF($Q573&lt;&gt;3,VLOOKUP(H573,'Points Table A'!D$3:$F$28,3),VLOOKUP(H573,'Points Table A'!J$3:$L$33,3))</f>
        <v>#N/A</v>
      </c>
      <c r="Y573" s="4" t="e">
        <f>IF($Q573&lt;&gt;3,VLOOKUP(I573,'Points Table A'!E$3:$F$33,2),VLOOKUP(I573,'Points Table A'!K$3:$L$33,2))</f>
        <v>#N/A</v>
      </c>
      <c r="Z573" s="4" t="e">
        <f t="shared" si="50"/>
        <v>#N/A</v>
      </c>
      <c r="AA573" s="4">
        <f>IF($S573=Lookups!$B$113,VLOOKUP(L573,'Points Table C'!A$3:$E$11,5),VLOOKUP(U573,'Points Table C'!B$3:$E$11,4))</f>
        <v>0</v>
      </c>
      <c r="AB573" s="4" t="e">
        <f>IF($Q573=1,0,VLOOKUP($J573,'Points Table C'!$C$3:$E$18,3))</f>
        <v>#N/A</v>
      </c>
      <c r="AC573" s="4">
        <f>VLOOKUP($K573,'Points Table C'!$D$3:$E$18,2)</f>
        <v>0</v>
      </c>
      <c r="AD573" s="4" t="e">
        <f>IF($Z573&lt;Lookups!$C$106,($AA573+AB573+AC573),IF($AA573&gt;=Lookups!$C$120,($AA573+AB573+AC573),$AA573+$AB573))</f>
        <v>#N/A</v>
      </c>
      <c r="AF573" s="7"/>
      <c r="AG573" s="7"/>
      <c r="AH573" s="7"/>
      <c r="AI573" s="7"/>
      <c r="AJ573" s="7"/>
      <c r="AK573" s="7"/>
      <c r="AL573" s="7"/>
      <c r="AM573" s="7"/>
      <c r="AN573" s="7"/>
      <c r="AO573" s="7"/>
      <c r="AP573" s="7"/>
      <c r="AQ573" s="7"/>
      <c r="AR573" s="7"/>
      <c r="AS573" s="7"/>
      <c r="AT573" s="7"/>
      <c r="AU573" s="7"/>
      <c r="AV573" s="7"/>
      <c r="AW573" s="7"/>
      <c r="AY573" s="7"/>
      <c r="AZ573" s="7"/>
      <c r="BA573" s="7"/>
      <c r="BB573" s="7"/>
    </row>
    <row r="574" spans="2:54" x14ac:dyDescent="0.2">
      <c r="B574" s="174"/>
      <c r="C574" s="176"/>
      <c r="F574" s="5">
        <v>0</v>
      </c>
      <c r="G574" s="192">
        <v>0</v>
      </c>
      <c r="H574" s="192">
        <v>0</v>
      </c>
      <c r="I574" s="5">
        <v>0</v>
      </c>
      <c r="J574" s="192">
        <v>0</v>
      </c>
      <c r="K574" s="192">
        <v>0</v>
      </c>
      <c r="L574" s="5">
        <v>0</v>
      </c>
      <c r="M574" s="5">
        <v>0</v>
      </c>
      <c r="N574" s="4" t="e">
        <f t="shared" si="51"/>
        <v>#N/A</v>
      </c>
      <c r="O574" s="4" t="e">
        <f>IF(ROUND(10.499-(((N574-VLOOKUP($C574,Lookups!$A$55:$D$64,3))/(VLOOKUP($C574,Lookups!$A$55:$D$64,4))*VLOOKUP($C574,Lookups!$C$2:$D$11,2))),0)&lt;1,1,IF(ROUND(10.499-(((N574-VLOOKUP($C574,Lookups!$A$55:$D$64,3))/(VLOOKUP($C574,Lookups!$A$55:$D$64,4))*VLOOKUP($C574,Lookups!$C$2:$D$11,2))),0)&lt;11,ROUND(10.499-(((N574-VLOOKUP($C574,Lookups!$A$55:$D$64,3))/(VLOOKUP($C574,Lookups!$A$55:$D$64,4))*VLOOKUP($C574,Lookups!$C$2:$D$11,2))),0),10))</f>
        <v>#N/A</v>
      </c>
      <c r="P574" s="13" t="str">
        <f>IF((SUM(F574:M574)=0),"J",VLOOKUP(O574,Lookups!$A$1:$B$11,2))</f>
        <v>J</v>
      </c>
      <c r="Q574" s="8" t="e">
        <f>VLOOKUP(C574,Lookups!$A$136:$C$144,3)</f>
        <v>#N/A</v>
      </c>
      <c r="R574" s="8" t="e">
        <f>VLOOKUP(C574,Lookups!$A$136:$C$144,2)</f>
        <v>#N/A</v>
      </c>
      <c r="S574" s="4" t="str">
        <f t="shared" si="47"/>
        <v>No</v>
      </c>
      <c r="T574" s="125">
        <f t="shared" si="48"/>
        <v>0</v>
      </c>
      <c r="U574" s="125">
        <f t="shared" si="49"/>
        <v>0</v>
      </c>
      <c r="V574" s="4" t="e">
        <f>IF($Q574&lt;&gt;3,VLOOKUP(F574,'Points Table A'!B$3:$F$33,5),VLOOKUP(F574,'Points Table A'!H$3:$L$33,5))</f>
        <v>#N/A</v>
      </c>
      <c r="W574" s="4" t="e">
        <f>IF($Q574&lt;&gt;3,VLOOKUP(G574,'Points Table A'!C$3:$F$33,4),VLOOKUP(G574,'Points Table A'!I$3:$L$33,4))</f>
        <v>#N/A</v>
      </c>
      <c r="X574" s="4" t="e">
        <f>IF($Q574&lt;&gt;3,VLOOKUP(H574,'Points Table A'!D$3:$F$28,3),VLOOKUP(H574,'Points Table A'!J$3:$L$33,3))</f>
        <v>#N/A</v>
      </c>
      <c r="Y574" s="4" t="e">
        <f>IF($Q574&lt;&gt;3,VLOOKUP(I574,'Points Table A'!E$3:$F$33,2),VLOOKUP(I574,'Points Table A'!K$3:$L$33,2))</f>
        <v>#N/A</v>
      </c>
      <c r="Z574" s="4" t="e">
        <f t="shared" si="50"/>
        <v>#N/A</v>
      </c>
      <c r="AA574" s="4">
        <f>IF($S574=Lookups!$B$113,VLOOKUP(L574,'Points Table C'!A$3:$E$11,5),VLOOKUP(U574,'Points Table C'!B$3:$E$11,4))</f>
        <v>0</v>
      </c>
      <c r="AB574" s="4" t="e">
        <f>IF($Q574=1,0,VLOOKUP($J574,'Points Table C'!$C$3:$E$18,3))</f>
        <v>#N/A</v>
      </c>
      <c r="AC574" s="4">
        <f>VLOOKUP($K574,'Points Table C'!$D$3:$E$18,2)</f>
        <v>0</v>
      </c>
      <c r="AD574" s="4" t="e">
        <f>IF($Z574&lt;Lookups!$C$106,($AA574+AB574+AC574),IF($AA574&gt;=Lookups!$C$120,($AA574+AB574+AC574),$AA574+$AB574))</f>
        <v>#N/A</v>
      </c>
      <c r="AF574" s="7"/>
      <c r="AG574" s="7"/>
      <c r="AH574" s="7"/>
      <c r="AI574" s="7"/>
      <c r="AJ574" s="7"/>
      <c r="AK574" s="7"/>
      <c r="AL574" s="7"/>
      <c r="AM574" s="7"/>
      <c r="AN574" s="7"/>
      <c r="AO574" s="7"/>
      <c r="AP574" s="7"/>
      <c r="AQ574" s="7"/>
      <c r="AR574" s="7"/>
      <c r="AS574" s="7"/>
      <c r="AT574" s="7"/>
      <c r="AU574" s="7"/>
      <c r="AV574" s="7"/>
      <c r="AW574" s="7"/>
      <c r="AY574" s="7"/>
      <c r="AZ574" s="7"/>
      <c r="BA574" s="7"/>
      <c r="BB574" s="7"/>
    </row>
    <row r="575" spans="2:54" x14ac:dyDescent="0.2">
      <c r="B575" s="174"/>
      <c r="C575" s="176"/>
      <c r="F575" s="5">
        <v>0</v>
      </c>
      <c r="G575" s="192">
        <v>0</v>
      </c>
      <c r="H575" s="192">
        <v>0</v>
      </c>
      <c r="I575" s="5">
        <v>0</v>
      </c>
      <c r="J575" s="192">
        <v>0</v>
      </c>
      <c r="K575" s="192">
        <v>0</v>
      </c>
      <c r="L575" s="5">
        <v>0</v>
      </c>
      <c r="M575" s="5">
        <v>0</v>
      </c>
      <c r="N575" s="4" t="e">
        <f t="shared" si="51"/>
        <v>#N/A</v>
      </c>
      <c r="O575" s="4" t="e">
        <f>IF(ROUND(10.499-(((N575-VLOOKUP($C575,Lookups!$A$55:$D$64,3))/(VLOOKUP($C575,Lookups!$A$55:$D$64,4))*VLOOKUP($C575,Lookups!$C$2:$D$11,2))),0)&lt;1,1,IF(ROUND(10.499-(((N575-VLOOKUP($C575,Lookups!$A$55:$D$64,3))/(VLOOKUP($C575,Lookups!$A$55:$D$64,4))*VLOOKUP($C575,Lookups!$C$2:$D$11,2))),0)&lt;11,ROUND(10.499-(((N575-VLOOKUP($C575,Lookups!$A$55:$D$64,3))/(VLOOKUP($C575,Lookups!$A$55:$D$64,4))*VLOOKUP($C575,Lookups!$C$2:$D$11,2))),0),10))</f>
        <v>#N/A</v>
      </c>
      <c r="P575" s="13" t="str">
        <f>IF((SUM(F575:M575)=0),"J",VLOOKUP(O575,Lookups!$A$1:$B$11,2))</f>
        <v>J</v>
      </c>
      <c r="Q575" s="8" t="e">
        <f>VLOOKUP(C575,Lookups!$A$136:$C$144,3)</f>
        <v>#N/A</v>
      </c>
      <c r="R575" s="8" t="e">
        <f>VLOOKUP(C575,Lookups!$A$136:$C$144,2)</f>
        <v>#N/A</v>
      </c>
      <c r="S575" s="4" t="str">
        <f t="shared" si="47"/>
        <v>No</v>
      </c>
      <c r="T575" s="125">
        <f t="shared" si="48"/>
        <v>0</v>
      </c>
      <c r="U575" s="125">
        <f t="shared" si="49"/>
        <v>0</v>
      </c>
      <c r="V575" s="4" t="e">
        <f>IF($Q575&lt;&gt;3,VLOOKUP(F575,'Points Table A'!B$3:$F$33,5),VLOOKUP(F575,'Points Table A'!H$3:$L$33,5))</f>
        <v>#N/A</v>
      </c>
      <c r="W575" s="4" t="e">
        <f>IF($Q575&lt;&gt;3,VLOOKUP(G575,'Points Table A'!C$3:$F$33,4),VLOOKUP(G575,'Points Table A'!I$3:$L$33,4))</f>
        <v>#N/A</v>
      </c>
      <c r="X575" s="4" t="e">
        <f>IF($Q575&lt;&gt;3,VLOOKUP(H575,'Points Table A'!D$3:$F$28,3),VLOOKUP(H575,'Points Table A'!J$3:$L$33,3))</f>
        <v>#N/A</v>
      </c>
      <c r="Y575" s="4" t="e">
        <f>IF($Q575&lt;&gt;3,VLOOKUP(I575,'Points Table A'!E$3:$F$33,2),VLOOKUP(I575,'Points Table A'!K$3:$L$33,2))</f>
        <v>#N/A</v>
      </c>
      <c r="Z575" s="4" t="e">
        <f t="shared" si="50"/>
        <v>#N/A</v>
      </c>
      <c r="AA575" s="4">
        <f>IF($S575=Lookups!$B$113,VLOOKUP(L575,'Points Table C'!A$3:$E$11,5),VLOOKUP(U575,'Points Table C'!B$3:$E$11,4))</f>
        <v>0</v>
      </c>
      <c r="AB575" s="4" t="e">
        <f>IF($Q575=1,0,VLOOKUP($J575,'Points Table C'!$C$3:$E$18,3))</f>
        <v>#N/A</v>
      </c>
      <c r="AC575" s="4">
        <f>VLOOKUP($K575,'Points Table C'!$D$3:$E$18,2)</f>
        <v>0</v>
      </c>
      <c r="AD575" s="4" t="e">
        <f>IF($Z575&lt;Lookups!$C$106,($AA575+AB575+AC575),IF($AA575&gt;=Lookups!$C$120,($AA575+AB575+AC575),$AA575+$AB575))</f>
        <v>#N/A</v>
      </c>
      <c r="AF575" s="7"/>
      <c r="AG575" s="7"/>
      <c r="AH575" s="7"/>
      <c r="AI575" s="7"/>
      <c r="AJ575" s="7"/>
      <c r="AK575" s="7"/>
      <c r="AL575" s="7"/>
      <c r="AM575" s="7"/>
      <c r="AN575" s="7"/>
      <c r="AO575" s="7"/>
      <c r="AP575" s="7"/>
      <c r="AQ575" s="7"/>
      <c r="AR575" s="7"/>
      <c r="AS575" s="7"/>
      <c r="AT575" s="7"/>
      <c r="AU575" s="7"/>
      <c r="AV575" s="7"/>
      <c r="AW575" s="7"/>
      <c r="AY575" s="7"/>
      <c r="AZ575" s="7"/>
      <c r="BA575" s="7"/>
      <c r="BB575" s="7"/>
    </row>
    <row r="576" spans="2:54" x14ac:dyDescent="0.2">
      <c r="B576" s="174"/>
      <c r="C576" s="176"/>
      <c r="F576" s="5">
        <v>0</v>
      </c>
      <c r="G576" s="192">
        <v>0</v>
      </c>
      <c r="H576" s="192">
        <v>0</v>
      </c>
      <c r="I576" s="5">
        <v>0</v>
      </c>
      <c r="J576" s="192">
        <v>0</v>
      </c>
      <c r="K576" s="192">
        <v>0</v>
      </c>
      <c r="L576" s="5">
        <v>0</v>
      </c>
      <c r="M576" s="5">
        <v>0</v>
      </c>
      <c r="N576" s="4" t="e">
        <f t="shared" si="51"/>
        <v>#N/A</v>
      </c>
      <c r="O576" s="4" t="e">
        <f>IF(ROUND(10.499-(((N576-VLOOKUP($C576,Lookups!$A$55:$D$64,3))/(VLOOKUP($C576,Lookups!$A$55:$D$64,4))*VLOOKUP($C576,Lookups!$C$2:$D$11,2))),0)&lt;1,1,IF(ROUND(10.499-(((N576-VLOOKUP($C576,Lookups!$A$55:$D$64,3))/(VLOOKUP($C576,Lookups!$A$55:$D$64,4))*VLOOKUP($C576,Lookups!$C$2:$D$11,2))),0)&lt;11,ROUND(10.499-(((N576-VLOOKUP($C576,Lookups!$A$55:$D$64,3))/(VLOOKUP($C576,Lookups!$A$55:$D$64,4))*VLOOKUP($C576,Lookups!$C$2:$D$11,2))),0),10))</f>
        <v>#N/A</v>
      </c>
      <c r="P576" s="13" t="str">
        <f>IF((SUM(F576:M576)=0),"J",VLOOKUP(O576,Lookups!$A$1:$B$11,2))</f>
        <v>J</v>
      </c>
      <c r="Q576" s="8" t="e">
        <f>VLOOKUP(C576,Lookups!$A$136:$C$144,3)</f>
        <v>#N/A</v>
      </c>
      <c r="R576" s="8" t="e">
        <f>VLOOKUP(C576,Lookups!$A$136:$C$144,2)</f>
        <v>#N/A</v>
      </c>
      <c r="S576" s="4" t="str">
        <f t="shared" si="47"/>
        <v>No</v>
      </c>
      <c r="T576" s="125">
        <f t="shared" si="48"/>
        <v>0</v>
      </c>
      <c r="U576" s="125">
        <f t="shared" si="49"/>
        <v>0</v>
      </c>
      <c r="V576" s="4" t="e">
        <f>IF($Q576&lt;&gt;3,VLOOKUP(F576,'Points Table A'!B$3:$F$33,5),VLOOKUP(F576,'Points Table A'!H$3:$L$33,5))</f>
        <v>#N/A</v>
      </c>
      <c r="W576" s="4" t="e">
        <f>IF($Q576&lt;&gt;3,VLOOKUP(G576,'Points Table A'!C$3:$F$33,4),VLOOKUP(G576,'Points Table A'!I$3:$L$33,4))</f>
        <v>#N/A</v>
      </c>
      <c r="X576" s="4" t="e">
        <f>IF($Q576&lt;&gt;3,VLOOKUP(H576,'Points Table A'!D$3:$F$28,3),VLOOKUP(H576,'Points Table A'!J$3:$L$33,3))</f>
        <v>#N/A</v>
      </c>
      <c r="Y576" s="4" t="e">
        <f>IF($Q576&lt;&gt;3,VLOOKUP(I576,'Points Table A'!E$3:$F$33,2),VLOOKUP(I576,'Points Table A'!K$3:$L$33,2))</f>
        <v>#N/A</v>
      </c>
      <c r="Z576" s="4" t="e">
        <f t="shared" si="50"/>
        <v>#N/A</v>
      </c>
      <c r="AA576" s="4">
        <f>IF($S576=Lookups!$B$113,VLOOKUP(L576,'Points Table C'!A$3:$E$11,5),VLOOKUP(U576,'Points Table C'!B$3:$E$11,4))</f>
        <v>0</v>
      </c>
      <c r="AB576" s="4" t="e">
        <f>IF($Q576=1,0,VLOOKUP($J576,'Points Table C'!$C$3:$E$18,3))</f>
        <v>#N/A</v>
      </c>
      <c r="AC576" s="4">
        <f>VLOOKUP($K576,'Points Table C'!$D$3:$E$18,2)</f>
        <v>0</v>
      </c>
      <c r="AD576" s="4" t="e">
        <f>IF($Z576&lt;Lookups!$C$106,($AA576+AB576+AC576),IF($AA576&gt;=Lookups!$C$120,($AA576+AB576+AC576),$AA576+$AB576))</f>
        <v>#N/A</v>
      </c>
      <c r="AF576" s="7"/>
      <c r="AG576" s="7"/>
      <c r="AH576" s="7"/>
      <c r="AI576" s="7"/>
      <c r="AJ576" s="7"/>
      <c r="AK576" s="7"/>
      <c r="AL576" s="7"/>
      <c r="AM576" s="7"/>
      <c r="AN576" s="7"/>
      <c r="AO576" s="7"/>
      <c r="AP576" s="7"/>
      <c r="AQ576" s="7"/>
      <c r="AR576" s="7"/>
      <c r="AS576" s="7"/>
      <c r="AT576" s="7"/>
      <c r="AU576" s="7"/>
      <c r="AV576" s="7"/>
      <c r="AW576" s="7"/>
      <c r="AY576" s="7"/>
      <c r="AZ576" s="7"/>
      <c r="BA576" s="7"/>
      <c r="BB576" s="7"/>
    </row>
    <row r="577" spans="2:54" x14ac:dyDescent="0.2">
      <c r="B577" s="174"/>
      <c r="C577" s="176"/>
      <c r="F577" s="5">
        <v>0</v>
      </c>
      <c r="G577" s="192">
        <v>0</v>
      </c>
      <c r="H577" s="192">
        <v>0</v>
      </c>
      <c r="I577" s="5">
        <v>0</v>
      </c>
      <c r="J577" s="192">
        <v>0</v>
      </c>
      <c r="K577" s="192">
        <v>0</v>
      </c>
      <c r="L577" s="5">
        <v>0</v>
      </c>
      <c r="M577" s="5">
        <v>0</v>
      </c>
      <c r="N577" s="4" t="e">
        <f t="shared" si="51"/>
        <v>#N/A</v>
      </c>
      <c r="O577" s="4" t="e">
        <f>IF(ROUND(10.499-(((N577-VLOOKUP($C577,Lookups!$A$55:$D$64,3))/(VLOOKUP($C577,Lookups!$A$55:$D$64,4))*VLOOKUP($C577,Lookups!$C$2:$D$11,2))),0)&lt;1,1,IF(ROUND(10.499-(((N577-VLOOKUP($C577,Lookups!$A$55:$D$64,3))/(VLOOKUP($C577,Lookups!$A$55:$D$64,4))*VLOOKUP($C577,Lookups!$C$2:$D$11,2))),0)&lt;11,ROUND(10.499-(((N577-VLOOKUP($C577,Lookups!$A$55:$D$64,3))/(VLOOKUP($C577,Lookups!$A$55:$D$64,4))*VLOOKUP($C577,Lookups!$C$2:$D$11,2))),0),10))</f>
        <v>#N/A</v>
      </c>
      <c r="P577" s="13" t="str">
        <f>IF((SUM(F577:M577)=0),"J",VLOOKUP(O577,Lookups!$A$1:$B$11,2))</f>
        <v>J</v>
      </c>
      <c r="Q577" s="8" t="e">
        <f>VLOOKUP(C577,Lookups!$A$136:$C$144,3)</f>
        <v>#N/A</v>
      </c>
      <c r="R577" s="8" t="e">
        <f>VLOOKUP(C577,Lookups!$A$136:$C$144,2)</f>
        <v>#N/A</v>
      </c>
      <c r="S577" s="4" t="str">
        <f t="shared" si="47"/>
        <v>No</v>
      </c>
      <c r="T577" s="125">
        <f t="shared" si="48"/>
        <v>0</v>
      </c>
      <c r="U577" s="125">
        <f t="shared" si="49"/>
        <v>0</v>
      </c>
      <c r="V577" s="4" t="e">
        <f>IF($Q577&lt;&gt;3,VLOOKUP(F577,'Points Table A'!B$3:$F$33,5),VLOOKUP(F577,'Points Table A'!H$3:$L$33,5))</f>
        <v>#N/A</v>
      </c>
      <c r="W577" s="4" t="e">
        <f>IF($Q577&lt;&gt;3,VLOOKUP(G577,'Points Table A'!C$3:$F$33,4),VLOOKUP(G577,'Points Table A'!I$3:$L$33,4))</f>
        <v>#N/A</v>
      </c>
      <c r="X577" s="4" t="e">
        <f>IF($Q577&lt;&gt;3,VLOOKUP(H577,'Points Table A'!D$3:$F$28,3),VLOOKUP(H577,'Points Table A'!J$3:$L$33,3))</f>
        <v>#N/A</v>
      </c>
      <c r="Y577" s="4" t="e">
        <f>IF($Q577&lt;&gt;3,VLOOKUP(I577,'Points Table A'!E$3:$F$33,2),VLOOKUP(I577,'Points Table A'!K$3:$L$33,2))</f>
        <v>#N/A</v>
      </c>
      <c r="Z577" s="4" t="e">
        <f t="shared" si="50"/>
        <v>#N/A</v>
      </c>
      <c r="AA577" s="4">
        <f>IF($S577=Lookups!$B$113,VLOOKUP(L577,'Points Table C'!A$3:$E$11,5),VLOOKUP(U577,'Points Table C'!B$3:$E$11,4))</f>
        <v>0</v>
      </c>
      <c r="AB577" s="4" t="e">
        <f>IF($Q577=1,0,VLOOKUP($J577,'Points Table C'!$C$3:$E$18,3))</f>
        <v>#N/A</v>
      </c>
      <c r="AC577" s="4">
        <f>VLOOKUP($K577,'Points Table C'!$D$3:$E$18,2)</f>
        <v>0</v>
      </c>
      <c r="AD577" s="4" t="e">
        <f>IF($Z577&lt;Lookups!$C$106,($AA577+AB577+AC577),IF($AA577&gt;=Lookups!$C$120,($AA577+AB577+AC577),$AA577+$AB577))</f>
        <v>#N/A</v>
      </c>
      <c r="AF577" s="7"/>
      <c r="AG577" s="7"/>
      <c r="AH577" s="7"/>
      <c r="AI577" s="7"/>
      <c r="AJ577" s="7"/>
      <c r="AK577" s="7"/>
      <c r="AL577" s="7"/>
      <c r="AM577" s="7"/>
      <c r="AN577" s="7"/>
      <c r="AO577" s="7"/>
      <c r="AP577" s="7"/>
      <c r="AQ577" s="7"/>
      <c r="AR577" s="7"/>
      <c r="AS577" s="7"/>
      <c r="AT577" s="7"/>
      <c r="AU577" s="7"/>
      <c r="AV577" s="7"/>
      <c r="AW577" s="7"/>
      <c r="AY577" s="7"/>
      <c r="AZ577" s="7"/>
      <c r="BA577" s="7"/>
      <c r="BB577" s="7"/>
    </row>
    <row r="578" spans="2:54" x14ac:dyDescent="0.2">
      <c r="B578" s="174"/>
      <c r="C578" s="176"/>
      <c r="F578" s="5">
        <v>0</v>
      </c>
      <c r="G578" s="192">
        <v>0</v>
      </c>
      <c r="H578" s="192">
        <v>0</v>
      </c>
      <c r="I578" s="5">
        <v>0</v>
      </c>
      <c r="J578" s="192">
        <v>0</v>
      </c>
      <c r="K578" s="192">
        <v>0</v>
      </c>
      <c r="L578" s="5">
        <v>0</v>
      </c>
      <c r="M578" s="5">
        <v>0</v>
      </c>
      <c r="N578" s="4" t="e">
        <f t="shared" si="51"/>
        <v>#N/A</v>
      </c>
      <c r="O578" s="4" t="e">
        <f>IF(ROUND(10.499-(((N578-VLOOKUP($C578,Lookups!$A$55:$D$64,3))/(VLOOKUP($C578,Lookups!$A$55:$D$64,4))*VLOOKUP($C578,Lookups!$C$2:$D$11,2))),0)&lt;1,1,IF(ROUND(10.499-(((N578-VLOOKUP($C578,Lookups!$A$55:$D$64,3))/(VLOOKUP($C578,Lookups!$A$55:$D$64,4))*VLOOKUP($C578,Lookups!$C$2:$D$11,2))),0)&lt;11,ROUND(10.499-(((N578-VLOOKUP($C578,Lookups!$A$55:$D$64,3))/(VLOOKUP($C578,Lookups!$A$55:$D$64,4))*VLOOKUP($C578,Lookups!$C$2:$D$11,2))),0),10))</f>
        <v>#N/A</v>
      </c>
      <c r="P578" s="13" t="str">
        <f>IF((SUM(F578:M578)=0),"J",VLOOKUP(O578,Lookups!$A$1:$B$11,2))</f>
        <v>J</v>
      </c>
      <c r="Q578" s="8" t="e">
        <f>VLOOKUP(C578,Lookups!$A$136:$C$144,3)</f>
        <v>#N/A</v>
      </c>
      <c r="R578" s="8" t="e">
        <f>VLOOKUP(C578,Lookups!$A$136:$C$144,2)</f>
        <v>#N/A</v>
      </c>
      <c r="S578" s="4" t="str">
        <f t="shared" si="47"/>
        <v>No</v>
      </c>
      <c r="T578" s="125">
        <f t="shared" si="48"/>
        <v>0</v>
      </c>
      <c r="U578" s="125">
        <f t="shared" si="49"/>
        <v>0</v>
      </c>
      <c r="V578" s="4" t="e">
        <f>IF($Q578&lt;&gt;3,VLOOKUP(F578,'Points Table A'!B$3:$F$33,5),VLOOKUP(F578,'Points Table A'!H$3:$L$33,5))</f>
        <v>#N/A</v>
      </c>
      <c r="W578" s="4" t="e">
        <f>IF($Q578&lt;&gt;3,VLOOKUP(G578,'Points Table A'!C$3:$F$33,4),VLOOKUP(G578,'Points Table A'!I$3:$L$33,4))</f>
        <v>#N/A</v>
      </c>
      <c r="X578" s="4" t="e">
        <f>IF($Q578&lt;&gt;3,VLOOKUP(H578,'Points Table A'!D$3:$F$28,3),VLOOKUP(H578,'Points Table A'!J$3:$L$33,3))</f>
        <v>#N/A</v>
      </c>
      <c r="Y578" s="4" t="e">
        <f>IF($Q578&lt;&gt;3,VLOOKUP(I578,'Points Table A'!E$3:$F$33,2),VLOOKUP(I578,'Points Table A'!K$3:$L$33,2))</f>
        <v>#N/A</v>
      </c>
      <c r="Z578" s="4" t="e">
        <f t="shared" si="50"/>
        <v>#N/A</v>
      </c>
      <c r="AA578" s="4">
        <f>IF($S578=Lookups!$B$113,VLOOKUP(L578,'Points Table C'!A$3:$E$11,5),VLOOKUP(U578,'Points Table C'!B$3:$E$11,4))</f>
        <v>0</v>
      </c>
      <c r="AB578" s="4" t="e">
        <f>IF($Q578=1,0,VLOOKUP($J578,'Points Table C'!$C$3:$E$18,3))</f>
        <v>#N/A</v>
      </c>
      <c r="AC578" s="4">
        <f>VLOOKUP($K578,'Points Table C'!$D$3:$E$18,2)</f>
        <v>0</v>
      </c>
      <c r="AD578" s="4" t="e">
        <f>IF($Z578&lt;Lookups!$C$106,($AA578+AB578+AC578),IF($AA578&gt;=Lookups!$C$120,($AA578+AB578+AC578),$AA578+$AB578))</f>
        <v>#N/A</v>
      </c>
      <c r="AF578" s="7"/>
      <c r="AG578" s="7"/>
      <c r="AH578" s="7"/>
      <c r="AI578" s="7"/>
      <c r="AJ578" s="7"/>
      <c r="AK578" s="7"/>
      <c r="AL578" s="7"/>
      <c r="AM578" s="7"/>
      <c r="AN578" s="7"/>
      <c r="AO578" s="7"/>
      <c r="AP578" s="7"/>
      <c r="AQ578" s="7"/>
      <c r="AR578" s="7"/>
      <c r="AS578" s="7"/>
      <c r="AT578" s="7"/>
      <c r="AU578" s="7"/>
      <c r="AV578" s="7"/>
      <c r="AW578" s="7"/>
      <c r="AY578" s="7"/>
      <c r="AZ578" s="7"/>
      <c r="BA578" s="7"/>
      <c r="BB578" s="7"/>
    </row>
    <row r="579" spans="2:54" x14ac:dyDescent="0.2">
      <c r="B579" s="174"/>
      <c r="C579" s="176"/>
      <c r="F579" s="5">
        <v>0</v>
      </c>
      <c r="G579" s="192">
        <v>0</v>
      </c>
      <c r="H579" s="192">
        <v>0</v>
      </c>
      <c r="I579" s="5">
        <v>0</v>
      </c>
      <c r="J579" s="192">
        <v>0</v>
      </c>
      <c r="K579" s="192">
        <v>0</v>
      </c>
      <c r="L579" s="5">
        <v>0</v>
      </c>
      <c r="M579" s="5">
        <v>0</v>
      </c>
      <c r="N579" s="4" t="e">
        <f t="shared" si="51"/>
        <v>#N/A</v>
      </c>
      <c r="O579" s="4" t="e">
        <f>IF(ROUND(10.499-(((N579-VLOOKUP($C579,Lookups!$A$55:$D$64,3))/(VLOOKUP($C579,Lookups!$A$55:$D$64,4))*VLOOKUP($C579,Lookups!$C$2:$D$11,2))),0)&lt;1,1,IF(ROUND(10.499-(((N579-VLOOKUP($C579,Lookups!$A$55:$D$64,3))/(VLOOKUP($C579,Lookups!$A$55:$D$64,4))*VLOOKUP($C579,Lookups!$C$2:$D$11,2))),0)&lt;11,ROUND(10.499-(((N579-VLOOKUP($C579,Lookups!$A$55:$D$64,3))/(VLOOKUP($C579,Lookups!$A$55:$D$64,4))*VLOOKUP($C579,Lookups!$C$2:$D$11,2))),0),10))</f>
        <v>#N/A</v>
      </c>
      <c r="P579" s="13" t="str">
        <f>IF((SUM(F579:M579)=0),"J",VLOOKUP(O579,Lookups!$A$1:$B$11,2))</f>
        <v>J</v>
      </c>
      <c r="Q579" s="8" t="e">
        <f>VLOOKUP(C579,Lookups!$A$136:$C$144,3)</f>
        <v>#N/A</v>
      </c>
      <c r="R579" s="8" t="e">
        <f>VLOOKUP(C579,Lookups!$A$136:$C$144,2)</f>
        <v>#N/A</v>
      </c>
      <c r="S579" s="4" t="str">
        <f t="shared" si="47"/>
        <v>No</v>
      </c>
      <c r="T579" s="125">
        <f t="shared" si="48"/>
        <v>0</v>
      </c>
      <c r="U579" s="125">
        <f t="shared" si="49"/>
        <v>0</v>
      </c>
      <c r="V579" s="4" t="e">
        <f>IF($Q579&lt;&gt;3,VLOOKUP(F579,'Points Table A'!B$3:$F$33,5),VLOOKUP(F579,'Points Table A'!H$3:$L$33,5))</f>
        <v>#N/A</v>
      </c>
      <c r="W579" s="4" t="e">
        <f>IF($Q579&lt;&gt;3,VLOOKUP(G579,'Points Table A'!C$3:$F$33,4),VLOOKUP(G579,'Points Table A'!I$3:$L$33,4))</f>
        <v>#N/A</v>
      </c>
      <c r="X579" s="4" t="e">
        <f>IF($Q579&lt;&gt;3,VLOOKUP(H579,'Points Table A'!D$3:$F$28,3),VLOOKUP(H579,'Points Table A'!J$3:$L$33,3))</f>
        <v>#N/A</v>
      </c>
      <c r="Y579" s="4" t="e">
        <f>IF($Q579&lt;&gt;3,VLOOKUP(I579,'Points Table A'!E$3:$F$33,2),VLOOKUP(I579,'Points Table A'!K$3:$L$33,2))</f>
        <v>#N/A</v>
      </c>
      <c r="Z579" s="4" t="e">
        <f t="shared" si="50"/>
        <v>#N/A</v>
      </c>
      <c r="AA579" s="4">
        <f>IF($S579=Lookups!$B$113,VLOOKUP(L579,'Points Table C'!A$3:$E$11,5),VLOOKUP(U579,'Points Table C'!B$3:$E$11,4))</f>
        <v>0</v>
      </c>
      <c r="AB579" s="4" t="e">
        <f>IF($Q579=1,0,VLOOKUP($J579,'Points Table C'!$C$3:$E$18,3))</f>
        <v>#N/A</v>
      </c>
      <c r="AC579" s="4">
        <f>VLOOKUP($K579,'Points Table C'!$D$3:$E$18,2)</f>
        <v>0</v>
      </c>
      <c r="AD579" s="4" t="e">
        <f>IF($Z579&lt;Lookups!$C$106,($AA579+AB579+AC579),IF($AA579&gt;=Lookups!$C$120,($AA579+AB579+AC579),$AA579+$AB579))</f>
        <v>#N/A</v>
      </c>
      <c r="AF579" s="7"/>
      <c r="AG579" s="7"/>
      <c r="AH579" s="7"/>
      <c r="AI579" s="7"/>
      <c r="AJ579" s="7"/>
      <c r="AK579" s="7"/>
      <c r="AL579" s="7"/>
      <c r="AM579" s="7"/>
      <c r="AN579" s="7"/>
      <c r="AO579" s="7"/>
      <c r="AP579" s="7"/>
      <c r="AQ579" s="7"/>
      <c r="AR579" s="7"/>
      <c r="AS579" s="7"/>
      <c r="AT579" s="7"/>
      <c r="AU579" s="7"/>
      <c r="AV579" s="7"/>
      <c r="AW579" s="7"/>
      <c r="AY579" s="7"/>
      <c r="AZ579" s="7"/>
      <c r="BA579" s="7"/>
      <c r="BB579" s="7"/>
    </row>
    <row r="580" spans="2:54" x14ac:dyDescent="0.2">
      <c r="B580" s="174"/>
      <c r="C580" s="176"/>
      <c r="F580" s="5">
        <v>0</v>
      </c>
      <c r="G580" s="192">
        <v>0</v>
      </c>
      <c r="H580" s="192">
        <v>0</v>
      </c>
      <c r="I580" s="5">
        <v>0</v>
      </c>
      <c r="J580" s="192">
        <v>0</v>
      </c>
      <c r="K580" s="192">
        <v>0</v>
      </c>
      <c r="L580" s="5">
        <v>0</v>
      </c>
      <c r="M580" s="5">
        <v>0</v>
      </c>
      <c r="N580" s="4" t="e">
        <f t="shared" si="51"/>
        <v>#N/A</v>
      </c>
      <c r="O580" s="4" t="e">
        <f>IF(ROUND(10.499-(((N580-VLOOKUP($C580,Lookups!$A$55:$D$64,3))/(VLOOKUP($C580,Lookups!$A$55:$D$64,4))*VLOOKUP($C580,Lookups!$C$2:$D$11,2))),0)&lt;1,1,IF(ROUND(10.499-(((N580-VLOOKUP($C580,Lookups!$A$55:$D$64,3))/(VLOOKUP($C580,Lookups!$A$55:$D$64,4))*VLOOKUP($C580,Lookups!$C$2:$D$11,2))),0)&lt;11,ROUND(10.499-(((N580-VLOOKUP($C580,Lookups!$A$55:$D$64,3))/(VLOOKUP($C580,Lookups!$A$55:$D$64,4))*VLOOKUP($C580,Lookups!$C$2:$D$11,2))),0),10))</f>
        <v>#N/A</v>
      </c>
      <c r="P580" s="13" t="str">
        <f>IF((SUM(F580:M580)=0),"J",VLOOKUP(O580,Lookups!$A$1:$B$11,2))</f>
        <v>J</v>
      </c>
      <c r="Q580" s="8" t="e">
        <f>VLOOKUP(C580,Lookups!$A$136:$C$144,3)</f>
        <v>#N/A</v>
      </c>
      <c r="R580" s="8" t="e">
        <f>VLOOKUP(C580,Lookups!$A$136:$C$144,2)</f>
        <v>#N/A</v>
      </c>
      <c r="S580" s="4" t="str">
        <f t="shared" si="47"/>
        <v>No</v>
      </c>
      <c r="T580" s="125">
        <f t="shared" si="48"/>
        <v>0</v>
      </c>
      <c r="U580" s="125">
        <f t="shared" si="49"/>
        <v>0</v>
      </c>
      <c r="V580" s="4" t="e">
        <f>IF($Q580&lt;&gt;3,VLOOKUP(F580,'Points Table A'!B$3:$F$33,5),VLOOKUP(F580,'Points Table A'!H$3:$L$33,5))</f>
        <v>#N/A</v>
      </c>
      <c r="W580" s="4" t="e">
        <f>IF($Q580&lt;&gt;3,VLOOKUP(G580,'Points Table A'!C$3:$F$33,4),VLOOKUP(G580,'Points Table A'!I$3:$L$33,4))</f>
        <v>#N/A</v>
      </c>
      <c r="X580" s="4" t="e">
        <f>IF($Q580&lt;&gt;3,VLOOKUP(H580,'Points Table A'!D$3:$F$28,3),VLOOKUP(H580,'Points Table A'!J$3:$L$33,3))</f>
        <v>#N/A</v>
      </c>
      <c r="Y580" s="4" t="e">
        <f>IF($Q580&lt;&gt;3,VLOOKUP(I580,'Points Table A'!E$3:$F$33,2),VLOOKUP(I580,'Points Table A'!K$3:$L$33,2))</f>
        <v>#N/A</v>
      </c>
      <c r="Z580" s="4" t="e">
        <f t="shared" si="50"/>
        <v>#N/A</v>
      </c>
      <c r="AA580" s="4">
        <f>IF($S580=Lookups!$B$113,VLOOKUP(L580,'Points Table C'!A$3:$E$11,5),VLOOKUP(U580,'Points Table C'!B$3:$E$11,4))</f>
        <v>0</v>
      </c>
      <c r="AB580" s="4" t="e">
        <f>IF($Q580=1,0,VLOOKUP($J580,'Points Table C'!$C$3:$E$18,3))</f>
        <v>#N/A</v>
      </c>
      <c r="AC580" s="4">
        <f>VLOOKUP($K580,'Points Table C'!$D$3:$E$18,2)</f>
        <v>0</v>
      </c>
      <c r="AD580" s="4" t="e">
        <f>IF($Z580&lt;Lookups!$C$106,($AA580+AB580+AC580),IF($AA580&gt;=Lookups!$C$120,($AA580+AB580+AC580),$AA580+$AB580))</f>
        <v>#N/A</v>
      </c>
      <c r="AF580" s="7"/>
      <c r="AG580" s="7"/>
      <c r="AH580" s="7"/>
      <c r="AI580" s="7"/>
      <c r="AJ580" s="7"/>
      <c r="AK580" s="7"/>
      <c r="AL580" s="7"/>
      <c r="AM580" s="7"/>
      <c r="AN580" s="7"/>
      <c r="AO580" s="7"/>
      <c r="AP580" s="7"/>
      <c r="AQ580" s="7"/>
      <c r="AR580" s="7"/>
      <c r="AS580" s="7"/>
      <c r="AT580" s="7"/>
      <c r="AU580" s="7"/>
      <c r="AV580" s="7"/>
      <c r="AW580" s="7"/>
      <c r="AY580" s="7"/>
      <c r="AZ580" s="7"/>
      <c r="BA580" s="7"/>
      <c r="BB580" s="7"/>
    </row>
    <row r="581" spans="2:54" x14ac:dyDescent="0.2">
      <c r="B581" s="174"/>
      <c r="C581" s="176"/>
      <c r="F581" s="5">
        <v>0</v>
      </c>
      <c r="G581" s="192">
        <v>0</v>
      </c>
      <c r="H581" s="192">
        <v>0</v>
      </c>
      <c r="I581" s="5">
        <v>0</v>
      </c>
      <c r="J581" s="192">
        <v>0</v>
      </c>
      <c r="K581" s="192">
        <v>0</v>
      </c>
      <c r="L581" s="5">
        <v>0</v>
      </c>
      <c r="M581" s="5">
        <v>0</v>
      </c>
      <c r="N581" s="4" t="e">
        <f t="shared" si="51"/>
        <v>#N/A</v>
      </c>
      <c r="O581" s="4" t="e">
        <f>IF(ROUND(10.499-(((N581-VLOOKUP($C581,Lookups!$A$55:$D$64,3))/(VLOOKUP($C581,Lookups!$A$55:$D$64,4))*VLOOKUP($C581,Lookups!$C$2:$D$11,2))),0)&lt;1,1,IF(ROUND(10.499-(((N581-VLOOKUP($C581,Lookups!$A$55:$D$64,3))/(VLOOKUP($C581,Lookups!$A$55:$D$64,4))*VLOOKUP($C581,Lookups!$C$2:$D$11,2))),0)&lt;11,ROUND(10.499-(((N581-VLOOKUP($C581,Lookups!$A$55:$D$64,3))/(VLOOKUP($C581,Lookups!$A$55:$D$64,4))*VLOOKUP($C581,Lookups!$C$2:$D$11,2))),0),10))</f>
        <v>#N/A</v>
      </c>
      <c r="P581" s="13" t="str">
        <f>IF((SUM(F581:M581)=0),"J",VLOOKUP(O581,Lookups!$A$1:$B$11,2))</f>
        <v>J</v>
      </c>
      <c r="Q581" s="8" t="e">
        <f>VLOOKUP(C581,Lookups!$A$136:$C$144,3)</f>
        <v>#N/A</v>
      </c>
      <c r="R581" s="8" t="e">
        <f>VLOOKUP(C581,Lookups!$A$136:$C$144,2)</f>
        <v>#N/A</v>
      </c>
      <c r="S581" s="4" t="str">
        <f t="shared" si="47"/>
        <v>No</v>
      </c>
      <c r="T581" s="125">
        <f t="shared" si="48"/>
        <v>0</v>
      </c>
      <c r="U581" s="125">
        <f t="shared" si="49"/>
        <v>0</v>
      </c>
      <c r="V581" s="4" t="e">
        <f>IF($Q581&lt;&gt;3,VLOOKUP(F581,'Points Table A'!B$3:$F$33,5),VLOOKUP(F581,'Points Table A'!H$3:$L$33,5))</f>
        <v>#N/A</v>
      </c>
      <c r="W581" s="4" t="e">
        <f>IF($Q581&lt;&gt;3,VLOOKUP(G581,'Points Table A'!C$3:$F$33,4),VLOOKUP(G581,'Points Table A'!I$3:$L$33,4))</f>
        <v>#N/A</v>
      </c>
      <c r="X581" s="4" t="e">
        <f>IF($Q581&lt;&gt;3,VLOOKUP(H581,'Points Table A'!D$3:$F$28,3),VLOOKUP(H581,'Points Table A'!J$3:$L$33,3))</f>
        <v>#N/A</v>
      </c>
      <c r="Y581" s="4" t="e">
        <f>IF($Q581&lt;&gt;3,VLOOKUP(I581,'Points Table A'!E$3:$F$33,2),VLOOKUP(I581,'Points Table A'!K$3:$L$33,2))</f>
        <v>#N/A</v>
      </c>
      <c r="Z581" s="4" t="e">
        <f t="shared" si="50"/>
        <v>#N/A</v>
      </c>
      <c r="AA581" s="4">
        <f>IF($S581=Lookups!$B$113,VLOOKUP(L581,'Points Table C'!A$3:$E$11,5),VLOOKUP(U581,'Points Table C'!B$3:$E$11,4))</f>
        <v>0</v>
      </c>
      <c r="AB581" s="4" t="e">
        <f>IF($Q581=1,0,VLOOKUP($J581,'Points Table C'!$C$3:$E$18,3))</f>
        <v>#N/A</v>
      </c>
      <c r="AC581" s="4">
        <f>VLOOKUP($K581,'Points Table C'!$D$3:$E$18,2)</f>
        <v>0</v>
      </c>
      <c r="AD581" s="4" t="e">
        <f>IF($Z581&lt;Lookups!$C$106,($AA581+AB581+AC581),IF($AA581&gt;=Lookups!$C$120,($AA581+AB581+AC581),$AA581+$AB581))</f>
        <v>#N/A</v>
      </c>
      <c r="AF581" s="7"/>
      <c r="AG581" s="7"/>
      <c r="AH581" s="7"/>
      <c r="AI581" s="7"/>
      <c r="AJ581" s="7"/>
      <c r="AK581" s="7"/>
      <c r="AL581" s="7"/>
      <c r="AM581" s="7"/>
      <c r="AN581" s="7"/>
      <c r="AO581" s="7"/>
      <c r="AP581" s="7"/>
      <c r="AQ581" s="7"/>
      <c r="AR581" s="7"/>
      <c r="AS581" s="7"/>
      <c r="AT581" s="7"/>
      <c r="AU581" s="7"/>
      <c r="AV581" s="7"/>
      <c r="AW581" s="7"/>
      <c r="AY581" s="7"/>
      <c r="AZ581" s="7"/>
      <c r="BA581" s="7"/>
      <c r="BB581" s="7"/>
    </row>
    <row r="582" spans="2:54" x14ac:dyDescent="0.2">
      <c r="B582" s="174"/>
      <c r="C582" s="176"/>
      <c r="F582" s="5">
        <v>0</v>
      </c>
      <c r="G582" s="192">
        <v>0</v>
      </c>
      <c r="H582" s="192">
        <v>0</v>
      </c>
      <c r="I582" s="5">
        <v>0</v>
      </c>
      <c r="J582" s="192">
        <v>0</v>
      </c>
      <c r="K582" s="192">
        <v>0</v>
      </c>
      <c r="L582" s="5">
        <v>0</v>
      </c>
      <c r="M582" s="5">
        <v>0</v>
      </c>
      <c r="N582" s="4" t="e">
        <f t="shared" si="51"/>
        <v>#N/A</v>
      </c>
      <c r="O582" s="4" t="e">
        <f>IF(ROUND(10.499-(((N582-VLOOKUP($C582,Lookups!$A$55:$D$64,3))/(VLOOKUP($C582,Lookups!$A$55:$D$64,4))*VLOOKUP($C582,Lookups!$C$2:$D$11,2))),0)&lt;1,1,IF(ROUND(10.499-(((N582-VLOOKUP($C582,Lookups!$A$55:$D$64,3))/(VLOOKUP($C582,Lookups!$A$55:$D$64,4))*VLOOKUP($C582,Lookups!$C$2:$D$11,2))),0)&lt;11,ROUND(10.499-(((N582-VLOOKUP($C582,Lookups!$A$55:$D$64,3))/(VLOOKUP($C582,Lookups!$A$55:$D$64,4))*VLOOKUP($C582,Lookups!$C$2:$D$11,2))),0),10))</f>
        <v>#N/A</v>
      </c>
      <c r="P582" s="13" t="str">
        <f>IF((SUM(F582:M582)=0),"J",VLOOKUP(O582,Lookups!$A$1:$B$11,2))</f>
        <v>J</v>
      </c>
      <c r="Q582" s="8" t="e">
        <f>VLOOKUP(C582,Lookups!$A$136:$C$144,3)</f>
        <v>#N/A</v>
      </c>
      <c r="R582" s="8" t="e">
        <f>VLOOKUP(C582,Lookups!$A$136:$C$144,2)</f>
        <v>#N/A</v>
      </c>
      <c r="S582" s="4" t="str">
        <f t="shared" si="47"/>
        <v>No</v>
      </c>
      <c r="T582" s="125">
        <f t="shared" si="48"/>
        <v>0</v>
      </c>
      <c r="U582" s="125">
        <f t="shared" si="49"/>
        <v>0</v>
      </c>
      <c r="V582" s="4" t="e">
        <f>IF($Q582&lt;&gt;3,VLOOKUP(F582,'Points Table A'!B$3:$F$33,5),VLOOKUP(F582,'Points Table A'!H$3:$L$33,5))</f>
        <v>#N/A</v>
      </c>
      <c r="W582" s="4" t="e">
        <f>IF($Q582&lt;&gt;3,VLOOKUP(G582,'Points Table A'!C$3:$F$33,4),VLOOKUP(G582,'Points Table A'!I$3:$L$33,4))</f>
        <v>#N/A</v>
      </c>
      <c r="X582" s="4" t="e">
        <f>IF($Q582&lt;&gt;3,VLOOKUP(H582,'Points Table A'!D$3:$F$28,3),VLOOKUP(H582,'Points Table A'!J$3:$L$33,3))</f>
        <v>#N/A</v>
      </c>
      <c r="Y582" s="4" t="e">
        <f>IF($Q582&lt;&gt;3,VLOOKUP(I582,'Points Table A'!E$3:$F$33,2),VLOOKUP(I582,'Points Table A'!K$3:$L$33,2))</f>
        <v>#N/A</v>
      </c>
      <c r="Z582" s="4" t="e">
        <f t="shared" si="50"/>
        <v>#N/A</v>
      </c>
      <c r="AA582" s="4">
        <f>IF($S582=Lookups!$B$113,VLOOKUP(L582,'Points Table C'!A$3:$E$11,5),VLOOKUP(U582,'Points Table C'!B$3:$E$11,4))</f>
        <v>0</v>
      </c>
      <c r="AB582" s="4" t="e">
        <f>IF($Q582=1,0,VLOOKUP($J582,'Points Table C'!$C$3:$E$18,3))</f>
        <v>#N/A</v>
      </c>
      <c r="AC582" s="4">
        <f>VLOOKUP($K582,'Points Table C'!$D$3:$E$18,2)</f>
        <v>0</v>
      </c>
      <c r="AD582" s="4" t="e">
        <f>IF($Z582&lt;Lookups!$C$106,($AA582+AB582+AC582),IF($AA582&gt;=Lookups!$C$120,($AA582+AB582+AC582),$AA582+$AB582))</f>
        <v>#N/A</v>
      </c>
      <c r="AF582" s="7"/>
      <c r="AG582" s="7"/>
      <c r="AH582" s="7"/>
      <c r="AI582" s="7"/>
      <c r="AJ582" s="7"/>
      <c r="AK582" s="7"/>
      <c r="AL582" s="7"/>
      <c r="AM582" s="7"/>
      <c r="AN582" s="7"/>
      <c r="AO582" s="7"/>
      <c r="AP582" s="7"/>
      <c r="AQ582" s="7"/>
      <c r="AR582" s="7"/>
      <c r="AS582" s="7"/>
      <c r="AT582" s="7"/>
      <c r="AU582" s="7"/>
      <c r="AV582" s="7"/>
      <c r="AW582" s="7"/>
      <c r="AY582" s="7"/>
      <c r="AZ582" s="7"/>
      <c r="BA582" s="7"/>
      <c r="BB582" s="7"/>
    </row>
    <row r="583" spans="2:54" x14ac:dyDescent="0.2">
      <c r="B583" s="174"/>
      <c r="C583" s="176"/>
      <c r="F583" s="5">
        <v>0</v>
      </c>
      <c r="G583" s="192">
        <v>0</v>
      </c>
      <c r="H583" s="192">
        <v>0</v>
      </c>
      <c r="I583" s="5">
        <v>0</v>
      </c>
      <c r="J583" s="192">
        <v>0</v>
      </c>
      <c r="K583" s="192">
        <v>0</v>
      </c>
      <c r="L583" s="5">
        <v>0</v>
      </c>
      <c r="M583" s="5">
        <v>0</v>
      </c>
      <c r="N583" s="4" t="e">
        <f t="shared" si="51"/>
        <v>#N/A</v>
      </c>
      <c r="O583" s="4" t="e">
        <f>IF(ROUND(10.499-(((N583-VLOOKUP($C583,Lookups!$A$55:$D$64,3))/(VLOOKUP($C583,Lookups!$A$55:$D$64,4))*VLOOKUP($C583,Lookups!$C$2:$D$11,2))),0)&lt;1,1,IF(ROUND(10.499-(((N583-VLOOKUP($C583,Lookups!$A$55:$D$64,3))/(VLOOKUP($C583,Lookups!$A$55:$D$64,4))*VLOOKUP($C583,Lookups!$C$2:$D$11,2))),0)&lt;11,ROUND(10.499-(((N583-VLOOKUP($C583,Lookups!$A$55:$D$64,3))/(VLOOKUP($C583,Lookups!$A$55:$D$64,4))*VLOOKUP($C583,Lookups!$C$2:$D$11,2))),0),10))</f>
        <v>#N/A</v>
      </c>
      <c r="P583" s="13" t="str">
        <f>IF((SUM(F583:M583)=0),"J",VLOOKUP(O583,Lookups!$A$1:$B$11,2))</f>
        <v>J</v>
      </c>
      <c r="Q583" s="8" t="e">
        <f>VLOOKUP(C583,Lookups!$A$136:$C$144,3)</f>
        <v>#N/A</v>
      </c>
      <c r="R583" s="8" t="e">
        <f>VLOOKUP(C583,Lookups!$A$136:$C$144,2)</f>
        <v>#N/A</v>
      </c>
      <c r="S583" s="4" t="str">
        <f t="shared" si="47"/>
        <v>No</v>
      </c>
      <c r="T583" s="125">
        <f t="shared" si="48"/>
        <v>0</v>
      </c>
      <c r="U583" s="125">
        <f t="shared" si="49"/>
        <v>0</v>
      </c>
      <c r="V583" s="4" t="e">
        <f>IF($Q583&lt;&gt;3,VLOOKUP(F583,'Points Table A'!B$3:$F$33,5),VLOOKUP(F583,'Points Table A'!H$3:$L$33,5))</f>
        <v>#N/A</v>
      </c>
      <c r="W583" s="4" t="e">
        <f>IF($Q583&lt;&gt;3,VLOOKUP(G583,'Points Table A'!C$3:$F$33,4),VLOOKUP(G583,'Points Table A'!I$3:$L$33,4))</f>
        <v>#N/A</v>
      </c>
      <c r="X583" s="4" t="e">
        <f>IF($Q583&lt;&gt;3,VLOOKUP(H583,'Points Table A'!D$3:$F$28,3),VLOOKUP(H583,'Points Table A'!J$3:$L$33,3))</f>
        <v>#N/A</v>
      </c>
      <c r="Y583" s="4" t="e">
        <f>IF($Q583&lt;&gt;3,VLOOKUP(I583,'Points Table A'!E$3:$F$33,2),VLOOKUP(I583,'Points Table A'!K$3:$L$33,2))</f>
        <v>#N/A</v>
      </c>
      <c r="Z583" s="4" t="e">
        <f t="shared" si="50"/>
        <v>#N/A</v>
      </c>
      <c r="AA583" s="4">
        <f>IF($S583=Lookups!$B$113,VLOOKUP(L583,'Points Table C'!A$3:$E$11,5),VLOOKUP(U583,'Points Table C'!B$3:$E$11,4))</f>
        <v>0</v>
      </c>
      <c r="AB583" s="4" t="e">
        <f>IF($Q583=1,0,VLOOKUP($J583,'Points Table C'!$C$3:$E$18,3))</f>
        <v>#N/A</v>
      </c>
      <c r="AC583" s="4">
        <f>VLOOKUP($K583,'Points Table C'!$D$3:$E$18,2)</f>
        <v>0</v>
      </c>
      <c r="AD583" s="4" t="e">
        <f>IF($Z583&lt;Lookups!$C$106,($AA583+AB583+AC583),IF($AA583&gt;=Lookups!$C$120,($AA583+AB583+AC583),$AA583+$AB583))</f>
        <v>#N/A</v>
      </c>
      <c r="AF583" s="7"/>
      <c r="AG583" s="7"/>
      <c r="AH583" s="7"/>
      <c r="AI583" s="7"/>
      <c r="AJ583" s="7"/>
      <c r="AK583" s="7"/>
      <c r="AL583" s="7"/>
      <c r="AM583" s="7"/>
      <c r="AN583" s="7"/>
      <c r="AO583" s="7"/>
      <c r="AP583" s="7"/>
      <c r="AQ583" s="7"/>
      <c r="AR583" s="7"/>
      <c r="AS583" s="7"/>
      <c r="AT583" s="7"/>
      <c r="AU583" s="7"/>
      <c r="AV583" s="7"/>
      <c r="AW583" s="7"/>
      <c r="AY583" s="7"/>
      <c r="AZ583" s="7"/>
      <c r="BA583" s="7"/>
      <c r="BB583" s="7"/>
    </row>
    <row r="584" spans="2:54" x14ac:dyDescent="0.2">
      <c r="B584" s="174"/>
      <c r="C584" s="176"/>
      <c r="F584" s="5">
        <v>0</v>
      </c>
      <c r="G584" s="192">
        <v>0</v>
      </c>
      <c r="H584" s="192">
        <v>0</v>
      </c>
      <c r="I584" s="5">
        <v>0</v>
      </c>
      <c r="J584" s="192">
        <v>0</v>
      </c>
      <c r="K584" s="192">
        <v>0</v>
      </c>
      <c r="L584" s="5">
        <v>0</v>
      </c>
      <c r="M584" s="5">
        <v>0</v>
      </c>
      <c r="N584" s="4" t="e">
        <f t="shared" si="51"/>
        <v>#N/A</v>
      </c>
      <c r="O584" s="4" t="e">
        <f>IF(ROUND(10.499-(((N584-VLOOKUP($C584,Lookups!$A$55:$D$64,3))/(VLOOKUP($C584,Lookups!$A$55:$D$64,4))*VLOOKUP($C584,Lookups!$C$2:$D$11,2))),0)&lt;1,1,IF(ROUND(10.499-(((N584-VLOOKUP($C584,Lookups!$A$55:$D$64,3))/(VLOOKUP($C584,Lookups!$A$55:$D$64,4))*VLOOKUP($C584,Lookups!$C$2:$D$11,2))),0)&lt;11,ROUND(10.499-(((N584-VLOOKUP($C584,Lookups!$A$55:$D$64,3))/(VLOOKUP($C584,Lookups!$A$55:$D$64,4))*VLOOKUP($C584,Lookups!$C$2:$D$11,2))),0),10))</f>
        <v>#N/A</v>
      </c>
      <c r="P584" s="13" t="str">
        <f>IF((SUM(F584:M584)=0),"J",VLOOKUP(O584,Lookups!$A$1:$B$11,2))</f>
        <v>J</v>
      </c>
      <c r="Q584" s="8" t="e">
        <f>VLOOKUP(C584,Lookups!$A$136:$C$144,3)</f>
        <v>#N/A</v>
      </c>
      <c r="R584" s="8" t="e">
        <f>VLOOKUP(C584,Lookups!$A$136:$C$144,2)</f>
        <v>#N/A</v>
      </c>
      <c r="S584" s="4" t="str">
        <f t="shared" si="47"/>
        <v>No</v>
      </c>
      <c r="T584" s="125">
        <f t="shared" si="48"/>
        <v>0</v>
      </c>
      <c r="U584" s="125">
        <f t="shared" si="49"/>
        <v>0</v>
      </c>
      <c r="V584" s="4" t="e">
        <f>IF($Q584&lt;&gt;3,VLOOKUP(F584,'Points Table A'!B$3:$F$33,5),VLOOKUP(F584,'Points Table A'!H$3:$L$33,5))</f>
        <v>#N/A</v>
      </c>
      <c r="W584" s="4" t="e">
        <f>IF($Q584&lt;&gt;3,VLOOKUP(G584,'Points Table A'!C$3:$F$33,4),VLOOKUP(G584,'Points Table A'!I$3:$L$33,4))</f>
        <v>#N/A</v>
      </c>
      <c r="X584" s="4" t="e">
        <f>IF($Q584&lt;&gt;3,VLOOKUP(H584,'Points Table A'!D$3:$F$28,3),VLOOKUP(H584,'Points Table A'!J$3:$L$33,3))</f>
        <v>#N/A</v>
      </c>
      <c r="Y584" s="4" t="e">
        <f>IF($Q584&lt;&gt;3,VLOOKUP(I584,'Points Table A'!E$3:$F$33,2),VLOOKUP(I584,'Points Table A'!K$3:$L$33,2))</f>
        <v>#N/A</v>
      </c>
      <c r="Z584" s="4" t="e">
        <f t="shared" si="50"/>
        <v>#N/A</v>
      </c>
      <c r="AA584" s="4">
        <f>IF($S584=Lookups!$B$113,VLOOKUP(L584,'Points Table C'!A$3:$E$11,5),VLOOKUP(U584,'Points Table C'!B$3:$E$11,4))</f>
        <v>0</v>
      </c>
      <c r="AB584" s="4" t="e">
        <f>IF($Q584=1,0,VLOOKUP($J584,'Points Table C'!$C$3:$E$18,3))</f>
        <v>#N/A</v>
      </c>
      <c r="AC584" s="4">
        <f>VLOOKUP($K584,'Points Table C'!$D$3:$E$18,2)</f>
        <v>0</v>
      </c>
      <c r="AD584" s="4" t="e">
        <f>IF($Z584&lt;Lookups!$C$106,($AA584+AB584+AC584),IF($AA584&gt;=Lookups!$C$120,($AA584+AB584+AC584),$AA584+$AB584))</f>
        <v>#N/A</v>
      </c>
      <c r="AF584" s="7"/>
      <c r="AG584" s="7"/>
      <c r="AH584" s="7"/>
      <c r="AI584" s="7"/>
      <c r="AJ584" s="7"/>
      <c r="AK584" s="7"/>
      <c r="AL584" s="7"/>
      <c r="AM584" s="7"/>
      <c r="AN584" s="7"/>
      <c r="AO584" s="7"/>
      <c r="AP584" s="7"/>
      <c r="AQ584" s="7"/>
      <c r="AR584" s="7"/>
      <c r="AS584" s="7"/>
      <c r="AT584" s="7"/>
      <c r="AU584" s="7"/>
      <c r="AV584" s="7"/>
      <c r="AW584" s="7"/>
      <c r="AY584" s="7"/>
      <c r="AZ584" s="7"/>
      <c r="BA584" s="7"/>
      <c r="BB584" s="7"/>
    </row>
    <row r="585" spans="2:54" x14ac:dyDescent="0.2">
      <c r="B585" s="174"/>
      <c r="C585" s="176"/>
      <c r="F585" s="5">
        <v>0</v>
      </c>
      <c r="G585" s="192">
        <v>0</v>
      </c>
      <c r="H585" s="192">
        <v>0</v>
      </c>
      <c r="I585" s="5">
        <v>0</v>
      </c>
      <c r="J585" s="192">
        <v>0</v>
      </c>
      <c r="K585" s="192">
        <v>0</v>
      </c>
      <c r="L585" s="5">
        <v>0</v>
      </c>
      <c r="M585" s="5">
        <v>0</v>
      </c>
      <c r="N585" s="4" t="e">
        <f t="shared" si="51"/>
        <v>#N/A</v>
      </c>
      <c r="O585" s="4" t="e">
        <f>IF(ROUND(10.499-(((N585-VLOOKUP($C585,Lookups!$A$55:$D$64,3))/(VLOOKUP($C585,Lookups!$A$55:$D$64,4))*VLOOKUP($C585,Lookups!$C$2:$D$11,2))),0)&lt;1,1,IF(ROUND(10.499-(((N585-VLOOKUP($C585,Lookups!$A$55:$D$64,3))/(VLOOKUP($C585,Lookups!$A$55:$D$64,4))*VLOOKUP($C585,Lookups!$C$2:$D$11,2))),0)&lt;11,ROUND(10.499-(((N585-VLOOKUP($C585,Lookups!$A$55:$D$64,3))/(VLOOKUP($C585,Lookups!$A$55:$D$64,4))*VLOOKUP($C585,Lookups!$C$2:$D$11,2))),0),10))</f>
        <v>#N/A</v>
      </c>
      <c r="P585" s="13" t="str">
        <f>IF((SUM(F585:M585)=0),"J",VLOOKUP(O585,Lookups!$A$1:$B$11,2))</f>
        <v>J</v>
      </c>
      <c r="Q585" s="8" t="e">
        <f>VLOOKUP(C585,Lookups!$A$136:$C$144,3)</f>
        <v>#N/A</v>
      </c>
      <c r="R585" s="8" t="e">
        <f>VLOOKUP(C585,Lookups!$A$136:$C$144,2)</f>
        <v>#N/A</v>
      </c>
      <c r="S585" s="4" t="str">
        <f t="shared" si="47"/>
        <v>No</v>
      </c>
      <c r="T585" s="125">
        <f t="shared" si="48"/>
        <v>0</v>
      </c>
      <c r="U585" s="125">
        <f t="shared" si="49"/>
        <v>0</v>
      </c>
      <c r="V585" s="4" t="e">
        <f>IF($Q585&lt;&gt;3,VLOOKUP(F585,'Points Table A'!B$3:$F$33,5),VLOOKUP(F585,'Points Table A'!H$3:$L$33,5))</f>
        <v>#N/A</v>
      </c>
      <c r="W585" s="4" t="e">
        <f>IF($Q585&lt;&gt;3,VLOOKUP(G585,'Points Table A'!C$3:$F$33,4),VLOOKUP(G585,'Points Table A'!I$3:$L$33,4))</f>
        <v>#N/A</v>
      </c>
      <c r="X585" s="4" t="e">
        <f>IF($Q585&lt;&gt;3,VLOOKUP(H585,'Points Table A'!D$3:$F$28,3),VLOOKUP(H585,'Points Table A'!J$3:$L$33,3))</f>
        <v>#N/A</v>
      </c>
      <c r="Y585" s="4" t="e">
        <f>IF($Q585&lt;&gt;3,VLOOKUP(I585,'Points Table A'!E$3:$F$33,2),VLOOKUP(I585,'Points Table A'!K$3:$L$33,2))</f>
        <v>#N/A</v>
      </c>
      <c r="Z585" s="4" t="e">
        <f t="shared" si="50"/>
        <v>#N/A</v>
      </c>
      <c r="AA585" s="4">
        <f>IF($S585=Lookups!$B$113,VLOOKUP(L585,'Points Table C'!A$3:$E$11,5),VLOOKUP(U585,'Points Table C'!B$3:$E$11,4))</f>
        <v>0</v>
      </c>
      <c r="AB585" s="4" t="e">
        <f>IF($Q585=1,0,VLOOKUP($J585,'Points Table C'!$C$3:$E$18,3))</f>
        <v>#N/A</v>
      </c>
      <c r="AC585" s="4">
        <f>VLOOKUP($K585,'Points Table C'!$D$3:$E$18,2)</f>
        <v>0</v>
      </c>
      <c r="AD585" s="4" t="e">
        <f>IF($Z585&lt;Lookups!$C$106,($AA585+AB585+AC585),IF($AA585&gt;=Lookups!$C$120,($AA585+AB585+AC585),$AA585+$AB585))</f>
        <v>#N/A</v>
      </c>
      <c r="AF585" s="7"/>
      <c r="AG585" s="7"/>
      <c r="AH585" s="7"/>
      <c r="AI585" s="7"/>
      <c r="AJ585" s="7"/>
      <c r="AK585" s="7"/>
      <c r="AL585" s="7"/>
      <c r="AM585" s="7"/>
      <c r="AN585" s="7"/>
      <c r="AO585" s="7"/>
      <c r="AP585" s="7"/>
      <c r="AQ585" s="7"/>
      <c r="AR585" s="7"/>
      <c r="AS585" s="7"/>
      <c r="AT585" s="7"/>
      <c r="AU585" s="7"/>
      <c r="AV585" s="7"/>
      <c r="AW585" s="7"/>
      <c r="AY585" s="7"/>
      <c r="AZ585" s="7"/>
      <c r="BA585" s="7"/>
      <c r="BB585" s="7"/>
    </row>
    <row r="586" spans="2:54" x14ac:dyDescent="0.2">
      <c r="B586" s="174"/>
      <c r="C586" s="176"/>
      <c r="F586" s="5">
        <v>0</v>
      </c>
      <c r="G586" s="192">
        <v>0</v>
      </c>
      <c r="H586" s="192">
        <v>0</v>
      </c>
      <c r="I586" s="5">
        <v>0</v>
      </c>
      <c r="J586" s="192">
        <v>0</v>
      </c>
      <c r="K586" s="192">
        <v>0</v>
      </c>
      <c r="L586" s="5">
        <v>0</v>
      </c>
      <c r="M586" s="5">
        <v>0</v>
      </c>
      <c r="N586" s="4" t="e">
        <f t="shared" si="51"/>
        <v>#N/A</v>
      </c>
      <c r="O586" s="4" t="e">
        <f>IF(ROUND(10.499-(((N586-VLOOKUP($C586,Lookups!$A$55:$D$64,3))/(VLOOKUP($C586,Lookups!$A$55:$D$64,4))*VLOOKUP($C586,Lookups!$C$2:$D$11,2))),0)&lt;1,1,IF(ROUND(10.499-(((N586-VLOOKUP($C586,Lookups!$A$55:$D$64,3))/(VLOOKUP($C586,Lookups!$A$55:$D$64,4))*VLOOKUP($C586,Lookups!$C$2:$D$11,2))),0)&lt;11,ROUND(10.499-(((N586-VLOOKUP($C586,Lookups!$A$55:$D$64,3))/(VLOOKUP($C586,Lookups!$A$55:$D$64,4))*VLOOKUP($C586,Lookups!$C$2:$D$11,2))),0),10))</f>
        <v>#N/A</v>
      </c>
      <c r="P586" s="13" t="str">
        <f>IF((SUM(F586:M586)=0),"J",VLOOKUP(O586,Lookups!$A$1:$B$11,2))</f>
        <v>J</v>
      </c>
      <c r="Q586" s="8" t="e">
        <f>VLOOKUP(C586,Lookups!$A$136:$C$144,3)</f>
        <v>#N/A</v>
      </c>
      <c r="R586" s="8" t="e">
        <f>VLOOKUP(C586,Lookups!$A$136:$C$144,2)</f>
        <v>#N/A</v>
      </c>
      <c r="S586" s="4" t="str">
        <f t="shared" si="47"/>
        <v>No</v>
      </c>
      <c r="T586" s="125">
        <f t="shared" si="48"/>
        <v>0</v>
      </c>
      <c r="U586" s="125">
        <f t="shared" si="49"/>
        <v>0</v>
      </c>
      <c r="V586" s="4" t="e">
        <f>IF($Q586&lt;&gt;3,VLOOKUP(F586,'Points Table A'!B$3:$F$33,5),VLOOKUP(F586,'Points Table A'!H$3:$L$33,5))</f>
        <v>#N/A</v>
      </c>
      <c r="W586" s="4" t="e">
        <f>IF($Q586&lt;&gt;3,VLOOKUP(G586,'Points Table A'!C$3:$F$33,4),VLOOKUP(G586,'Points Table A'!I$3:$L$33,4))</f>
        <v>#N/A</v>
      </c>
      <c r="X586" s="4" t="e">
        <f>IF($Q586&lt;&gt;3,VLOOKUP(H586,'Points Table A'!D$3:$F$28,3),VLOOKUP(H586,'Points Table A'!J$3:$L$33,3))</f>
        <v>#N/A</v>
      </c>
      <c r="Y586" s="4" t="e">
        <f>IF($Q586&lt;&gt;3,VLOOKUP(I586,'Points Table A'!E$3:$F$33,2),VLOOKUP(I586,'Points Table A'!K$3:$L$33,2))</f>
        <v>#N/A</v>
      </c>
      <c r="Z586" s="4" t="e">
        <f t="shared" si="50"/>
        <v>#N/A</v>
      </c>
      <c r="AA586" s="4">
        <f>IF($S586=Lookups!$B$113,VLOOKUP(L586,'Points Table C'!A$3:$E$11,5),VLOOKUP(U586,'Points Table C'!B$3:$E$11,4))</f>
        <v>0</v>
      </c>
      <c r="AB586" s="4" t="e">
        <f>IF($Q586=1,0,VLOOKUP($J586,'Points Table C'!$C$3:$E$18,3))</f>
        <v>#N/A</v>
      </c>
      <c r="AC586" s="4">
        <f>VLOOKUP($K586,'Points Table C'!$D$3:$E$18,2)</f>
        <v>0</v>
      </c>
      <c r="AD586" s="4" t="e">
        <f>IF($Z586&lt;Lookups!$C$106,($AA586+AB586+AC586),IF($AA586&gt;=Lookups!$C$120,($AA586+AB586+AC586),$AA586+$AB586))</f>
        <v>#N/A</v>
      </c>
      <c r="AF586" s="7"/>
      <c r="AG586" s="7"/>
      <c r="AH586" s="7"/>
      <c r="AI586" s="7"/>
      <c r="AJ586" s="7"/>
      <c r="AK586" s="7"/>
      <c r="AL586" s="7"/>
      <c r="AM586" s="7"/>
      <c r="AN586" s="7"/>
      <c r="AO586" s="7"/>
      <c r="AP586" s="7"/>
      <c r="AQ586" s="7"/>
      <c r="AR586" s="7"/>
      <c r="AS586" s="7"/>
      <c r="AT586" s="7"/>
      <c r="AU586" s="7"/>
      <c r="AV586" s="7"/>
      <c r="AW586" s="7"/>
      <c r="AY586" s="7"/>
      <c r="AZ586" s="7"/>
      <c r="BA586" s="7"/>
      <c r="BB586" s="7"/>
    </row>
    <row r="587" spans="2:54" x14ac:dyDescent="0.2">
      <c r="B587" s="174"/>
      <c r="C587" s="176"/>
      <c r="F587" s="5">
        <v>0</v>
      </c>
      <c r="G587" s="192">
        <v>0</v>
      </c>
      <c r="H587" s="192">
        <v>0</v>
      </c>
      <c r="I587" s="5">
        <v>0</v>
      </c>
      <c r="J587" s="192">
        <v>0</v>
      </c>
      <c r="K587" s="192">
        <v>0</v>
      </c>
      <c r="L587" s="5">
        <v>0</v>
      </c>
      <c r="M587" s="5">
        <v>0</v>
      </c>
      <c r="N587" s="4" t="e">
        <f t="shared" si="51"/>
        <v>#N/A</v>
      </c>
      <c r="O587" s="4" t="e">
        <f>IF(ROUND(10.499-(((N587-VLOOKUP($C587,Lookups!$A$55:$D$64,3))/(VLOOKUP($C587,Lookups!$A$55:$D$64,4))*VLOOKUP($C587,Lookups!$C$2:$D$11,2))),0)&lt;1,1,IF(ROUND(10.499-(((N587-VLOOKUP($C587,Lookups!$A$55:$D$64,3))/(VLOOKUP($C587,Lookups!$A$55:$D$64,4))*VLOOKUP($C587,Lookups!$C$2:$D$11,2))),0)&lt;11,ROUND(10.499-(((N587-VLOOKUP($C587,Lookups!$A$55:$D$64,3))/(VLOOKUP($C587,Lookups!$A$55:$D$64,4))*VLOOKUP($C587,Lookups!$C$2:$D$11,2))),0),10))</f>
        <v>#N/A</v>
      </c>
      <c r="P587" s="13" t="str">
        <f>IF((SUM(F587:M587)=0),"J",VLOOKUP(O587,Lookups!$A$1:$B$11,2))</f>
        <v>J</v>
      </c>
      <c r="Q587" s="8" t="e">
        <f>VLOOKUP(C587,Lookups!$A$136:$C$144,3)</f>
        <v>#N/A</v>
      </c>
      <c r="R587" s="8" t="e">
        <f>VLOOKUP(C587,Lookups!$A$136:$C$144,2)</f>
        <v>#N/A</v>
      </c>
      <c r="S587" s="4" t="str">
        <f t="shared" si="47"/>
        <v>No</v>
      </c>
      <c r="T587" s="125">
        <f t="shared" si="48"/>
        <v>0</v>
      </c>
      <c r="U587" s="125">
        <f t="shared" si="49"/>
        <v>0</v>
      </c>
      <c r="V587" s="4" t="e">
        <f>IF($Q587&lt;&gt;3,VLOOKUP(F587,'Points Table A'!B$3:$F$33,5),VLOOKUP(F587,'Points Table A'!H$3:$L$33,5))</f>
        <v>#N/A</v>
      </c>
      <c r="W587" s="4" t="e">
        <f>IF($Q587&lt;&gt;3,VLOOKUP(G587,'Points Table A'!C$3:$F$33,4),VLOOKUP(G587,'Points Table A'!I$3:$L$33,4))</f>
        <v>#N/A</v>
      </c>
      <c r="X587" s="4" t="e">
        <f>IF($Q587&lt;&gt;3,VLOOKUP(H587,'Points Table A'!D$3:$F$28,3),VLOOKUP(H587,'Points Table A'!J$3:$L$33,3))</f>
        <v>#N/A</v>
      </c>
      <c r="Y587" s="4" t="e">
        <f>IF($Q587&lt;&gt;3,VLOOKUP(I587,'Points Table A'!E$3:$F$33,2),VLOOKUP(I587,'Points Table A'!K$3:$L$33,2))</f>
        <v>#N/A</v>
      </c>
      <c r="Z587" s="4" t="e">
        <f t="shared" si="50"/>
        <v>#N/A</v>
      </c>
      <c r="AA587" s="4">
        <f>IF($S587=Lookups!$B$113,VLOOKUP(L587,'Points Table C'!A$3:$E$11,5),VLOOKUP(U587,'Points Table C'!B$3:$E$11,4))</f>
        <v>0</v>
      </c>
      <c r="AB587" s="4" t="e">
        <f>IF($Q587=1,0,VLOOKUP($J587,'Points Table C'!$C$3:$E$18,3))</f>
        <v>#N/A</v>
      </c>
      <c r="AC587" s="4">
        <f>VLOOKUP($K587,'Points Table C'!$D$3:$E$18,2)</f>
        <v>0</v>
      </c>
      <c r="AD587" s="4" t="e">
        <f>IF($Z587&lt;Lookups!$C$106,($AA587+AB587+AC587),IF($AA587&gt;=Lookups!$C$120,($AA587+AB587+AC587),$AA587+$AB587))</f>
        <v>#N/A</v>
      </c>
      <c r="AF587" s="7"/>
      <c r="AG587" s="7"/>
      <c r="AH587" s="7"/>
      <c r="AI587" s="7"/>
      <c r="AJ587" s="7"/>
      <c r="AK587" s="7"/>
      <c r="AL587" s="7"/>
      <c r="AM587" s="7"/>
      <c r="AN587" s="7"/>
      <c r="AO587" s="7"/>
      <c r="AP587" s="7"/>
      <c r="AQ587" s="7"/>
      <c r="AR587" s="7"/>
      <c r="AS587" s="7"/>
      <c r="AT587" s="7"/>
      <c r="AU587" s="7"/>
      <c r="AV587" s="7"/>
      <c r="AW587" s="7"/>
      <c r="AY587" s="7"/>
      <c r="AZ587" s="7"/>
      <c r="BA587" s="7"/>
      <c r="BB587" s="7"/>
    </row>
    <row r="588" spans="2:54" x14ac:dyDescent="0.2">
      <c r="B588" s="174"/>
      <c r="C588" s="176"/>
      <c r="F588" s="5">
        <v>0</v>
      </c>
      <c r="G588" s="192">
        <v>0</v>
      </c>
      <c r="H588" s="192">
        <v>0</v>
      </c>
      <c r="I588" s="5">
        <v>0</v>
      </c>
      <c r="J588" s="192">
        <v>0</v>
      </c>
      <c r="K588" s="192">
        <v>0</v>
      </c>
      <c r="L588" s="5">
        <v>0</v>
      </c>
      <c r="M588" s="5">
        <v>0</v>
      </c>
      <c r="N588" s="4" t="e">
        <f t="shared" si="51"/>
        <v>#N/A</v>
      </c>
      <c r="O588" s="4" t="e">
        <f>IF(ROUND(10.499-(((N588-VLOOKUP($C588,Lookups!$A$55:$D$64,3))/(VLOOKUP($C588,Lookups!$A$55:$D$64,4))*VLOOKUP($C588,Lookups!$C$2:$D$11,2))),0)&lt;1,1,IF(ROUND(10.499-(((N588-VLOOKUP($C588,Lookups!$A$55:$D$64,3))/(VLOOKUP($C588,Lookups!$A$55:$D$64,4))*VLOOKUP($C588,Lookups!$C$2:$D$11,2))),0)&lt;11,ROUND(10.499-(((N588-VLOOKUP($C588,Lookups!$A$55:$D$64,3))/(VLOOKUP($C588,Lookups!$A$55:$D$64,4))*VLOOKUP($C588,Lookups!$C$2:$D$11,2))),0),10))</f>
        <v>#N/A</v>
      </c>
      <c r="P588" s="13" t="str">
        <f>IF((SUM(F588:M588)=0),"J",VLOOKUP(O588,Lookups!$A$1:$B$11,2))</f>
        <v>J</v>
      </c>
      <c r="Q588" s="8" t="e">
        <f>VLOOKUP(C588,Lookups!$A$136:$C$144,3)</f>
        <v>#N/A</v>
      </c>
      <c r="R588" s="8" t="e">
        <f>VLOOKUP(C588,Lookups!$A$136:$C$144,2)</f>
        <v>#N/A</v>
      </c>
      <c r="S588" s="4" t="str">
        <f t="shared" si="47"/>
        <v>No</v>
      </c>
      <c r="T588" s="125">
        <f t="shared" si="48"/>
        <v>0</v>
      </c>
      <c r="U588" s="125">
        <f t="shared" si="49"/>
        <v>0</v>
      </c>
      <c r="V588" s="4" t="e">
        <f>IF($Q588&lt;&gt;3,VLOOKUP(F588,'Points Table A'!B$3:$F$33,5),VLOOKUP(F588,'Points Table A'!H$3:$L$33,5))</f>
        <v>#N/A</v>
      </c>
      <c r="W588" s="4" t="e">
        <f>IF($Q588&lt;&gt;3,VLOOKUP(G588,'Points Table A'!C$3:$F$33,4),VLOOKUP(G588,'Points Table A'!I$3:$L$33,4))</f>
        <v>#N/A</v>
      </c>
      <c r="X588" s="4" t="e">
        <f>IF($Q588&lt;&gt;3,VLOOKUP(H588,'Points Table A'!D$3:$F$28,3),VLOOKUP(H588,'Points Table A'!J$3:$L$33,3))</f>
        <v>#N/A</v>
      </c>
      <c r="Y588" s="4" t="e">
        <f>IF($Q588&lt;&gt;3,VLOOKUP(I588,'Points Table A'!E$3:$F$33,2),VLOOKUP(I588,'Points Table A'!K$3:$L$33,2))</f>
        <v>#N/A</v>
      </c>
      <c r="Z588" s="4" t="e">
        <f t="shared" si="50"/>
        <v>#N/A</v>
      </c>
      <c r="AA588" s="4">
        <f>IF($S588=Lookups!$B$113,VLOOKUP(L588,'Points Table C'!A$3:$E$11,5),VLOOKUP(U588,'Points Table C'!B$3:$E$11,4))</f>
        <v>0</v>
      </c>
      <c r="AB588" s="4" t="e">
        <f>IF($Q588=1,0,VLOOKUP($J588,'Points Table C'!$C$3:$E$18,3))</f>
        <v>#N/A</v>
      </c>
      <c r="AC588" s="4">
        <f>VLOOKUP($K588,'Points Table C'!$D$3:$E$18,2)</f>
        <v>0</v>
      </c>
      <c r="AD588" s="4" t="e">
        <f>IF($Z588&lt;Lookups!$C$106,($AA588+AB588+AC588),IF($AA588&gt;=Lookups!$C$120,($AA588+AB588+AC588),$AA588+$AB588))</f>
        <v>#N/A</v>
      </c>
      <c r="AF588" s="7"/>
      <c r="AG588" s="7"/>
      <c r="AH588" s="7"/>
      <c r="AI588" s="7"/>
      <c r="AJ588" s="7"/>
      <c r="AK588" s="7"/>
      <c r="AL588" s="7"/>
      <c r="AM588" s="7"/>
      <c r="AN588" s="7"/>
      <c r="AO588" s="7"/>
      <c r="AP588" s="7"/>
      <c r="AQ588" s="7"/>
      <c r="AR588" s="7"/>
      <c r="AS588" s="7"/>
      <c r="AT588" s="7"/>
      <c r="AU588" s="7"/>
      <c r="AV588" s="7"/>
      <c r="AW588" s="7"/>
      <c r="AY588" s="7"/>
      <c r="AZ588" s="7"/>
      <c r="BA588" s="7"/>
      <c r="BB588" s="7"/>
    </row>
    <row r="589" spans="2:54" x14ac:dyDescent="0.2">
      <c r="B589" s="174"/>
      <c r="C589" s="176"/>
      <c r="F589" s="5">
        <v>0</v>
      </c>
      <c r="G589" s="192">
        <v>0</v>
      </c>
      <c r="H589" s="192">
        <v>0</v>
      </c>
      <c r="I589" s="5">
        <v>0</v>
      </c>
      <c r="J589" s="192">
        <v>0</v>
      </c>
      <c r="K589" s="192">
        <v>0</v>
      </c>
      <c r="L589" s="5">
        <v>0</v>
      </c>
      <c r="M589" s="5">
        <v>0</v>
      </c>
      <c r="N589" s="4" t="e">
        <f t="shared" si="51"/>
        <v>#N/A</v>
      </c>
      <c r="O589" s="4" t="e">
        <f>IF(ROUND(10.499-(((N589-VLOOKUP($C589,Lookups!$A$55:$D$64,3))/(VLOOKUP($C589,Lookups!$A$55:$D$64,4))*VLOOKUP($C589,Lookups!$C$2:$D$11,2))),0)&lt;1,1,IF(ROUND(10.499-(((N589-VLOOKUP($C589,Lookups!$A$55:$D$64,3))/(VLOOKUP($C589,Lookups!$A$55:$D$64,4))*VLOOKUP($C589,Lookups!$C$2:$D$11,2))),0)&lt;11,ROUND(10.499-(((N589-VLOOKUP($C589,Lookups!$A$55:$D$64,3))/(VLOOKUP($C589,Lookups!$A$55:$D$64,4))*VLOOKUP($C589,Lookups!$C$2:$D$11,2))),0),10))</f>
        <v>#N/A</v>
      </c>
      <c r="P589" s="13" t="str">
        <f>IF((SUM(F589:M589)=0),"J",VLOOKUP(O589,Lookups!$A$1:$B$11,2))</f>
        <v>J</v>
      </c>
      <c r="Q589" s="8" t="e">
        <f>VLOOKUP(C589,Lookups!$A$136:$C$144,3)</f>
        <v>#N/A</v>
      </c>
      <c r="R589" s="8" t="e">
        <f>VLOOKUP(C589,Lookups!$A$136:$C$144,2)</f>
        <v>#N/A</v>
      </c>
      <c r="S589" s="4" t="str">
        <f t="shared" si="47"/>
        <v>No</v>
      </c>
      <c r="T589" s="125">
        <f t="shared" si="48"/>
        <v>0</v>
      </c>
      <c r="U589" s="125">
        <f t="shared" si="49"/>
        <v>0</v>
      </c>
      <c r="V589" s="4" t="e">
        <f>IF($Q589&lt;&gt;3,VLOOKUP(F589,'Points Table A'!B$3:$F$33,5),VLOOKUP(F589,'Points Table A'!H$3:$L$33,5))</f>
        <v>#N/A</v>
      </c>
      <c r="W589" s="4" t="e">
        <f>IF($Q589&lt;&gt;3,VLOOKUP(G589,'Points Table A'!C$3:$F$33,4),VLOOKUP(G589,'Points Table A'!I$3:$L$33,4))</f>
        <v>#N/A</v>
      </c>
      <c r="X589" s="4" t="e">
        <f>IF($Q589&lt;&gt;3,VLOOKUP(H589,'Points Table A'!D$3:$F$28,3),VLOOKUP(H589,'Points Table A'!J$3:$L$33,3))</f>
        <v>#N/A</v>
      </c>
      <c r="Y589" s="4" t="e">
        <f>IF($Q589&lt;&gt;3,VLOOKUP(I589,'Points Table A'!E$3:$F$33,2),VLOOKUP(I589,'Points Table A'!K$3:$L$33,2))</f>
        <v>#N/A</v>
      </c>
      <c r="Z589" s="4" t="e">
        <f t="shared" si="50"/>
        <v>#N/A</v>
      </c>
      <c r="AA589" s="4">
        <f>IF($S589=Lookups!$B$113,VLOOKUP(L589,'Points Table C'!A$3:$E$11,5),VLOOKUP(U589,'Points Table C'!B$3:$E$11,4))</f>
        <v>0</v>
      </c>
      <c r="AB589" s="4" t="e">
        <f>IF($Q589=1,0,VLOOKUP($J589,'Points Table C'!$C$3:$E$18,3))</f>
        <v>#N/A</v>
      </c>
      <c r="AC589" s="4">
        <f>VLOOKUP($K589,'Points Table C'!$D$3:$E$18,2)</f>
        <v>0</v>
      </c>
      <c r="AD589" s="4" t="e">
        <f>IF($Z589&lt;Lookups!$C$106,($AA589+AB589+AC589),IF($AA589&gt;=Lookups!$C$120,($AA589+AB589+AC589),$AA589+$AB589))</f>
        <v>#N/A</v>
      </c>
      <c r="AF589" s="7"/>
      <c r="AG589" s="7"/>
      <c r="AH589" s="7"/>
      <c r="AI589" s="7"/>
      <c r="AJ589" s="7"/>
      <c r="AK589" s="7"/>
      <c r="AL589" s="7"/>
      <c r="AM589" s="7"/>
      <c r="AN589" s="7"/>
      <c r="AO589" s="7"/>
      <c r="AP589" s="7"/>
      <c r="AQ589" s="7"/>
      <c r="AR589" s="7"/>
      <c r="AS589" s="7"/>
      <c r="AT589" s="7"/>
      <c r="AU589" s="7"/>
      <c r="AV589" s="7"/>
      <c r="AW589" s="7"/>
      <c r="AY589" s="7"/>
      <c r="AZ589" s="7"/>
      <c r="BA589" s="7"/>
      <c r="BB589" s="7"/>
    </row>
    <row r="590" spans="2:54" x14ac:dyDescent="0.2">
      <c r="B590" s="174"/>
      <c r="C590" s="176"/>
      <c r="F590" s="5">
        <v>0</v>
      </c>
      <c r="G590" s="192">
        <v>0</v>
      </c>
      <c r="H590" s="192">
        <v>0</v>
      </c>
      <c r="I590" s="5">
        <v>0</v>
      </c>
      <c r="J590" s="192">
        <v>0</v>
      </c>
      <c r="K590" s="192">
        <v>0</v>
      </c>
      <c r="L590" s="5">
        <v>0</v>
      </c>
      <c r="M590" s="5">
        <v>0</v>
      </c>
      <c r="N590" s="4" t="e">
        <f t="shared" si="51"/>
        <v>#N/A</v>
      </c>
      <c r="O590" s="4" t="e">
        <f>IF(ROUND(10.499-(((N590-VLOOKUP($C590,Lookups!$A$55:$D$64,3))/(VLOOKUP($C590,Lookups!$A$55:$D$64,4))*VLOOKUP($C590,Lookups!$C$2:$D$11,2))),0)&lt;1,1,IF(ROUND(10.499-(((N590-VLOOKUP($C590,Lookups!$A$55:$D$64,3))/(VLOOKUP($C590,Lookups!$A$55:$D$64,4))*VLOOKUP($C590,Lookups!$C$2:$D$11,2))),0)&lt;11,ROUND(10.499-(((N590-VLOOKUP($C590,Lookups!$A$55:$D$64,3))/(VLOOKUP($C590,Lookups!$A$55:$D$64,4))*VLOOKUP($C590,Lookups!$C$2:$D$11,2))),0),10))</f>
        <v>#N/A</v>
      </c>
      <c r="P590" s="13" t="str">
        <f>IF((SUM(F590:M590)=0),"J",VLOOKUP(O590,Lookups!$A$1:$B$11,2))</f>
        <v>J</v>
      </c>
      <c r="Q590" s="8" t="e">
        <f>VLOOKUP(C590,Lookups!$A$136:$C$144,3)</f>
        <v>#N/A</v>
      </c>
      <c r="R590" s="8" t="e">
        <f>VLOOKUP(C590,Lookups!$A$136:$C$144,2)</f>
        <v>#N/A</v>
      </c>
      <c r="S590" s="4" t="str">
        <f t="shared" si="47"/>
        <v>No</v>
      </c>
      <c r="T590" s="125">
        <f t="shared" si="48"/>
        <v>0</v>
      </c>
      <c r="U590" s="125">
        <f t="shared" si="49"/>
        <v>0</v>
      </c>
      <c r="V590" s="4" t="e">
        <f>IF($Q590&lt;&gt;3,VLOOKUP(F590,'Points Table A'!B$3:$F$33,5),VLOOKUP(F590,'Points Table A'!H$3:$L$33,5))</f>
        <v>#N/A</v>
      </c>
      <c r="W590" s="4" t="e">
        <f>IF($Q590&lt;&gt;3,VLOOKUP(G590,'Points Table A'!C$3:$F$33,4),VLOOKUP(G590,'Points Table A'!I$3:$L$33,4))</f>
        <v>#N/A</v>
      </c>
      <c r="X590" s="4" t="e">
        <f>IF($Q590&lt;&gt;3,VLOOKUP(H590,'Points Table A'!D$3:$F$28,3),VLOOKUP(H590,'Points Table A'!J$3:$L$33,3))</f>
        <v>#N/A</v>
      </c>
      <c r="Y590" s="4" t="e">
        <f>IF($Q590&lt;&gt;3,VLOOKUP(I590,'Points Table A'!E$3:$F$33,2),VLOOKUP(I590,'Points Table A'!K$3:$L$33,2))</f>
        <v>#N/A</v>
      </c>
      <c r="Z590" s="4" t="e">
        <f t="shared" si="50"/>
        <v>#N/A</v>
      </c>
      <c r="AA590" s="4">
        <f>IF($S590=Lookups!$B$113,VLOOKUP(L590,'Points Table C'!A$3:$E$11,5),VLOOKUP(U590,'Points Table C'!B$3:$E$11,4))</f>
        <v>0</v>
      </c>
      <c r="AB590" s="4" t="e">
        <f>IF($Q590=1,0,VLOOKUP($J590,'Points Table C'!$C$3:$E$18,3))</f>
        <v>#N/A</v>
      </c>
      <c r="AC590" s="4">
        <f>VLOOKUP($K590,'Points Table C'!$D$3:$E$18,2)</f>
        <v>0</v>
      </c>
      <c r="AD590" s="4" t="e">
        <f>IF($Z590&lt;Lookups!$C$106,($AA590+AB590+AC590),IF($AA590&gt;=Lookups!$C$120,($AA590+AB590+AC590),$AA590+$AB590))</f>
        <v>#N/A</v>
      </c>
      <c r="AF590" s="7"/>
      <c r="AG590" s="7"/>
      <c r="AH590" s="7"/>
      <c r="AI590" s="7"/>
      <c r="AJ590" s="7"/>
      <c r="AK590" s="7"/>
      <c r="AL590" s="7"/>
      <c r="AM590" s="7"/>
      <c r="AN590" s="7"/>
      <c r="AO590" s="7"/>
      <c r="AP590" s="7"/>
      <c r="AQ590" s="7"/>
      <c r="AR590" s="7"/>
      <c r="AS590" s="7"/>
      <c r="AT590" s="7"/>
      <c r="AU590" s="7"/>
      <c r="AV590" s="7"/>
      <c r="AW590" s="7"/>
      <c r="AY590" s="7"/>
      <c r="AZ590" s="7"/>
      <c r="BA590" s="7"/>
      <c r="BB590" s="7"/>
    </row>
    <row r="591" spans="2:54" x14ac:dyDescent="0.2">
      <c r="B591" s="174"/>
      <c r="C591" s="176"/>
      <c r="F591" s="5">
        <v>0</v>
      </c>
      <c r="G591" s="192">
        <v>0</v>
      </c>
      <c r="H591" s="192">
        <v>0</v>
      </c>
      <c r="I591" s="5">
        <v>0</v>
      </c>
      <c r="J591" s="192">
        <v>0</v>
      </c>
      <c r="K591" s="192">
        <v>0</v>
      </c>
      <c r="L591" s="5">
        <v>0</v>
      </c>
      <c r="M591" s="5">
        <v>0</v>
      </c>
      <c r="N591" s="4" t="e">
        <f t="shared" si="51"/>
        <v>#N/A</v>
      </c>
      <c r="O591" s="4" t="e">
        <f>IF(ROUND(10.499-(((N591-VLOOKUP($C591,Lookups!$A$55:$D$64,3))/(VLOOKUP($C591,Lookups!$A$55:$D$64,4))*VLOOKUP($C591,Lookups!$C$2:$D$11,2))),0)&lt;1,1,IF(ROUND(10.499-(((N591-VLOOKUP($C591,Lookups!$A$55:$D$64,3))/(VLOOKUP($C591,Lookups!$A$55:$D$64,4))*VLOOKUP($C591,Lookups!$C$2:$D$11,2))),0)&lt;11,ROUND(10.499-(((N591-VLOOKUP($C591,Lookups!$A$55:$D$64,3))/(VLOOKUP($C591,Lookups!$A$55:$D$64,4))*VLOOKUP($C591,Lookups!$C$2:$D$11,2))),0),10))</f>
        <v>#N/A</v>
      </c>
      <c r="P591" s="13" t="str">
        <f>IF((SUM(F591:M591)=0),"J",VLOOKUP(O591,Lookups!$A$1:$B$11,2))</f>
        <v>J</v>
      </c>
      <c r="Q591" s="8" t="e">
        <f>VLOOKUP(C591,Lookups!$A$136:$C$144,3)</f>
        <v>#N/A</v>
      </c>
      <c r="R591" s="8" t="e">
        <f>VLOOKUP(C591,Lookups!$A$136:$C$144,2)</f>
        <v>#N/A</v>
      </c>
      <c r="S591" s="4" t="str">
        <f t="shared" ref="S591:S654" si="52">IF(AND(L591&gt;0,M591=0),"Yes","No")</f>
        <v>No</v>
      </c>
      <c r="T591" s="125">
        <f t="shared" ref="T591:T654" si="53">L591+M591</f>
        <v>0</v>
      </c>
      <c r="U591" s="125">
        <f t="shared" ref="U591:U654" si="54">ROUND(100*(M591+2*L591)/(M591+2*L591+(100-L591-M591)),2)</f>
        <v>0</v>
      </c>
      <c r="V591" s="4" t="e">
        <f>IF($Q591&lt;&gt;3,VLOOKUP(F591,'Points Table A'!B$3:$F$33,5),VLOOKUP(F591,'Points Table A'!H$3:$L$33,5))</f>
        <v>#N/A</v>
      </c>
      <c r="W591" s="4" t="e">
        <f>IF($Q591&lt;&gt;3,VLOOKUP(G591,'Points Table A'!C$3:$F$33,4),VLOOKUP(G591,'Points Table A'!I$3:$L$33,4))</f>
        <v>#N/A</v>
      </c>
      <c r="X591" s="4" t="e">
        <f>IF($Q591&lt;&gt;3,VLOOKUP(H591,'Points Table A'!D$3:$F$28,3),VLOOKUP(H591,'Points Table A'!J$3:$L$33,3))</f>
        <v>#N/A</v>
      </c>
      <c r="Y591" s="4" t="e">
        <f>IF($Q591&lt;&gt;3,VLOOKUP(I591,'Points Table A'!E$3:$F$33,2),VLOOKUP(I591,'Points Table A'!K$3:$L$33,2))</f>
        <v>#N/A</v>
      </c>
      <c r="Z591" s="4" t="e">
        <f t="shared" ref="Z591:Z654" si="55">SUM(V591:Y591)</f>
        <v>#N/A</v>
      </c>
      <c r="AA591" s="4">
        <f>IF($S591=Lookups!$B$113,VLOOKUP(L591,'Points Table C'!A$3:$E$11,5),VLOOKUP(U591,'Points Table C'!B$3:$E$11,4))</f>
        <v>0</v>
      </c>
      <c r="AB591" s="4" t="e">
        <f>IF($Q591=1,0,VLOOKUP($J591,'Points Table C'!$C$3:$E$18,3))</f>
        <v>#N/A</v>
      </c>
      <c r="AC591" s="4">
        <f>VLOOKUP($K591,'Points Table C'!$D$3:$E$18,2)</f>
        <v>0</v>
      </c>
      <c r="AD591" s="4" t="e">
        <f>IF($Z591&lt;Lookups!$C$106,($AA591+AB591+AC591),IF($AA591&gt;=Lookups!$C$120,($AA591+AB591+AC591),$AA591+$AB591))</f>
        <v>#N/A</v>
      </c>
      <c r="AF591" s="7"/>
      <c r="AG591" s="7"/>
      <c r="AH591" s="7"/>
      <c r="AI591" s="7"/>
      <c r="AJ591" s="7"/>
      <c r="AK591" s="7"/>
      <c r="AL591" s="7"/>
      <c r="AM591" s="7"/>
      <c r="AN591" s="7"/>
      <c r="AO591" s="7"/>
      <c r="AP591" s="7"/>
      <c r="AQ591" s="7"/>
      <c r="AR591" s="7"/>
      <c r="AS591" s="7"/>
      <c r="AT591" s="7"/>
      <c r="AU591" s="7"/>
      <c r="AV591" s="7"/>
      <c r="AW591" s="7"/>
      <c r="AY591" s="7"/>
      <c r="AZ591" s="7"/>
      <c r="BA591" s="7"/>
      <c r="BB591" s="7"/>
    </row>
    <row r="592" spans="2:54" x14ac:dyDescent="0.2">
      <c r="B592" s="174"/>
      <c r="C592" s="176"/>
      <c r="F592" s="5">
        <v>0</v>
      </c>
      <c r="G592" s="192">
        <v>0</v>
      </c>
      <c r="H592" s="192">
        <v>0</v>
      </c>
      <c r="I592" s="5">
        <v>0</v>
      </c>
      <c r="J592" s="192">
        <v>0</v>
      </c>
      <c r="K592" s="192">
        <v>0</v>
      </c>
      <c r="L592" s="5">
        <v>0</v>
      </c>
      <c r="M592" s="5">
        <v>0</v>
      </c>
      <c r="N592" s="4" t="e">
        <f t="shared" si="51"/>
        <v>#N/A</v>
      </c>
      <c r="O592" s="4" t="e">
        <f>IF(ROUND(10.499-(((N592-VLOOKUP($C592,Lookups!$A$55:$D$64,3))/(VLOOKUP($C592,Lookups!$A$55:$D$64,4))*VLOOKUP($C592,Lookups!$C$2:$D$11,2))),0)&lt;1,1,IF(ROUND(10.499-(((N592-VLOOKUP($C592,Lookups!$A$55:$D$64,3))/(VLOOKUP($C592,Lookups!$A$55:$D$64,4))*VLOOKUP($C592,Lookups!$C$2:$D$11,2))),0)&lt;11,ROUND(10.499-(((N592-VLOOKUP($C592,Lookups!$A$55:$D$64,3))/(VLOOKUP($C592,Lookups!$A$55:$D$64,4))*VLOOKUP($C592,Lookups!$C$2:$D$11,2))),0),10))</f>
        <v>#N/A</v>
      </c>
      <c r="P592" s="13" t="str">
        <f>IF((SUM(F592:M592)=0),"J",VLOOKUP(O592,Lookups!$A$1:$B$11,2))</f>
        <v>J</v>
      </c>
      <c r="Q592" s="8" t="e">
        <f>VLOOKUP(C592,Lookups!$A$136:$C$144,3)</f>
        <v>#N/A</v>
      </c>
      <c r="R592" s="8" t="e">
        <f>VLOOKUP(C592,Lookups!$A$136:$C$144,2)</f>
        <v>#N/A</v>
      </c>
      <c r="S592" s="4" t="str">
        <f t="shared" si="52"/>
        <v>No</v>
      </c>
      <c r="T592" s="125">
        <f t="shared" si="53"/>
        <v>0</v>
      </c>
      <c r="U592" s="125">
        <f t="shared" si="54"/>
        <v>0</v>
      </c>
      <c r="V592" s="4" t="e">
        <f>IF($Q592&lt;&gt;3,VLOOKUP(F592,'Points Table A'!B$3:$F$33,5),VLOOKUP(F592,'Points Table A'!H$3:$L$33,5))</f>
        <v>#N/A</v>
      </c>
      <c r="W592" s="4" t="e">
        <f>IF($Q592&lt;&gt;3,VLOOKUP(G592,'Points Table A'!C$3:$F$33,4),VLOOKUP(G592,'Points Table A'!I$3:$L$33,4))</f>
        <v>#N/A</v>
      </c>
      <c r="X592" s="4" t="e">
        <f>IF($Q592&lt;&gt;3,VLOOKUP(H592,'Points Table A'!D$3:$F$28,3),VLOOKUP(H592,'Points Table A'!J$3:$L$33,3))</f>
        <v>#N/A</v>
      </c>
      <c r="Y592" s="4" t="e">
        <f>IF($Q592&lt;&gt;3,VLOOKUP(I592,'Points Table A'!E$3:$F$33,2),VLOOKUP(I592,'Points Table A'!K$3:$L$33,2))</f>
        <v>#N/A</v>
      </c>
      <c r="Z592" s="4" t="e">
        <f t="shared" si="55"/>
        <v>#N/A</v>
      </c>
      <c r="AA592" s="4">
        <f>IF($S592=Lookups!$B$113,VLOOKUP(L592,'Points Table C'!A$3:$E$11,5),VLOOKUP(U592,'Points Table C'!B$3:$E$11,4))</f>
        <v>0</v>
      </c>
      <c r="AB592" s="4" t="e">
        <f>IF($Q592=1,0,VLOOKUP($J592,'Points Table C'!$C$3:$E$18,3))</f>
        <v>#N/A</v>
      </c>
      <c r="AC592" s="4">
        <f>VLOOKUP($K592,'Points Table C'!$D$3:$E$18,2)</f>
        <v>0</v>
      </c>
      <c r="AD592" s="4" t="e">
        <f>IF($Z592&lt;Lookups!$C$106,($AA592+AB592+AC592),IF($AA592&gt;=Lookups!$C$120,($AA592+AB592+AC592),$AA592+$AB592))</f>
        <v>#N/A</v>
      </c>
      <c r="AF592" s="7"/>
      <c r="AG592" s="7"/>
      <c r="AH592" s="7"/>
      <c r="AI592" s="7"/>
      <c r="AJ592" s="7"/>
      <c r="AK592" s="7"/>
      <c r="AL592" s="7"/>
      <c r="AM592" s="7"/>
      <c r="AN592" s="7"/>
      <c r="AO592" s="7"/>
      <c r="AP592" s="7"/>
      <c r="AQ592" s="7"/>
      <c r="AR592" s="7"/>
      <c r="AS592" s="7"/>
      <c r="AT592" s="7"/>
      <c r="AU592" s="7"/>
      <c r="AV592" s="7"/>
      <c r="AW592" s="7"/>
      <c r="AY592" s="7"/>
      <c r="AZ592" s="7"/>
      <c r="BA592" s="7"/>
      <c r="BB592" s="7"/>
    </row>
    <row r="593" spans="2:54" x14ac:dyDescent="0.2">
      <c r="B593" s="174"/>
      <c r="C593" s="176"/>
      <c r="F593" s="5">
        <v>0</v>
      </c>
      <c r="G593" s="192">
        <v>0</v>
      </c>
      <c r="H593" s="192">
        <v>0</v>
      </c>
      <c r="I593" s="5">
        <v>0</v>
      </c>
      <c r="J593" s="192">
        <v>0</v>
      </c>
      <c r="K593" s="192">
        <v>0</v>
      </c>
      <c r="L593" s="5">
        <v>0</v>
      </c>
      <c r="M593" s="5">
        <v>0</v>
      </c>
      <c r="N593" s="4" t="e">
        <f t="shared" si="51"/>
        <v>#N/A</v>
      </c>
      <c r="O593" s="4" t="e">
        <f>IF(ROUND(10.499-(((N593-VLOOKUP($C593,Lookups!$A$55:$D$64,3))/(VLOOKUP($C593,Lookups!$A$55:$D$64,4))*VLOOKUP($C593,Lookups!$C$2:$D$11,2))),0)&lt;1,1,IF(ROUND(10.499-(((N593-VLOOKUP($C593,Lookups!$A$55:$D$64,3))/(VLOOKUP($C593,Lookups!$A$55:$D$64,4))*VLOOKUP($C593,Lookups!$C$2:$D$11,2))),0)&lt;11,ROUND(10.499-(((N593-VLOOKUP($C593,Lookups!$A$55:$D$64,3))/(VLOOKUP($C593,Lookups!$A$55:$D$64,4))*VLOOKUP($C593,Lookups!$C$2:$D$11,2))),0),10))</f>
        <v>#N/A</v>
      </c>
      <c r="P593" s="13" t="str">
        <f>IF((SUM(F593:M593)=0),"J",VLOOKUP(O593,Lookups!$A$1:$B$11,2))</f>
        <v>J</v>
      </c>
      <c r="Q593" s="8" t="e">
        <f>VLOOKUP(C593,Lookups!$A$136:$C$144,3)</f>
        <v>#N/A</v>
      </c>
      <c r="R593" s="8" t="e">
        <f>VLOOKUP(C593,Lookups!$A$136:$C$144,2)</f>
        <v>#N/A</v>
      </c>
      <c r="S593" s="4" t="str">
        <f t="shared" si="52"/>
        <v>No</v>
      </c>
      <c r="T593" s="125">
        <f t="shared" si="53"/>
        <v>0</v>
      </c>
      <c r="U593" s="125">
        <f t="shared" si="54"/>
        <v>0</v>
      </c>
      <c r="V593" s="4" t="e">
        <f>IF($Q593&lt;&gt;3,VLOOKUP(F593,'Points Table A'!B$3:$F$33,5),VLOOKUP(F593,'Points Table A'!H$3:$L$33,5))</f>
        <v>#N/A</v>
      </c>
      <c r="W593" s="4" t="e">
        <f>IF($Q593&lt;&gt;3,VLOOKUP(G593,'Points Table A'!C$3:$F$33,4),VLOOKUP(G593,'Points Table A'!I$3:$L$33,4))</f>
        <v>#N/A</v>
      </c>
      <c r="X593" s="4" t="e">
        <f>IF($Q593&lt;&gt;3,VLOOKUP(H593,'Points Table A'!D$3:$F$28,3),VLOOKUP(H593,'Points Table A'!J$3:$L$33,3))</f>
        <v>#N/A</v>
      </c>
      <c r="Y593" s="4" t="e">
        <f>IF($Q593&lt;&gt;3,VLOOKUP(I593,'Points Table A'!E$3:$F$33,2),VLOOKUP(I593,'Points Table A'!K$3:$L$33,2))</f>
        <v>#N/A</v>
      </c>
      <c r="Z593" s="4" t="e">
        <f t="shared" si="55"/>
        <v>#N/A</v>
      </c>
      <c r="AA593" s="4">
        <f>IF($S593=Lookups!$B$113,VLOOKUP(L593,'Points Table C'!A$3:$E$11,5),VLOOKUP(U593,'Points Table C'!B$3:$E$11,4))</f>
        <v>0</v>
      </c>
      <c r="AB593" s="4" t="e">
        <f>IF($Q593=1,0,VLOOKUP($J593,'Points Table C'!$C$3:$E$18,3))</f>
        <v>#N/A</v>
      </c>
      <c r="AC593" s="4">
        <f>VLOOKUP($K593,'Points Table C'!$D$3:$E$18,2)</f>
        <v>0</v>
      </c>
      <c r="AD593" s="4" t="e">
        <f>IF($Z593&lt;Lookups!$C$106,($AA593+AB593+AC593),IF($AA593&gt;=Lookups!$C$120,($AA593+AB593+AC593),$AA593+$AB593))</f>
        <v>#N/A</v>
      </c>
      <c r="AF593" s="7"/>
      <c r="AG593" s="7"/>
      <c r="AH593" s="7"/>
      <c r="AI593" s="7"/>
      <c r="AJ593" s="7"/>
      <c r="AK593" s="7"/>
      <c r="AL593" s="7"/>
      <c r="AM593" s="7"/>
      <c r="AN593" s="7"/>
      <c r="AO593" s="7"/>
      <c r="AP593" s="7"/>
      <c r="AQ593" s="7"/>
      <c r="AR593" s="7"/>
      <c r="AS593" s="7"/>
      <c r="AT593" s="7"/>
      <c r="AU593" s="7"/>
      <c r="AV593" s="7"/>
      <c r="AW593" s="7"/>
      <c r="AY593" s="7"/>
      <c r="AZ593" s="7"/>
      <c r="BA593" s="7"/>
      <c r="BB593" s="7"/>
    </row>
    <row r="594" spans="2:54" x14ac:dyDescent="0.2">
      <c r="B594" s="174"/>
      <c r="C594" s="176"/>
      <c r="F594" s="5">
        <v>0</v>
      </c>
      <c r="G594" s="192">
        <v>0</v>
      </c>
      <c r="H594" s="192">
        <v>0</v>
      </c>
      <c r="I594" s="5">
        <v>0</v>
      </c>
      <c r="J594" s="192">
        <v>0</v>
      </c>
      <c r="K594" s="192">
        <v>0</v>
      </c>
      <c r="L594" s="5">
        <v>0</v>
      </c>
      <c r="M594" s="5">
        <v>0</v>
      </c>
      <c r="N594" s="4" t="e">
        <f t="shared" si="51"/>
        <v>#N/A</v>
      </c>
      <c r="O594" s="4" t="e">
        <f>IF(ROUND(10.499-(((N594-VLOOKUP($C594,Lookups!$A$55:$D$64,3))/(VLOOKUP($C594,Lookups!$A$55:$D$64,4))*VLOOKUP($C594,Lookups!$C$2:$D$11,2))),0)&lt;1,1,IF(ROUND(10.499-(((N594-VLOOKUP($C594,Lookups!$A$55:$D$64,3))/(VLOOKUP($C594,Lookups!$A$55:$D$64,4))*VLOOKUP($C594,Lookups!$C$2:$D$11,2))),0)&lt;11,ROUND(10.499-(((N594-VLOOKUP($C594,Lookups!$A$55:$D$64,3))/(VLOOKUP($C594,Lookups!$A$55:$D$64,4))*VLOOKUP($C594,Lookups!$C$2:$D$11,2))),0),10))</f>
        <v>#N/A</v>
      </c>
      <c r="P594" s="13" t="str">
        <f>IF((SUM(F594:M594)=0),"J",VLOOKUP(O594,Lookups!$A$1:$B$11,2))</f>
        <v>J</v>
      </c>
      <c r="Q594" s="8" t="e">
        <f>VLOOKUP(C594,Lookups!$A$136:$C$144,3)</f>
        <v>#N/A</v>
      </c>
      <c r="R594" s="8" t="e">
        <f>VLOOKUP(C594,Lookups!$A$136:$C$144,2)</f>
        <v>#N/A</v>
      </c>
      <c r="S594" s="4" t="str">
        <f t="shared" si="52"/>
        <v>No</v>
      </c>
      <c r="T594" s="125">
        <f t="shared" si="53"/>
        <v>0</v>
      </c>
      <c r="U594" s="125">
        <f t="shared" si="54"/>
        <v>0</v>
      </c>
      <c r="V594" s="4" t="e">
        <f>IF($Q594&lt;&gt;3,VLOOKUP(F594,'Points Table A'!B$3:$F$33,5),VLOOKUP(F594,'Points Table A'!H$3:$L$33,5))</f>
        <v>#N/A</v>
      </c>
      <c r="W594" s="4" t="e">
        <f>IF($Q594&lt;&gt;3,VLOOKUP(G594,'Points Table A'!C$3:$F$33,4),VLOOKUP(G594,'Points Table A'!I$3:$L$33,4))</f>
        <v>#N/A</v>
      </c>
      <c r="X594" s="4" t="e">
        <f>IF($Q594&lt;&gt;3,VLOOKUP(H594,'Points Table A'!D$3:$F$28,3),VLOOKUP(H594,'Points Table A'!J$3:$L$33,3))</f>
        <v>#N/A</v>
      </c>
      <c r="Y594" s="4" t="e">
        <f>IF($Q594&lt;&gt;3,VLOOKUP(I594,'Points Table A'!E$3:$F$33,2),VLOOKUP(I594,'Points Table A'!K$3:$L$33,2))</f>
        <v>#N/A</v>
      </c>
      <c r="Z594" s="4" t="e">
        <f t="shared" si="55"/>
        <v>#N/A</v>
      </c>
      <c r="AA594" s="4">
        <f>IF($S594=Lookups!$B$113,VLOOKUP(L594,'Points Table C'!A$3:$E$11,5),VLOOKUP(U594,'Points Table C'!B$3:$E$11,4))</f>
        <v>0</v>
      </c>
      <c r="AB594" s="4" t="e">
        <f>IF($Q594=1,0,VLOOKUP($J594,'Points Table C'!$C$3:$E$18,3))</f>
        <v>#N/A</v>
      </c>
      <c r="AC594" s="4">
        <f>VLOOKUP($K594,'Points Table C'!$D$3:$E$18,2)</f>
        <v>0</v>
      </c>
      <c r="AD594" s="4" t="e">
        <f>IF($Z594&lt;Lookups!$C$106,($AA594+AB594+AC594),IF($AA594&gt;=Lookups!$C$120,($AA594+AB594+AC594),$AA594+$AB594))</f>
        <v>#N/A</v>
      </c>
      <c r="AF594" s="7"/>
      <c r="AG594" s="7"/>
      <c r="AH594" s="7"/>
      <c r="AI594" s="7"/>
      <c r="AJ594" s="7"/>
      <c r="AK594" s="7"/>
      <c r="AL594" s="7"/>
      <c r="AM594" s="7"/>
      <c r="AN594" s="7"/>
      <c r="AO594" s="7"/>
      <c r="AP594" s="7"/>
      <c r="AQ594" s="7"/>
      <c r="AR594" s="7"/>
      <c r="AS594" s="7"/>
      <c r="AT594" s="7"/>
      <c r="AU594" s="7"/>
      <c r="AV594" s="7"/>
      <c r="AW594" s="7"/>
      <c r="AY594" s="7"/>
      <c r="AZ594" s="7"/>
      <c r="BA594" s="7"/>
      <c r="BB594" s="7"/>
    </row>
    <row r="595" spans="2:54" x14ac:dyDescent="0.2">
      <c r="B595" s="174"/>
      <c r="C595" s="176"/>
      <c r="F595" s="5">
        <v>0</v>
      </c>
      <c r="G595" s="192">
        <v>0</v>
      </c>
      <c r="H595" s="192">
        <v>0</v>
      </c>
      <c r="I595" s="5">
        <v>0</v>
      </c>
      <c r="J595" s="192">
        <v>0</v>
      </c>
      <c r="K595" s="192">
        <v>0</v>
      </c>
      <c r="L595" s="5">
        <v>0</v>
      </c>
      <c r="M595" s="5">
        <v>0</v>
      </c>
      <c r="N595" s="4" t="e">
        <f t="shared" si="51"/>
        <v>#N/A</v>
      </c>
      <c r="O595" s="4" t="e">
        <f>IF(ROUND(10.499-(((N595-VLOOKUP($C595,Lookups!$A$55:$D$64,3))/(VLOOKUP($C595,Lookups!$A$55:$D$64,4))*VLOOKUP($C595,Lookups!$C$2:$D$11,2))),0)&lt;1,1,IF(ROUND(10.499-(((N595-VLOOKUP($C595,Lookups!$A$55:$D$64,3))/(VLOOKUP($C595,Lookups!$A$55:$D$64,4))*VLOOKUP($C595,Lookups!$C$2:$D$11,2))),0)&lt;11,ROUND(10.499-(((N595-VLOOKUP($C595,Lookups!$A$55:$D$64,3))/(VLOOKUP($C595,Lookups!$A$55:$D$64,4))*VLOOKUP($C595,Lookups!$C$2:$D$11,2))),0),10))</f>
        <v>#N/A</v>
      </c>
      <c r="P595" s="13" t="str">
        <f>IF((SUM(F595:M595)=0),"J",VLOOKUP(O595,Lookups!$A$1:$B$11,2))</f>
        <v>J</v>
      </c>
      <c r="Q595" s="8" t="e">
        <f>VLOOKUP(C595,Lookups!$A$136:$C$144,3)</f>
        <v>#N/A</v>
      </c>
      <c r="R595" s="8" t="e">
        <f>VLOOKUP(C595,Lookups!$A$136:$C$144,2)</f>
        <v>#N/A</v>
      </c>
      <c r="S595" s="4" t="str">
        <f t="shared" si="52"/>
        <v>No</v>
      </c>
      <c r="T595" s="125">
        <f t="shared" si="53"/>
        <v>0</v>
      </c>
      <c r="U595" s="125">
        <f t="shared" si="54"/>
        <v>0</v>
      </c>
      <c r="V595" s="4" t="e">
        <f>IF($Q595&lt;&gt;3,VLOOKUP(F595,'Points Table A'!B$3:$F$33,5),VLOOKUP(F595,'Points Table A'!H$3:$L$33,5))</f>
        <v>#N/A</v>
      </c>
      <c r="W595" s="4" t="e">
        <f>IF($Q595&lt;&gt;3,VLOOKUP(G595,'Points Table A'!C$3:$F$33,4),VLOOKUP(G595,'Points Table A'!I$3:$L$33,4))</f>
        <v>#N/A</v>
      </c>
      <c r="X595" s="4" t="e">
        <f>IF($Q595&lt;&gt;3,VLOOKUP(H595,'Points Table A'!D$3:$F$28,3),VLOOKUP(H595,'Points Table A'!J$3:$L$33,3))</f>
        <v>#N/A</v>
      </c>
      <c r="Y595" s="4" t="e">
        <f>IF($Q595&lt;&gt;3,VLOOKUP(I595,'Points Table A'!E$3:$F$33,2),VLOOKUP(I595,'Points Table A'!K$3:$L$33,2))</f>
        <v>#N/A</v>
      </c>
      <c r="Z595" s="4" t="e">
        <f t="shared" si="55"/>
        <v>#N/A</v>
      </c>
      <c r="AA595" s="4">
        <f>IF($S595=Lookups!$B$113,VLOOKUP(L595,'Points Table C'!A$3:$E$11,5),VLOOKUP(U595,'Points Table C'!B$3:$E$11,4))</f>
        <v>0</v>
      </c>
      <c r="AB595" s="4" t="e">
        <f>IF($Q595=1,0,VLOOKUP($J595,'Points Table C'!$C$3:$E$18,3))</f>
        <v>#N/A</v>
      </c>
      <c r="AC595" s="4">
        <f>VLOOKUP($K595,'Points Table C'!$D$3:$E$18,2)</f>
        <v>0</v>
      </c>
      <c r="AD595" s="4" t="e">
        <f>IF($Z595&lt;Lookups!$C$106,($AA595+AB595+AC595),IF($AA595&gt;=Lookups!$C$120,($AA595+AB595+AC595),$AA595+$AB595))</f>
        <v>#N/A</v>
      </c>
      <c r="AF595" s="7"/>
      <c r="AG595" s="7"/>
      <c r="AH595" s="7"/>
      <c r="AI595" s="7"/>
      <c r="AJ595" s="7"/>
      <c r="AK595" s="7"/>
      <c r="AL595" s="7"/>
      <c r="AM595" s="7"/>
      <c r="AN595" s="7"/>
      <c r="AO595" s="7"/>
      <c r="AP595" s="7"/>
      <c r="AQ595" s="7"/>
      <c r="AR595" s="7"/>
      <c r="AS595" s="7"/>
      <c r="AT595" s="7"/>
      <c r="AU595" s="7"/>
      <c r="AV595" s="7"/>
      <c r="AW595" s="7"/>
      <c r="AY595" s="7"/>
      <c r="AZ595" s="7"/>
      <c r="BA595" s="7"/>
      <c r="BB595" s="7"/>
    </row>
    <row r="596" spans="2:54" x14ac:dyDescent="0.2">
      <c r="B596" s="174"/>
      <c r="C596" s="176"/>
      <c r="F596" s="5">
        <v>0</v>
      </c>
      <c r="G596" s="192">
        <v>0</v>
      </c>
      <c r="H596" s="192">
        <v>0</v>
      </c>
      <c r="I596" s="5">
        <v>0</v>
      </c>
      <c r="J596" s="192">
        <v>0</v>
      </c>
      <c r="K596" s="192">
        <v>0</v>
      </c>
      <c r="L596" s="5">
        <v>0</v>
      </c>
      <c r="M596" s="5">
        <v>0</v>
      </c>
      <c r="N596" s="4" t="e">
        <f t="shared" si="51"/>
        <v>#N/A</v>
      </c>
      <c r="O596" s="4" t="e">
        <f>IF(ROUND(10.499-(((N596-VLOOKUP($C596,Lookups!$A$55:$D$64,3))/(VLOOKUP($C596,Lookups!$A$55:$D$64,4))*VLOOKUP($C596,Lookups!$C$2:$D$11,2))),0)&lt;1,1,IF(ROUND(10.499-(((N596-VLOOKUP($C596,Lookups!$A$55:$D$64,3))/(VLOOKUP($C596,Lookups!$A$55:$D$64,4))*VLOOKUP($C596,Lookups!$C$2:$D$11,2))),0)&lt;11,ROUND(10.499-(((N596-VLOOKUP($C596,Lookups!$A$55:$D$64,3))/(VLOOKUP($C596,Lookups!$A$55:$D$64,4))*VLOOKUP($C596,Lookups!$C$2:$D$11,2))),0),10))</f>
        <v>#N/A</v>
      </c>
      <c r="P596" s="13" t="str">
        <f>IF((SUM(F596:M596)=0),"J",VLOOKUP(O596,Lookups!$A$1:$B$11,2))</f>
        <v>J</v>
      </c>
      <c r="Q596" s="8" t="e">
        <f>VLOOKUP(C596,Lookups!$A$136:$C$144,3)</f>
        <v>#N/A</v>
      </c>
      <c r="R596" s="8" t="e">
        <f>VLOOKUP(C596,Lookups!$A$136:$C$144,2)</f>
        <v>#N/A</v>
      </c>
      <c r="S596" s="4" t="str">
        <f t="shared" si="52"/>
        <v>No</v>
      </c>
      <c r="T596" s="125">
        <f t="shared" si="53"/>
        <v>0</v>
      </c>
      <c r="U596" s="125">
        <f t="shared" si="54"/>
        <v>0</v>
      </c>
      <c r="V596" s="4" t="e">
        <f>IF($Q596&lt;&gt;3,VLOOKUP(F596,'Points Table A'!B$3:$F$33,5),VLOOKUP(F596,'Points Table A'!H$3:$L$33,5))</f>
        <v>#N/A</v>
      </c>
      <c r="W596" s="4" t="e">
        <f>IF($Q596&lt;&gt;3,VLOOKUP(G596,'Points Table A'!C$3:$F$33,4),VLOOKUP(G596,'Points Table A'!I$3:$L$33,4))</f>
        <v>#N/A</v>
      </c>
      <c r="X596" s="4" t="e">
        <f>IF($Q596&lt;&gt;3,VLOOKUP(H596,'Points Table A'!D$3:$F$28,3),VLOOKUP(H596,'Points Table A'!J$3:$L$33,3))</f>
        <v>#N/A</v>
      </c>
      <c r="Y596" s="4" t="e">
        <f>IF($Q596&lt;&gt;3,VLOOKUP(I596,'Points Table A'!E$3:$F$33,2),VLOOKUP(I596,'Points Table A'!K$3:$L$33,2))</f>
        <v>#N/A</v>
      </c>
      <c r="Z596" s="4" t="e">
        <f t="shared" si="55"/>
        <v>#N/A</v>
      </c>
      <c r="AA596" s="4">
        <f>IF($S596=Lookups!$B$113,VLOOKUP(L596,'Points Table C'!A$3:$E$11,5),VLOOKUP(U596,'Points Table C'!B$3:$E$11,4))</f>
        <v>0</v>
      </c>
      <c r="AB596" s="4" t="e">
        <f>IF($Q596=1,0,VLOOKUP($J596,'Points Table C'!$C$3:$E$18,3))</f>
        <v>#N/A</v>
      </c>
      <c r="AC596" s="4">
        <f>VLOOKUP($K596,'Points Table C'!$D$3:$E$18,2)</f>
        <v>0</v>
      </c>
      <c r="AD596" s="4" t="e">
        <f>IF($Z596&lt;Lookups!$C$106,($AA596+AB596+AC596),IF($AA596&gt;=Lookups!$C$120,($AA596+AB596+AC596),$AA596+$AB596))</f>
        <v>#N/A</v>
      </c>
      <c r="AF596" s="7"/>
      <c r="AG596" s="7"/>
      <c r="AH596" s="7"/>
      <c r="AI596" s="7"/>
      <c r="AJ596" s="7"/>
      <c r="AK596" s="7"/>
      <c r="AL596" s="7"/>
      <c r="AM596" s="7"/>
      <c r="AN596" s="7"/>
      <c r="AO596" s="7"/>
      <c r="AP596" s="7"/>
      <c r="AQ596" s="7"/>
      <c r="AR596" s="7"/>
      <c r="AS596" s="7"/>
      <c r="AT596" s="7"/>
      <c r="AU596" s="7"/>
      <c r="AV596" s="7"/>
      <c r="AW596" s="7"/>
      <c r="AY596" s="7"/>
      <c r="AZ596" s="7"/>
      <c r="BA596" s="7"/>
      <c r="BB596" s="7"/>
    </row>
    <row r="597" spans="2:54" x14ac:dyDescent="0.2">
      <c r="B597" s="174"/>
      <c r="C597" s="176"/>
      <c r="F597" s="5">
        <v>0</v>
      </c>
      <c r="G597" s="192">
        <v>0</v>
      </c>
      <c r="H597" s="192">
        <v>0</v>
      </c>
      <c r="I597" s="5">
        <v>0</v>
      </c>
      <c r="J597" s="192">
        <v>0</v>
      </c>
      <c r="K597" s="192">
        <v>0</v>
      </c>
      <c r="L597" s="5">
        <v>0</v>
      </c>
      <c r="M597" s="5">
        <v>0</v>
      </c>
      <c r="N597" s="4" t="e">
        <f t="shared" si="51"/>
        <v>#N/A</v>
      </c>
      <c r="O597" s="4" t="e">
        <f>IF(ROUND(10.499-(((N597-VLOOKUP($C597,Lookups!$A$55:$D$64,3))/(VLOOKUP($C597,Lookups!$A$55:$D$64,4))*VLOOKUP($C597,Lookups!$C$2:$D$11,2))),0)&lt;1,1,IF(ROUND(10.499-(((N597-VLOOKUP($C597,Lookups!$A$55:$D$64,3))/(VLOOKUP($C597,Lookups!$A$55:$D$64,4))*VLOOKUP($C597,Lookups!$C$2:$D$11,2))),0)&lt;11,ROUND(10.499-(((N597-VLOOKUP($C597,Lookups!$A$55:$D$64,3))/(VLOOKUP($C597,Lookups!$A$55:$D$64,4))*VLOOKUP($C597,Lookups!$C$2:$D$11,2))),0),10))</f>
        <v>#N/A</v>
      </c>
      <c r="P597" s="13" t="str">
        <f>IF((SUM(F597:M597)=0),"J",VLOOKUP(O597,Lookups!$A$1:$B$11,2))</f>
        <v>J</v>
      </c>
      <c r="Q597" s="8" t="e">
        <f>VLOOKUP(C597,Lookups!$A$136:$C$144,3)</f>
        <v>#N/A</v>
      </c>
      <c r="R597" s="8" t="e">
        <f>VLOOKUP(C597,Lookups!$A$136:$C$144,2)</f>
        <v>#N/A</v>
      </c>
      <c r="S597" s="4" t="str">
        <f t="shared" si="52"/>
        <v>No</v>
      </c>
      <c r="T597" s="125">
        <f t="shared" si="53"/>
        <v>0</v>
      </c>
      <c r="U597" s="125">
        <f t="shared" si="54"/>
        <v>0</v>
      </c>
      <c r="V597" s="4" t="e">
        <f>IF($Q597&lt;&gt;3,VLOOKUP(F597,'Points Table A'!B$3:$F$33,5),VLOOKUP(F597,'Points Table A'!H$3:$L$33,5))</f>
        <v>#N/A</v>
      </c>
      <c r="W597" s="4" t="e">
        <f>IF($Q597&lt;&gt;3,VLOOKUP(G597,'Points Table A'!C$3:$F$33,4),VLOOKUP(G597,'Points Table A'!I$3:$L$33,4))</f>
        <v>#N/A</v>
      </c>
      <c r="X597" s="4" t="e">
        <f>IF($Q597&lt;&gt;3,VLOOKUP(H597,'Points Table A'!D$3:$F$28,3),VLOOKUP(H597,'Points Table A'!J$3:$L$33,3))</f>
        <v>#N/A</v>
      </c>
      <c r="Y597" s="4" t="e">
        <f>IF($Q597&lt;&gt;3,VLOOKUP(I597,'Points Table A'!E$3:$F$33,2),VLOOKUP(I597,'Points Table A'!K$3:$L$33,2))</f>
        <v>#N/A</v>
      </c>
      <c r="Z597" s="4" t="e">
        <f t="shared" si="55"/>
        <v>#N/A</v>
      </c>
      <c r="AA597" s="4">
        <f>IF($S597=Lookups!$B$113,VLOOKUP(L597,'Points Table C'!A$3:$E$11,5),VLOOKUP(U597,'Points Table C'!B$3:$E$11,4))</f>
        <v>0</v>
      </c>
      <c r="AB597" s="4" t="e">
        <f>IF($Q597=1,0,VLOOKUP($J597,'Points Table C'!$C$3:$E$18,3))</f>
        <v>#N/A</v>
      </c>
      <c r="AC597" s="4">
        <f>VLOOKUP($K597,'Points Table C'!$D$3:$E$18,2)</f>
        <v>0</v>
      </c>
      <c r="AD597" s="4" t="e">
        <f>IF($Z597&lt;Lookups!$C$106,($AA597+AB597+AC597),IF($AA597&gt;=Lookups!$C$120,($AA597+AB597+AC597),$AA597+$AB597))</f>
        <v>#N/A</v>
      </c>
      <c r="AF597" s="7"/>
      <c r="AG597" s="7"/>
      <c r="AH597" s="7"/>
      <c r="AI597" s="7"/>
      <c r="AJ597" s="7"/>
      <c r="AK597" s="7"/>
      <c r="AL597" s="7"/>
      <c r="AM597" s="7"/>
      <c r="AN597" s="7"/>
      <c r="AO597" s="7"/>
      <c r="AP597" s="7"/>
      <c r="AQ597" s="7"/>
      <c r="AR597" s="7"/>
      <c r="AS597" s="7"/>
      <c r="AT597" s="7"/>
      <c r="AU597" s="7"/>
      <c r="AV597" s="7"/>
      <c r="AW597" s="7"/>
      <c r="AY597" s="7"/>
      <c r="AZ597" s="7"/>
      <c r="BA597" s="7"/>
      <c r="BB597" s="7"/>
    </row>
    <row r="598" spans="2:54" x14ac:dyDescent="0.2">
      <c r="B598" s="174"/>
      <c r="C598" s="176"/>
      <c r="F598" s="5">
        <v>0</v>
      </c>
      <c r="G598" s="192">
        <v>0</v>
      </c>
      <c r="H598" s="192">
        <v>0</v>
      </c>
      <c r="I598" s="5">
        <v>0</v>
      </c>
      <c r="J598" s="192">
        <v>0</v>
      </c>
      <c r="K598" s="192">
        <v>0</v>
      </c>
      <c r="L598" s="5">
        <v>0</v>
      </c>
      <c r="M598" s="5">
        <v>0</v>
      </c>
      <c r="N598" s="4" t="e">
        <f t="shared" si="51"/>
        <v>#N/A</v>
      </c>
      <c r="O598" s="4" t="e">
        <f>IF(ROUND(10.499-(((N598-VLOOKUP($C598,Lookups!$A$55:$D$64,3))/(VLOOKUP($C598,Lookups!$A$55:$D$64,4))*VLOOKUP($C598,Lookups!$C$2:$D$11,2))),0)&lt;1,1,IF(ROUND(10.499-(((N598-VLOOKUP($C598,Lookups!$A$55:$D$64,3))/(VLOOKUP($C598,Lookups!$A$55:$D$64,4))*VLOOKUP($C598,Lookups!$C$2:$D$11,2))),0)&lt;11,ROUND(10.499-(((N598-VLOOKUP($C598,Lookups!$A$55:$D$64,3))/(VLOOKUP($C598,Lookups!$A$55:$D$64,4))*VLOOKUP($C598,Lookups!$C$2:$D$11,2))),0),10))</f>
        <v>#N/A</v>
      </c>
      <c r="P598" s="13" t="str">
        <f>IF((SUM(F598:M598)=0),"J",VLOOKUP(O598,Lookups!$A$1:$B$11,2))</f>
        <v>J</v>
      </c>
      <c r="Q598" s="8" t="e">
        <f>VLOOKUP(C598,Lookups!$A$136:$C$144,3)</f>
        <v>#N/A</v>
      </c>
      <c r="R598" s="8" t="e">
        <f>VLOOKUP(C598,Lookups!$A$136:$C$144,2)</f>
        <v>#N/A</v>
      </c>
      <c r="S598" s="4" t="str">
        <f t="shared" si="52"/>
        <v>No</v>
      </c>
      <c r="T598" s="125">
        <f t="shared" si="53"/>
        <v>0</v>
      </c>
      <c r="U598" s="125">
        <f t="shared" si="54"/>
        <v>0</v>
      </c>
      <c r="V598" s="4" t="e">
        <f>IF($Q598&lt;&gt;3,VLOOKUP(F598,'Points Table A'!B$3:$F$33,5),VLOOKUP(F598,'Points Table A'!H$3:$L$33,5))</f>
        <v>#N/A</v>
      </c>
      <c r="W598" s="4" t="e">
        <f>IF($Q598&lt;&gt;3,VLOOKUP(G598,'Points Table A'!C$3:$F$33,4),VLOOKUP(G598,'Points Table A'!I$3:$L$33,4))</f>
        <v>#N/A</v>
      </c>
      <c r="X598" s="4" t="e">
        <f>IF($Q598&lt;&gt;3,VLOOKUP(H598,'Points Table A'!D$3:$F$28,3),VLOOKUP(H598,'Points Table A'!J$3:$L$33,3))</f>
        <v>#N/A</v>
      </c>
      <c r="Y598" s="4" t="e">
        <f>IF($Q598&lt;&gt;3,VLOOKUP(I598,'Points Table A'!E$3:$F$33,2),VLOOKUP(I598,'Points Table A'!K$3:$L$33,2))</f>
        <v>#N/A</v>
      </c>
      <c r="Z598" s="4" t="e">
        <f t="shared" si="55"/>
        <v>#N/A</v>
      </c>
      <c r="AA598" s="4">
        <f>IF($S598=Lookups!$B$113,VLOOKUP(L598,'Points Table C'!A$3:$E$11,5),VLOOKUP(U598,'Points Table C'!B$3:$E$11,4))</f>
        <v>0</v>
      </c>
      <c r="AB598" s="4" t="e">
        <f>IF($Q598=1,0,VLOOKUP($J598,'Points Table C'!$C$3:$E$18,3))</f>
        <v>#N/A</v>
      </c>
      <c r="AC598" s="4">
        <f>VLOOKUP($K598,'Points Table C'!$D$3:$E$18,2)</f>
        <v>0</v>
      </c>
      <c r="AD598" s="4" t="e">
        <f>IF($Z598&lt;Lookups!$C$106,($AA598+AB598+AC598),IF($AA598&gt;=Lookups!$C$120,($AA598+AB598+AC598),$AA598+$AB598))</f>
        <v>#N/A</v>
      </c>
      <c r="AF598" s="7"/>
      <c r="AG598" s="7"/>
      <c r="AH598" s="7"/>
      <c r="AI598" s="7"/>
      <c r="AJ598" s="7"/>
      <c r="AK598" s="7"/>
      <c r="AL598" s="7"/>
      <c r="AM598" s="7"/>
      <c r="AN598" s="7"/>
      <c r="AO598" s="7"/>
      <c r="AP598" s="7"/>
      <c r="AQ598" s="7"/>
      <c r="AR598" s="7"/>
      <c r="AS598" s="7"/>
      <c r="AT598" s="7"/>
      <c r="AU598" s="7"/>
      <c r="AV598" s="7"/>
      <c r="AW598" s="7"/>
      <c r="AY598" s="7"/>
      <c r="AZ598" s="7"/>
      <c r="BA598" s="7"/>
      <c r="BB598" s="7"/>
    </row>
    <row r="599" spans="2:54" x14ac:dyDescent="0.2">
      <c r="B599" s="174"/>
      <c r="C599" s="176"/>
      <c r="F599" s="5">
        <v>0</v>
      </c>
      <c r="G599" s="192">
        <v>0</v>
      </c>
      <c r="H599" s="192">
        <v>0</v>
      </c>
      <c r="I599" s="5">
        <v>0</v>
      </c>
      <c r="J599" s="192">
        <v>0</v>
      </c>
      <c r="K599" s="192">
        <v>0</v>
      </c>
      <c r="L599" s="5">
        <v>0</v>
      </c>
      <c r="M599" s="5">
        <v>0</v>
      </c>
      <c r="N599" s="4" t="e">
        <f t="shared" si="51"/>
        <v>#N/A</v>
      </c>
      <c r="O599" s="4" t="e">
        <f>IF(ROUND(10.499-(((N599-VLOOKUP($C599,Lookups!$A$55:$D$64,3))/(VLOOKUP($C599,Lookups!$A$55:$D$64,4))*VLOOKUP($C599,Lookups!$C$2:$D$11,2))),0)&lt;1,1,IF(ROUND(10.499-(((N599-VLOOKUP($C599,Lookups!$A$55:$D$64,3))/(VLOOKUP($C599,Lookups!$A$55:$D$64,4))*VLOOKUP($C599,Lookups!$C$2:$D$11,2))),0)&lt;11,ROUND(10.499-(((N599-VLOOKUP($C599,Lookups!$A$55:$D$64,3))/(VLOOKUP($C599,Lookups!$A$55:$D$64,4))*VLOOKUP($C599,Lookups!$C$2:$D$11,2))),0),10))</f>
        <v>#N/A</v>
      </c>
      <c r="P599" s="13" t="str">
        <f>IF((SUM(F599:M599)=0),"J",VLOOKUP(O599,Lookups!$A$1:$B$11,2))</f>
        <v>J</v>
      </c>
      <c r="Q599" s="8" t="e">
        <f>VLOOKUP(C599,Lookups!$A$136:$C$144,3)</f>
        <v>#N/A</v>
      </c>
      <c r="R599" s="8" t="e">
        <f>VLOOKUP(C599,Lookups!$A$136:$C$144,2)</f>
        <v>#N/A</v>
      </c>
      <c r="S599" s="4" t="str">
        <f t="shared" si="52"/>
        <v>No</v>
      </c>
      <c r="T599" s="125">
        <f t="shared" si="53"/>
        <v>0</v>
      </c>
      <c r="U599" s="125">
        <f t="shared" si="54"/>
        <v>0</v>
      </c>
      <c r="V599" s="4" t="e">
        <f>IF($Q599&lt;&gt;3,VLOOKUP(F599,'Points Table A'!B$3:$F$33,5),VLOOKUP(F599,'Points Table A'!H$3:$L$33,5))</f>
        <v>#N/A</v>
      </c>
      <c r="W599" s="4" t="e">
        <f>IF($Q599&lt;&gt;3,VLOOKUP(G599,'Points Table A'!C$3:$F$33,4),VLOOKUP(G599,'Points Table A'!I$3:$L$33,4))</f>
        <v>#N/A</v>
      </c>
      <c r="X599" s="4" t="e">
        <f>IF($Q599&lt;&gt;3,VLOOKUP(H599,'Points Table A'!D$3:$F$28,3),VLOOKUP(H599,'Points Table A'!J$3:$L$33,3))</f>
        <v>#N/A</v>
      </c>
      <c r="Y599" s="4" t="e">
        <f>IF($Q599&lt;&gt;3,VLOOKUP(I599,'Points Table A'!E$3:$F$33,2),VLOOKUP(I599,'Points Table A'!K$3:$L$33,2))</f>
        <v>#N/A</v>
      </c>
      <c r="Z599" s="4" t="e">
        <f t="shared" si="55"/>
        <v>#N/A</v>
      </c>
      <c r="AA599" s="4">
        <f>IF($S599=Lookups!$B$113,VLOOKUP(L599,'Points Table C'!A$3:$E$11,5),VLOOKUP(U599,'Points Table C'!B$3:$E$11,4))</f>
        <v>0</v>
      </c>
      <c r="AB599" s="4" t="e">
        <f>IF($Q599=1,0,VLOOKUP($J599,'Points Table C'!$C$3:$E$18,3))</f>
        <v>#N/A</v>
      </c>
      <c r="AC599" s="4">
        <f>VLOOKUP($K599,'Points Table C'!$D$3:$E$18,2)</f>
        <v>0</v>
      </c>
      <c r="AD599" s="4" t="e">
        <f>IF($Z599&lt;Lookups!$C$106,($AA599+AB599+AC599),IF($AA599&gt;=Lookups!$C$120,($AA599+AB599+AC599),$AA599+$AB599))</f>
        <v>#N/A</v>
      </c>
      <c r="AF599" s="7"/>
      <c r="AG599" s="7"/>
      <c r="AH599" s="7"/>
      <c r="AI599" s="7"/>
      <c r="AJ599" s="7"/>
      <c r="AK599" s="7"/>
      <c r="AL599" s="7"/>
      <c r="AM599" s="7"/>
      <c r="AN599" s="7"/>
      <c r="AO599" s="7"/>
      <c r="AP599" s="7"/>
      <c r="AQ599" s="7"/>
      <c r="AR599" s="7"/>
      <c r="AS599" s="7"/>
      <c r="AT599" s="7"/>
      <c r="AU599" s="7"/>
      <c r="AV599" s="7"/>
      <c r="AW599" s="7"/>
      <c r="AY599" s="7"/>
      <c r="AZ599" s="7"/>
      <c r="BA599" s="7"/>
      <c r="BB599" s="7"/>
    </row>
    <row r="600" spans="2:54" x14ac:dyDescent="0.2">
      <c r="B600" s="174"/>
      <c r="C600" s="176"/>
      <c r="F600" s="5">
        <v>0</v>
      </c>
      <c r="G600" s="192">
        <v>0</v>
      </c>
      <c r="H600" s="192">
        <v>0</v>
      </c>
      <c r="I600" s="5">
        <v>0</v>
      </c>
      <c r="J600" s="192">
        <v>0</v>
      </c>
      <c r="K600" s="192">
        <v>0</v>
      </c>
      <c r="L600" s="5">
        <v>0</v>
      </c>
      <c r="M600" s="5">
        <v>0</v>
      </c>
      <c r="N600" s="4" t="e">
        <f t="shared" si="51"/>
        <v>#N/A</v>
      </c>
      <c r="O600" s="4" t="e">
        <f>IF(ROUND(10.499-(((N600-VLOOKUP($C600,Lookups!$A$55:$D$64,3))/(VLOOKUP($C600,Lookups!$A$55:$D$64,4))*VLOOKUP($C600,Lookups!$C$2:$D$11,2))),0)&lt;1,1,IF(ROUND(10.499-(((N600-VLOOKUP($C600,Lookups!$A$55:$D$64,3))/(VLOOKUP($C600,Lookups!$A$55:$D$64,4))*VLOOKUP($C600,Lookups!$C$2:$D$11,2))),0)&lt;11,ROUND(10.499-(((N600-VLOOKUP($C600,Lookups!$A$55:$D$64,3))/(VLOOKUP($C600,Lookups!$A$55:$D$64,4))*VLOOKUP($C600,Lookups!$C$2:$D$11,2))),0),10))</f>
        <v>#N/A</v>
      </c>
      <c r="P600" s="13" t="str">
        <f>IF((SUM(F600:M600)=0),"J",VLOOKUP(O600,Lookups!$A$1:$B$11,2))</f>
        <v>J</v>
      </c>
      <c r="Q600" s="8" t="e">
        <f>VLOOKUP(C600,Lookups!$A$136:$C$144,3)</f>
        <v>#N/A</v>
      </c>
      <c r="R600" s="8" t="e">
        <f>VLOOKUP(C600,Lookups!$A$136:$C$144,2)</f>
        <v>#N/A</v>
      </c>
      <c r="S600" s="4" t="str">
        <f t="shared" si="52"/>
        <v>No</v>
      </c>
      <c r="T600" s="125">
        <f t="shared" si="53"/>
        <v>0</v>
      </c>
      <c r="U600" s="125">
        <f t="shared" si="54"/>
        <v>0</v>
      </c>
      <c r="V600" s="4" t="e">
        <f>IF($Q600&lt;&gt;3,VLOOKUP(F600,'Points Table A'!B$3:$F$33,5),VLOOKUP(F600,'Points Table A'!H$3:$L$33,5))</f>
        <v>#N/A</v>
      </c>
      <c r="W600" s="4" t="e">
        <f>IF($Q600&lt;&gt;3,VLOOKUP(G600,'Points Table A'!C$3:$F$33,4),VLOOKUP(G600,'Points Table A'!I$3:$L$33,4))</f>
        <v>#N/A</v>
      </c>
      <c r="X600" s="4" t="e">
        <f>IF($Q600&lt;&gt;3,VLOOKUP(H600,'Points Table A'!D$3:$F$28,3),VLOOKUP(H600,'Points Table A'!J$3:$L$33,3))</f>
        <v>#N/A</v>
      </c>
      <c r="Y600" s="4" t="e">
        <f>IF($Q600&lt;&gt;3,VLOOKUP(I600,'Points Table A'!E$3:$F$33,2),VLOOKUP(I600,'Points Table A'!K$3:$L$33,2))</f>
        <v>#N/A</v>
      </c>
      <c r="Z600" s="4" t="e">
        <f t="shared" si="55"/>
        <v>#N/A</v>
      </c>
      <c r="AA600" s="4">
        <f>IF($S600=Lookups!$B$113,VLOOKUP(L600,'Points Table C'!A$3:$E$11,5),VLOOKUP(U600,'Points Table C'!B$3:$E$11,4))</f>
        <v>0</v>
      </c>
      <c r="AB600" s="4" t="e">
        <f>IF($Q600=1,0,VLOOKUP($J600,'Points Table C'!$C$3:$E$18,3))</f>
        <v>#N/A</v>
      </c>
      <c r="AC600" s="4">
        <f>VLOOKUP($K600,'Points Table C'!$D$3:$E$18,2)</f>
        <v>0</v>
      </c>
      <c r="AD600" s="4" t="e">
        <f>IF($Z600&lt;Lookups!$C$106,($AA600+AB600+AC600),IF($AA600&gt;=Lookups!$C$120,($AA600+AB600+AC600),$AA600+$AB600))</f>
        <v>#N/A</v>
      </c>
      <c r="AF600" s="7"/>
      <c r="AG600" s="7"/>
      <c r="AH600" s="7"/>
      <c r="AI600" s="7"/>
      <c r="AJ600" s="7"/>
      <c r="AK600" s="7"/>
      <c r="AL600" s="7"/>
      <c r="AM600" s="7"/>
      <c r="AN600" s="7"/>
      <c r="AO600" s="7"/>
      <c r="AP600" s="7"/>
      <c r="AQ600" s="7"/>
      <c r="AR600" s="7"/>
      <c r="AS600" s="7"/>
      <c r="AT600" s="7"/>
      <c r="AU600" s="7"/>
      <c r="AV600" s="7"/>
      <c r="AW600" s="7"/>
      <c r="AY600" s="7"/>
      <c r="AZ600" s="7"/>
      <c r="BA600" s="7"/>
      <c r="BB600" s="7"/>
    </row>
    <row r="601" spans="2:54" x14ac:dyDescent="0.2">
      <c r="B601" s="174"/>
      <c r="C601" s="176"/>
      <c r="F601" s="5">
        <v>0</v>
      </c>
      <c r="G601" s="192">
        <v>0</v>
      </c>
      <c r="H601" s="192">
        <v>0</v>
      </c>
      <c r="I601" s="5">
        <v>0</v>
      </c>
      <c r="J601" s="192">
        <v>0</v>
      </c>
      <c r="K601" s="192">
        <v>0</v>
      </c>
      <c r="L601" s="5">
        <v>0</v>
      </c>
      <c r="M601" s="5">
        <v>0</v>
      </c>
      <c r="N601" s="4" t="e">
        <f t="shared" si="51"/>
        <v>#N/A</v>
      </c>
      <c r="O601" s="4" t="e">
        <f>IF(ROUND(10.499-(((N601-VLOOKUP($C601,Lookups!$A$55:$D$64,3))/(VLOOKUP($C601,Lookups!$A$55:$D$64,4))*VLOOKUP($C601,Lookups!$C$2:$D$11,2))),0)&lt;1,1,IF(ROUND(10.499-(((N601-VLOOKUP($C601,Lookups!$A$55:$D$64,3))/(VLOOKUP($C601,Lookups!$A$55:$D$64,4))*VLOOKUP($C601,Lookups!$C$2:$D$11,2))),0)&lt;11,ROUND(10.499-(((N601-VLOOKUP($C601,Lookups!$A$55:$D$64,3))/(VLOOKUP($C601,Lookups!$A$55:$D$64,4))*VLOOKUP($C601,Lookups!$C$2:$D$11,2))),0),10))</f>
        <v>#N/A</v>
      </c>
      <c r="P601" s="13" t="str">
        <f>IF((SUM(F601:M601)=0),"J",VLOOKUP(O601,Lookups!$A$1:$B$11,2))</f>
        <v>J</v>
      </c>
      <c r="Q601" s="8" t="e">
        <f>VLOOKUP(C601,Lookups!$A$136:$C$144,3)</f>
        <v>#N/A</v>
      </c>
      <c r="R601" s="8" t="e">
        <f>VLOOKUP(C601,Lookups!$A$136:$C$144,2)</f>
        <v>#N/A</v>
      </c>
      <c r="S601" s="4" t="str">
        <f t="shared" si="52"/>
        <v>No</v>
      </c>
      <c r="T601" s="125">
        <f t="shared" si="53"/>
        <v>0</v>
      </c>
      <c r="U601" s="125">
        <f t="shared" si="54"/>
        <v>0</v>
      </c>
      <c r="V601" s="4" t="e">
        <f>IF($Q601&lt;&gt;3,VLOOKUP(F601,'Points Table A'!B$3:$F$33,5),VLOOKUP(F601,'Points Table A'!H$3:$L$33,5))</f>
        <v>#N/A</v>
      </c>
      <c r="W601" s="4" t="e">
        <f>IF($Q601&lt;&gt;3,VLOOKUP(G601,'Points Table A'!C$3:$F$33,4),VLOOKUP(G601,'Points Table A'!I$3:$L$33,4))</f>
        <v>#N/A</v>
      </c>
      <c r="X601" s="4" t="e">
        <f>IF($Q601&lt;&gt;3,VLOOKUP(H601,'Points Table A'!D$3:$F$28,3),VLOOKUP(H601,'Points Table A'!J$3:$L$33,3))</f>
        <v>#N/A</v>
      </c>
      <c r="Y601" s="4" t="e">
        <f>IF($Q601&lt;&gt;3,VLOOKUP(I601,'Points Table A'!E$3:$F$33,2),VLOOKUP(I601,'Points Table A'!K$3:$L$33,2))</f>
        <v>#N/A</v>
      </c>
      <c r="Z601" s="4" t="e">
        <f t="shared" si="55"/>
        <v>#N/A</v>
      </c>
      <c r="AA601" s="4">
        <f>IF($S601=Lookups!$B$113,VLOOKUP(L601,'Points Table C'!A$3:$E$11,5),VLOOKUP(U601,'Points Table C'!B$3:$E$11,4))</f>
        <v>0</v>
      </c>
      <c r="AB601" s="4" t="e">
        <f>IF($Q601=1,0,VLOOKUP($J601,'Points Table C'!$C$3:$E$18,3))</f>
        <v>#N/A</v>
      </c>
      <c r="AC601" s="4">
        <f>VLOOKUP($K601,'Points Table C'!$D$3:$E$18,2)</f>
        <v>0</v>
      </c>
      <c r="AD601" s="4" t="e">
        <f>IF($Z601&lt;Lookups!$C$106,($AA601+AB601+AC601),IF($AA601&gt;=Lookups!$C$120,($AA601+AB601+AC601),$AA601+$AB601))</f>
        <v>#N/A</v>
      </c>
      <c r="AF601" s="7"/>
      <c r="AG601" s="7"/>
      <c r="AH601" s="7"/>
      <c r="AI601" s="7"/>
      <c r="AJ601" s="7"/>
      <c r="AK601" s="7"/>
      <c r="AL601" s="7"/>
      <c r="AM601" s="7"/>
      <c r="AN601" s="7"/>
      <c r="AO601" s="7"/>
      <c r="AP601" s="7"/>
      <c r="AQ601" s="7"/>
      <c r="AR601" s="7"/>
      <c r="AS601" s="7"/>
      <c r="AT601" s="7"/>
      <c r="AU601" s="7"/>
      <c r="AV601" s="7"/>
      <c r="AW601" s="7"/>
      <c r="AY601" s="7"/>
      <c r="AZ601" s="7"/>
      <c r="BA601" s="7"/>
      <c r="BB601" s="7"/>
    </row>
    <row r="602" spans="2:54" x14ac:dyDescent="0.2">
      <c r="B602" s="174"/>
      <c r="C602" s="176"/>
      <c r="F602" s="5">
        <v>0</v>
      </c>
      <c r="G602" s="192">
        <v>0</v>
      </c>
      <c r="H602" s="192">
        <v>0</v>
      </c>
      <c r="I602" s="5">
        <v>0</v>
      </c>
      <c r="J602" s="192">
        <v>0</v>
      </c>
      <c r="K602" s="192">
        <v>0</v>
      </c>
      <c r="L602" s="5">
        <v>0</v>
      </c>
      <c r="M602" s="5">
        <v>0</v>
      </c>
      <c r="N602" s="4" t="e">
        <f t="shared" si="51"/>
        <v>#N/A</v>
      </c>
      <c r="O602" s="4" t="e">
        <f>IF(ROUND(10.499-(((N602-VLOOKUP($C602,Lookups!$A$55:$D$64,3))/(VLOOKUP($C602,Lookups!$A$55:$D$64,4))*VLOOKUP($C602,Lookups!$C$2:$D$11,2))),0)&lt;1,1,IF(ROUND(10.499-(((N602-VLOOKUP($C602,Lookups!$A$55:$D$64,3))/(VLOOKUP($C602,Lookups!$A$55:$D$64,4))*VLOOKUP($C602,Lookups!$C$2:$D$11,2))),0)&lt;11,ROUND(10.499-(((N602-VLOOKUP($C602,Lookups!$A$55:$D$64,3))/(VLOOKUP($C602,Lookups!$A$55:$D$64,4))*VLOOKUP($C602,Lookups!$C$2:$D$11,2))),0),10))</f>
        <v>#N/A</v>
      </c>
      <c r="P602" s="13" t="str">
        <f>IF((SUM(F602:M602)=0),"J",VLOOKUP(O602,Lookups!$A$1:$B$11,2))</f>
        <v>J</v>
      </c>
      <c r="Q602" s="8" t="e">
        <f>VLOOKUP(C602,Lookups!$A$136:$C$144,3)</f>
        <v>#N/A</v>
      </c>
      <c r="R602" s="8" t="e">
        <f>VLOOKUP(C602,Lookups!$A$136:$C$144,2)</f>
        <v>#N/A</v>
      </c>
      <c r="S602" s="4" t="str">
        <f t="shared" si="52"/>
        <v>No</v>
      </c>
      <c r="T602" s="125">
        <f t="shared" si="53"/>
        <v>0</v>
      </c>
      <c r="U602" s="125">
        <f t="shared" si="54"/>
        <v>0</v>
      </c>
      <c r="V602" s="4" t="e">
        <f>IF($Q602&lt;&gt;3,VLOOKUP(F602,'Points Table A'!B$3:$F$33,5),VLOOKUP(F602,'Points Table A'!H$3:$L$33,5))</f>
        <v>#N/A</v>
      </c>
      <c r="W602" s="4" t="e">
        <f>IF($Q602&lt;&gt;3,VLOOKUP(G602,'Points Table A'!C$3:$F$33,4),VLOOKUP(G602,'Points Table A'!I$3:$L$33,4))</f>
        <v>#N/A</v>
      </c>
      <c r="X602" s="4" t="e">
        <f>IF($Q602&lt;&gt;3,VLOOKUP(H602,'Points Table A'!D$3:$F$28,3),VLOOKUP(H602,'Points Table A'!J$3:$L$33,3))</f>
        <v>#N/A</v>
      </c>
      <c r="Y602" s="4" t="e">
        <f>IF($Q602&lt;&gt;3,VLOOKUP(I602,'Points Table A'!E$3:$F$33,2),VLOOKUP(I602,'Points Table A'!K$3:$L$33,2))</f>
        <v>#N/A</v>
      </c>
      <c r="Z602" s="4" t="e">
        <f t="shared" si="55"/>
        <v>#N/A</v>
      </c>
      <c r="AA602" s="4">
        <f>IF($S602=Lookups!$B$113,VLOOKUP(L602,'Points Table C'!A$3:$E$11,5),VLOOKUP(U602,'Points Table C'!B$3:$E$11,4))</f>
        <v>0</v>
      </c>
      <c r="AB602" s="4" t="e">
        <f>IF($Q602=1,0,VLOOKUP($J602,'Points Table C'!$C$3:$E$18,3))</f>
        <v>#N/A</v>
      </c>
      <c r="AC602" s="4">
        <f>VLOOKUP($K602,'Points Table C'!$D$3:$E$18,2)</f>
        <v>0</v>
      </c>
      <c r="AD602" s="4" t="e">
        <f>IF($Z602&lt;Lookups!$C$106,($AA602+AB602+AC602),IF($AA602&gt;=Lookups!$C$120,($AA602+AB602+AC602),$AA602+$AB602))</f>
        <v>#N/A</v>
      </c>
      <c r="AF602" s="7"/>
      <c r="AG602" s="7"/>
      <c r="AH602" s="7"/>
      <c r="AI602" s="7"/>
      <c r="AJ602" s="7"/>
      <c r="AK602" s="7"/>
      <c r="AL602" s="7"/>
      <c r="AM602" s="7"/>
      <c r="AN602" s="7"/>
      <c r="AO602" s="7"/>
      <c r="AP602" s="7"/>
      <c r="AQ602" s="7"/>
      <c r="AR602" s="7"/>
      <c r="AS602" s="7"/>
      <c r="AT602" s="7"/>
      <c r="AU602" s="7"/>
      <c r="AV602" s="7"/>
      <c r="AW602" s="7"/>
      <c r="AY602" s="7"/>
      <c r="AZ602" s="7"/>
      <c r="BA602" s="7"/>
      <c r="BB602" s="7"/>
    </row>
    <row r="603" spans="2:54" x14ac:dyDescent="0.2">
      <c r="B603" s="174"/>
      <c r="C603" s="176"/>
      <c r="F603" s="5">
        <v>0</v>
      </c>
      <c r="G603" s="192">
        <v>0</v>
      </c>
      <c r="H603" s="192">
        <v>0</v>
      </c>
      <c r="I603" s="5">
        <v>0</v>
      </c>
      <c r="J603" s="192">
        <v>0</v>
      </c>
      <c r="K603" s="192">
        <v>0</v>
      </c>
      <c r="L603" s="5">
        <v>0</v>
      </c>
      <c r="M603" s="5">
        <v>0</v>
      </c>
      <c r="N603" s="4" t="e">
        <f t="shared" si="51"/>
        <v>#N/A</v>
      </c>
      <c r="O603" s="4" t="e">
        <f>IF(ROUND(10.499-(((N603-VLOOKUP($C603,Lookups!$A$55:$D$64,3))/(VLOOKUP($C603,Lookups!$A$55:$D$64,4))*VLOOKUP($C603,Lookups!$C$2:$D$11,2))),0)&lt;1,1,IF(ROUND(10.499-(((N603-VLOOKUP($C603,Lookups!$A$55:$D$64,3))/(VLOOKUP($C603,Lookups!$A$55:$D$64,4))*VLOOKUP($C603,Lookups!$C$2:$D$11,2))),0)&lt;11,ROUND(10.499-(((N603-VLOOKUP($C603,Lookups!$A$55:$D$64,3))/(VLOOKUP($C603,Lookups!$A$55:$D$64,4))*VLOOKUP($C603,Lookups!$C$2:$D$11,2))),0),10))</f>
        <v>#N/A</v>
      </c>
      <c r="P603" s="13" t="str">
        <f>IF((SUM(F603:M603)=0),"J",VLOOKUP(O603,Lookups!$A$1:$B$11,2))</f>
        <v>J</v>
      </c>
      <c r="Q603" s="8" t="e">
        <f>VLOOKUP(C603,Lookups!$A$136:$C$144,3)</f>
        <v>#N/A</v>
      </c>
      <c r="R603" s="8" t="e">
        <f>VLOOKUP(C603,Lookups!$A$136:$C$144,2)</f>
        <v>#N/A</v>
      </c>
      <c r="S603" s="4" t="str">
        <f t="shared" si="52"/>
        <v>No</v>
      </c>
      <c r="T603" s="125">
        <f t="shared" si="53"/>
        <v>0</v>
      </c>
      <c r="U603" s="125">
        <f t="shared" si="54"/>
        <v>0</v>
      </c>
      <c r="V603" s="4" t="e">
        <f>IF($Q603&lt;&gt;3,VLOOKUP(F603,'Points Table A'!B$3:$F$33,5),VLOOKUP(F603,'Points Table A'!H$3:$L$33,5))</f>
        <v>#N/A</v>
      </c>
      <c r="W603" s="4" t="e">
        <f>IF($Q603&lt;&gt;3,VLOOKUP(G603,'Points Table A'!C$3:$F$33,4),VLOOKUP(G603,'Points Table A'!I$3:$L$33,4))</f>
        <v>#N/A</v>
      </c>
      <c r="X603" s="4" t="e">
        <f>IF($Q603&lt;&gt;3,VLOOKUP(H603,'Points Table A'!D$3:$F$28,3),VLOOKUP(H603,'Points Table A'!J$3:$L$33,3))</f>
        <v>#N/A</v>
      </c>
      <c r="Y603" s="4" t="e">
        <f>IF($Q603&lt;&gt;3,VLOOKUP(I603,'Points Table A'!E$3:$F$33,2),VLOOKUP(I603,'Points Table A'!K$3:$L$33,2))</f>
        <v>#N/A</v>
      </c>
      <c r="Z603" s="4" t="e">
        <f t="shared" si="55"/>
        <v>#N/A</v>
      </c>
      <c r="AA603" s="4">
        <f>IF($S603=Lookups!$B$113,VLOOKUP(L603,'Points Table C'!A$3:$E$11,5),VLOOKUP(U603,'Points Table C'!B$3:$E$11,4))</f>
        <v>0</v>
      </c>
      <c r="AB603" s="4" t="e">
        <f>IF($Q603=1,0,VLOOKUP($J603,'Points Table C'!$C$3:$E$18,3))</f>
        <v>#N/A</v>
      </c>
      <c r="AC603" s="4">
        <f>VLOOKUP($K603,'Points Table C'!$D$3:$E$18,2)</f>
        <v>0</v>
      </c>
      <c r="AD603" s="4" t="e">
        <f>IF($Z603&lt;Lookups!$C$106,($AA603+AB603+AC603),IF($AA603&gt;=Lookups!$C$120,($AA603+AB603+AC603),$AA603+$AB603))</f>
        <v>#N/A</v>
      </c>
      <c r="AF603" s="7"/>
      <c r="AG603" s="7"/>
      <c r="AH603" s="7"/>
      <c r="AI603" s="7"/>
      <c r="AJ603" s="7"/>
      <c r="AK603" s="7"/>
      <c r="AL603" s="7"/>
      <c r="AM603" s="7"/>
      <c r="AN603" s="7"/>
      <c r="AO603" s="7"/>
      <c r="AP603" s="7"/>
      <c r="AQ603" s="7"/>
      <c r="AR603" s="7"/>
      <c r="AS603" s="7"/>
      <c r="AT603" s="7"/>
      <c r="AU603" s="7"/>
      <c r="AV603" s="7"/>
      <c r="AW603" s="7"/>
      <c r="AY603" s="7"/>
      <c r="AZ603" s="7"/>
      <c r="BA603" s="7"/>
      <c r="BB603" s="7"/>
    </row>
    <row r="604" spans="2:54" x14ac:dyDescent="0.2">
      <c r="B604" s="174"/>
      <c r="C604" s="176"/>
      <c r="F604" s="5">
        <v>0</v>
      </c>
      <c r="G604" s="192">
        <v>0</v>
      </c>
      <c r="H604" s="192">
        <v>0</v>
      </c>
      <c r="I604" s="5">
        <v>0</v>
      </c>
      <c r="J604" s="192">
        <v>0</v>
      </c>
      <c r="K604" s="192">
        <v>0</v>
      </c>
      <c r="L604" s="5">
        <v>0</v>
      </c>
      <c r="M604" s="5">
        <v>0</v>
      </c>
      <c r="N604" s="4" t="e">
        <f t="shared" si="51"/>
        <v>#N/A</v>
      </c>
      <c r="O604" s="4" t="e">
        <f>IF(ROUND(10.499-(((N604-VLOOKUP($C604,Lookups!$A$55:$D$64,3))/(VLOOKUP($C604,Lookups!$A$55:$D$64,4))*VLOOKUP($C604,Lookups!$C$2:$D$11,2))),0)&lt;1,1,IF(ROUND(10.499-(((N604-VLOOKUP($C604,Lookups!$A$55:$D$64,3))/(VLOOKUP($C604,Lookups!$A$55:$D$64,4))*VLOOKUP($C604,Lookups!$C$2:$D$11,2))),0)&lt;11,ROUND(10.499-(((N604-VLOOKUP($C604,Lookups!$A$55:$D$64,3))/(VLOOKUP($C604,Lookups!$A$55:$D$64,4))*VLOOKUP($C604,Lookups!$C$2:$D$11,2))),0),10))</f>
        <v>#N/A</v>
      </c>
      <c r="P604" s="13" t="str">
        <f>IF((SUM(F604:M604)=0),"J",VLOOKUP(O604,Lookups!$A$1:$B$11,2))</f>
        <v>J</v>
      </c>
      <c r="Q604" s="8" t="e">
        <f>VLOOKUP(C604,Lookups!$A$136:$C$144,3)</f>
        <v>#N/A</v>
      </c>
      <c r="R604" s="8" t="e">
        <f>VLOOKUP(C604,Lookups!$A$136:$C$144,2)</f>
        <v>#N/A</v>
      </c>
      <c r="S604" s="4" t="str">
        <f t="shared" si="52"/>
        <v>No</v>
      </c>
      <c r="T604" s="125">
        <f t="shared" si="53"/>
        <v>0</v>
      </c>
      <c r="U604" s="125">
        <f t="shared" si="54"/>
        <v>0</v>
      </c>
      <c r="V604" s="4" t="e">
        <f>IF($Q604&lt;&gt;3,VLOOKUP(F604,'Points Table A'!B$3:$F$33,5),VLOOKUP(F604,'Points Table A'!H$3:$L$33,5))</f>
        <v>#N/A</v>
      </c>
      <c r="W604" s="4" t="e">
        <f>IF($Q604&lt;&gt;3,VLOOKUP(G604,'Points Table A'!C$3:$F$33,4),VLOOKUP(G604,'Points Table A'!I$3:$L$33,4))</f>
        <v>#N/A</v>
      </c>
      <c r="X604" s="4" t="e">
        <f>IF($Q604&lt;&gt;3,VLOOKUP(H604,'Points Table A'!D$3:$F$28,3),VLOOKUP(H604,'Points Table A'!J$3:$L$33,3))</f>
        <v>#N/A</v>
      </c>
      <c r="Y604" s="4" t="e">
        <f>IF($Q604&lt;&gt;3,VLOOKUP(I604,'Points Table A'!E$3:$F$33,2),VLOOKUP(I604,'Points Table A'!K$3:$L$33,2))</f>
        <v>#N/A</v>
      </c>
      <c r="Z604" s="4" t="e">
        <f t="shared" si="55"/>
        <v>#N/A</v>
      </c>
      <c r="AA604" s="4">
        <f>IF($S604=Lookups!$B$113,VLOOKUP(L604,'Points Table C'!A$3:$E$11,5),VLOOKUP(U604,'Points Table C'!B$3:$E$11,4))</f>
        <v>0</v>
      </c>
      <c r="AB604" s="4" t="e">
        <f>IF($Q604=1,0,VLOOKUP($J604,'Points Table C'!$C$3:$E$18,3))</f>
        <v>#N/A</v>
      </c>
      <c r="AC604" s="4">
        <f>VLOOKUP($K604,'Points Table C'!$D$3:$E$18,2)</f>
        <v>0</v>
      </c>
      <c r="AD604" s="4" t="e">
        <f>IF($Z604&lt;Lookups!$C$106,($AA604+AB604+AC604),IF($AA604&gt;=Lookups!$C$120,($AA604+AB604+AC604),$AA604+$AB604))</f>
        <v>#N/A</v>
      </c>
      <c r="AF604" s="7"/>
      <c r="AG604" s="7"/>
      <c r="AH604" s="7"/>
      <c r="AI604" s="7"/>
      <c r="AJ604" s="7"/>
      <c r="AK604" s="7"/>
      <c r="AL604" s="7"/>
      <c r="AM604" s="7"/>
      <c r="AN604" s="7"/>
      <c r="AO604" s="7"/>
      <c r="AP604" s="7"/>
      <c r="AQ604" s="7"/>
      <c r="AR604" s="7"/>
      <c r="AS604" s="7"/>
      <c r="AT604" s="7"/>
      <c r="AU604" s="7"/>
      <c r="AV604" s="7"/>
      <c r="AW604" s="7"/>
      <c r="AY604" s="7"/>
      <c r="AZ604" s="7"/>
      <c r="BA604" s="7"/>
      <c r="BB604" s="7"/>
    </row>
    <row r="605" spans="2:54" x14ac:dyDescent="0.2">
      <c r="B605" s="174"/>
      <c r="C605" s="176"/>
      <c r="F605" s="5">
        <v>0</v>
      </c>
      <c r="G605" s="192">
        <v>0</v>
      </c>
      <c r="H605" s="192">
        <v>0</v>
      </c>
      <c r="I605" s="5">
        <v>0</v>
      </c>
      <c r="J605" s="192">
        <v>0</v>
      </c>
      <c r="K605" s="192">
        <v>0</v>
      </c>
      <c r="L605" s="5">
        <v>0</v>
      </c>
      <c r="M605" s="5">
        <v>0</v>
      </c>
      <c r="N605" s="4" t="e">
        <f t="shared" si="51"/>
        <v>#N/A</v>
      </c>
      <c r="O605" s="4" t="e">
        <f>IF(ROUND(10.499-(((N605-VLOOKUP($C605,Lookups!$A$55:$D$64,3))/(VLOOKUP($C605,Lookups!$A$55:$D$64,4))*VLOOKUP($C605,Lookups!$C$2:$D$11,2))),0)&lt;1,1,IF(ROUND(10.499-(((N605-VLOOKUP($C605,Lookups!$A$55:$D$64,3))/(VLOOKUP($C605,Lookups!$A$55:$D$64,4))*VLOOKUP($C605,Lookups!$C$2:$D$11,2))),0)&lt;11,ROUND(10.499-(((N605-VLOOKUP($C605,Lookups!$A$55:$D$64,3))/(VLOOKUP($C605,Lookups!$A$55:$D$64,4))*VLOOKUP($C605,Lookups!$C$2:$D$11,2))),0),10))</f>
        <v>#N/A</v>
      </c>
      <c r="P605" s="13" t="str">
        <f>IF((SUM(F605:M605)=0),"J",VLOOKUP(O605,Lookups!$A$1:$B$11,2))</f>
        <v>J</v>
      </c>
      <c r="Q605" s="8" t="e">
        <f>VLOOKUP(C605,Lookups!$A$136:$C$144,3)</f>
        <v>#N/A</v>
      </c>
      <c r="R605" s="8" t="e">
        <f>VLOOKUP(C605,Lookups!$A$136:$C$144,2)</f>
        <v>#N/A</v>
      </c>
      <c r="S605" s="4" t="str">
        <f t="shared" si="52"/>
        <v>No</v>
      </c>
      <c r="T605" s="125">
        <f t="shared" si="53"/>
        <v>0</v>
      </c>
      <c r="U605" s="125">
        <f t="shared" si="54"/>
        <v>0</v>
      </c>
      <c r="V605" s="4" t="e">
        <f>IF($Q605&lt;&gt;3,VLOOKUP(F605,'Points Table A'!B$3:$F$33,5),VLOOKUP(F605,'Points Table A'!H$3:$L$33,5))</f>
        <v>#N/A</v>
      </c>
      <c r="W605" s="4" t="e">
        <f>IF($Q605&lt;&gt;3,VLOOKUP(G605,'Points Table A'!C$3:$F$33,4),VLOOKUP(G605,'Points Table A'!I$3:$L$33,4))</f>
        <v>#N/A</v>
      </c>
      <c r="X605" s="4" t="e">
        <f>IF($Q605&lt;&gt;3,VLOOKUP(H605,'Points Table A'!D$3:$F$28,3),VLOOKUP(H605,'Points Table A'!J$3:$L$33,3))</f>
        <v>#N/A</v>
      </c>
      <c r="Y605" s="4" t="e">
        <f>IF($Q605&lt;&gt;3,VLOOKUP(I605,'Points Table A'!E$3:$F$33,2),VLOOKUP(I605,'Points Table A'!K$3:$L$33,2))</f>
        <v>#N/A</v>
      </c>
      <c r="Z605" s="4" t="e">
        <f t="shared" si="55"/>
        <v>#N/A</v>
      </c>
      <c r="AA605" s="4">
        <f>IF($S605=Lookups!$B$113,VLOOKUP(L605,'Points Table C'!A$3:$E$11,5),VLOOKUP(U605,'Points Table C'!B$3:$E$11,4))</f>
        <v>0</v>
      </c>
      <c r="AB605" s="4" t="e">
        <f>IF($Q605=1,0,VLOOKUP($J605,'Points Table C'!$C$3:$E$18,3))</f>
        <v>#N/A</v>
      </c>
      <c r="AC605" s="4">
        <f>VLOOKUP($K605,'Points Table C'!$D$3:$E$18,2)</f>
        <v>0</v>
      </c>
      <c r="AD605" s="4" t="e">
        <f>IF($Z605&lt;Lookups!$C$106,($AA605+AB605+AC605),IF($AA605&gt;=Lookups!$C$120,($AA605+AB605+AC605),$AA605+$AB605))</f>
        <v>#N/A</v>
      </c>
      <c r="AF605" s="7"/>
      <c r="AG605" s="7"/>
      <c r="AH605" s="7"/>
      <c r="AI605" s="7"/>
      <c r="AJ605" s="7"/>
      <c r="AK605" s="7"/>
      <c r="AL605" s="7"/>
      <c r="AM605" s="7"/>
      <c r="AN605" s="7"/>
      <c r="AO605" s="7"/>
      <c r="AP605" s="7"/>
      <c r="AQ605" s="7"/>
      <c r="AR605" s="7"/>
      <c r="AS605" s="7"/>
      <c r="AT605" s="7"/>
      <c r="AU605" s="7"/>
      <c r="AV605" s="7"/>
      <c r="AW605" s="7"/>
      <c r="AY605" s="7"/>
      <c r="AZ605" s="7"/>
      <c r="BA605" s="7"/>
      <c r="BB605" s="7"/>
    </row>
    <row r="606" spans="2:54" x14ac:dyDescent="0.2">
      <c r="B606" s="174"/>
      <c r="C606" s="176"/>
      <c r="F606" s="5">
        <v>0</v>
      </c>
      <c r="G606" s="192">
        <v>0</v>
      </c>
      <c r="H606" s="192">
        <v>0</v>
      </c>
      <c r="I606" s="5">
        <v>0</v>
      </c>
      <c r="J606" s="192">
        <v>0</v>
      </c>
      <c r="K606" s="192">
        <v>0</v>
      </c>
      <c r="L606" s="5">
        <v>0</v>
      </c>
      <c r="M606" s="5">
        <v>0</v>
      </c>
      <c r="N606" s="4" t="e">
        <f t="shared" si="51"/>
        <v>#N/A</v>
      </c>
      <c r="O606" s="4" t="e">
        <f>IF(ROUND(10.499-(((N606-VLOOKUP($C606,Lookups!$A$55:$D$64,3))/(VLOOKUP($C606,Lookups!$A$55:$D$64,4))*VLOOKUP($C606,Lookups!$C$2:$D$11,2))),0)&lt;1,1,IF(ROUND(10.499-(((N606-VLOOKUP($C606,Lookups!$A$55:$D$64,3))/(VLOOKUP($C606,Lookups!$A$55:$D$64,4))*VLOOKUP($C606,Lookups!$C$2:$D$11,2))),0)&lt;11,ROUND(10.499-(((N606-VLOOKUP($C606,Lookups!$A$55:$D$64,3))/(VLOOKUP($C606,Lookups!$A$55:$D$64,4))*VLOOKUP($C606,Lookups!$C$2:$D$11,2))),0),10))</f>
        <v>#N/A</v>
      </c>
      <c r="P606" s="13" t="str">
        <f>IF((SUM(F606:M606)=0),"J",VLOOKUP(O606,Lookups!$A$1:$B$11,2))</f>
        <v>J</v>
      </c>
      <c r="Q606" s="8" t="e">
        <f>VLOOKUP(C606,Lookups!$A$136:$C$144,3)</f>
        <v>#N/A</v>
      </c>
      <c r="R606" s="8" t="e">
        <f>VLOOKUP(C606,Lookups!$A$136:$C$144,2)</f>
        <v>#N/A</v>
      </c>
      <c r="S606" s="4" t="str">
        <f t="shared" si="52"/>
        <v>No</v>
      </c>
      <c r="T606" s="125">
        <f t="shared" si="53"/>
        <v>0</v>
      </c>
      <c r="U606" s="125">
        <f t="shared" si="54"/>
        <v>0</v>
      </c>
      <c r="V606" s="4" t="e">
        <f>IF($Q606&lt;&gt;3,VLOOKUP(F606,'Points Table A'!B$3:$F$33,5),VLOOKUP(F606,'Points Table A'!H$3:$L$33,5))</f>
        <v>#N/A</v>
      </c>
      <c r="W606" s="4" t="e">
        <f>IF($Q606&lt;&gt;3,VLOOKUP(G606,'Points Table A'!C$3:$F$33,4),VLOOKUP(G606,'Points Table A'!I$3:$L$33,4))</f>
        <v>#N/A</v>
      </c>
      <c r="X606" s="4" t="e">
        <f>IF($Q606&lt;&gt;3,VLOOKUP(H606,'Points Table A'!D$3:$F$28,3),VLOOKUP(H606,'Points Table A'!J$3:$L$33,3))</f>
        <v>#N/A</v>
      </c>
      <c r="Y606" s="4" t="e">
        <f>IF($Q606&lt;&gt;3,VLOOKUP(I606,'Points Table A'!E$3:$F$33,2),VLOOKUP(I606,'Points Table A'!K$3:$L$33,2))</f>
        <v>#N/A</v>
      </c>
      <c r="Z606" s="4" t="e">
        <f t="shared" si="55"/>
        <v>#N/A</v>
      </c>
      <c r="AA606" s="4">
        <f>IF($S606=Lookups!$B$113,VLOOKUP(L606,'Points Table C'!A$3:$E$11,5),VLOOKUP(U606,'Points Table C'!B$3:$E$11,4))</f>
        <v>0</v>
      </c>
      <c r="AB606" s="4" t="e">
        <f>IF($Q606=1,0,VLOOKUP($J606,'Points Table C'!$C$3:$E$18,3))</f>
        <v>#N/A</v>
      </c>
      <c r="AC606" s="4">
        <f>VLOOKUP($K606,'Points Table C'!$D$3:$E$18,2)</f>
        <v>0</v>
      </c>
      <c r="AD606" s="4" t="e">
        <f>IF($Z606&lt;Lookups!$C$106,($AA606+AB606+AC606),IF($AA606&gt;=Lookups!$C$120,($AA606+AB606+AC606),$AA606+$AB606))</f>
        <v>#N/A</v>
      </c>
      <c r="AF606" s="7"/>
      <c r="AG606" s="7"/>
      <c r="AH606" s="7"/>
      <c r="AI606" s="7"/>
      <c r="AJ606" s="7"/>
      <c r="AK606" s="7"/>
      <c r="AL606" s="7"/>
      <c r="AM606" s="7"/>
      <c r="AN606" s="7"/>
      <c r="AO606" s="7"/>
      <c r="AP606" s="7"/>
      <c r="AQ606" s="7"/>
      <c r="AR606" s="7"/>
      <c r="AS606" s="7"/>
      <c r="AT606" s="7"/>
      <c r="AU606" s="7"/>
      <c r="AV606" s="7"/>
      <c r="AW606" s="7"/>
      <c r="AY606" s="7"/>
      <c r="AZ606" s="7"/>
      <c r="BA606" s="7"/>
      <c r="BB606" s="7"/>
    </row>
    <row r="607" spans="2:54" x14ac:dyDescent="0.2">
      <c r="B607" s="174"/>
      <c r="C607" s="176"/>
      <c r="F607" s="5">
        <v>0</v>
      </c>
      <c r="G607" s="192">
        <v>0</v>
      </c>
      <c r="H607" s="192">
        <v>0</v>
      </c>
      <c r="I607" s="5">
        <v>0</v>
      </c>
      <c r="J607" s="192">
        <v>0</v>
      </c>
      <c r="K607" s="192">
        <v>0</v>
      </c>
      <c r="L607" s="5">
        <v>0</v>
      </c>
      <c r="M607" s="5">
        <v>0</v>
      </c>
      <c r="N607" s="4" t="e">
        <f t="shared" si="51"/>
        <v>#N/A</v>
      </c>
      <c r="O607" s="4" t="e">
        <f>IF(ROUND(10.499-(((N607-VLOOKUP($C607,Lookups!$A$55:$D$64,3))/(VLOOKUP($C607,Lookups!$A$55:$D$64,4))*VLOOKUP($C607,Lookups!$C$2:$D$11,2))),0)&lt;1,1,IF(ROUND(10.499-(((N607-VLOOKUP($C607,Lookups!$A$55:$D$64,3))/(VLOOKUP($C607,Lookups!$A$55:$D$64,4))*VLOOKUP($C607,Lookups!$C$2:$D$11,2))),0)&lt;11,ROUND(10.499-(((N607-VLOOKUP($C607,Lookups!$A$55:$D$64,3))/(VLOOKUP($C607,Lookups!$A$55:$D$64,4))*VLOOKUP($C607,Lookups!$C$2:$D$11,2))),0),10))</f>
        <v>#N/A</v>
      </c>
      <c r="P607" s="13" t="str">
        <f>IF((SUM(F607:M607)=0),"J",VLOOKUP(O607,Lookups!$A$1:$B$11,2))</f>
        <v>J</v>
      </c>
      <c r="Q607" s="8" t="e">
        <f>VLOOKUP(C607,Lookups!$A$136:$C$144,3)</f>
        <v>#N/A</v>
      </c>
      <c r="R607" s="8" t="e">
        <f>VLOOKUP(C607,Lookups!$A$136:$C$144,2)</f>
        <v>#N/A</v>
      </c>
      <c r="S607" s="4" t="str">
        <f t="shared" si="52"/>
        <v>No</v>
      </c>
      <c r="T607" s="125">
        <f t="shared" si="53"/>
        <v>0</v>
      </c>
      <c r="U607" s="125">
        <f t="shared" si="54"/>
        <v>0</v>
      </c>
      <c r="V607" s="4" t="e">
        <f>IF($Q607&lt;&gt;3,VLOOKUP(F607,'Points Table A'!B$3:$F$33,5),VLOOKUP(F607,'Points Table A'!H$3:$L$33,5))</f>
        <v>#N/A</v>
      </c>
      <c r="W607" s="4" t="e">
        <f>IF($Q607&lt;&gt;3,VLOOKUP(G607,'Points Table A'!C$3:$F$33,4),VLOOKUP(G607,'Points Table A'!I$3:$L$33,4))</f>
        <v>#N/A</v>
      </c>
      <c r="X607" s="4" t="e">
        <f>IF($Q607&lt;&gt;3,VLOOKUP(H607,'Points Table A'!D$3:$F$28,3),VLOOKUP(H607,'Points Table A'!J$3:$L$33,3))</f>
        <v>#N/A</v>
      </c>
      <c r="Y607" s="4" t="e">
        <f>IF($Q607&lt;&gt;3,VLOOKUP(I607,'Points Table A'!E$3:$F$33,2),VLOOKUP(I607,'Points Table A'!K$3:$L$33,2))</f>
        <v>#N/A</v>
      </c>
      <c r="Z607" s="4" t="e">
        <f t="shared" si="55"/>
        <v>#N/A</v>
      </c>
      <c r="AA607" s="4">
        <f>IF($S607=Lookups!$B$113,VLOOKUP(L607,'Points Table C'!A$3:$E$11,5),VLOOKUP(U607,'Points Table C'!B$3:$E$11,4))</f>
        <v>0</v>
      </c>
      <c r="AB607" s="4" t="e">
        <f>IF($Q607=1,0,VLOOKUP($J607,'Points Table C'!$C$3:$E$18,3))</f>
        <v>#N/A</v>
      </c>
      <c r="AC607" s="4">
        <f>VLOOKUP($K607,'Points Table C'!$D$3:$E$18,2)</f>
        <v>0</v>
      </c>
      <c r="AD607" s="4" t="e">
        <f>IF($Z607&lt;Lookups!$C$106,($AA607+AB607+AC607),IF($AA607&gt;=Lookups!$C$120,($AA607+AB607+AC607),$AA607+$AB607))</f>
        <v>#N/A</v>
      </c>
      <c r="AF607" s="7"/>
      <c r="AG607" s="7"/>
      <c r="AH607" s="7"/>
      <c r="AI607" s="7"/>
      <c r="AJ607" s="7"/>
      <c r="AK607" s="7"/>
      <c r="AL607" s="7"/>
      <c r="AM607" s="7"/>
      <c r="AN607" s="7"/>
      <c r="AO607" s="7"/>
      <c r="AP607" s="7"/>
      <c r="AQ607" s="7"/>
      <c r="AR607" s="7"/>
      <c r="AS607" s="7"/>
      <c r="AT607" s="7"/>
      <c r="AU607" s="7"/>
      <c r="AV607" s="7"/>
      <c r="AW607" s="7"/>
      <c r="AY607" s="7"/>
      <c r="AZ607" s="7"/>
      <c r="BA607" s="7"/>
      <c r="BB607" s="7"/>
    </row>
    <row r="608" spans="2:54" x14ac:dyDescent="0.2">
      <c r="B608" s="174"/>
      <c r="C608" s="176"/>
      <c r="F608" s="5">
        <v>0</v>
      </c>
      <c r="G608" s="192">
        <v>0</v>
      </c>
      <c r="H608" s="192">
        <v>0</v>
      </c>
      <c r="I608" s="5">
        <v>0</v>
      </c>
      <c r="J608" s="192">
        <v>0</v>
      </c>
      <c r="K608" s="192">
        <v>0</v>
      </c>
      <c r="L608" s="5">
        <v>0</v>
      </c>
      <c r="M608" s="5">
        <v>0</v>
      </c>
      <c r="N608" s="4" t="e">
        <f t="shared" si="51"/>
        <v>#N/A</v>
      </c>
      <c r="O608" s="4" t="e">
        <f>IF(ROUND(10.499-(((N608-VLOOKUP($C608,Lookups!$A$55:$D$64,3))/(VLOOKUP($C608,Lookups!$A$55:$D$64,4))*VLOOKUP($C608,Lookups!$C$2:$D$11,2))),0)&lt;1,1,IF(ROUND(10.499-(((N608-VLOOKUP($C608,Lookups!$A$55:$D$64,3))/(VLOOKUP($C608,Lookups!$A$55:$D$64,4))*VLOOKUP($C608,Lookups!$C$2:$D$11,2))),0)&lt;11,ROUND(10.499-(((N608-VLOOKUP($C608,Lookups!$A$55:$D$64,3))/(VLOOKUP($C608,Lookups!$A$55:$D$64,4))*VLOOKUP($C608,Lookups!$C$2:$D$11,2))),0),10))</f>
        <v>#N/A</v>
      </c>
      <c r="P608" s="13" t="str">
        <f>IF((SUM(F608:M608)=0),"J",VLOOKUP(O608,Lookups!$A$1:$B$11,2))</f>
        <v>J</v>
      </c>
      <c r="Q608" s="8" t="e">
        <f>VLOOKUP(C608,Lookups!$A$136:$C$144,3)</f>
        <v>#N/A</v>
      </c>
      <c r="R608" s="8" t="e">
        <f>VLOOKUP(C608,Lookups!$A$136:$C$144,2)</f>
        <v>#N/A</v>
      </c>
      <c r="S608" s="4" t="str">
        <f t="shared" si="52"/>
        <v>No</v>
      </c>
      <c r="T608" s="125">
        <f t="shared" si="53"/>
        <v>0</v>
      </c>
      <c r="U608" s="125">
        <f t="shared" si="54"/>
        <v>0</v>
      </c>
      <c r="V608" s="4" t="e">
        <f>IF($Q608&lt;&gt;3,VLOOKUP(F608,'Points Table A'!B$3:$F$33,5),VLOOKUP(F608,'Points Table A'!H$3:$L$33,5))</f>
        <v>#N/A</v>
      </c>
      <c r="W608" s="4" t="e">
        <f>IF($Q608&lt;&gt;3,VLOOKUP(G608,'Points Table A'!C$3:$F$33,4),VLOOKUP(G608,'Points Table A'!I$3:$L$33,4))</f>
        <v>#N/A</v>
      </c>
      <c r="X608" s="4" t="e">
        <f>IF($Q608&lt;&gt;3,VLOOKUP(H608,'Points Table A'!D$3:$F$28,3),VLOOKUP(H608,'Points Table A'!J$3:$L$33,3))</f>
        <v>#N/A</v>
      </c>
      <c r="Y608" s="4" t="e">
        <f>IF($Q608&lt;&gt;3,VLOOKUP(I608,'Points Table A'!E$3:$F$33,2),VLOOKUP(I608,'Points Table A'!K$3:$L$33,2))</f>
        <v>#N/A</v>
      </c>
      <c r="Z608" s="4" t="e">
        <f t="shared" si="55"/>
        <v>#N/A</v>
      </c>
      <c r="AA608" s="4">
        <f>IF($S608=Lookups!$B$113,VLOOKUP(L608,'Points Table C'!A$3:$E$11,5),VLOOKUP(U608,'Points Table C'!B$3:$E$11,4))</f>
        <v>0</v>
      </c>
      <c r="AB608" s="4" t="e">
        <f>IF($Q608=1,0,VLOOKUP($J608,'Points Table C'!$C$3:$E$18,3))</f>
        <v>#N/A</v>
      </c>
      <c r="AC608" s="4">
        <f>VLOOKUP($K608,'Points Table C'!$D$3:$E$18,2)</f>
        <v>0</v>
      </c>
      <c r="AD608" s="4" t="e">
        <f>IF($Z608&lt;Lookups!$C$106,($AA608+AB608+AC608),IF($AA608&gt;=Lookups!$C$120,($AA608+AB608+AC608),$AA608+$AB608))</f>
        <v>#N/A</v>
      </c>
      <c r="AF608" s="7"/>
      <c r="AG608" s="7"/>
      <c r="AH608" s="7"/>
      <c r="AI608" s="7"/>
      <c r="AJ608" s="7"/>
      <c r="AK608" s="7"/>
      <c r="AL608" s="7"/>
      <c r="AM608" s="7"/>
      <c r="AN608" s="7"/>
      <c r="AO608" s="7"/>
      <c r="AP608" s="7"/>
      <c r="AQ608" s="7"/>
      <c r="AR608" s="7"/>
      <c r="AS608" s="7"/>
      <c r="AT608" s="7"/>
      <c r="AU608" s="7"/>
      <c r="AV608" s="7"/>
      <c r="AW608" s="7"/>
      <c r="AY608" s="7"/>
      <c r="AZ608" s="7"/>
      <c r="BA608" s="7"/>
      <c r="BB608" s="7"/>
    </row>
    <row r="609" spans="2:54" x14ac:dyDescent="0.2">
      <c r="B609" s="174"/>
      <c r="C609" s="176"/>
      <c r="F609" s="5">
        <v>0</v>
      </c>
      <c r="G609" s="192">
        <v>0</v>
      </c>
      <c r="H609" s="192">
        <v>0</v>
      </c>
      <c r="I609" s="5">
        <v>0</v>
      </c>
      <c r="J609" s="192">
        <v>0</v>
      </c>
      <c r="K609" s="192">
        <v>0</v>
      </c>
      <c r="L609" s="5">
        <v>0</v>
      </c>
      <c r="M609" s="5">
        <v>0</v>
      </c>
      <c r="N609" s="4" t="e">
        <f t="shared" si="51"/>
        <v>#N/A</v>
      </c>
      <c r="O609" s="4" t="e">
        <f>IF(ROUND(10.499-(((N609-VLOOKUP($C609,Lookups!$A$55:$D$64,3))/(VLOOKUP($C609,Lookups!$A$55:$D$64,4))*VLOOKUP($C609,Lookups!$C$2:$D$11,2))),0)&lt;1,1,IF(ROUND(10.499-(((N609-VLOOKUP($C609,Lookups!$A$55:$D$64,3))/(VLOOKUP($C609,Lookups!$A$55:$D$64,4))*VLOOKUP($C609,Lookups!$C$2:$D$11,2))),0)&lt;11,ROUND(10.499-(((N609-VLOOKUP($C609,Lookups!$A$55:$D$64,3))/(VLOOKUP($C609,Lookups!$A$55:$D$64,4))*VLOOKUP($C609,Lookups!$C$2:$D$11,2))),0),10))</f>
        <v>#N/A</v>
      </c>
      <c r="P609" s="13" t="str">
        <f>IF((SUM(F609:M609)=0),"J",VLOOKUP(O609,Lookups!$A$1:$B$11,2))</f>
        <v>J</v>
      </c>
      <c r="Q609" s="8" t="e">
        <f>VLOOKUP(C609,Lookups!$A$136:$C$144,3)</f>
        <v>#N/A</v>
      </c>
      <c r="R609" s="8" t="e">
        <f>VLOOKUP(C609,Lookups!$A$136:$C$144,2)</f>
        <v>#N/A</v>
      </c>
      <c r="S609" s="4" t="str">
        <f t="shared" si="52"/>
        <v>No</v>
      </c>
      <c r="T609" s="125">
        <f t="shared" si="53"/>
        <v>0</v>
      </c>
      <c r="U609" s="125">
        <f t="shared" si="54"/>
        <v>0</v>
      </c>
      <c r="V609" s="4" t="e">
        <f>IF($Q609&lt;&gt;3,VLOOKUP(F609,'Points Table A'!B$3:$F$33,5),VLOOKUP(F609,'Points Table A'!H$3:$L$33,5))</f>
        <v>#N/A</v>
      </c>
      <c r="W609" s="4" t="e">
        <f>IF($Q609&lt;&gt;3,VLOOKUP(G609,'Points Table A'!C$3:$F$33,4),VLOOKUP(G609,'Points Table A'!I$3:$L$33,4))</f>
        <v>#N/A</v>
      </c>
      <c r="X609" s="4" t="e">
        <f>IF($Q609&lt;&gt;3,VLOOKUP(H609,'Points Table A'!D$3:$F$28,3),VLOOKUP(H609,'Points Table A'!J$3:$L$33,3))</f>
        <v>#N/A</v>
      </c>
      <c r="Y609" s="4" t="e">
        <f>IF($Q609&lt;&gt;3,VLOOKUP(I609,'Points Table A'!E$3:$F$33,2),VLOOKUP(I609,'Points Table A'!K$3:$L$33,2))</f>
        <v>#N/A</v>
      </c>
      <c r="Z609" s="4" t="e">
        <f t="shared" si="55"/>
        <v>#N/A</v>
      </c>
      <c r="AA609" s="4">
        <f>IF($S609=Lookups!$B$113,VLOOKUP(L609,'Points Table C'!A$3:$E$11,5),VLOOKUP(U609,'Points Table C'!B$3:$E$11,4))</f>
        <v>0</v>
      </c>
      <c r="AB609" s="4" t="e">
        <f>IF($Q609=1,0,VLOOKUP($J609,'Points Table C'!$C$3:$E$18,3))</f>
        <v>#N/A</v>
      </c>
      <c r="AC609" s="4">
        <f>VLOOKUP($K609,'Points Table C'!$D$3:$E$18,2)</f>
        <v>0</v>
      </c>
      <c r="AD609" s="4" t="e">
        <f>IF($Z609&lt;Lookups!$C$106,($AA609+AB609+AC609),IF($AA609&gt;=Lookups!$C$120,($AA609+AB609+AC609),$AA609+$AB609))</f>
        <v>#N/A</v>
      </c>
      <c r="AF609" s="7"/>
      <c r="AG609" s="7"/>
      <c r="AH609" s="7"/>
      <c r="AI609" s="7"/>
      <c r="AJ609" s="7"/>
      <c r="AK609" s="7"/>
      <c r="AL609" s="7"/>
      <c r="AM609" s="7"/>
      <c r="AN609" s="7"/>
      <c r="AO609" s="7"/>
      <c r="AP609" s="7"/>
      <c r="AQ609" s="7"/>
      <c r="AR609" s="7"/>
      <c r="AS609" s="7"/>
      <c r="AT609" s="7"/>
      <c r="AU609" s="7"/>
      <c r="AV609" s="7"/>
      <c r="AW609" s="7"/>
      <c r="AY609" s="7"/>
      <c r="AZ609" s="7"/>
      <c r="BA609" s="7"/>
      <c r="BB609" s="7"/>
    </row>
    <row r="610" spans="2:54" x14ac:dyDescent="0.2">
      <c r="B610" s="174"/>
      <c r="C610" s="176"/>
      <c r="F610" s="5">
        <v>0</v>
      </c>
      <c r="G610" s="192">
        <v>0</v>
      </c>
      <c r="H610" s="192">
        <v>0</v>
      </c>
      <c r="I610" s="5">
        <v>0</v>
      </c>
      <c r="J610" s="192">
        <v>0</v>
      </c>
      <c r="K610" s="192">
        <v>0</v>
      </c>
      <c r="L610" s="5">
        <v>0</v>
      </c>
      <c r="M610" s="5">
        <v>0</v>
      </c>
      <c r="N610" s="4" t="e">
        <f t="shared" si="51"/>
        <v>#N/A</v>
      </c>
      <c r="O610" s="4" t="e">
        <f>IF(ROUND(10.499-(((N610-VLOOKUP($C610,Lookups!$A$55:$D$64,3))/(VLOOKUP($C610,Lookups!$A$55:$D$64,4))*VLOOKUP($C610,Lookups!$C$2:$D$11,2))),0)&lt;1,1,IF(ROUND(10.499-(((N610-VLOOKUP($C610,Lookups!$A$55:$D$64,3))/(VLOOKUP($C610,Lookups!$A$55:$D$64,4))*VLOOKUP($C610,Lookups!$C$2:$D$11,2))),0)&lt;11,ROUND(10.499-(((N610-VLOOKUP($C610,Lookups!$A$55:$D$64,3))/(VLOOKUP($C610,Lookups!$A$55:$D$64,4))*VLOOKUP($C610,Lookups!$C$2:$D$11,2))),0),10))</f>
        <v>#N/A</v>
      </c>
      <c r="P610" s="13" t="str">
        <f>IF((SUM(F610:M610)=0),"J",VLOOKUP(O610,Lookups!$A$1:$B$11,2))</f>
        <v>J</v>
      </c>
      <c r="Q610" s="8" t="e">
        <f>VLOOKUP(C610,Lookups!$A$136:$C$144,3)</f>
        <v>#N/A</v>
      </c>
      <c r="R610" s="8" t="e">
        <f>VLOOKUP(C610,Lookups!$A$136:$C$144,2)</f>
        <v>#N/A</v>
      </c>
      <c r="S610" s="4" t="str">
        <f t="shared" si="52"/>
        <v>No</v>
      </c>
      <c r="T610" s="125">
        <f t="shared" si="53"/>
        <v>0</v>
      </c>
      <c r="U610" s="125">
        <f t="shared" si="54"/>
        <v>0</v>
      </c>
      <c r="V610" s="4" t="e">
        <f>IF($Q610&lt;&gt;3,VLOOKUP(F610,'Points Table A'!B$3:$F$33,5),VLOOKUP(F610,'Points Table A'!H$3:$L$33,5))</f>
        <v>#N/A</v>
      </c>
      <c r="W610" s="4" t="e">
        <f>IF($Q610&lt;&gt;3,VLOOKUP(G610,'Points Table A'!C$3:$F$33,4),VLOOKUP(G610,'Points Table A'!I$3:$L$33,4))</f>
        <v>#N/A</v>
      </c>
      <c r="X610" s="4" t="e">
        <f>IF($Q610&lt;&gt;3,VLOOKUP(H610,'Points Table A'!D$3:$F$28,3),VLOOKUP(H610,'Points Table A'!J$3:$L$33,3))</f>
        <v>#N/A</v>
      </c>
      <c r="Y610" s="4" t="e">
        <f>IF($Q610&lt;&gt;3,VLOOKUP(I610,'Points Table A'!E$3:$F$33,2),VLOOKUP(I610,'Points Table A'!K$3:$L$33,2))</f>
        <v>#N/A</v>
      </c>
      <c r="Z610" s="4" t="e">
        <f t="shared" si="55"/>
        <v>#N/A</v>
      </c>
      <c r="AA610" s="4">
        <f>IF($S610=Lookups!$B$113,VLOOKUP(L610,'Points Table C'!A$3:$E$11,5),VLOOKUP(U610,'Points Table C'!B$3:$E$11,4))</f>
        <v>0</v>
      </c>
      <c r="AB610" s="4" t="e">
        <f>IF($Q610=1,0,VLOOKUP($J610,'Points Table C'!$C$3:$E$18,3))</f>
        <v>#N/A</v>
      </c>
      <c r="AC610" s="4">
        <f>VLOOKUP($K610,'Points Table C'!$D$3:$E$18,2)</f>
        <v>0</v>
      </c>
      <c r="AD610" s="4" t="e">
        <f>IF($Z610&lt;Lookups!$C$106,($AA610+AB610+AC610),IF($AA610&gt;=Lookups!$C$120,($AA610+AB610+AC610),$AA610+$AB610))</f>
        <v>#N/A</v>
      </c>
      <c r="AF610" s="7"/>
      <c r="AG610" s="7"/>
      <c r="AH610" s="7"/>
      <c r="AI610" s="7"/>
      <c r="AJ610" s="7"/>
      <c r="AK610" s="7"/>
      <c r="AL610" s="7"/>
      <c r="AM610" s="7"/>
      <c r="AN610" s="7"/>
      <c r="AO610" s="7"/>
      <c r="AP610" s="7"/>
      <c r="AQ610" s="7"/>
      <c r="AR610" s="7"/>
      <c r="AS610" s="7"/>
      <c r="AT610" s="7"/>
      <c r="AU610" s="7"/>
      <c r="AV610" s="7"/>
      <c r="AW610" s="7"/>
      <c r="AY610" s="7"/>
      <c r="AZ610" s="7"/>
      <c r="BA610" s="7"/>
      <c r="BB610" s="7"/>
    </row>
    <row r="611" spans="2:54" x14ac:dyDescent="0.2">
      <c r="B611" s="174"/>
      <c r="C611" s="176"/>
      <c r="F611" s="5">
        <v>0</v>
      </c>
      <c r="G611" s="192">
        <v>0</v>
      </c>
      <c r="H611" s="192">
        <v>0</v>
      </c>
      <c r="I611" s="5">
        <v>0</v>
      </c>
      <c r="J611" s="192">
        <v>0</v>
      </c>
      <c r="K611" s="192">
        <v>0</v>
      </c>
      <c r="L611" s="5">
        <v>0</v>
      </c>
      <c r="M611" s="5">
        <v>0</v>
      </c>
      <c r="N611" s="4" t="e">
        <f t="shared" si="51"/>
        <v>#N/A</v>
      </c>
      <c r="O611" s="4" t="e">
        <f>IF(ROUND(10.499-(((N611-VLOOKUP($C611,Lookups!$A$55:$D$64,3))/(VLOOKUP($C611,Lookups!$A$55:$D$64,4))*VLOOKUP($C611,Lookups!$C$2:$D$11,2))),0)&lt;1,1,IF(ROUND(10.499-(((N611-VLOOKUP($C611,Lookups!$A$55:$D$64,3))/(VLOOKUP($C611,Lookups!$A$55:$D$64,4))*VLOOKUP($C611,Lookups!$C$2:$D$11,2))),0)&lt;11,ROUND(10.499-(((N611-VLOOKUP($C611,Lookups!$A$55:$D$64,3))/(VLOOKUP($C611,Lookups!$A$55:$D$64,4))*VLOOKUP($C611,Lookups!$C$2:$D$11,2))),0),10))</f>
        <v>#N/A</v>
      </c>
      <c r="P611" s="13" t="str">
        <f>IF((SUM(F611:M611)=0),"J",VLOOKUP(O611,Lookups!$A$1:$B$11,2))</f>
        <v>J</v>
      </c>
      <c r="Q611" s="8" t="e">
        <f>VLOOKUP(C611,Lookups!$A$136:$C$144,3)</f>
        <v>#N/A</v>
      </c>
      <c r="R611" s="8" t="e">
        <f>VLOOKUP(C611,Lookups!$A$136:$C$144,2)</f>
        <v>#N/A</v>
      </c>
      <c r="S611" s="4" t="str">
        <f t="shared" si="52"/>
        <v>No</v>
      </c>
      <c r="T611" s="125">
        <f t="shared" si="53"/>
        <v>0</v>
      </c>
      <c r="U611" s="125">
        <f t="shared" si="54"/>
        <v>0</v>
      </c>
      <c r="V611" s="4" t="e">
        <f>IF($Q611&lt;&gt;3,VLOOKUP(F611,'Points Table A'!B$3:$F$33,5),VLOOKUP(F611,'Points Table A'!H$3:$L$33,5))</f>
        <v>#N/A</v>
      </c>
      <c r="W611" s="4" t="e">
        <f>IF($Q611&lt;&gt;3,VLOOKUP(G611,'Points Table A'!C$3:$F$33,4),VLOOKUP(G611,'Points Table A'!I$3:$L$33,4))</f>
        <v>#N/A</v>
      </c>
      <c r="X611" s="4" t="e">
        <f>IF($Q611&lt;&gt;3,VLOOKUP(H611,'Points Table A'!D$3:$F$28,3),VLOOKUP(H611,'Points Table A'!J$3:$L$33,3))</f>
        <v>#N/A</v>
      </c>
      <c r="Y611" s="4" t="e">
        <f>IF($Q611&lt;&gt;3,VLOOKUP(I611,'Points Table A'!E$3:$F$33,2),VLOOKUP(I611,'Points Table A'!K$3:$L$33,2))</f>
        <v>#N/A</v>
      </c>
      <c r="Z611" s="4" t="e">
        <f t="shared" si="55"/>
        <v>#N/A</v>
      </c>
      <c r="AA611" s="4">
        <f>IF($S611=Lookups!$B$113,VLOOKUP(L611,'Points Table C'!A$3:$E$11,5),VLOOKUP(U611,'Points Table C'!B$3:$E$11,4))</f>
        <v>0</v>
      </c>
      <c r="AB611" s="4" t="e">
        <f>IF($Q611=1,0,VLOOKUP($J611,'Points Table C'!$C$3:$E$18,3))</f>
        <v>#N/A</v>
      </c>
      <c r="AC611" s="4">
        <f>VLOOKUP($K611,'Points Table C'!$D$3:$E$18,2)</f>
        <v>0</v>
      </c>
      <c r="AD611" s="4" t="e">
        <f>IF($Z611&lt;Lookups!$C$106,($AA611+AB611+AC611),IF($AA611&gt;=Lookups!$C$120,($AA611+AB611+AC611),$AA611+$AB611))</f>
        <v>#N/A</v>
      </c>
      <c r="AF611" s="7"/>
      <c r="AG611" s="7"/>
      <c r="AH611" s="7"/>
      <c r="AI611" s="7"/>
      <c r="AJ611" s="7"/>
      <c r="AK611" s="7"/>
      <c r="AL611" s="7"/>
      <c r="AM611" s="7"/>
      <c r="AN611" s="7"/>
      <c r="AO611" s="7"/>
      <c r="AP611" s="7"/>
      <c r="AQ611" s="7"/>
      <c r="AR611" s="7"/>
      <c r="AS611" s="7"/>
      <c r="AT611" s="7"/>
      <c r="AU611" s="7"/>
      <c r="AV611" s="7"/>
      <c r="AW611" s="7"/>
      <c r="AY611" s="7"/>
      <c r="AZ611" s="7"/>
      <c r="BA611" s="7"/>
      <c r="BB611" s="7"/>
    </row>
    <row r="612" spans="2:54" x14ac:dyDescent="0.2">
      <c r="B612" s="174"/>
      <c r="C612" s="176"/>
      <c r="F612" s="5">
        <v>0</v>
      </c>
      <c r="G612" s="192">
        <v>0</v>
      </c>
      <c r="H612" s="192">
        <v>0</v>
      </c>
      <c r="I612" s="5">
        <v>0</v>
      </c>
      <c r="J612" s="192">
        <v>0</v>
      </c>
      <c r="K612" s="192">
        <v>0</v>
      </c>
      <c r="L612" s="5">
        <v>0</v>
      </c>
      <c r="M612" s="5">
        <v>0</v>
      </c>
      <c r="N612" s="4" t="e">
        <f t="shared" si="51"/>
        <v>#N/A</v>
      </c>
      <c r="O612" s="4" t="e">
        <f>IF(ROUND(10.499-(((N612-VLOOKUP($C612,Lookups!$A$55:$D$64,3))/(VLOOKUP($C612,Lookups!$A$55:$D$64,4))*VLOOKUP($C612,Lookups!$C$2:$D$11,2))),0)&lt;1,1,IF(ROUND(10.499-(((N612-VLOOKUP($C612,Lookups!$A$55:$D$64,3))/(VLOOKUP($C612,Lookups!$A$55:$D$64,4))*VLOOKUP($C612,Lookups!$C$2:$D$11,2))),0)&lt;11,ROUND(10.499-(((N612-VLOOKUP($C612,Lookups!$A$55:$D$64,3))/(VLOOKUP($C612,Lookups!$A$55:$D$64,4))*VLOOKUP($C612,Lookups!$C$2:$D$11,2))),0),10))</f>
        <v>#N/A</v>
      </c>
      <c r="P612" s="13" t="str">
        <f>IF((SUM(F612:M612)=0),"J",VLOOKUP(O612,Lookups!$A$1:$B$11,2))</f>
        <v>J</v>
      </c>
      <c r="Q612" s="8" t="e">
        <f>VLOOKUP(C612,Lookups!$A$136:$C$144,3)</f>
        <v>#N/A</v>
      </c>
      <c r="R612" s="8" t="e">
        <f>VLOOKUP(C612,Lookups!$A$136:$C$144,2)</f>
        <v>#N/A</v>
      </c>
      <c r="S612" s="4" t="str">
        <f t="shared" si="52"/>
        <v>No</v>
      </c>
      <c r="T612" s="125">
        <f t="shared" si="53"/>
        <v>0</v>
      </c>
      <c r="U612" s="125">
        <f t="shared" si="54"/>
        <v>0</v>
      </c>
      <c r="V612" s="4" t="e">
        <f>IF($Q612&lt;&gt;3,VLOOKUP(F612,'Points Table A'!B$3:$F$33,5),VLOOKUP(F612,'Points Table A'!H$3:$L$33,5))</f>
        <v>#N/A</v>
      </c>
      <c r="W612" s="4" t="e">
        <f>IF($Q612&lt;&gt;3,VLOOKUP(G612,'Points Table A'!C$3:$F$33,4),VLOOKUP(G612,'Points Table A'!I$3:$L$33,4))</f>
        <v>#N/A</v>
      </c>
      <c r="X612" s="4" t="e">
        <f>IF($Q612&lt;&gt;3,VLOOKUP(H612,'Points Table A'!D$3:$F$28,3),VLOOKUP(H612,'Points Table A'!J$3:$L$33,3))</f>
        <v>#N/A</v>
      </c>
      <c r="Y612" s="4" t="e">
        <f>IF($Q612&lt;&gt;3,VLOOKUP(I612,'Points Table A'!E$3:$F$33,2),VLOOKUP(I612,'Points Table A'!K$3:$L$33,2))</f>
        <v>#N/A</v>
      </c>
      <c r="Z612" s="4" t="e">
        <f t="shared" si="55"/>
        <v>#N/A</v>
      </c>
      <c r="AA612" s="4">
        <f>IF($S612=Lookups!$B$113,VLOOKUP(L612,'Points Table C'!A$3:$E$11,5),VLOOKUP(U612,'Points Table C'!B$3:$E$11,4))</f>
        <v>0</v>
      </c>
      <c r="AB612" s="4" t="e">
        <f>IF($Q612=1,0,VLOOKUP($J612,'Points Table C'!$C$3:$E$18,3))</f>
        <v>#N/A</v>
      </c>
      <c r="AC612" s="4">
        <f>VLOOKUP($K612,'Points Table C'!$D$3:$E$18,2)</f>
        <v>0</v>
      </c>
      <c r="AD612" s="4" t="e">
        <f>IF($Z612&lt;Lookups!$C$106,($AA612+AB612+AC612),IF($AA612&gt;=Lookups!$C$120,($AA612+AB612+AC612),$AA612+$AB612))</f>
        <v>#N/A</v>
      </c>
      <c r="AF612" s="7"/>
      <c r="AG612" s="7"/>
      <c r="AH612" s="7"/>
      <c r="AI612" s="7"/>
      <c r="AJ612" s="7"/>
      <c r="AK612" s="7"/>
      <c r="AL612" s="7"/>
      <c r="AM612" s="7"/>
      <c r="AN612" s="7"/>
      <c r="AO612" s="7"/>
      <c r="AP612" s="7"/>
      <c r="AQ612" s="7"/>
      <c r="AR612" s="7"/>
      <c r="AS612" s="7"/>
      <c r="AT612" s="7"/>
      <c r="AU612" s="7"/>
      <c r="AV612" s="7"/>
      <c r="AW612" s="7"/>
      <c r="AY612" s="7"/>
      <c r="AZ612" s="7"/>
      <c r="BA612" s="7"/>
      <c r="BB612" s="7"/>
    </row>
    <row r="613" spans="2:54" x14ac:dyDescent="0.2">
      <c r="B613" s="174"/>
      <c r="C613" s="176"/>
      <c r="F613" s="5">
        <v>0</v>
      </c>
      <c r="G613" s="192">
        <v>0</v>
      </c>
      <c r="H613" s="192">
        <v>0</v>
      </c>
      <c r="I613" s="5">
        <v>0</v>
      </c>
      <c r="J613" s="192">
        <v>0</v>
      </c>
      <c r="K613" s="192">
        <v>0</v>
      </c>
      <c r="L613" s="5">
        <v>0</v>
      </c>
      <c r="M613" s="5">
        <v>0</v>
      </c>
      <c r="N613" s="4" t="e">
        <f t="shared" si="51"/>
        <v>#N/A</v>
      </c>
      <c r="O613" s="4" t="e">
        <f>IF(ROUND(10.499-(((N613-VLOOKUP($C613,Lookups!$A$55:$D$64,3))/(VLOOKUP($C613,Lookups!$A$55:$D$64,4))*VLOOKUP($C613,Lookups!$C$2:$D$11,2))),0)&lt;1,1,IF(ROUND(10.499-(((N613-VLOOKUP($C613,Lookups!$A$55:$D$64,3))/(VLOOKUP($C613,Lookups!$A$55:$D$64,4))*VLOOKUP($C613,Lookups!$C$2:$D$11,2))),0)&lt;11,ROUND(10.499-(((N613-VLOOKUP($C613,Lookups!$A$55:$D$64,3))/(VLOOKUP($C613,Lookups!$A$55:$D$64,4))*VLOOKUP($C613,Lookups!$C$2:$D$11,2))),0),10))</f>
        <v>#N/A</v>
      </c>
      <c r="P613" s="13" t="str">
        <f>IF((SUM(F613:M613)=0),"J",VLOOKUP(O613,Lookups!$A$1:$B$11,2))</f>
        <v>J</v>
      </c>
      <c r="Q613" s="8" t="e">
        <f>VLOOKUP(C613,Lookups!$A$136:$C$144,3)</f>
        <v>#N/A</v>
      </c>
      <c r="R613" s="8" t="e">
        <f>VLOOKUP(C613,Lookups!$A$136:$C$144,2)</f>
        <v>#N/A</v>
      </c>
      <c r="S613" s="4" t="str">
        <f t="shared" si="52"/>
        <v>No</v>
      </c>
      <c r="T613" s="125">
        <f t="shared" si="53"/>
        <v>0</v>
      </c>
      <c r="U613" s="125">
        <f t="shared" si="54"/>
        <v>0</v>
      </c>
      <c r="V613" s="4" t="e">
        <f>IF($Q613&lt;&gt;3,VLOOKUP(F613,'Points Table A'!B$3:$F$33,5),VLOOKUP(F613,'Points Table A'!H$3:$L$33,5))</f>
        <v>#N/A</v>
      </c>
      <c r="W613" s="4" t="e">
        <f>IF($Q613&lt;&gt;3,VLOOKUP(G613,'Points Table A'!C$3:$F$33,4),VLOOKUP(G613,'Points Table A'!I$3:$L$33,4))</f>
        <v>#N/A</v>
      </c>
      <c r="X613" s="4" t="e">
        <f>IF($Q613&lt;&gt;3,VLOOKUP(H613,'Points Table A'!D$3:$F$28,3),VLOOKUP(H613,'Points Table A'!J$3:$L$33,3))</f>
        <v>#N/A</v>
      </c>
      <c r="Y613" s="4" t="e">
        <f>IF($Q613&lt;&gt;3,VLOOKUP(I613,'Points Table A'!E$3:$F$33,2),VLOOKUP(I613,'Points Table A'!K$3:$L$33,2))</f>
        <v>#N/A</v>
      </c>
      <c r="Z613" s="4" t="e">
        <f t="shared" si="55"/>
        <v>#N/A</v>
      </c>
      <c r="AA613" s="4">
        <f>IF($S613=Lookups!$B$113,VLOOKUP(L613,'Points Table C'!A$3:$E$11,5),VLOOKUP(U613,'Points Table C'!B$3:$E$11,4))</f>
        <v>0</v>
      </c>
      <c r="AB613" s="4" t="e">
        <f>IF($Q613=1,0,VLOOKUP($J613,'Points Table C'!$C$3:$E$18,3))</f>
        <v>#N/A</v>
      </c>
      <c r="AC613" s="4">
        <f>VLOOKUP($K613,'Points Table C'!$D$3:$E$18,2)</f>
        <v>0</v>
      </c>
      <c r="AD613" s="4" t="e">
        <f>IF($Z613&lt;Lookups!$C$106,($AA613+AB613+AC613),IF($AA613&gt;=Lookups!$C$120,($AA613+AB613+AC613),$AA613+$AB613))</f>
        <v>#N/A</v>
      </c>
      <c r="AF613" s="7"/>
      <c r="AG613" s="7"/>
      <c r="AH613" s="7"/>
      <c r="AI613" s="7"/>
      <c r="AJ613" s="7"/>
      <c r="AK613" s="7"/>
      <c r="AL613" s="7"/>
      <c r="AM613" s="7"/>
      <c r="AN613" s="7"/>
      <c r="AO613" s="7"/>
      <c r="AP613" s="7"/>
      <c r="AQ613" s="7"/>
      <c r="AR613" s="7"/>
      <c r="AS613" s="7"/>
      <c r="AT613" s="7"/>
      <c r="AU613" s="7"/>
      <c r="AV613" s="7"/>
      <c r="AW613" s="7"/>
      <c r="AY613" s="7"/>
      <c r="AZ613" s="7"/>
      <c r="BA613" s="7"/>
      <c r="BB613" s="7"/>
    </row>
    <row r="614" spans="2:54" x14ac:dyDescent="0.2">
      <c r="B614" s="174"/>
      <c r="C614" s="176"/>
      <c r="F614" s="5">
        <v>0</v>
      </c>
      <c r="G614" s="192">
        <v>0</v>
      </c>
      <c r="H614" s="192">
        <v>0</v>
      </c>
      <c r="I614" s="5">
        <v>0</v>
      </c>
      <c r="J614" s="192">
        <v>0</v>
      </c>
      <c r="K614" s="192">
        <v>0</v>
      </c>
      <c r="L614" s="5">
        <v>0</v>
      </c>
      <c r="M614" s="5">
        <v>0</v>
      </c>
      <c r="N614" s="4" t="e">
        <f t="shared" si="51"/>
        <v>#N/A</v>
      </c>
      <c r="O614" s="4" t="e">
        <f>IF(ROUND(10.499-(((N614-VLOOKUP($C614,Lookups!$A$55:$D$64,3))/(VLOOKUP($C614,Lookups!$A$55:$D$64,4))*VLOOKUP($C614,Lookups!$C$2:$D$11,2))),0)&lt;1,1,IF(ROUND(10.499-(((N614-VLOOKUP($C614,Lookups!$A$55:$D$64,3))/(VLOOKUP($C614,Lookups!$A$55:$D$64,4))*VLOOKUP($C614,Lookups!$C$2:$D$11,2))),0)&lt;11,ROUND(10.499-(((N614-VLOOKUP($C614,Lookups!$A$55:$D$64,3))/(VLOOKUP($C614,Lookups!$A$55:$D$64,4))*VLOOKUP($C614,Lookups!$C$2:$D$11,2))),0),10))</f>
        <v>#N/A</v>
      </c>
      <c r="P614" s="13" t="str">
        <f>IF((SUM(F614:M614)=0),"J",VLOOKUP(O614,Lookups!$A$1:$B$11,2))</f>
        <v>J</v>
      </c>
      <c r="Q614" s="8" t="e">
        <f>VLOOKUP(C614,Lookups!$A$136:$C$144,3)</f>
        <v>#N/A</v>
      </c>
      <c r="R614" s="8" t="e">
        <f>VLOOKUP(C614,Lookups!$A$136:$C$144,2)</f>
        <v>#N/A</v>
      </c>
      <c r="S614" s="4" t="str">
        <f t="shared" si="52"/>
        <v>No</v>
      </c>
      <c r="T614" s="125">
        <f t="shared" si="53"/>
        <v>0</v>
      </c>
      <c r="U614" s="125">
        <f t="shared" si="54"/>
        <v>0</v>
      </c>
      <c r="V614" s="4" t="e">
        <f>IF($Q614&lt;&gt;3,VLOOKUP(F614,'Points Table A'!B$3:$F$33,5),VLOOKUP(F614,'Points Table A'!H$3:$L$33,5))</f>
        <v>#N/A</v>
      </c>
      <c r="W614" s="4" t="e">
        <f>IF($Q614&lt;&gt;3,VLOOKUP(G614,'Points Table A'!C$3:$F$33,4),VLOOKUP(G614,'Points Table A'!I$3:$L$33,4))</f>
        <v>#N/A</v>
      </c>
      <c r="X614" s="4" t="e">
        <f>IF($Q614&lt;&gt;3,VLOOKUP(H614,'Points Table A'!D$3:$F$28,3),VLOOKUP(H614,'Points Table A'!J$3:$L$33,3))</f>
        <v>#N/A</v>
      </c>
      <c r="Y614" s="4" t="e">
        <f>IF($Q614&lt;&gt;3,VLOOKUP(I614,'Points Table A'!E$3:$F$33,2),VLOOKUP(I614,'Points Table A'!K$3:$L$33,2))</f>
        <v>#N/A</v>
      </c>
      <c r="Z614" s="4" t="e">
        <f t="shared" si="55"/>
        <v>#N/A</v>
      </c>
      <c r="AA614" s="4">
        <f>IF($S614=Lookups!$B$113,VLOOKUP(L614,'Points Table C'!A$3:$E$11,5),VLOOKUP(U614,'Points Table C'!B$3:$E$11,4))</f>
        <v>0</v>
      </c>
      <c r="AB614" s="4" t="e">
        <f>IF($Q614=1,0,VLOOKUP($J614,'Points Table C'!$C$3:$E$18,3))</f>
        <v>#N/A</v>
      </c>
      <c r="AC614" s="4">
        <f>VLOOKUP($K614,'Points Table C'!$D$3:$E$18,2)</f>
        <v>0</v>
      </c>
      <c r="AD614" s="4" t="e">
        <f>IF($Z614&lt;Lookups!$C$106,($AA614+AB614+AC614),IF($AA614&gt;=Lookups!$C$120,($AA614+AB614+AC614),$AA614+$AB614))</f>
        <v>#N/A</v>
      </c>
      <c r="AF614" s="7"/>
      <c r="AG614" s="7"/>
      <c r="AH614" s="7"/>
      <c r="AI614" s="7"/>
      <c r="AJ614" s="7"/>
      <c r="AK614" s="7"/>
      <c r="AL614" s="7"/>
      <c r="AM614" s="7"/>
      <c r="AN614" s="7"/>
      <c r="AO614" s="7"/>
      <c r="AP614" s="7"/>
      <c r="AQ614" s="7"/>
      <c r="AR614" s="7"/>
      <c r="AS614" s="7"/>
      <c r="AT614" s="7"/>
      <c r="AU614" s="7"/>
      <c r="AV614" s="7"/>
      <c r="AW614" s="7"/>
      <c r="AY614" s="7"/>
      <c r="AZ614" s="7"/>
      <c r="BA614" s="7"/>
      <c r="BB614" s="7"/>
    </row>
    <row r="615" spans="2:54" x14ac:dyDescent="0.2">
      <c r="B615" s="174"/>
      <c r="C615" s="176"/>
      <c r="F615" s="5">
        <v>0</v>
      </c>
      <c r="G615" s="192">
        <v>0</v>
      </c>
      <c r="H615" s="192">
        <v>0</v>
      </c>
      <c r="I615" s="5">
        <v>0</v>
      </c>
      <c r="J615" s="192">
        <v>0</v>
      </c>
      <c r="K615" s="192">
        <v>0</v>
      </c>
      <c r="L615" s="5">
        <v>0</v>
      </c>
      <c r="M615" s="5">
        <v>0</v>
      </c>
      <c r="N615" s="4" t="e">
        <f t="shared" si="51"/>
        <v>#N/A</v>
      </c>
      <c r="O615" s="4" t="e">
        <f>IF(ROUND(10.499-(((N615-VLOOKUP($C615,Lookups!$A$55:$D$64,3))/(VLOOKUP($C615,Lookups!$A$55:$D$64,4))*VLOOKUP($C615,Lookups!$C$2:$D$11,2))),0)&lt;1,1,IF(ROUND(10.499-(((N615-VLOOKUP($C615,Lookups!$A$55:$D$64,3))/(VLOOKUP($C615,Lookups!$A$55:$D$64,4))*VLOOKUP($C615,Lookups!$C$2:$D$11,2))),0)&lt;11,ROUND(10.499-(((N615-VLOOKUP($C615,Lookups!$A$55:$D$64,3))/(VLOOKUP($C615,Lookups!$A$55:$D$64,4))*VLOOKUP($C615,Lookups!$C$2:$D$11,2))),0),10))</f>
        <v>#N/A</v>
      </c>
      <c r="P615" s="13" t="str">
        <f>IF((SUM(F615:M615)=0),"J",VLOOKUP(O615,Lookups!$A$1:$B$11,2))</f>
        <v>J</v>
      </c>
      <c r="Q615" s="8" t="e">
        <f>VLOOKUP(C615,Lookups!$A$136:$C$144,3)</f>
        <v>#N/A</v>
      </c>
      <c r="R615" s="8" t="e">
        <f>VLOOKUP(C615,Lookups!$A$136:$C$144,2)</f>
        <v>#N/A</v>
      </c>
      <c r="S615" s="4" t="str">
        <f t="shared" si="52"/>
        <v>No</v>
      </c>
      <c r="T615" s="125">
        <f t="shared" si="53"/>
        <v>0</v>
      </c>
      <c r="U615" s="125">
        <f t="shared" si="54"/>
        <v>0</v>
      </c>
      <c r="V615" s="4" t="e">
        <f>IF($Q615&lt;&gt;3,VLOOKUP(F615,'Points Table A'!B$3:$F$33,5),VLOOKUP(F615,'Points Table A'!H$3:$L$33,5))</f>
        <v>#N/A</v>
      </c>
      <c r="W615" s="4" t="e">
        <f>IF($Q615&lt;&gt;3,VLOOKUP(G615,'Points Table A'!C$3:$F$33,4),VLOOKUP(G615,'Points Table A'!I$3:$L$33,4))</f>
        <v>#N/A</v>
      </c>
      <c r="X615" s="4" t="e">
        <f>IF($Q615&lt;&gt;3,VLOOKUP(H615,'Points Table A'!D$3:$F$28,3),VLOOKUP(H615,'Points Table A'!J$3:$L$33,3))</f>
        <v>#N/A</v>
      </c>
      <c r="Y615" s="4" t="e">
        <f>IF($Q615&lt;&gt;3,VLOOKUP(I615,'Points Table A'!E$3:$F$33,2),VLOOKUP(I615,'Points Table A'!K$3:$L$33,2))</f>
        <v>#N/A</v>
      </c>
      <c r="Z615" s="4" t="e">
        <f t="shared" si="55"/>
        <v>#N/A</v>
      </c>
      <c r="AA615" s="4">
        <f>IF($S615=Lookups!$B$113,VLOOKUP(L615,'Points Table C'!A$3:$E$11,5),VLOOKUP(U615,'Points Table C'!B$3:$E$11,4))</f>
        <v>0</v>
      </c>
      <c r="AB615" s="4" t="e">
        <f>IF($Q615=1,0,VLOOKUP($J615,'Points Table C'!$C$3:$E$18,3))</f>
        <v>#N/A</v>
      </c>
      <c r="AC615" s="4">
        <f>VLOOKUP($K615,'Points Table C'!$D$3:$E$18,2)</f>
        <v>0</v>
      </c>
      <c r="AD615" s="4" t="e">
        <f>IF($Z615&lt;Lookups!$C$106,($AA615+AB615+AC615),IF($AA615&gt;=Lookups!$C$120,($AA615+AB615+AC615),$AA615+$AB615))</f>
        <v>#N/A</v>
      </c>
      <c r="AF615" s="7"/>
      <c r="AG615" s="7"/>
      <c r="AH615" s="7"/>
      <c r="AI615" s="7"/>
      <c r="AJ615" s="7"/>
      <c r="AK615" s="7"/>
      <c r="AL615" s="7"/>
      <c r="AM615" s="7"/>
      <c r="AN615" s="7"/>
      <c r="AO615" s="7"/>
      <c r="AP615" s="7"/>
      <c r="AQ615" s="7"/>
      <c r="AR615" s="7"/>
      <c r="AS615" s="7"/>
      <c r="AT615" s="7"/>
      <c r="AU615" s="7"/>
      <c r="AV615" s="7"/>
      <c r="AW615" s="7"/>
      <c r="AY615" s="7"/>
      <c r="AZ615" s="7"/>
      <c r="BA615" s="7"/>
      <c r="BB615" s="7"/>
    </row>
    <row r="616" spans="2:54" x14ac:dyDescent="0.2">
      <c r="B616" s="174"/>
      <c r="C616" s="176"/>
      <c r="F616" s="5">
        <v>0</v>
      </c>
      <c r="G616" s="192">
        <v>0</v>
      </c>
      <c r="H616" s="192">
        <v>0</v>
      </c>
      <c r="I616" s="5">
        <v>0</v>
      </c>
      <c r="J616" s="192">
        <v>0</v>
      </c>
      <c r="K616" s="192">
        <v>0</v>
      </c>
      <c r="L616" s="5">
        <v>0</v>
      </c>
      <c r="M616" s="5">
        <v>0</v>
      </c>
      <c r="N616" s="4" t="e">
        <f t="shared" si="51"/>
        <v>#N/A</v>
      </c>
      <c r="O616" s="4" t="e">
        <f>IF(ROUND(10.499-(((N616-VLOOKUP($C616,Lookups!$A$55:$D$64,3))/(VLOOKUP($C616,Lookups!$A$55:$D$64,4))*VLOOKUP($C616,Lookups!$C$2:$D$11,2))),0)&lt;1,1,IF(ROUND(10.499-(((N616-VLOOKUP($C616,Lookups!$A$55:$D$64,3))/(VLOOKUP($C616,Lookups!$A$55:$D$64,4))*VLOOKUP($C616,Lookups!$C$2:$D$11,2))),0)&lt;11,ROUND(10.499-(((N616-VLOOKUP($C616,Lookups!$A$55:$D$64,3))/(VLOOKUP($C616,Lookups!$A$55:$D$64,4))*VLOOKUP($C616,Lookups!$C$2:$D$11,2))),0),10))</f>
        <v>#N/A</v>
      </c>
      <c r="P616" s="13" t="str">
        <f>IF((SUM(F616:M616)=0),"J",VLOOKUP(O616,Lookups!$A$1:$B$11,2))</f>
        <v>J</v>
      </c>
      <c r="Q616" s="8" t="e">
        <f>VLOOKUP(C616,Lookups!$A$136:$C$144,3)</f>
        <v>#N/A</v>
      </c>
      <c r="R616" s="8" t="e">
        <f>VLOOKUP(C616,Lookups!$A$136:$C$144,2)</f>
        <v>#N/A</v>
      </c>
      <c r="S616" s="4" t="str">
        <f t="shared" si="52"/>
        <v>No</v>
      </c>
      <c r="T616" s="125">
        <f t="shared" si="53"/>
        <v>0</v>
      </c>
      <c r="U616" s="125">
        <f t="shared" si="54"/>
        <v>0</v>
      </c>
      <c r="V616" s="4" t="e">
        <f>IF($Q616&lt;&gt;3,VLOOKUP(F616,'Points Table A'!B$3:$F$33,5),VLOOKUP(F616,'Points Table A'!H$3:$L$33,5))</f>
        <v>#N/A</v>
      </c>
      <c r="W616" s="4" t="e">
        <f>IF($Q616&lt;&gt;3,VLOOKUP(G616,'Points Table A'!C$3:$F$33,4),VLOOKUP(G616,'Points Table A'!I$3:$L$33,4))</f>
        <v>#N/A</v>
      </c>
      <c r="X616" s="4" t="e">
        <f>IF($Q616&lt;&gt;3,VLOOKUP(H616,'Points Table A'!D$3:$F$28,3),VLOOKUP(H616,'Points Table A'!J$3:$L$33,3))</f>
        <v>#N/A</v>
      </c>
      <c r="Y616" s="4" t="e">
        <f>IF($Q616&lt;&gt;3,VLOOKUP(I616,'Points Table A'!E$3:$F$33,2),VLOOKUP(I616,'Points Table A'!K$3:$L$33,2))</f>
        <v>#N/A</v>
      </c>
      <c r="Z616" s="4" t="e">
        <f t="shared" si="55"/>
        <v>#N/A</v>
      </c>
      <c r="AA616" s="4">
        <f>IF($S616=Lookups!$B$113,VLOOKUP(L616,'Points Table C'!A$3:$E$11,5),VLOOKUP(U616,'Points Table C'!B$3:$E$11,4))</f>
        <v>0</v>
      </c>
      <c r="AB616" s="4" t="e">
        <f>IF($Q616=1,0,VLOOKUP($J616,'Points Table C'!$C$3:$E$18,3))</f>
        <v>#N/A</v>
      </c>
      <c r="AC616" s="4">
        <f>VLOOKUP($K616,'Points Table C'!$D$3:$E$18,2)</f>
        <v>0</v>
      </c>
      <c r="AD616" s="4" t="e">
        <f>IF($Z616&lt;Lookups!$C$106,($AA616+AB616+AC616),IF($AA616&gt;=Lookups!$C$120,($AA616+AB616+AC616),$AA616+$AB616))</f>
        <v>#N/A</v>
      </c>
      <c r="AF616" s="7"/>
      <c r="AG616" s="7"/>
      <c r="AH616" s="7"/>
      <c r="AI616" s="7"/>
      <c r="AJ616" s="7"/>
      <c r="AK616" s="7"/>
      <c r="AL616" s="7"/>
      <c r="AM616" s="7"/>
      <c r="AN616" s="7"/>
      <c r="AO616" s="7"/>
      <c r="AP616" s="7"/>
      <c r="AQ616" s="7"/>
      <c r="AR616" s="7"/>
      <c r="AS616" s="7"/>
      <c r="AT616" s="7"/>
      <c r="AU616" s="7"/>
      <c r="AV616" s="7"/>
      <c r="AW616" s="7"/>
      <c r="AY616" s="7"/>
      <c r="AZ616" s="7"/>
      <c r="BA616" s="7"/>
      <c r="BB616" s="7"/>
    </row>
    <row r="617" spans="2:54" x14ac:dyDescent="0.2">
      <c r="B617" s="174"/>
      <c r="C617" s="176"/>
      <c r="F617" s="5">
        <v>0</v>
      </c>
      <c r="G617" s="192">
        <v>0</v>
      </c>
      <c r="H617" s="192">
        <v>0</v>
      </c>
      <c r="I617" s="5">
        <v>0</v>
      </c>
      <c r="J617" s="192">
        <v>0</v>
      </c>
      <c r="K617" s="192">
        <v>0</v>
      </c>
      <c r="L617" s="5">
        <v>0</v>
      </c>
      <c r="M617" s="5">
        <v>0</v>
      </c>
      <c r="N617" s="4" t="e">
        <f t="shared" si="51"/>
        <v>#N/A</v>
      </c>
      <c r="O617" s="4" t="e">
        <f>IF(ROUND(10.499-(((N617-VLOOKUP($C617,Lookups!$A$55:$D$64,3))/(VLOOKUP($C617,Lookups!$A$55:$D$64,4))*VLOOKUP($C617,Lookups!$C$2:$D$11,2))),0)&lt;1,1,IF(ROUND(10.499-(((N617-VLOOKUP($C617,Lookups!$A$55:$D$64,3))/(VLOOKUP($C617,Lookups!$A$55:$D$64,4))*VLOOKUP($C617,Lookups!$C$2:$D$11,2))),0)&lt;11,ROUND(10.499-(((N617-VLOOKUP($C617,Lookups!$A$55:$D$64,3))/(VLOOKUP($C617,Lookups!$A$55:$D$64,4))*VLOOKUP($C617,Lookups!$C$2:$D$11,2))),0),10))</f>
        <v>#N/A</v>
      </c>
      <c r="P617" s="13" t="str">
        <f>IF((SUM(F617:M617)=0),"J",VLOOKUP(O617,Lookups!$A$1:$B$11,2))</f>
        <v>J</v>
      </c>
      <c r="Q617" s="8" t="e">
        <f>VLOOKUP(C617,Lookups!$A$136:$C$144,3)</f>
        <v>#N/A</v>
      </c>
      <c r="R617" s="8" t="e">
        <f>VLOOKUP(C617,Lookups!$A$136:$C$144,2)</f>
        <v>#N/A</v>
      </c>
      <c r="S617" s="4" t="str">
        <f t="shared" si="52"/>
        <v>No</v>
      </c>
      <c r="T617" s="125">
        <f t="shared" si="53"/>
        <v>0</v>
      </c>
      <c r="U617" s="125">
        <f t="shared" si="54"/>
        <v>0</v>
      </c>
      <c r="V617" s="4" t="e">
        <f>IF($Q617&lt;&gt;3,VLOOKUP(F617,'Points Table A'!B$3:$F$33,5),VLOOKUP(F617,'Points Table A'!H$3:$L$33,5))</f>
        <v>#N/A</v>
      </c>
      <c r="W617" s="4" t="e">
        <f>IF($Q617&lt;&gt;3,VLOOKUP(G617,'Points Table A'!C$3:$F$33,4),VLOOKUP(G617,'Points Table A'!I$3:$L$33,4))</f>
        <v>#N/A</v>
      </c>
      <c r="X617" s="4" t="e">
        <f>IF($Q617&lt;&gt;3,VLOOKUP(H617,'Points Table A'!D$3:$F$28,3),VLOOKUP(H617,'Points Table A'!J$3:$L$33,3))</f>
        <v>#N/A</v>
      </c>
      <c r="Y617" s="4" t="e">
        <f>IF($Q617&lt;&gt;3,VLOOKUP(I617,'Points Table A'!E$3:$F$33,2),VLOOKUP(I617,'Points Table A'!K$3:$L$33,2))</f>
        <v>#N/A</v>
      </c>
      <c r="Z617" s="4" t="e">
        <f t="shared" si="55"/>
        <v>#N/A</v>
      </c>
      <c r="AA617" s="4">
        <f>IF($S617=Lookups!$B$113,VLOOKUP(L617,'Points Table C'!A$3:$E$11,5),VLOOKUP(U617,'Points Table C'!B$3:$E$11,4))</f>
        <v>0</v>
      </c>
      <c r="AB617" s="4" t="e">
        <f>IF($Q617=1,0,VLOOKUP($J617,'Points Table C'!$C$3:$E$18,3))</f>
        <v>#N/A</v>
      </c>
      <c r="AC617" s="4">
        <f>VLOOKUP($K617,'Points Table C'!$D$3:$E$18,2)</f>
        <v>0</v>
      </c>
      <c r="AD617" s="4" t="e">
        <f>IF($Z617&lt;Lookups!$C$106,($AA617+AB617+AC617),IF($AA617&gt;=Lookups!$C$120,($AA617+AB617+AC617),$AA617+$AB617))</f>
        <v>#N/A</v>
      </c>
      <c r="AF617" s="7"/>
      <c r="AG617" s="7"/>
      <c r="AH617" s="7"/>
      <c r="AI617" s="7"/>
      <c r="AJ617" s="7"/>
      <c r="AK617" s="7"/>
      <c r="AL617" s="7"/>
      <c r="AM617" s="7"/>
      <c r="AN617" s="7"/>
      <c r="AO617" s="7"/>
      <c r="AP617" s="7"/>
      <c r="AQ617" s="7"/>
      <c r="AR617" s="7"/>
      <c r="AS617" s="7"/>
      <c r="AT617" s="7"/>
      <c r="AU617" s="7"/>
      <c r="AV617" s="7"/>
      <c r="AW617" s="7"/>
      <c r="AY617" s="7"/>
      <c r="AZ617" s="7"/>
      <c r="BA617" s="7"/>
      <c r="BB617" s="7"/>
    </row>
    <row r="618" spans="2:54" x14ac:dyDescent="0.2">
      <c r="B618" s="174"/>
      <c r="C618" s="176"/>
      <c r="F618" s="5">
        <v>0</v>
      </c>
      <c r="G618" s="192">
        <v>0</v>
      </c>
      <c r="H618" s="192">
        <v>0</v>
      </c>
      <c r="I618" s="5">
        <v>0</v>
      </c>
      <c r="J618" s="192">
        <v>0</v>
      </c>
      <c r="K618" s="192">
        <v>0</v>
      </c>
      <c r="L618" s="5">
        <v>0</v>
      </c>
      <c r="M618" s="5">
        <v>0</v>
      </c>
      <c r="N618" s="4" t="e">
        <f t="shared" si="51"/>
        <v>#N/A</v>
      </c>
      <c r="O618" s="4" t="e">
        <f>IF(ROUND(10.499-(((N618-VLOOKUP($C618,Lookups!$A$55:$D$64,3))/(VLOOKUP($C618,Lookups!$A$55:$D$64,4))*VLOOKUP($C618,Lookups!$C$2:$D$11,2))),0)&lt;1,1,IF(ROUND(10.499-(((N618-VLOOKUP($C618,Lookups!$A$55:$D$64,3))/(VLOOKUP($C618,Lookups!$A$55:$D$64,4))*VLOOKUP($C618,Lookups!$C$2:$D$11,2))),0)&lt;11,ROUND(10.499-(((N618-VLOOKUP($C618,Lookups!$A$55:$D$64,3))/(VLOOKUP($C618,Lookups!$A$55:$D$64,4))*VLOOKUP($C618,Lookups!$C$2:$D$11,2))),0),10))</f>
        <v>#N/A</v>
      </c>
      <c r="P618" s="13" t="str">
        <f>IF((SUM(F618:M618)=0),"J",VLOOKUP(O618,Lookups!$A$1:$B$11,2))</f>
        <v>J</v>
      </c>
      <c r="Q618" s="8" t="e">
        <f>VLOOKUP(C618,Lookups!$A$136:$C$144,3)</f>
        <v>#N/A</v>
      </c>
      <c r="R618" s="8" t="e">
        <f>VLOOKUP(C618,Lookups!$A$136:$C$144,2)</f>
        <v>#N/A</v>
      </c>
      <c r="S618" s="4" t="str">
        <f t="shared" si="52"/>
        <v>No</v>
      </c>
      <c r="T618" s="125">
        <f t="shared" si="53"/>
        <v>0</v>
      </c>
      <c r="U618" s="125">
        <f t="shared" si="54"/>
        <v>0</v>
      </c>
      <c r="V618" s="4" t="e">
        <f>IF($Q618&lt;&gt;3,VLOOKUP(F618,'Points Table A'!B$3:$F$33,5),VLOOKUP(F618,'Points Table A'!H$3:$L$33,5))</f>
        <v>#N/A</v>
      </c>
      <c r="W618" s="4" t="e">
        <f>IF($Q618&lt;&gt;3,VLOOKUP(G618,'Points Table A'!C$3:$F$33,4),VLOOKUP(G618,'Points Table A'!I$3:$L$33,4))</f>
        <v>#N/A</v>
      </c>
      <c r="X618" s="4" t="e">
        <f>IF($Q618&lt;&gt;3,VLOOKUP(H618,'Points Table A'!D$3:$F$28,3),VLOOKUP(H618,'Points Table A'!J$3:$L$33,3))</f>
        <v>#N/A</v>
      </c>
      <c r="Y618" s="4" t="e">
        <f>IF($Q618&lt;&gt;3,VLOOKUP(I618,'Points Table A'!E$3:$F$33,2),VLOOKUP(I618,'Points Table A'!K$3:$L$33,2))</f>
        <v>#N/A</v>
      </c>
      <c r="Z618" s="4" t="e">
        <f t="shared" si="55"/>
        <v>#N/A</v>
      </c>
      <c r="AA618" s="4">
        <f>IF($S618=Lookups!$B$113,VLOOKUP(L618,'Points Table C'!A$3:$E$11,5),VLOOKUP(U618,'Points Table C'!B$3:$E$11,4))</f>
        <v>0</v>
      </c>
      <c r="AB618" s="4" t="e">
        <f>IF($Q618=1,0,VLOOKUP($J618,'Points Table C'!$C$3:$E$18,3))</f>
        <v>#N/A</v>
      </c>
      <c r="AC618" s="4">
        <f>VLOOKUP($K618,'Points Table C'!$D$3:$E$18,2)</f>
        <v>0</v>
      </c>
      <c r="AD618" s="4" t="e">
        <f>IF($Z618&lt;Lookups!$C$106,($AA618+AB618+AC618),IF($AA618&gt;=Lookups!$C$120,($AA618+AB618+AC618),$AA618+$AB618))</f>
        <v>#N/A</v>
      </c>
      <c r="AF618" s="7"/>
      <c r="AG618" s="7"/>
      <c r="AH618" s="7"/>
      <c r="AI618" s="7"/>
      <c r="AJ618" s="7"/>
      <c r="AK618" s="7"/>
      <c r="AL618" s="7"/>
      <c r="AM618" s="7"/>
      <c r="AN618" s="7"/>
      <c r="AO618" s="7"/>
      <c r="AP618" s="7"/>
      <c r="AQ618" s="7"/>
      <c r="AR618" s="7"/>
      <c r="AS618" s="7"/>
      <c r="AT618" s="7"/>
      <c r="AU618" s="7"/>
      <c r="AV618" s="7"/>
      <c r="AW618" s="7"/>
      <c r="AY618" s="7"/>
      <c r="AZ618" s="7"/>
      <c r="BA618" s="7"/>
      <c r="BB618" s="7"/>
    </row>
    <row r="619" spans="2:54" x14ac:dyDescent="0.2">
      <c r="B619" s="174"/>
      <c r="C619" s="176"/>
      <c r="F619" s="5">
        <v>0</v>
      </c>
      <c r="G619" s="192">
        <v>0</v>
      </c>
      <c r="H619" s="192">
        <v>0</v>
      </c>
      <c r="I619" s="5">
        <v>0</v>
      </c>
      <c r="J619" s="192">
        <v>0</v>
      </c>
      <c r="K619" s="192">
        <v>0</v>
      </c>
      <c r="L619" s="5">
        <v>0</v>
      </c>
      <c r="M619" s="5">
        <v>0</v>
      </c>
      <c r="N619" s="4" t="e">
        <f t="shared" si="51"/>
        <v>#N/A</v>
      </c>
      <c r="O619" s="4" t="e">
        <f>IF(ROUND(10.499-(((N619-VLOOKUP($C619,Lookups!$A$55:$D$64,3))/(VLOOKUP($C619,Lookups!$A$55:$D$64,4))*VLOOKUP($C619,Lookups!$C$2:$D$11,2))),0)&lt;1,1,IF(ROUND(10.499-(((N619-VLOOKUP($C619,Lookups!$A$55:$D$64,3))/(VLOOKUP($C619,Lookups!$A$55:$D$64,4))*VLOOKUP($C619,Lookups!$C$2:$D$11,2))),0)&lt;11,ROUND(10.499-(((N619-VLOOKUP($C619,Lookups!$A$55:$D$64,3))/(VLOOKUP($C619,Lookups!$A$55:$D$64,4))*VLOOKUP($C619,Lookups!$C$2:$D$11,2))),0),10))</f>
        <v>#N/A</v>
      </c>
      <c r="P619" s="13" t="str">
        <f>IF((SUM(F619:M619)=0),"J",VLOOKUP(O619,Lookups!$A$1:$B$11,2))</f>
        <v>J</v>
      </c>
      <c r="Q619" s="8" t="e">
        <f>VLOOKUP(C619,Lookups!$A$136:$C$144,3)</f>
        <v>#N/A</v>
      </c>
      <c r="R619" s="8" t="e">
        <f>VLOOKUP(C619,Lookups!$A$136:$C$144,2)</f>
        <v>#N/A</v>
      </c>
      <c r="S619" s="4" t="str">
        <f t="shared" si="52"/>
        <v>No</v>
      </c>
      <c r="T619" s="125">
        <f t="shared" si="53"/>
        <v>0</v>
      </c>
      <c r="U619" s="125">
        <f t="shared" si="54"/>
        <v>0</v>
      </c>
      <c r="V619" s="4" t="e">
        <f>IF($Q619&lt;&gt;3,VLOOKUP(F619,'Points Table A'!B$3:$F$33,5),VLOOKUP(F619,'Points Table A'!H$3:$L$33,5))</f>
        <v>#N/A</v>
      </c>
      <c r="W619" s="4" t="e">
        <f>IF($Q619&lt;&gt;3,VLOOKUP(G619,'Points Table A'!C$3:$F$33,4),VLOOKUP(G619,'Points Table A'!I$3:$L$33,4))</f>
        <v>#N/A</v>
      </c>
      <c r="X619" s="4" t="e">
        <f>IF($Q619&lt;&gt;3,VLOOKUP(H619,'Points Table A'!D$3:$F$28,3),VLOOKUP(H619,'Points Table A'!J$3:$L$33,3))</f>
        <v>#N/A</v>
      </c>
      <c r="Y619" s="4" t="e">
        <f>IF($Q619&lt;&gt;3,VLOOKUP(I619,'Points Table A'!E$3:$F$33,2),VLOOKUP(I619,'Points Table A'!K$3:$L$33,2))</f>
        <v>#N/A</v>
      </c>
      <c r="Z619" s="4" t="e">
        <f t="shared" si="55"/>
        <v>#N/A</v>
      </c>
      <c r="AA619" s="4">
        <f>IF($S619=Lookups!$B$113,VLOOKUP(L619,'Points Table C'!A$3:$E$11,5),VLOOKUP(U619,'Points Table C'!B$3:$E$11,4))</f>
        <v>0</v>
      </c>
      <c r="AB619" s="4" t="e">
        <f>IF($Q619=1,0,VLOOKUP($J619,'Points Table C'!$C$3:$E$18,3))</f>
        <v>#N/A</v>
      </c>
      <c r="AC619" s="4">
        <f>VLOOKUP($K619,'Points Table C'!$D$3:$E$18,2)</f>
        <v>0</v>
      </c>
      <c r="AD619" s="4" t="e">
        <f>IF($Z619&lt;Lookups!$C$106,($AA619+AB619+AC619),IF($AA619&gt;=Lookups!$C$120,($AA619+AB619+AC619),$AA619+$AB619))</f>
        <v>#N/A</v>
      </c>
      <c r="AF619" s="7"/>
      <c r="AG619" s="7"/>
      <c r="AH619" s="7"/>
      <c r="AI619" s="7"/>
      <c r="AJ619" s="7"/>
      <c r="AK619" s="7"/>
      <c r="AL619" s="7"/>
      <c r="AM619" s="7"/>
      <c r="AN619" s="7"/>
      <c r="AO619" s="7"/>
      <c r="AP619" s="7"/>
      <c r="AQ619" s="7"/>
      <c r="AR619" s="7"/>
      <c r="AS619" s="7"/>
      <c r="AT619" s="7"/>
      <c r="AU619" s="7"/>
      <c r="AV619" s="7"/>
      <c r="AW619" s="7"/>
      <c r="AY619" s="7"/>
      <c r="AZ619" s="7"/>
      <c r="BA619" s="7"/>
      <c r="BB619" s="7"/>
    </row>
    <row r="620" spans="2:54" x14ac:dyDescent="0.2">
      <c r="B620" s="174"/>
      <c r="C620" s="176"/>
      <c r="F620" s="5">
        <v>0</v>
      </c>
      <c r="G620" s="192">
        <v>0</v>
      </c>
      <c r="H620" s="192">
        <v>0</v>
      </c>
      <c r="I620" s="5">
        <v>0</v>
      </c>
      <c r="J620" s="192">
        <v>0</v>
      </c>
      <c r="K620" s="192">
        <v>0</v>
      </c>
      <c r="L620" s="5">
        <v>0</v>
      </c>
      <c r="M620" s="5">
        <v>0</v>
      </c>
      <c r="N620" s="4" t="e">
        <f t="shared" si="51"/>
        <v>#N/A</v>
      </c>
      <c r="O620" s="4" t="e">
        <f>IF(ROUND(10.499-(((N620-VLOOKUP($C620,Lookups!$A$55:$D$64,3))/(VLOOKUP($C620,Lookups!$A$55:$D$64,4))*VLOOKUP($C620,Lookups!$C$2:$D$11,2))),0)&lt;1,1,IF(ROUND(10.499-(((N620-VLOOKUP($C620,Lookups!$A$55:$D$64,3))/(VLOOKUP($C620,Lookups!$A$55:$D$64,4))*VLOOKUP($C620,Lookups!$C$2:$D$11,2))),0)&lt;11,ROUND(10.499-(((N620-VLOOKUP($C620,Lookups!$A$55:$D$64,3))/(VLOOKUP($C620,Lookups!$A$55:$D$64,4))*VLOOKUP($C620,Lookups!$C$2:$D$11,2))),0),10))</f>
        <v>#N/A</v>
      </c>
      <c r="P620" s="13" t="str">
        <f>IF((SUM(F620:M620)=0),"J",VLOOKUP(O620,Lookups!$A$1:$B$11,2))</f>
        <v>J</v>
      </c>
      <c r="Q620" s="8" t="e">
        <f>VLOOKUP(C620,Lookups!$A$136:$C$144,3)</f>
        <v>#N/A</v>
      </c>
      <c r="R620" s="8" t="e">
        <f>VLOOKUP(C620,Lookups!$A$136:$C$144,2)</f>
        <v>#N/A</v>
      </c>
      <c r="S620" s="4" t="str">
        <f t="shared" si="52"/>
        <v>No</v>
      </c>
      <c r="T620" s="125">
        <f t="shared" si="53"/>
        <v>0</v>
      </c>
      <c r="U620" s="125">
        <f t="shared" si="54"/>
        <v>0</v>
      </c>
      <c r="V620" s="4" t="e">
        <f>IF($Q620&lt;&gt;3,VLOOKUP(F620,'Points Table A'!B$3:$F$33,5),VLOOKUP(F620,'Points Table A'!H$3:$L$33,5))</f>
        <v>#N/A</v>
      </c>
      <c r="W620" s="4" t="e">
        <f>IF($Q620&lt;&gt;3,VLOOKUP(G620,'Points Table A'!C$3:$F$33,4),VLOOKUP(G620,'Points Table A'!I$3:$L$33,4))</f>
        <v>#N/A</v>
      </c>
      <c r="X620" s="4" t="e">
        <f>IF($Q620&lt;&gt;3,VLOOKUP(H620,'Points Table A'!D$3:$F$28,3),VLOOKUP(H620,'Points Table A'!J$3:$L$33,3))</f>
        <v>#N/A</v>
      </c>
      <c r="Y620" s="4" t="e">
        <f>IF($Q620&lt;&gt;3,VLOOKUP(I620,'Points Table A'!E$3:$F$33,2),VLOOKUP(I620,'Points Table A'!K$3:$L$33,2))</f>
        <v>#N/A</v>
      </c>
      <c r="Z620" s="4" t="e">
        <f t="shared" si="55"/>
        <v>#N/A</v>
      </c>
      <c r="AA620" s="4">
        <f>IF($S620=Lookups!$B$113,VLOOKUP(L620,'Points Table C'!A$3:$E$11,5),VLOOKUP(U620,'Points Table C'!B$3:$E$11,4))</f>
        <v>0</v>
      </c>
      <c r="AB620" s="4" t="e">
        <f>IF($Q620=1,0,VLOOKUP($J620,'Points Table C'!$C$3:$E$18,3))</f>
        <v>#N/A</v>
      </c>
      <c r="AC620" s="4">
        <f>VLOOKUP($K620,'Points Table C'!$D$3:$E$18,2)</f>
        <v>0</v>
      </c>
      <c r="AD620" s="4" t="e">
        <f>IF($Z620&lt;Lookups!$C$106,($AA620+AB620+AC620),IF($AA620&gt;=Lookups!$C$120,($AA620+AB620+AC620),$AA620+$AB620))</f>
        <v>#N/A</v>
      </c>
      <c r="AF620" s="7"/>
      <c r="AG620" s="7"/>
      <c r="AH620" s="7"/>
      <c r="AI620" s="7"/>
      <c r="AJ620" s="7"/>
      <c r="AK620" s="7"/>
      <c r="AL620" s="7"/>
      <c r="AM620" s="7"/>
      <c r="AN620" s="7"/>
      <c r="AO620" s="7"/>
      <c r="AP620" s="7"/>
      <c r="AQ620" s="7"/>
      <c r="AR620" s="7"/>
      <c r="AS620" s="7"/>
      <c r="AT620" s="7"/>
      <c r="AU620" s="7"/>
      <c r="AV620" s="7"/>
      <c r="AW620" s="7"/>
      <c r="AY620" s="7"/>
      <c r="AZ620" s="7"/>
      <c r="BA620" s="7"/>
      <c r="BB620" s="7"/>
    </row>
    <row r="621" spans="2:54" x14ac:dyDescent="0.2">
      <c r="B621" s="174"/>
      <c r="C621" s="176"/>
      <c r="F621" s="5">
        <v>0</v>
      </c>
      <c r="G621" s="192">
        <v>0</v>
      </c>
      <c r="H621" s="192">
        <v>0</v>
      </c>
      <c r="I621" s="5">
        <v>0</v>
      </c>
      <c r="J621" s="192">
        <v>0</v>
      </c>
      <c r="K621" s="192">
        <v>0</v>
      </c>
      <c r="L621" s="5">
        <v>0</v>
      </c>
      <c r="M621" s="5">
        <v>0</v>
      </c>
      <c r="N621" s="4" t="e">
        <f t="shared" si="51"/>
        <v>#N/A</v>
      </c>
      <c r="O621" s="4" t="e">
        <f>IF(ROUND(10.499-(((N621-VLOOKUP($C621,Lookups!$A$55:$D$64,3))/(VLOOKUP($C621,Lookups!$A$55:$D$64,4))*VLOOKUP($C621,Lookups!$C$2:$D$11,2))),0)&lt;1,1,IF(ROUND(10.499-(((N621-VLOOKUP($C621,Lookups!$A$55:$D$64,3))/(VLOOKUP($C621,Lookups!$A$55:$D$64,4))*VLOOKUP($C621,Lookups!$C$2:$D$11,2))),0)&lt;11,ROUND(10.499-(((N621-VLOOKUP($C621,Lookups!$A$55:$D$64,3))/(VLOOKUP($C621,Lookups!$A$55:$D$64,4))*VLOOKUP($C621,Lookups!$C$2:$D$11,2))),0),10))</f>
        <v>#N/A</v>
      </c>
      <c r="P621" s="13" t="str">
        <f>IF((SUM(F621:M621)=0),"J",VLOOKUP(O621,Lookups!$A$1:$B$11,2))</f>
        <v>J</v>
      </c>
      <c r="Q621" s="8" t="e">
        <f>VLOOKUP(C621,Lookups!$A$136:$C$144,3)</f>
        <v>#N/A</v>
      </c>
      <c r="R621" s="8" t="e">
        <f>VLOOKUP(C621,Lookups!$A$136:$C$144,2)</f>
        <v>#N/A</v>
      </c>
      <c r="S621" s="4" t="str">
        <f t="shared" si="52"/>
        <v>No</v>
      </c>
      <c r="T621" s="125">
        <f t="shared" si="53"/>
        <v>0</v>
      </c>
      <c r="U621" s="125">
        <f t="shared" si="54"/>
        <v>0</v>
      </c>
      <c r="V621" s="4" t="e">
        <f>IF($Q621&lt;&gt;3,VLOOKUP(F621,'Points Table A'!B$3:$F$33,5),VLOOKUP(F621,'Points Table A'!H$3:$L$33,5))</f>
        <v>#N/A</v>
      </c>
      <c r="W621" s="4" t="e">
        <f>IF($Q621&lt;&gt;3,VLOOKUP(G621,'Points Table A'!C$3:$F$33,4),VLOOKUP(G621,'Points Table A'!I$3:$L$33,4))</f>
        <v>#N/A</v>
      </c>
      <c r="X621" s="4" t="e">
        <f>IF($Q621&lt;&gt;3,VLOOKUP(H621,'Points Table A'!D$3:$F$28,3),VLOOKUP(H621,'Points Table A'!J$3:$L$33,3))</f>
        <v>#N/A</v>
      </c>
      <c r="Y621" s="4" t="e">
        <f>IF($Q621&lt;&gt;3,VLOOKUP(I621,'Points Table A'!E$3:$F$33,2),VLOOKUP(I621,'Points Table A'!K$3:$L$33,2))</f>
        <v>#N/A</v>
      </c>
      <c r="Z621" s="4" t="e">
        <f t="shared" si="55"/>
        <v>#N/A</v>
      </c>
      <c r="AA621" s="4">
        <f>IF($S621=Lookups!$B$113,VLOOKUP(L621,'Points Table C'!A$3:$E$11,5),VLOOKUP(U621,'Points Table C'!B$3:$E$11,4))</f>
        <v>0</v>
      </c>
      <c r="AB621" s="4" t="e">
        <f>IF($Q621=1,0,VLOOKUP($J621,'Points Table C'!$C$3:$E$18,3))</f>
        <v>#N/A</v>
      </c>
      <c r="AC621" s="4">
        <f>VLOOKUP($K621,'Points Table C'!$D$3:$E$18,2)</f>
        <v>0</v>
      </c>
      <c r="AD621" s="4" t="e">
        <f>IF($Z621&lt;Lookups!$C$106,($AA621+AB621+AC621),IF($AA621&gt;=Lookups!$C$120,($AA621+AB621+AC621),$AA621+$AB621))</f>
        <v>#N/A</v>
      </c>
      <c r="AF621" s="7"/>
      <c r="AG621" s="7"/>
      <c r="AH621" s="7"/>
      <c r="AI621" s="7"/>
      <c r="AJ621" s="7"/>
      <c r="AK621" s="7"/>
      <c r="AL621" s="7"/>
      <c r="AM621" s="7"/>
      <c r="AN621" s="7"/>
      <c r="AO621" s="7"/>
      <c r="AP621" s="7"/>
      <c r="AQ621" s="7"/>
      <c r="AR621" s="7"/>
      <c r="AS621" s="7"/>
      <c r="AT621" s="7"/>
      <c r="AU621" s="7"/>
      <c r="AV621" s="7"/>
      <c r="AW621" s="7"/>
      <c r="AY621" s="7"/>
      <c r="AZ621" s="7"/>
      <c r="BA621" s="7"/>
      <c r="BB621" s="7"/>
    </row>
    <row r="622" spans="2:54" x14ac:dyDescent="0.2">
      <c r="B622" s="174"/>
      <c r="C622" s="176"/>
      <c r="F622" s="5">
        <v>0</v>
      </c>
      <c r="G622" s="192">
        <v>0</v>
      </c>
      <c r="H622" s="192">
        <v>0</v>
      </c>
      <c r="I622" s="5">
        <v>0</v>
      </c>
      <c r="J622" s="192">
        <v>0</v>
      </c>
      <c r="K622" s="192">
        <v>0</v>
      </c>
      <c r="L622" s="5">
        <v>0</v>
      </c>
      <c r="M622" s="5">
        <v>0</v>
      </c>
      <c r="N622" s="4" t="e">
        <f t="shared" si="51"/>
        <v>#N/A</v>
      </c>
      <c r="O622" s="4" t="e">
        <f>IF(ROUND(10.499-(((N622-VLOOKUP($C622,Lookups!$A$55:$D$64,3))/(VLOOKUP($C622,Lookups!$A$55:$D$64,4))*VLOOKUP($C622,Lookups!$C$2:$D$11,2))),0)&lt;1,1,IF(ROUND(10.499-(((N622-VLOOKUP($C622,Lookups!$A$55:$D$64,3))/(VLOOKUP($C622,Lookups!$A$55:$D$64,4))*VLOOKUP($C622,Lookups!$C$2:$D$11,2))),0)&lt;11,ROUND(10.499-(((N622-VLOOKUP($C622,Lookups!$A$55:$D$64,3))/(VLOOKUP($C622,Lookups!$A$55:$D$64,4))*VLOOKUP($C622,Lookups!$C$2:$D$11,2))),0),10))</f>
        <v>#N/A</v>
      </c>
      <c r="P622" s="13" t="str">
        <f>IF((SUM(F622:M622)=0),"J",VLOOKUP(O622,Lookups!$A$1:$B$11,2))</f>
        <v>J</v>
      </c>
      <c r="Q622" s="8" t="e">
        <f>VLOOKUP(C622,Lookups!$A$136:$C$144,3)</f>
        <v>#N/A</v>
      </c>
      <c r="R622" s="8" t="e">
        <f>VLOOKUP(C622,Lookups!$A$136:$C$144,2)</f>
        <v>#N/A</v>
      </c>
      <c r="S622" s="4" t="str">
        <f t="shared" si="52"/>
        <v>No</v>
      </c>
      <c r="T622" s="125">
        <f t="shared" si="53"/>
        <v>0</v>
      </c>
      <c r="U622" s="125">
        <f t="shared" si="54"/>
        <v>0</v>
      </c>
      <c r="V622" s="4" t="e">
        <f>IF($Q622&lt;&gt;3,VLOOKUP(F622,'Points Table A'!B$3:$F$33,5),VLOOKUP(F622,'Points Table A'!H$3:$L$33,5))</f>
        <v>#N/A</v>
      </c>
      <c r="W622" s="4" t="e">
        <f>IF($Q622&lt;&gt;3,VLOOKUP(G622,'Points Table A'!C$3:$F$33,4),VLOOKUP(G622,'Points Table A'!I$3:$L$33,4))</f>
        <v>#N/A</v>
      </c>
      <c r="X622" s="4" t="e">
        <f>IF($Q622&lt;&gt;3,VLOOKUP(H622,'Points Table A'!D$3:$F$28,3),VLOOKUP(H622,'Points Table A'!J$3:$L$33,3))</f>
        <v>#N/A</v>
      </c>
      <c r="Y622" s="4" t="e">
        <f>IF($Q622&lt;&gt;3,VLOOKUP(I622,'Points Table A'!E$3:$F$33,2),VLOOKUP(I622,'Points Table A'!K$3:$L$33,2))</f>
        <v>#N/A</v>
      </c>
      <c r="Z622" s="4" t="e">
        <f t="shared" si="55"/>
        <v>#N/A</v>
      </c>
      <c r="AA622" s="4">
        <f>IF($S622=Lookups!$B$113,VLOOKUP(L622,'Points Table C'!A$3:$E$11,5),VLOOKUP(U622,'Points Table C'!B$3:$E$11,4))</f>
        <v>0</v>
      </c>
      <c r="AB622" s="4" t="e">
        <f>IF($Q622=1,0,VLOOKUP($J622,'Points Table C'!$C$3:$E$18,3))</f>
        <v>#N/A</v>
      </c>
      <c r="AC622" s="4">
        <f>VLOOKUP($K622,'Points Table C'!$D$3:$E$18,2)</f>
        <v>0</v>
      </c>
      <c r="AD622" s="4" t="e">
        <f>IF($Z622&lt;Lookups!$C$106,($AA622+AB622+AC622),IF($AA622&gt;=Lookups!$C$120,($AA622+AB622+AC622),$AA622+$AB622))</f>
        <v>#N/A</v>
      </c>
      <c r="AF622" s="7"/>
      <c r="AG622" s="7"/>
      <c r="AH622" s="7"/>
      <c r="AI622" s="7"/>
      <c r="AJ622" s="7"/>
      <c r="AK622" s="7"/>
      <c r="AL622" s="7"/>
      <c r="AM622" s="7"/>
      <c r="AN622" s="7"/>
      <c r="AO622" s="7"/>
      <c r="AP622" s="7"/>
      <c r="AQ622" s="7"/>
      <c r="AR622" s="7"/>
      <c r="AS622" s="7"/>
      <c r="AT622" s="7"/>
      <c r="AU622" s="7"/>
      <c r="AV622" s="7"/>
      <c r="AW622" s="7"/>
      <c r="AY622" s="7"/>
      <c r="AZ622" s="7"/>
      <c r="BA622" s="7"/>
      <c r="BB622" s="7"/>
    </row>
    <row r="623" spans="2:54" x14ac:dyDescent="0.2">
      <c r="B623" s="174"/>
      <c r="C623" s="176"/>
      <c r="F623" s="5">
        <v>0</v>
      </c>
      <c r="G623" s="192">
        <v>0</v>
      </c>
      <c r="H623" s="192">
        <v>0</v>
      </c>
      <c r="I623" s="5">
        <v>0</v>
      </c>
      <c r="J623" s="192">
        <v>0</v>
      </c>
      <c r="K623" s="192">
        <v>0</v>
      </c>
      <c r="L623" s="5">
        <v>0</v>
      </c>
      <c r="M623" s="5">
        <v>0</v>
      </c>
      <c r="N623" s="4" t="e">
        <f t="shared" si="51"/>
        <v>#N/A</v>
      </c>
      <c r="O623" s="4" t="e">
        <f>IF(ROUND(10.499-(((N623-VLOOKUP($C623,Lookups!$A$55:$D$64,3))/(VLOOKUP($C623,Lookups!$A$55:$D$64,4))*VLOOKUP($C623,Lookups!$C$2:$D$11,2))),0)&lt;1,1,IF(ROUND(10.499-(((N623-VLOOKUP($C623,Lookups!$A$55:$D$64,3))/(VLOOKUP($C623,Lookups!$A$55:$D$64,4))*VLOOKUP($C623,Lookups!$C$2:$D$11,2))),0)&lt;11,ROUND(10.499-(((N623-VLOOKUP($C623,Lookups!$A$55:$D$64,3))/(VLOOKUP($C623,Lookups!$A$55:$D$64,4))*VLOOKUP($C623,Lookups!$C$2:$D$11,2))),0),10))</f>
        <v>#N/A</v>
      </c>
      <c r="P623" s="13" t="str">
        <f>IF((SUM(F623:M623)=0),"J",VLOOKUP(O623,Lookups!$A$1:$B$11,2))</f>
        <v>J</v>
      </c>
      <c r="Q623" s="8" t="e">
        <f>VLOOKUP(C623,Lookups!$A$136:$C$144,3)</f>
        <v>#N/A</v>
      </c>
      <c r="R623" s="8" t="e">
        <f>VLOOKUP(C623,Lookups!$A$136:$C$144,2)</f>
        <v>#N/A</v>
      </c>
      <c r="S623" s="4" t="str">
        <f t="shared" si="52"/>
        <v>No</v>
      </c>
      <c r="T623" s="125">
        <f t="shared" si="53"/>
        <v>0</v>
      </c>
      <c r="U623" s="125">
        <f t="shared" si="54"/>
        <v>0</v>
      </c>
      <c r="V623" s="4" t="e">
        <f>IF($Q623&lt;&gt;3,VLOOKUP(F623,'Points Table A'!B$3:$F$33,5),VLOOKUP(F623,'Points Table A'!H$3:$L$33,5))</f>
        <v>#N/A</v>
      </c>
      <c r="W623" s="4" t="e">
        <f>IF($Q623&lt;&gt;3,VLOOKUP(G623,'Points Table A'!C$3:$F$33,4),VLOOKUP(G623,'Points Table A'!I$3:$L$33,4))</f>
        <v>#N/A</v>
      </c>
      <c r="X623" s="4" t="e">
        <f>IF($Q623&lt;&gt;3,VLOOKUP(H623,'Points Table A'!D$3:$F$28,3),VLOOKUP(H623,'Points Table A'!J$3:$L$33,3))</f>
        <v>#N/A</v>
      </c>
      <c r="Y623" s="4" t="e">
        <f>IF($Q623&lt;&gt;3,VLOOKUP(I623,'Points Table A'!E$3:$F$33,2),VLOOKUP(I623,'Points Table A'!K$3:$L$33,2))</f>
        <v>#N/A</v>
      </c>
      <c r="Z623" s="4" t="e">
        <f t="shared" si="55"/>
        <v>#N/A</v>
      </c>
      <c r="AA623" s="4">
        <f>IF($S623=Lookups!$B$113,VLOOKUP(L623,'Points Table C'!A$3:$E$11,5),VLOOKUP(U623,'Points Table C'!B$3:$E$11,4))</f>
        <v>0</v>
      </c>
      <c r="AB623" s="4" t="e">
        <f>IF($Q623=1,0,VLOOKUP($J623,'Points Table C'!$C$3:$E$18,3))</f>
        <v>#N/A</v>
      </c>
      <c r="AC623" s="4">
        <f>VLOOKUP($K623,'Points Table C'!$D$3:$E$18,2)</f>
        <v>0</v>
      </c>
      <c r="AD623" s="4" t="e">
        <f>IF($Z623&lt;Lookups!$C$106,($AA623+AB623+AC623),IF($AA623&gt;=Lookups!$C$120,($AA623+AB623+AC623),$AA623+$AB623))</f>
        <v>#N/A</v>
      </c>
      <c r="AF623" s="7"/>
      <c r="AG623" s="7"/>
      <c r="AH623" s="7"/>
      <c r="AI623" s="7"/>
      <c r="AJ623" s="7"/>
      <c r="AK623" s="7"/>
      <c r="AL623" s="7"/>
      <c r="AM623" s="7"/>
      <c r="AN623" s="7"/>
      <c r="AO623" s="7"/>
      <c r="AP623" s="7"/>
      <c r="AQ623" s="7"/>
      <c r="AR623" s="7"/>
      <c r="AS623" s="7"/>
      <c r="AT623" s="7"/>
      <c r="AU623" s="7"/>
      <c r="AV623" s="7"/>
      <c r="AW623" s="7"/>
      <c r="AY623" s="7"/>
      <c r="AZ623" s="7"/>
      <c r="BA623" s="7"/>
      <c r="BB623" s="7"/>
    </row>
    <row r="624" spans="2:54" x14ac:dyDescent="0.2">
      <c r="B624" s="174"/>
      <c r="C624" s="176"/>
      <c r="F624" s="5">
        <v>0</v>
      </c>
      <c r="G624" s="192">
        <v>0</v>
      </c>
      <c r="H624" s="192">
        <v>0</v>
      </c>
      <c r="I624" s="5">
        <v>0</v>
      </c>
      <c r="J624" s="192">
        <v>0</v>
      </c>
      <c r="K624" s="192">
        <v>0</v>
      </c>
      <c r="L624" s="5">
        <v>0</v>
      </c>
      <c r="M624" s="5">
        <v>0</v>
      </c>
      <c r="N624" s="4" t="e">
        <f t="shared" si="51"/>
        <v>#N/A</v>
      </c>
      <c r="O624" s="4" t="e">
        <f>IF(ROUND(10.499-(((N624-VLOOKUP($C624,Lookups!$A$55:$D$64,3))/(VLOOKUP($C624,Lookups!$A$55:$D$64,4))*VLOOKUP($C624,Lookups!$C$2:$D$11,2))),0)&lt;1,1,IF(ROUND(10.499-(((N624-VLOOKUP($C624,Lookups!$A$55:$D$64,3))/(VLOOKUP($C624,Lookups!$A$55:$D$64,4))*VLOOKUP($C624,Lookups!$C$2:$D$11,2))),0)&lt;11,ROUND(10.499-(((N624-VLOOKUP($C624,Lookups!$A$55:$D$64,3))/(VLOOKUP($C624,Lookups!$A$55:$D$64,4))*VLOOKUP($C624,Lookups!$C$2:$D$11,2))),0),10))</f>
        <v>#N/A</v>
      </c>
      <c r="P624" s="13" t="str">
        <f>IF((SUM(F624:M624)=0),"J",VLOOKUP(O624,Lookups!$A$1:$B$11,2))</f>
        <v>J</v>
      </c>
      <c r="Q624" s="8" t="e">
        <f>VLOOKUP(C624,Lookups!$A$136:$C$144,3)</f>
        <v>#N/A</v>
      </c>
      <c r="R624" s="8" t="e">
        <f>VLOOKUP(C624,Lookups!$A$136:$C$144,2)</f>
        <v>#N/A</v>
      </c>
      <c r="S624" s="4" t="str">
        <f t="shared" si="52"/>
        <v>No</v>
      </c>
      <c r="T624" s="125">
        <f t="shared" si="53"/>
        <v>0</v>
      </c>
      <c r="U624" s="125">
        <f t="shared" si="54"/>
        <v>0</v>
      </c>
      <c r="V624" s="4" t="e">
        <f>IF($Q624&lt;&gt;3,VLOOKUP(F624,'Points Table A'!B$3:$F$33,5),VLOOKUP(F624,'Points Table A'!H$3:$L$33,5))</f>
        <v>#N/A</v>
      </c>
      <c r="W624" s="4" t="e">
        <f>IF($Q624&lt;&gt;3,VLOOKUP(G624,'Points Table A'!C$3:$F$33,4),VLOOKUP(G624,'Points Table A'!I$3:$L$33,4))</f>
        <v>#N/A</v>
      </c>
      <c r="X624" s="4" t="e">
        <f>IF($Q624&lt;&gt;3,VLOOKUP(H624,'Points Table A'!D$3:$F$28,3),VLOOKUP(H624,'Points Table A'!J$3:$L$33,3))</f>
        <v>#N/A</v>
      </c>
      <c r="Y624" s="4" t="e">
        <f>IF($Q624&lt;&gt;3,VLOOKUP(I624,'Points Table A'!E$3:$F$33,2),VLOOKUP(I624,'Points Table A'!K$3:$L$33,2))</f>
        <v>#N/A</v>
      </c>
      <c r="Z624" s="4" t="e">
        <f t="shared" si="55"/>
        <v>#N/A</v>
      </c>
      <c r="AA624" s="4">
        <f>IF($S624=Lookups!$B$113,VLOOKUP(L624,'Points Table C'!A$3:$E$11,5),VLOOKUP(U624,'Points Table C'!B$3:$E$11,4))</f>
        <v>0</v>
      </c>
      <c r="AB624" s="4" t="e">
        <f>IF($Q624=1,0,VLOOKUP($J624,'Points Table C'!$C$3:$E$18,3))</f>
        <v>#N/A</v>
      </c>
      <c r="AC624" s="4">
        <f>VLOOKUP($K624,'Points Table C'!$D$3:$E$18,2)</f>
        <v>0</v>
      </c>
      <c r="AD624" s="4" t="e">
        <f>IF($Z624&lt;Lookups!$C$106,($AA624+AB624+AC624),IF($AA624&gt;=Lookups!$C$120,($AA624+AB624+AC624),$AA624+$AB624))</f>
        <v>#N/A</v>
      </c>
      <c r="AF624" s="7"/>
      <c r="AG624" s="7"/>
      <c r="AH624" s="7"/>
      <c r="AI624" s="7"/>
      <c r="AJ624" s="7"/>
      <c r="AK624" s="7"/>
      <c r="AL624" s="7"/>
      <c r="AM624" s="7"/>
      <c r="AN624" s="7"/>
      <c r="AO624" s="7"/>
      <c r="AP624" s="7"/>
      <c r="AQ624" s="7"/>
      <c r="AR624" s="7"/>
      <c r="AS624" s="7"/>
      <c r="AT624" s="7"/>
      <c r="AU624" s="7"/>
      <c r="AV624" s="7"/>
      <c r="AW624" s="7"/>
      <c r="AY624" s="7"/>
      <c r="AZ624" s="7"/>
      <c r="BA624" s="7"/>
      <c r="BB624" s="7"/>
    </row>
    <row r="625" spans="2:54" x14ac:dyDescent="0.2">
      <c r="B625" s="174"/>
      <c r="C625" s="176"/>
      <c r="F625" s="5">
        <v>0</v>
      </c>
      <c r="G625" s="192">
        <v>0</v>
      </c>
      <c r="H625" s="192">
        <v>0</v>
      </c>
      <c r="I625" s="5">
        <v>0</v>
      </c>
      <c r="J625" s="192">
        <v>0</v>
      </c>
      <c r="K625" s="192">
        <v>0</v>
      </c>
      <c r="L625" s="5">
        <v>0</v>
      </c>
      <c r="M625" s="5">
        <v>0</v>
      </c>
      <c r="N625" s="4" t="e">
        <f t="shared" si="51"/>
        <v>#N/A</v>
      </c>
      <c r="O625" s="4" t="e">
        <f>IF(ROUND(10.499-(((N625-VLOOKUP($C625,Lookups!$A$55:$D$64,3))/(VLOOKUP($C625,Lookups!$A$55:$D$64,4))*VLOOKUP($C625,Lookups!$C$2:$D$11,2))),0)&lt;1,1,IF(ROUND(10.499-(((N625-VLOOKUP($C625,Lookups!$A$55:$D$64,3))/(VLOOKUP($C625,Lookups!$A$55:$D$64,4))*VLOOKUP($C625,Lookups!$C$2:$D$11,2))),0)&lt;11,ROUND(10.499-(((N625-VLOOKUP($C625,Lookups!$A$55:$D$64,3))/(VLOOKUP($C625,Lookups!$A$55:$D$64,4))*VLOOKUP($C625,Lookups!$C$2:$D$11,2))),0),10))</f>
        <v>#N/A</v>
      </c>
      <c r="P625" s="13" t="str">
        <f>IF((SUM(F625:M625)=0),"J",VLOOKUP(O625,Lookups!$A$1:$B$11,2))</f>
        <v>J</v>
      </c>
      <c r="Q625" s="8" t="e">
        <f>VLOOKUP(C625,Lookups!$A$136:$C$144,3)</f>
        <v>#N/A</v>
      </c>
      <c r="R625" s="8" t="e">
        <f>VLOOKUP(C625,Lookups!$A$136:$C$144,2)</f>
        <v>#N/A</v>
      </c>
      <c r="S625" s="4" t="str">
        <f t="shared" si="52"/>
        <v>No</v>
      </c>
      <c r="T625" s="125">
        <f t="shared" si="53"/>
        <v>0</v>
      </c>
      <c r="U625" s="125">
        <f t="shared" si="54"/>
        <v>0</v>
      </c>
      <c r="V625" s="4" t="e">
        <f>IF($Q625&lt;&gt;3,VLOOKUP(F625,'Points Table A'!B$3:$F$33,5),VLOOKUP(F625,'Points Table A'!H$3:$L$33,5))</f>
        <v>#N/A</v>
      </c>
      <c r="W625" s="4" t="e">
        <f>IF($Q625&lt;&gt;3,VLOOKUP(G625,'Points Table A'!C$3:$F$33,4),VLOOKUP(G625,'Points Table A'!I$3:$L$33,4))</f>
        <v>#N/A</v>
      </c>
      <c r="X625" s="4" t="e">
        <f>IF($Q625&lt;&gt;3,VLOOKUP(H625,'Points Table A'!D$3:$F$28,3),VLOOKUP(H625,'Points Table A'!J$3:$L$33,3))</f>
        <v>#N/A</v>
      </c>
      <c r="Y625" s="4" t="e">
        <f>IF($Q625&lt;&gt;3,VLOOKUP(I625,'Points Table A'!E$3:$F$33,2),VLOOKUP(I625,'Points Table A'!K$3:$L$33,2))</f>
        <v>#N/A</v>
      </c>
      <c r="Z625" s="4" t="e">
        <f t="shared" si="55"/>
        <v>#N/A</v>
      </c>
      <c r="AA625" s="4">
        <f>IF($S625=Lookups!$B$113,VLOOKUP(L625,'Points Table C'!A$3:$E$11,5),VLOOKUP(U625,'Points Table C'!B$3:$E$11,4))</f>
        <v>0</v>
      </c>
      <c r="AB625" s="4" t="e">
        <f>IF($Q625=1,0,VLOOKUP($J625,'Points Table C'!$C$3:$E$18,3))</f>
        <v>#N/A</v>
      </c>
      <c r="AC625" s="4">
        <f>VLOOKUP($K625,'Points Table C'!$D$3:$E$18,2)</f>
        <v>0</v>
      </c>
      <c r="AD625" s="4" t="e">
        <f>IF($Z625&lt;Lookups!$C$106,($AA625+AB625+AC625),IF($AA625&gt;=Lookups!$C$120,($AA625+AB625+AC625),$AA625+$AB625))</f>
        <v>#N/A</v>
      </c>
      <c r="AF625" s="7"/>
      <c r="AG625" s="7"/>
      <c r="AH625" s="7"/>
      <c r="AI625" s="7"/>
      <c r="AJ625" s="7"/>
      <c r="AK625" s="7"/>
      <c r="AL625" s="7"/>
      <c r="AM625" s="7"/>
      <c r="AN625" s="7"/>
      <c r="AO625" s="7"/>
      <c r="AP625" s="7"/>
      <c r="AQ625" s="7"/>
      <c r="AR625" s="7"/>
      <c r="AS625" s="7"/>
      <c r="AT625" s="7"/>
      <c r="AU625" s="7"/>
      <c r="AV625" s="7"/>
      <c r="AW625" s="7"/>
      <c r="AY625" s="7"/>
      <c r="AZ625" s="7"/>
      <c r="BA625" s="7"/>
      <c r="BB625" s="7"/>
    </row>
    <row r="626" spans="2:54" x14ac:dyDescent="0.2">
      <c r="B626" s="174"/>
      <c r="C626" s="176"/>
      <c r="F626" s="5">
        <v>0</v>
      </c>
      <c r="G626" s="192">
        <v>0</v>
      </c>
      <c r="H626" s="192">
        <v>0</v>
      </c>
      <c r="I626" s="5">
        <v>0</v>
      </c>
      <c r="J626" s="192">
        <v>0</v>
      </c>
      <c r="K626" s="192">
        <v>0</v>
      </c>
      <c r="L626" s="5">
        <v>0</v>
      </c>
      <c r="M626" s="5">
        <v>0</v>
      </c>
      <c r="N626" s="4" t="e">
        <f t="shared" si="51"/>
        <v>#N/A</v>
      </c>
      <c r="O626" s="4" t="e">
        <f>IF(ROUND(10.499-(((N626-VLOOKUP($C626,Lookups!$A$55:$D$64,3))/(VLOOKUP($C626,Lookups!$A$55:$D$64,4))*VLOOKUP($C626,Lookups!$C$2:$D$11,2))),0)&lt;1,1,IF(ROUND(10.499-(((N626-VLOOKUP($C626,Lookups!$A$55:$D$64,3))/(VLOOKUP($C626,Lookups!$A$55:$D$64,4))*VLOOKUP($C626,Lookups!$C$2:$D$11,2))),0)&lt;11,ROUND(10.499-(((N626-VLOOKUP($C626,Lookups!$A$55:$D$64,3))/(VLOOKUP($C626,Lookups!$A$55:$D$64,4))*VLOOKUP($C626,Lookups!$C$2:$D$11,2))),0),10))</f>
        <v>#N/A</v>
      </c>
      <c r="P626" s="13" t="str">
        <f>IF((SUM(F626:M626)=0),"J",VLOOKUP(O626,Lookups!$A$1:$B$11,2))</f>
        <v>J</v>
      </c>
      <c r="Q626" s="8" t="e">
        <f>VLOOKUP(C626,Lookups!$A$136:$C$144,3)</f>
        <v>#N/A</v>
      </c>
      <c r="R626" s="8" t="e">
        <f>VLOOKUP(C626,Lookups!$A$136:$C$144,2)</f>
        <v>#N/A</v>
      </c>
      <c r="S626" s="4" t="str">
        <f t="shared" si="52"/>
        <v>No</v>
      </c>
      <c r="T626" s="125">
        <f t="shared" si="53"/>
        <v>0</v>
      </c>
      <c r="U626" s="125">
        <f t="shared" si="54"/>
        <v>0</v>
      </c>
      <c r="V626" s="4" t="e">
        <f>IF($Q626&lt;&gt;3,VLOOKUP(F626,'Points Table A'!B$3:$F$33,5),VLOOKUP(F626,'Points Table A'!H$3:$L$33,5))</f>
        <v>#N/A</v>
      </c>
      <c r="W626" s="4" t="e">
        <f>IF($Q626&lt;&gt;3,VLOOKUP(G626,'Points Table A'!C$3:$F$33,4),VLOOKUP(G626,'Points Table A'!I$3:$L$33,4))</f>
        <v>#N/A</v>
      </c>
      <c r="X626" s="4" t="e">
        <f>IF($Q626&lt;&gt;3,VLOOKUP(H626,'Points Table A'!D$3:$F$28,3),VLOOKUP(H626,'Points Table A'!J$3:$L$33,3))</f>
        <v>#N/A</v>
      </c>
      <c r="Y626" s="4" t="e">
        <f>IF($Q626&lt;&gt;3,VLOOKUP(I626,'Points Table A'!E$3:$F$33,2),VLOOKUP(I626,'Points Table A'!K$3:$L$33,2))</f>
        <v>#N/A</v>
      </c>
      <c r="Z626" s="4" t="e">
        <f t="shared" si="55"/>
        <v>#N/A</v>
      </c>
      <c r="AA626" s="4">
        <f>IF($S626=Lookups!$B$113,VLOOKUP(L626,'Points Table C'!A$3:$E$11,5),VLOOKUP(U626,'Points Table C'!B$3:$E$11,4))</f>
        <v>0</v>
      </c>
      <c r="AB626" s="4" t="e">
        <f>IF($Q626=1,0,VLOOKUP($J626,'Points Table C'!$C$3:$E$18,3))</f>
        <v>#N/A</v>
      </c>
      <c r="AC626" s="4">
        <f>VLOOKUP($K626,'Points Table C'!$D$3:$E$18,2)</f>
        <v>0</v>
      </c>
      <c r="AD626" s="4" t="e">
        <f>IF($Z626&lt;Lookups!$C$106,($AA626+AB626+AC626),IF($AA626&gt;=Lookups!$C$120,($AA626+AB626+AC626),$AA626+$AB626))</f>
        <v>#N/A</v>
      </c>
      <c r="AF626" s="7"/>
      <c r="AG626" s="7"/>
      <c r="AH626" s="7"/>
      <c r="AI626" s="7"/>
      <c r="AJ626" s="7"/>
      <c r="AK626" s="7"/>
      <c r="AL626" s="7"/>
      <c r="AM626" s="7"/>
      <c r="AN626" s="7"/>
      <c r="AO626" s="7"/>
      <c r="AP626" s="7"/>
      <c r="AQ626" s="7"/>
      <c r="AR626" s="7"/>
      <c r="AS626" s="7"/>
      <c r="AT626" s="7"/>
      <c r="AU626" s="7"/>
      <c r="AV626" s="7"/>
      <c r="AW626" s="7"/>
      <c r="AY626" s="7"/>
      <c r="AZ626" s="7"/>
      <c r="BA626" s="7"/>
      <c r="BB626" s="7"/>
    </row>
    <row r="627" spans="2:54" x14ac:dyDescent="0.2">
      <c r="B627" s="174"/>
      <c r="C627" s="176"/>
      <c r="F627" s="5">
        <v>0</v>
      </c>
      <c r="G627" s="192">
        <v>0</v>
      </c>
      <c r="H627" s="192">
        <v>0</v>
      </c>
      <c r="I627" s="5">
        <v>0</v>
      </c>
      <c r="J627" s="192">
        <v>0</v>
      </c>
      <c r="K627" s="192">
        <v>0</v>
      </c>
      <c r="L627" s="5">
        <v>0</v>
      </c>
      <c r="M627" s="5">
        <v>0</v>
      </c>
      <c r="N627" s="4" t="e">
        <f t="shared" si="51"/>
        <v>#N/A</v>
      </c>
      <c r="O627" s="4" t="e">
        <f>IF(ROUND(10.499-(((N627-VLOOKUP($C627,Lookups!$A$55:$D$64,3))/(VLOOKUP($C627,Lookups!$A$55:$D$64,4))*VLOOKUP($C627,Lookups!$C$2:$D$11,2))),0)&lt;1,1,IF(ROUND(10.499-(((N627-VLOOKUP($C627,Lookups!$A$55:$D$64,3))/(VLOOKUP($C627,Lookups!$A$55:$D$64,4))*VLOOKUP($C627,Lookups!$C$2:$D$11,2))),0)&lt;11,ROUND(10.499-(((N627-VLOOKUP($C627,Lookups!$A$55:$D$64,3))/(VLOOKUP($C627,Lookups!$A$55:$D$64,4))*VLOOKUP($C627,Lookups!$C$2:$D$11,2))),0),10))</f>
        <v>#N/A</v>
      </c>
      <c r="P627" s="13" t="str">
        <f>IF((SUM(F627:M627)=0),"J",VLOOKUP(O627,Lookups!$A$1:$B$11,2))</f>
        <v>J</v>
      </c>
      <c r="Q627" s="8" t="e">
        <f>VLOOKUP(C627,Lookups!$A$136:$C$144,3)</f>
        <v>#N/A</v>
      </c>
      <c r="R627" s="8" t="e">
        <f>VLOOKUP(C627,Lookups!$A$136:$C$144,2)</f>
        <v>#N/A</v>
      </c>
      <c r="S627" s="4" t="str">
        <f t="shared" si="52"/>
        <v>No</v>
      </c>
      <c r="T627" s="125">
        <f t="shared" si="53"/>
        <v>0</v>
      </c>
      <c r="U627" s="125">
        <f t="shared" si="54"/>
        <v>0</v>
      </c>
      <c r="V627" s="4" t="e">
        <f>IF($Q627&lt;&gt;3,VLOOKUP(F627,'Points Table A'!B$3:$F$33,5),VLOOKUP(F627,'Points Table A'!H$3:$L$33,5))</f>
        <v>#N/A</v>
      </c>
      <c r="W627" s="4" t="e">
        <f>IF($Q627&lt;&gt;3,VLOOKUP(G627,'Points Table A'!C$3:$F$33,4),VLOOKUP(G627,'Points Table A'!I$3:$L$33,4))</f>
        <v>#N/A</v>
      </c>
      <c r="X627" s="4" t="e">
        <f>IF($Q627&lt;&gt;3,VLOOKUP(H627,'Points Table A'!D$3:$F$28,3),VLOOKUP(H627,'Points Table A'!J$3:$L$33,3))</f>
        <v>#N/A</v>
      </c>
      <c r="Y627" s="4" t="e">
        <f>IF($Q627&lt;&gt;3,VLOOKUP(I627,'Points Table A'!E$3:$F$33,2),VLOOKUP(I627,'Points Table A'!K$3:$L$33,2))</f>
        <v>#N/A</v>
      </c>
      <c r="Z627" s="4" t="e">
        <f t="shared" si="55"/>
        <v>#N/A</v>
      </c>
      <c r="AA627" s="4">
        <f>IF($S627=Lookups!$B$113,VLOOKUP(L627,'Points Table C'!A$3:$E$11,5),VLOOKUP(U627,'Points Table C'!B$3:$E$11,4))</f>
        <v>0</v>
      </c>
      <c r="AB627" s="4" t="e">
        <f>IF($Q627=1,0,VLOOKUP($J627,'Points Table C'!$C$3:$E$18,3))</f>
        <v>#N/A</v>
      </c>
      <c r="AC627" s="4">
        <f>VLOOKUP($K627,'Points Table C'!$D$3:$E$18,2)</f>
        <v>0</v>
      </c>
      <c r="AD627" s="4" t="e">
        <f>IF($Z627&lt;Lookups!$C$106,($AA627+AB627+AC627),IF($AA627&gt;=Lookups!$C$120,($AA627+AB627+AC627),$AA627+$AB627))</f>
        <v>#N/A</v>
      </c>
      <c r="AF627" s="7"/>
      <c r="AG627" s="7"/>
      <c r="AH627" s="7"/>
      <c r="AI627" s="7"/>
      <c r="AJ627" s="7"/>
      <c r="AK627" s="7"/>
      <c r="AL627" s="7"/>
      <c r="AM627" s="7"/>
      <c r="AN627" s="7"/>
      <c r="AO627" s="7"/>
      <c r="AP627" s="7"/>
      <c r="AQ627" s="7"/>
      <c r="AR627" s="7"/>
      <c r="AS627" s="7"/>
      <c r="AT627" s="7"/>
      <c r="AU627" s="7"/>
      <c r="AV627" s="7"/>
      <c r="AW627" s="7"/>
      <c r="AY627" s="7"/>
      <c r="AZ627" s="7"/>
      <c r="BA627" s="7"/>
      <c r="BB627" s="7"/>
    </row>
    <row r="628" spans="2:54" x14ac:dyDescent="0.2">
      <c r="B628" s="174"/>
      <c r="C628" s="176"/>
      <c r="F628" s="5">
        <v>0</v>
      </c>
      <c r="G628" s="192">
        <v>0</v>
      </c>
      <c r="H628" s="192">
        <v>0</v>
      </c>
      <c r="I628" s="5">
        <v>0</v>
      </c>
      <c r="J628" s="192">
        <v>0</v>
      </c>
      <c r="K628" s="192">
        <v>0</v>
      </c>
      <c r="L628" s="5">
        <v>0</v>
      </c>
      <c r="M628" s="5">
        <v>0</v>
      </c>
      <c r="N628" s="4" t="e">
        <f t="shared" si="51"/>
        <v>#N/A</v>
      </c>
      <c r="O628" s="4" t="e">
        <f>IF(ROUND(10.499-(((N628-VLOOKUP($C628,Lookups!$A$55:$D$64,3))/(VLOOKUP($C628,Lookups!$A$55:$D$64,4))*VLOOKUP($C628,Lookups!$C$2:$D$11,2))),0)&lt;1,1,IF(ROUND(10.499-(((N628-VLOOKUP($C628,Lookups!$A$55:$D$64,3))/(VLOOKUP($C628,Lookups!$A$55:$D$64,4))*VLOOKUP($C628,Lookups!$C$2:$D$11,2))),0)&lt;11,ROUND(10.499-(((N628-VLOOKUP($C628,Lookups!$A$55:$D$64,3))/(VLOOKUP($C628,Lookups!$A$55:$D$64,4))*VLOOKUP($C628,Lookups!$C$2:$D$11,2))),0),10))</f>
        <v>#N/A</v>
      </c>
      <c r="P628" s="13" t="str">
        <f>IF((SUM(F628:M628)=0),"J",VLOOKUP(O628,Lookups!$A$1:$B$11,2))</f>
        <v>J</v>
      </c>
      <c r="Q628" s="8" t="e">
        <f>VLOOKUP(C628,Lookups!$A$136:$C$144,3)</f>
        <v>#N/A</v>
      </c>
      <c r="R628" s="8" t="e">
        <f>VLOOKUP(C628,Lookups!$A$136:$C$144,2)</f>
        <v>#N/A</v>
      </c>
      <c r="S628" s="4" t="str">
        <f t="shared" si="52"/>
        <v>No</v>
      </c>
      <c r="T628" s="125">
        <f t="shared" si="53"/>
        <v>0</v>
      </c>
      <c r="U628" s="125">
        <f t="shared" si="54"/>
        <v>0</v>
      </c>
      <c r="V628" s="4" t="e">
        <f>IF($Q628&lt;&gt;3,VLOOKUP(F628,'Points Table A'!B$3:$F$33,5),VLOOKUP(F628,'Points Table A'!H$3:$L$33,5))</f>
        <v>#N/A</v>
      </c>
      <c r="W628" s="4" t="e">
        <f>IF($Q628&lt;&gt;3,VLOOKUP(G628,'Points Table A'!C$3:$F$33,4),VLOOKUP(G628,'Points Table A'!I$3:$L$33,4))</f>
        <v>#N/A</v>
      </c>
      <c r="X628" s="4" t="e">
        <f>IF($Q628&lt;&gt;3,VLOOKUP(H628,'Points Table A'!D$3:$F$28,3),VLOOKUP(H628,'Points Table A'!J$3:$L$33,3))</f>
        <v>#N/A</v>
      </c>
      <c r="Y628" s="4" t="e">
        <f>IF($Q628&lt;&gt;3,VLOOKUP(I628,'Points Table A'!E$3:$F$33,2),VLOOKUP(I628,'Points Table A'!K$3:$L$33,2))</f>
        <v>#N/A</v>
      </c>
      <c r="Z628" s="4" t="e">
        <f t="shared" si="55"/>
        <v>#N/A</v>
      </c>
      <c r="AA628" s="4">
        <f>IF($S628=Lookups!$B$113,VLOOKUP(L628,'Points Table C'!A$3:$E$11,5),VLOOKUP(U628,'Points Table C'!B$3:$E$11,4))</f>
        <v>0</v>
      </c>
      <c r="AB628" s="4" t="e">
        <f>IF($Q628=1,0,VLOOKUP($J628,'Points Table C'!$C$3:$E$18,3))</f>
        <v>#N/A</v>
      </c>
      <c r="AC628" s="4">
        <f>VLOOKUP($K628,'Points Table C'!$D$3:$E$18,2)</f>
        <v>0</v>
      </c>
      <c r="AD628" s="4" t="e">
        <f>IF($Z628&lt;Lookups!$C$106,($AA628+AB628+AC628),IF($AA628&gt;=Lookups!$C$120,($AA628+AB628+AC628),$AA628+$AB628))</f>
        <v>#N/A</v>
      </c>
      <c r="AF628" s="7"/>
      <c r="AG628" s="7"/>
      <c r="AH628" s="7"/>
      <c r="AI628" s="7"/>
      <c r="AJ628" s="7"/>
      <c r="AK628" s="7"/>
      <c r="AL628" s="7"/>
      <c r="AM628" s="7"/>
      <c r="AN628" s="7"/>
      <c r="AO628" s="7"/>
      <c r="AP628" s="7"/>
      <c r="AQ628" s="7"/>
      <c r="AR628" s="7"/>
      <c r="AS628" s="7"/>
      <c r="AT628" s="7"/>
      <c r="AU628" s="7"/>
      <c r="AV628" s="7"/>
      <c r="AW628" s="7"/>
      <c r="AY628" s="7"/>
      <c r="AZ628" s="7"/>
      <c r="BA628" s="7"/>
      <c r="BB628" s="7"/>
    </row>
    <row r="629" spans="2:54" x14ac:dyDescent="0.2">
      <c r="B629" s="174"/>
      <c r="C629" s="176"/>
      <c r="F629" s="5">
        <v>0</v>
      </c>
      <c r="G629" s="192">
        <v>0</v>
      </c>
      <c r="H629" s="192">
        <v>0</v>
      </c>
      <c r="I629" s="5">
        <v>0</v>
      </c>
      <c r="J629" s="192">
        <v>0</v>
      </c>
      <c r="K629" s="192">
        <v>0</v>
      </c>
      <c r="L629" s="5">
        <v>0</v>
      </c>
      <c r="M629" s="5">
        <v>0</v>
      </c>
      <c r="N629" s="4" t="e">
        <f t="shared" si="51"/>
        <v>#N/A</v>
      </c>
      <c r="O629" s="4" t="e">
        <f>IF(ROUND(10.499-(((N629-VLOOKUP($C629,Lookups!$A$55:$D$64,3))/(VLOOKUP($C629,Lookups!$A$55:$D$64,4))*VLOOKUP($C629,Lookups!$C$2:$D$11,2))),0)&lt;1,1,IF(ROUND(10.499-(((N629-VLOOKUP($C629,Lookups!$A$55:$D$64,3))/(VLOOKUP($C629,Lookups!$A$55:$D$64,4))*VLOOKUP($C629,Lookups!$C$2:$D$11,2))),0)&lt;11,ROUND(10.499-(((N629-VLOOKUP($C629,Lookups!$A$55:$D$64,3))/(VLOOKUP($C629,Lookups!$A$55:$D$64,4))*VLOOKUP($C629,Lookups!$C$2:$D$11,2))),0),10))</f>
        <v>#N/A</v>
      </c>
      <c r="P629" s="13" t="str">
        <f>IF((SUM(F629:M629)=0),"J",VLOOKUP(O629,Lookups!$A$1:$B$11,2))</f>
        <v>J</v>
      </c>
      <c r="Q629" s="8" t="e">
        <f>VLOOKUP(C629,Lookups!$A$136:$C$144,3)</f>
        <v>#N/A</v>
      </c>
      <c r="R629" s="8" t="e">
        <f>VLOOKUP(C629,Lookups!$A$136:$C$144,2)</f>
        <v>#N/A</v>
      </c>
      <c r="S629" s="4" t="str">
        <f t="shared" si="52"/>
        <v>No</v>
      </c>
      <c r="T629" s="125">
        <f t="shared" si="53"/>
        <v>0</v>
      </c>
      <c r="U629" s="125">
        <f t="shared" si="54"/>
        <v>0</v>
      </c>
      <c r="V629" s="4" t="e">
        <f>IF($Q629&lt;&gt;3,VLOOKUP(F629,'Points Table A'!B$3:$F$33,5),VLOOKUP(F629,'Points Table A'!H$3:$L$33,5))</f>
        <v>#N/A</v>
      </c>
      <c r="W629" s="4" t="e">
        <f>IF($Q629&lt;&gt;3,VLOOKUP(G629,'Points Table A'!C$3:$F$33,4),VLOOKUP(G629,'Points Table A'!I$3:$L$33,4))</f>
        <v>#N/A</v>
      </c>
      <c r="X629" s="4" t="e">
        <f>IF($Q629&lt;&gt;3,VLOOKUP(H629,'Points Table A'!D$3:$F$28,3),VLOOKUP(H629,'Points Table A'!J$3:$L$33,3))</f>
        <v>#N/A</v>
      </c>
      <c r="Y629" s="4" t="e">
        <f>IF($Q629&lt;&gt;3,VLOOKUP(I629,'Points Table A'!E$3:$F$33,2),VLOOKUP(I629,'Points Table A'!K$3:$L$33,2))</f>
        <v>#N/A</v>
      </c>
      <c r="Z629" s="4" t="e">
        <f t="shared" si="55"/>
        <v>#N/A</v>
      </c>
      <c r="AA629" s="4">
        <f>IF($S629=Lookups!$B$113,VLOOKUP(L629,'Points Table C'!A$3:$E$11,5),VLOOKUP(U629,'Points Table C'!B$3:$E$11,4))</f>
        <v>0</v>
      </c>
      <c r="AB629" s="4" t="e">
        <f>IF($Q629=1,0,VLOOKUP($J629,'Points Table C'!$C$3:$E$18,3))</f>
        <v>#N/A</v>
      </c>
      <c r="AC629" s="4">
        <f>VLOOKUP($K629,'Points Table C'!$D$3:$E$18,2)</f>
        <v>0</v>
      </c>
      <c r="AD629" s="4" t="e">
        <f>IF($Z629&lt;Lookups!$C$106,($AA629+AB629+AC629),IF($AA629&gt;=Lookups!$C$120,($AA629+AB629+AC629),$AA629+$AB629))</f>
        <v>#N/A</v>
      </c>
      <c r="AF629" s="7"/>
      <c r="AG629" s="7"/>
      <c r="AH629" s="7"/>
      <c r="AI629" s="7"/>
      <c r="AJ629" s="7"/>
      <c r="AK629" s="7"/>
      <c r="AL629" s="7"/>
      <c r="AM629" s="7"/>
      <c r="AN629" s="7"/>
      <c r="AO629" s="7"/>
      <c r="AP629" s="7"/>
      <c r="AQ629" s="7"/>
      <c r="AR629" s="7"/>
      <c r="AS629" s="7"/>
      <c r="AT629" s="7"/>
      <c r="AU629" s="7"/>
      <c r="AV629" s="7"/>
      <c r="AW629" s="7"/>
      <c r="AY629" s="7"/>
      <c r="AZ629" s="7"/>
      <c r="BA629" s="7"/>
      <c r="BB629" s="7"/>
    </row>
    <row r="630" spans="2:54" x14ac:dyDescent="0.2">
      <c r="B630" s="174"/>
      <c r="C630" s="176"/>
      <c r="F630" s="5">
        <v>0</v>
      </c>
      <c r="G630" s="192">
        <v>0</v>
      </c>
      <c r="H630" s="192">
        <v>0</v>
      </c>
      <c r="I630" s="5">
        <v>0</v>
      </c>
      <c r="J630" s="192">
        <v>0</v>
      </c>
      <c r="K630" s="192">
        <v>0</v>
      </c>
      <c r="L630" s="5">
        <v>0</v>
      </c>
      <c r="M630" s="5">
        <v>0</v>
      </c>
      <c r="N630" s="4" t="e">
        <f t="shared" si="51"/>
        <v>#N/A</v>
      </c>
      <c r="O630" s="4" t="e">
        <f>IF(ROUND(10.499-(((N630-VLOOKUP($C630,Lookups!$A$55:$D$64,3))/(VLOOKUP($C630,Lookups!$A$55:$D$64,4))*VLOOKUP($C630,Lookups!$C$2:$D$11,2))),0)&lt;1,1,IF(ROUND(10.499-(((N630-VLOOKUP($C630,Lookups!$A$55:$D$64,3))/(VLOOKUP($C630,Lookups!$A$55:$D$64,4))*VLOOKUP($C630,Lookups!$C$2:$D$11,2))),0)&lt;11,ROUND(10.499-(((N630-VLOOKUP($C630,Lookups!$A$55:$D$64,3))/(VLOOKUP($C630,Lookups!$A$55:$D$64,4))*VLOOKUP($C630,Lookups!$C$2:$D$11,2))),0),10))</f>
        <v>#N/A</v>
      </c>
      <c r="P630" s="13" t="str">
        <f>IF((SUM(F630:M630)=0),"J",VLOOKUP(O630,Lookups!$A$1:$B$11,2))</f>
        <v>J</v>
      </c>
      <c r="Q630" s="8" t="e">
        <f>VLOOKUP(C630,Lookups!$A$136:$C$144,3)</f>
        <v>#N/A</v>
      </c>
      <c r="R630" s="8" t="e">
        <f>VLOOKUP(C630,Lookups!$A$136:$C$144,2)</f>
        <v>#N/A</v>
      </c>
      <c r="S630" s="4" t="str">
        <f t="shared" si="52"/>
        <v>No</v>
      </c>
      <c r="T630" s="125">
        <f t="shared" si="53"/>
        <v>0</v>
      </c>
      <c r="U630" s="125">
        <f t="shared" si="54"/>
        <v>0</v>
      </c>
      <c r="V630" s="4" t="e">
        <f>IF($Q630&lt;&gt;3,VLOOKUP(F630,'Points Table A'!B$3:$F$33,5),VLOOKUP(F630,'Points Table A'!H$3:$L$33,5))</f>
        <v>#N/A</v>
      </c>
      <c r="W630" s="4" t="e">
        <f>IF($Q630&lt;&gt;3,VLOOKUP(G630,'Points Table A'!C$3:$F$33,4),VLOOKUP(G630,'Points Table A'!I$3:$L$33,4))</f>
        <v>#N/A</v>
      </c>
      <c r="X630" s="4" t="e">
        <f>IF($Q630&lt;&gt;3,VLOOKUP(H630,'Points Table A'!D$3:$F$28,3),VLOOKUP(H630,'Points Table A'!J$3:$L$33,3))</f>
        <v>#N/A</v>
      </c>
      <c r="Y630" s="4" t="e">
        <f>IF($Q630&lt;&gt;3,VLOOKUP(I630,'Points Table A'!E$3:$F$33,2),VLOOKUP(I630,'Points Table A'!K$3:$L$33,2))</f>
        <v>#N/A</v>
      </c>
      <c r="Z630" s="4" t="e">
        <f t="shared" si="55"/>
        <v>#N/A</v>
      </c>
      <c r="AA630" s="4">
        <f>IF($S630=Lookups!$B$113,VLOOKUP(L630,'Points Table C'!A$3:$E$11,5),VLOOKUP(U630,'Points Table C'!B$3:$E$11,4))</f>
        <v>0</v>
      </c>
      <c r="AB630" s="4" t="e">
        <f>IF($Q630=1,0,VLOOKUP($J630,'Points Table C'!$C$3:$E$18,3))</f>
        <v>#N/A</v>
      </c>
      <c r="AC630" s="4">
        <f>VLOOKUP($K630,'Points Table C'!$D$3:$E$18,2)</f>
        <v>0</v>
      </c>
      <c r="AD630" s="4" t="e">
        <f>IF($Z630&lt;Lookups!$C$106,($AA630+AB630+AC630),IF($AA630&gt;=Lookups!$C$120,($AA630+AB630+AC630),$AA630+$AB630))</f>
        <v>#N/A</v>
      </c>
      <c r="AF630" s="7"/>
      <c r="AG630" s="7"/>
      <c r="AH630" s="7"/>
      <c r="AI630" s="7"/>
      <c r="AJ630" s="7"/>
      <c r="AK630" s="7"/>
      <c r="AL630" s="7"/>
      <c r="AM630" s="7"/>
      <c r="AN630" s="7"/>
      <c r="AO630" s="7"/>
      <c r="AP630" s="7"/>
      <c r="AQ630" s="7"/>
      <c r="AR630" s="7"/>
      <c r="AS630" s="7"/>
      <c r="AT630" s="7"/>
      <c r="AU630" s="7"/>
      <c r="AV630" s="7"/>
      <c r="AW630" s="7"/>
      <c r="AY630" s="7"/>
      <c r="AZ630" s="7"/>
      <c r="BA630" s="7"/>
      <c r="BB630" s="7"/>
    </row>
    <row r="631" spans="2:54" x14ac:dyDescent="0.2">
      <c r="B631" s="174"/>
      <c r="C631" s="176"/>
      <c r="F631" s="5">
        <v>0</v>
      </c>
      <c r="G631" s="192">
        <v>0</v>
      </c>
      <c r="H631" s="192">
        <v>0</v>
      </c>
      <c r="I631" s="5">
        <v>0</v>
      </c>
      <c r="J631" s="192">
        <v>0</v>
      </c>
      <c r="K631" s="192">
        <v>0</v>
      </c>
      <c r="L631" s="5">
        <v>0</v>
      </c>
      <c r="M631" s="5">
        <v>0</v>
      </c>
      <c r="N631" s="4" t="e">
        <f t="shared" si="51"/>
        <v>#N/A</v>
      </c>
      <c r="O631" s="4" t="e">
        <f>IF(ROUND(10.499-(((N631-VLOOKUP($C631,Lookups!$A$55:$D$64,3))/(VLOOKUP($C631,Lookups!$A$55:$D$64,4))*VLOOKUP($C631,Lookups!$C$2:$D$11,2))),0)&lt;1,1,IF(ROUND(10.499-(((N631-VLOOKUP($C631,Lookups!$A$55:$D$64,3))/(VLOOKUP($C631,Lookups!$A$55:$D$64,4))*VLOOKUP($C631,Lookups!$C$2:$D$11,2))),0)&lt;11,ROUND(10.499-(((N631-VLOOKUP($C631,Lookups!$A$55:$D$64,3))/(VLOOKUP($C631,Lookups!$A$55:$D$64,4))*VLOOKUP($C631,Lookups!$C$2:$D$11,2))),0),10))</f>
        <v>#N/A</v>
      </c>
      <c r="P631" s="13" t="str">
        <f>IF((SUM(F631:M631)=0),"J",VLOOKUP(O631,Lookups!$A$1:$B$11,2))</f>
        <v>J</v>
      </c>
      <c r="Q631" s="8" t="e">
        <f>VLOOKUP(C631,Lookups!$A$136:$C$144,3)</f>
        <v>#N/A</v>
      </c>
      <c r="R631" s="8" t="e">
        <f>VLOOKUP(C631,Lookups!$A$136:$C$144,2)</f>
        <v>#N/A</v>
      </c>
      <c r="S631" s="4" t="str">
        <f t="shared" si="52"/>
        <v>No</v>
      </c>
      <c r="T631" s="125">
        <f t="shared" si="53"/>
        <v>0</v>
      </c>
      <c r="U631" s="125">
        <f t="shared" si="54"/>
        <v>0</v>
      </c>
      <c r="V631" s="4" t="e">
        <f>IF($Q631&lt;&gt;3,VLOOKUP(F631,'Points Table A'!B$3:$F$33,5),VLOOKUP(F631,'Points Table A'!H$3:$L$33,5))</f>
        <v>#N/A</v>
      </c>
      <c r="W631" s="4" t="e">
        <f>IF($Q631&lt;&gt;3,VLOOKUP(G631,'Points Table A'!C$3:$F$33,4),VLOOKUP(G631,'Points Table A'!I$3:$L$33,4))</f>
        <v>#N/A</v>
      </c>
      <c r="X631" s="4" t="e">
        <f>IF($Q631&lt;&gt;3,VLOOKUP(H631,'Points Table A'!D$3:$F$28,3),VLOOKUP(H631,'Points Table A'!J$3:$L$33,3))</f>
        <v>#N/A</v>
      </c>
      <c r="Y631" s="4" t="e">
        <f>IF($Q631&lt;&gt;3,VLOOKUP(I631,'Points Table A'!E$3:$F$33,2),VLOOKUP(I631,'Points Table A'!K$3:$L$33,2))</f>
        <v>#N/A</v>
      </c>
      <c r="Z631" s="4" t="e">
        <f t="shared" si="55"/>
        <v>#N/A</v>
      </c>
      <c r="AA631" s="4">
        <f>IF($S631=Lookups!$B$113,VLOOKUP(L631,'Points Table C'!A$3:$E$11,5),VLOOKUP(U631,'Points Table C'!B$3:$E$11,4))</f>
        <v>0</v>
      </c>
      <c r="AB631" s="4" t="e">
        <f>IF($Q631=1,0,VLOOKUP($J631,'Points Table C'!$C$3:$E$18,3))</f>
        <v>#N/A</v>
      </c>
      <c r="AC631" s="4">
        <f>VLOOKUP($K631,'Points Table C'!$D$3:$E$18,2)</f>
        <v>0</v>
      </c>
      <c r="AD631" s="4" t="e">
        <f>IF($Z631&lt;Lookups!$C$106,($AA631+AB631+AC631),IF($AA631&gt;=Lookups!$C$120,($AA631+AB631+AC631),$AA631+$AB631))</f>
        <v>#N/A</v>
      </c>
      <c r="AF631" s="7"/>
      <c r="AG631" s="7"/>
      <c r="AH631" s="7"/>
      <c r="AI631" s="7"/>
      <c r="AJ631" s="7"/>
      <c r="AK631" s="7"/>
      <c r="AL631" s="7"/>
      <c r="AM631" s="7"/>
      <c r="AN631" s="7"/>
      <c r="AO631" s="7"/>
      <c r="AP631" s="7"/>
      <c r="AQ631" s="7"/>
      <c r="AR631" s="7"/>
      <c r="AS631" s="7"/>
      <c r="AT631" s="7"/>
      <c r="AU631" s="7"/>
      <c r="AV631" s="7"/>
      <c r="AW631" s="7"/>
      <c r="AY631" s="7"/>
      <c r="AZ631" s="7"/>
      <c r="BA631" s="7"/>
      <c r="BB631" s="7"/>
    </row>
    <row r="632" spans="2:54" x14ac:dyDescent="0.2">
      <c r="B632" s="174"/>
      <c r="C632" s="176"/>
      <c r="F632" s="5">
        <v>0</v>
      </c>
      <c r="G632" s="192">
        <v>0</v>
      </c>
      <c r="H632" s="192">
        <v>0</v>
      </c>
      <c r="I632" s="5">
        <v>0</v>
      </c>
      <c r="J632" s="192">
        <v>0</v>
      </c>
      <c r="K632" s="192">
        <v>0</v>
      </c>
      <c r="L632" s="5">
        <v>0</v>
      </c>
      <c r="M632" s="5">
        <v>0</v>
      </c>
      <c r="N632" s="4" t="e">
        <f t="shared" si="51"/>
        <v>#N/A</v>
      </c>
      <c r="O632" s="4" t="e">
        <f>IF(ROUND(10.499-(((N632-VLOOKUP($C632,Lookups!$A$55:$D$64,3))/(VLOOKUP($C632,Lookups!$A$55:$D$64,4))*VLOOKUP($C632,Lookups!$C$2:$D$11,2))),0)&lt;1,1,IF(ROUND(10.499-(((N632-VLOOKUP($C632,Lookups!$A$55:$D$64,3))/(VLOOKUP($C632,Lookups!$A$55:$D$64,4))*VLOOKUP($C632,Lookups!$C$2:$D$11,2))),0)&lt;11,ROUND(10.499-(((N632-VLOOKUP($C632,Lookups!$A$55:$D$64,3))/(VLOOKUP($C632,Lookups!$A$55:$D$64,4))*VLOOKUP($C632,Lookups!$C$2:$D$11,2))),0),10))</f>
        <v>#N/A</v>
      </c>
      <c r="P632" s="13" t="str">
        <f>IF((SUM(F632:M632)=0),"J",VLOOKUP(O632,Lookups!$A$1:$B$11,2))</f>
        <v>J</v>
      </c>
      <c r="Q632" s="8" t="e">
        <f>VLOOKUP(C632,Lookups!$A$136:$C$144,3)</f>
        <v>#N/A</v>
      </c>
      <c r="R632" s="8" t="e">
        <f>VLOOKUP(C632,Lookups!$A$136:$C$144,2)</f>
        <v>#N/A</v>
      </c>
      <c r="S632" s="4" t="str">
        <f t="shared" si="52"/>
        <v>No</v>
      </c>
      <c r="T632" s="125">
        <f t="shared" si="53"/>
        <v>0</v>
      </c>
      <c r="U632" s="125">
        <f t="shared" si="54"/>
        <v>0</v>
      </c>
      <c r="V632" s="4" t="e">
        <f>IF($Q632&lt;&gt;3,VLOOKUP(F632,'Points Table A'!B$3:$F$33,5),VLOOKUP(F632,'Points Table A'!H$3:$L$33,5))</f>
        <v>#N/A</v>
      </c>
      <c r="W632" s="4" t="e">
        <f>IF($Q632&lt;&gt;3,VLOOKUP(G632,'Points Table A'!C$3:$F$33,4),VLOOKUP(G632,'Points Table A'!I$3:$L$33,4))</f>
        <v>#N/A</v>
      </c>
      <c r="X632" s="4" t="e">
        <f>IF($Q632&lt;&gt;3,VLOOKUP(H632,'Points Table A'!D$3:$F$28,3),VLOOKUP(H632,'Points Table A'!J$3:$L$33,3))</f>
        <v>#N/A</v>
      </c>
      <c r="Y632" s="4" t="e">
        <f>IF($Q632&lt;&gt;3,VLOOKUP(I632,'Points Table A'!E$3:$F$33,2),VLOOKUP(I632,'Points Table A'!K$3:$L$33,2))</f>
        <v>#N/A</v>
      </c>
      <c r="Z632" s="4" t="e">
        <f t="shared" si="55"/>
        <v>#N/A</v>
      </c>
      <c r="AA632" s="4">
        <f>IF($S632=Lookups!$B$113,VLOOKUP(L632,'Points Table C'!A$3:$E$11,5),VLOOKUP(U632,'Points Table C'!B$3:$E$11,4))</f>
        <v>0</v>
      </c>
      <c r="AB632" s="4" t="e">
        <f>IF($Q632=1,0,VLOOKUP($J632,'Points Table C'!$C$3:$E$18,3))</f>
        <v>#N/A</v>
      </c>
      <c r="AC632" s="4">
        <f>VLOOKUP($K632,'Points Table C'!$D$3:$E$18,2)</f>
        <v>0</v>
      </c>
      <c r="AD632" s="4" t="e">
        <f>IF($Z632&lt;Lookups!$C$106,($AA632+AB632+AC632),IF($AA632&gt;=Lookups!$C$120,($AA632+AB632+AC632),$AA632+$AB632))</f>
        <v>#N/A</v>
      </c>
      <c r="AF632" s="7"/>
      <c r="AG632" s="7"/>
      <c r="AH632" s="7"/>
      <c r="AI632" s="7"/>
      <c r="AJ632" s="7"/>
      <c r="AK632" s="7"/>
      <c r="AL632" s="7"/>
      <c r="AM632" s="7"/>
      <c r="AN632" s="7"/>
      <c r="AO632" s="7"/>
      <c r="AP632" s="7"/>
      <c r="AQ632" s="7"/>
      <c r="AR632" s="7"/>
      <c r="AS632" s="7"/>
      <c r="AT632" s="7"/>
      <c r="AU632" s="7"/>
      <c r="AV632" s="7"/>
      <c r="AW632" s="7"/>
      <c r="AY632" s="7"/>
      <c r="AZ632" s="7"/>
      <c r="BA632" s="7"/>
      <c r="BB632" s="7"/>
    </row>
    <row r="633" spans="2:54" x14ac:dyDescent="0.2">
      <c r="B633" s="174"/>
      <c r="C633" s="176"/>
      <c r="F633" s="5">
        <v>0</v>
      </c>
      <c r="G633" s="192">
        <v>0</v>
      </c>
      <c r="H633" s="192">
        <v>0</v>
      </c>
      <c r="I633" s="5">
        <v>0</v>
      </c>
      <c r="J633" s="192">
        <v>0</v>
      </c>
      <c r="K633" s="192">
        <v>0</v>
      </c>
      <c r="L633" s="5">
        <v>0</v>
      </c>
      <c r="M633" s="5">
        <v>0</v>
      </c>
      <c r="N633" s="4" t="e">
        <f t="shared" ref="N633:N696" si="56">$Z633-$AD633</f>
        <v>#N/A</v>
      </c>
      <c r="O633" s="4" t="e">
        <f>IF(ROUND(10.499-(((N633-VLOOKUP($C633,Lookups!$A$55:$D$64,3))/(VLOOKUP($C633,Lookups!$A$55:$D$64,4))*VLOOKUP($C633,Lookups!$C$2:$D$11,2))),0)&lt;1,1,IF(ROUND(10.499-(((N633-VLOOKUP($C633,Lookups!$A$55:$D$64,3))/(VLOOKUP($C633,Lookups!$A$55:$D$64,4))*VLOOKUP($C633,Lookups!$C$2:$D$11,2))),0)&lt;11,ROUND(10.499-(((N633-VLOOKUP($C633,Lookups!$A$55:$D$64,3))/(VLOOKUP($C633,Lookups!$A$55:$D$64,4))*VLOOKUP($C633,Lookups!$C$2:$D$11,2))),0),10))</f>
        <v>#N/A</v>
      </c>
      <c r="P633" s="13" t="str">
        <f>IF((SUM(F633:M633)=0),"J",VLOOKUP(O633,Lookups!$A$1:$B$11,2))</f>
        <v>J</v>
      </c>
      <c r="Q633" s="8" t="e">
        <f>VLOOKUP(C633,Lookups!$A$136:$C$144,3)</f>
        <v>#N/A</v>
      </c>
      <c r="R633" s="8" t="e">
        <f>VLOOKUP(C633,Lookups!$A$136:$C$144,2)</f>
        <v>#N/A</v>
      </c>
      <c r="S633" s="4" t="str">
        <f t="shared" si="52"/>
        <v>No</v>
      </c>
      <c r="T633" s="125">
        <f t="shared" si="53"/>
        <v>0</v>
      </c>
      <c r="U633" s="125">
        <f t="shared" si="54"/>
        <v>0</v>
      </c>
      <c r="V633" s="4" t="e">
        <f>IF($Q633&lt;&gt;3,VLOOKUP(F633,'Points Table A'!B$3:$F$33,5),VLOOKUP(F633,'Points Table A'!H$3:$L$33,5))</f>
        <v>#N/A</v>
      </c>
      <c r="W633" s="4" t="e">
        <f>IF($Q633&lt;&gt;3,VLOOKUP(G633,'Points Table A'!C$3:$F$33,4),VLOOKUP(G633,'Points Table A'!I$3:$L$33,4))</f>
        <v>#N/A</v>
      </c>
      <c r="X633" s="4" t="e">
        <f>IF($Q633&lt;&gt;3,VLOOKUP(H633,'Points Table A'!D$3:$F$28,3),VLOOKUP(H633,'Points Table A'!J$3:$L$33,3))</f>
        <v>#N/A</v>
      </c>
      <c r="Y633" s="4" t="e">
        <f>IF($Q633&lt;&gt;3,VLOOKUP(I633,'Points Table A'!E$3:$F$33,2),VLOOKUP(I633,'Points Table A'!K$3:$L$33,2))</f>
        <v>#N/A</v>
      </c>
      <c r="Z633" s="4" t="e">
        <f t="shared" si="55"/>
        <v>#N/A</v>
      </c>
      <c r="AA633" s="4">
        <f>IF($S633=Lookups!$B$113,VLOOKUP(L633,'Points Table C'!A$3:$E$11,5),VLOOKUP(U633,'Points Table C'!B$3:$E$11,4))</f>
        <v>0</v>
      </c>
      <c r="AB633" s="4" t="e">
        <f>IF($Q633=1,0,VLOOKUP($J633,'Points Table C'!$C$3:$E$18,3))</f>
        <v>#N/A</v>
      </c>
      <c r="AC633" s="4">
        <f>VLOOKUP($K633,'Points Table C'!$D$3:$E$18,2)</f>
        <v>0</v>
      </c>
      <c r="AD633" s="4" t="e">
        <f>IF($Z633&lt;Lookups!$C$106,($AA633+AB633+AC633),IF($AA633&gt;=Lookups!$C$120,($AA633+AB633+AC633),$AA633+$AB633))</f>
        <v>#N/A</v>
      </c>
      <c r="AF633" s="7"/>
      <c r="AG633" s="7"/>
      <c r="AH633" s="7"/>
      <c r="AI633" s="7"/>
      <c r="AJ633" s="7"/>
      <c r="AK633" s="7"/>
      <c r="AL633" s="7"/>
      <c r="AM633" s="7"/>
      <c r="AN633" s="7"/>
      <c r="AO633" s="7"/>
      <c r="AP633" s="7"/>
      <c r="AQ633" s="7"/>
      <c r="AR633" s="7"/>
      <c r="AS633" s="7"/>
      <c r="AT633" s="7"/>
      <c r="AU633" s="7"/>
      <c r="AV633" s="7"/>
      <c r="AW633" s="7"/>
      <c r="AY633" s="7"/>
      <c r="AZ633" s="7"/>
      <c r="BA633" s="7"/>
      <c r="BB633" s="7"/>
    </row>
    <row r="634" spans="2:54" x14ac:dyDescent="0.2">
      <c r="B634" s="174"/>
      <c r="C634" s="176"/>
      <c r="F634" s="5">
        <v>0</v>
      </c>
      <c r="G634" s="192">
        <v>0</v>
      </c>
      <c r="H634" s="192">
        <v>0</v>
      </c>
      <c r="I634" s="5">
        <v>0</v>
      </c>
      <c r="J634" s="192">
        <v>0</v>
      </c>
      <c r="K634" s="192">
        <v>0</v>
      </c>
      <c r="L634" s="5">
        <v>0</v>
      </c>
      <c r="M634" s="5">
        <v>0</v>
      </c>
      <c r="N634" s="4" t="e">
        <f t="shared" si="56"/>
        <v>#N/A</v>
      </c>
      <c r="O634" s="4" t="e">
        <f>IF(ROUND(10.499-(((N634-VLOOKUP($C634,Lookups!$A$55:$D$64,3))/(VLOOKUP($C634,Lookups!$A$55:$D$64,4))*VLOOKUP($C634,Lookups!$C$2:$D$11,2))),0)&lt;1,1,IF(ROUND(10.499-(((N634-VLOOKUP($C634,Lookups!$A$55:$D$64,3))/(VLOOKUP($C634,Lookups!$A$55:$D$64,4))*VLOOKUP($C634,Lookups!$C$2:$D$11,2))),0)&lt;11,ROUND(10.499-(((N634-VLOOKUP($C634,Lookups!$A$55:$D$64,3))/(VLOOKUP($C634,Lookups!$A$55:$D$64,4))*VLOOKUP($C634,Lookups!$C$2:$D$11,2))),0),10))</f>
        <v>#N/A</v>
      </c>
      <c r="P634" s="13" t="str">
        <f>IF((SUM(F634:M634)=0),"J",VLOOKUP(O634,Lookups!$A$1:$B$11,2))</f>
        <v>J</v>
      </c>
      <c r="Q634" s="8" t="e">
        <f>VLOOKUP(C634,Lookups!$A$136:$C$144,3)</f>
        <v>#N/A</v>
      </c>
      <c r="R634" s="8" t="e">
        <f>VLOOKUP(C634,Lookups!$A$136:$C$144,2)</f>
        <v>#N/A</v>
      </c>
      <c r="S634" s="4" t="str">
        <f t="shared" si="52"/>
        <v>No</v>
      </c>
      <c r="T634" s="125">
        <f t="shared" si="53"/>
        <v>0</v>
      </c>
      <c r="U634" s="125">
        <f t="shared" si="54"/>
        <v>0</v>
      </c>
      <c r="V634" s="4" t="e">
        <f>IF($Q634&lt;&gt;3,VLOOKUP(F634,'Points Table A'!B$3:$F$33,5),VLOOKUP(F634,'Points Table A'!H$3:$L$33,5))</f>
        <v>#N/A</v>
      </c>
      <c r="W634" s="4" t="e">
        <f>IF($Q634&lt;&gt;3,VLOOKUP(G634,'Points Table A'!C$3:$F$33,4),VLOOKUP(G634,'Points Table A'!I$3:$L$33,4))</f>
        <v>#N/A</v>
      </c>
      <c r="X634" s="4" t="e">
        <f>IF($Q634&lt;&gt;3,VLOOKUP(H634,'Points Table A'!D$3:$F$28,3),VLOOKUP(H634,'Points Table A'!J$3:$L$33,3))</f>
        <v>#N/A</v>
      </c>
      <c r="Y634" s="4" t="e">
        <f>IF($Q634&lt;&gt;3,VLOOKUP(I634,'Points Table A'!E$3:$F$33,2),VLOOKUP(I634,'Points Table A'!K$3:$L$33,2))</f>
        <v>#N/A</v>
      </c>
      <c r="Z634" s="4" t="e">
        <f t="shared" si="55"/>
        <v>#N/A</v>
      </c>
      <c r="AA634" s="4">
        <f>IF($S634=Lookups!$B$113,VLOOKUP(L634,'Points Table C'!A$3:$E$11,5),VLOOKUP(U634,'Points Table C'!B$3:$E$11,4))</f>
        <v>0</v>
      </c>
      <c r="AB634" s="4" t="e">
        <f>IF($Q634=1,0,VLOOKUP($J634,'Points Table C'!$C$3:$E$18,3))</f>
        <v>#N/A</v>
      </c>
      <c r="AC634" s="4">
        <f>VLOOKUP($K634,'Points Table C'!$D$3:$E$18,2)</f>
        <v>0</v>
      </c>
      <c r="AD634" s="4" t="e">
        <f>IF($Z634&lt;Lookups!$C$106,($AA634+AB634+AC634),IF($AA634&gt;=Lookups!$C$120,($AA634+AB634+AC634),$AA634+$AB634))</f>
        <v>#N/A</v>
      </c>
      <c r="AF634" s="7"/>
      <c r="AG634" s="7"/>
      <c r="AH634" s="7"/>
      <c r="AI634" s="7"/>
      <c r="AJ634" s="7"/>
      <c r="AK634" s="7"/>
      <c r="AL634" s="7"/>
      <c r="AM634" s="7"/>
      <c r="AN634" s="7"/>
      <c r="AO634" s="7"/>
      <c r="AP634" s="7"/>
      <c r="AQ634" s="7"/>
      <c r="AR634" s="7"/>
      <c r="AS634" s="7"/>
      <c r="AT634" s="7"/>
      <c r="AU634" s="7"/>
      <c r="AV634" s="7"/>
      <c r="AW634" s="7"/>
      <c r="AY634" s="7"/>
      <c r="AZ634" s="7"/>
      <c r="BA634" s="7"/>
      <c r="BB634" s="7"/>
    </row>
    <row r="635" spans="2:54" x14ac:dyDescent="0.2">
      <c r="B635" s="174"/>
      <c r="C635" s="176"/>
      <c r="F635" s="5">
        <v>0</v>
      </c>
      <c r="G635" s="192">
        <v>0</v>
      </c>
      <c r="H635" s="192">
        <v>0</v>
      </c>
      <c r="I635" s="5">
        <v>0</v>
      </c>
      <c r="J635" s="192">
        <v>0</v>
      </c>
      <c r="K635" s="192">
        <v>0</v>
      </c>
      <c r="L635" s="5">
        <v>0</v>
      </c>
      <c r="M635" s="5">
        <v>0</v>
      </c>
      <c r="N635" s="4" t="e">
        <f t="shared" si="56"/>
        <v>#N/A</v>
      </c>
      <c r="O635" s="4" t="e">
        <f>IF(ROUND(10.499-(((N635-VLOOKUP($C635,Lookups!$A$55:$D$64,3))/(VLOOKUP($C635,Lookups!$A$55:$D$64,4))*VLOOKUP($C635,Lookups!$C$2:$D$11,2))),0)&lt;1,1,IF(ROUND(10.499-(((N635-VLOOKUP($C635,Lookups!$A$55:$D$64,3))/(VLOOKUP($C635,Lookups!$A$55:$D$64,4))*VLOOKUP($C635,Lookups!$C$2:$D$11,2))),0)&lt;11,ROUND(10.499-(((N635-VLOOKUP($C635,Lookups!$A$55:$D$64,3))/(VLOOKUP($C635,Lookups!$A$55:$D$64,4))*VLOOKUP($C635,Lookups!$C$2:$D$11,2))),0),10))</f>
        <v>#N/A</v>
      </c>
      <c r="P635" s="13" t="str">
        <f>IF((SUM(F635:M635)=0),"J",VLOOKUP(O635,Lookups!$A$1:$B$11,2))</f>
        <v>J</v>
      </c>
      <c r="Q635" s="8" t="e">
        <f>VLOOKUP(C635,Lookups!$A$136:$C$144,3)</f>
        <v>#N/A</v>
      </c>
      <c r="R635" s="8" t="e">
        <f>VLOOKUP(C635,Lookups!$A$136:$C$144,2)</f>
        <v>#N/A</v>
      </c>
      <c r="S635" s="4" t="str">
        <f t="shared" si="52"/>
        <v>No</v>
      </c>
      <c r="T635" s="125">
        <f t="shared" si="53"/>
        <v>0</v>
      </c>
      <c r="U635" s="125">
        <f t="shared" si="54"/>
        <v>0</v>
      </c>
      <c r="V635" s="4" t="e">
        <f>IF($Q635&lt;&gt;3,VLOOKUP(F635,'Points Table A'!B$3:$F$33,5),VLOOKUP(F635,'Points Table A'!H$3:$L$33,5))</f>
        <v>#N/A</v>
      </c>
      <c r="W635" s="4" t="e">
        <f>IF($Q635&lt;&gt;3,VLOOKUP(G635,'Points Table A'!C$3:$F$33,4),VLOOKUP(G635,'Points Table A'!I$3:$L$33,4))</f>
        <v>#N/A</v>
      </c>
      <c r="X635" s="4" t="e">
        <f>IF($Q635&lt;&gt;3,VLOOKUP(H635,'Points Table A'!D$3:$F$28,3),VLOOKUP(H635,'Points Table A'!J$3:$L$33,3))</f>
        <v>#N/A</v>
      </c>
      <c r="Y635" s="4" t="e">
        <f>IF($Q635&lt;&gt;3,VLOOKUP(I635,'Points Table A'!E$3:$F$33,2),VLOOKUP(I635,'Points Table A'!K$3:$L$33,2))</f>
        <v>#N/A</v>
      </c>
      <c r="Z635" s="4" t="e">
        <f t="shared" si="55"/>
        <v>#N/A</v>
      </c>
      <c r="AA635" s="4">
        <f>IF($S635=Lookups!$B$113,VLOOKUP(L635,'Points Table C'!A$3:$E$11,5),VLOOKUP(U635,'Points Table C'!B$3:$E$11,4))</f>
        <v>0</v>
      </c>
      <c r="AB635" s="4" t="e">
        <f>IF($Q635=1,0,VLOOKUP($J635,'Points Table C'!$C$3:$E$18,3))</f>
        <v>#N/A</v>
      </c>
      <c r="AC635" s="4">
        <f>VLOOKUP($K635,'Points Table C'!$D$3:$E$18,2)</f>
        <v>0</v>
      </c>
      <c r="AD635" s="4" t="e">
        <f>IF($Z635&lt;Lookups!$C$106,($AA635+AB635+AC635),IF($AA635&gt;=Lookups!$C$120,($AA635+AB635+AC635),$AA635+$AB635))</f>
        <v>#N/A</v>
      </c>
      <c r="AF635" s="7"/>
      <c r="AG635" s="7"/>
      <c r="AH635" s="7"/>
      <c r="AI635" s="7"/>
      <c r="AJ635" s="7"/>
      <c r="AK635" s="7"/>
      <c r="AL635" s="7"/>
      <c r="AM635" s="7"/>
      <c r="AN635" s="7"/>
      <c r="AO635" s="7"/>
      <c r="AP635" s="7"/>
      <c r="AQ635" s="7"/>
      <c r="AR635" s="7"/>
      <c r="AS635" s="7"/>
      <c r="AT635" s="7"/>
      <c r="AU635" s="7"/>
      <c r="AV635" s="7"/>
      <c r="AW635" s="7"/>
      <c r="AY635" s="7"/>
      <c r="AZ635" s="7"/>
      <c r="BA635" s="7"/>
      <c r="BB635" s="7"/>
    </row>
    <row r="636" spans="2:54" x14ac:dyDescent="0.2">
      <c r="B636" s="174"/>
      <c r="C636" s="176"/>
      <c r="F636" s="5">
        <v>0</v>
      </c>
      <c r="G636" s="192">
        <v>0</v>
      </c>
      <c r="H636" s="192">
        <v>0</v>
      </c>
      <c r="I636" s="5">
        <v>0</v>
      </c>
      <c r="J636" s="192">
        <v>0</v>
      </c>
      <c r="K636" s="192">
        <v>0</v>
      </c>
      <c r="L636" s="5">
        <v>0</v>
      </c>
      <c r="M636" s="5">
        <v>0</v>
      </c>
      <c r="N636" s="4" t="e">
        <f t="shared" si="56"/>
        <v>#N/A</v>
      </c>
      <c r="O636" s="4" t="e">
        <f>IF(ROUND(10.499-(((N636-VLOOKUP($C636,Lookups!$A$55:$D$64,3))/(VLOOKUP($C636,Lookups!$A$55:$D$64,4))*VLOOKUP($C636,Lookups!$C$2:$D$11,2))),0)&lt;1,1,IF(ROUND(10.499-(((N636-VLOOKUP($C636,Lookups!$A$55:$D$64,3))/(VLOOKUP($C636,Lookups!$A$55:$D$64,4))*VLOOKUP($C636,Lookups!$C$2:$D$11,2))),0)&lt;11,ROUND(10.499-(((N636-VLOOKUP($C636,Lookups!$A$55:$D$64,3))/(VLOOKUP($C636,Lookups!$A$55:$D$64,4))*VLOOKUP($C636,Lookups!$C$2:$D$11,2))),0),10))</f>
        <v>#N/A</v>
      </c>
      <c r="P636" s="13" t="str">
        <f>IF((SUM(F636:M636)=0),"J",VLOOKUP(O636,Lookups!$A$1:$B$11,2))</f>
        <v>J</v>
      </c>
      <c r="Q636" s="8" t="e">
        <f>VLOOKUP(C636,Lookups!$A$136:$C$144,3)</f>
        <v>#N/A</v>
      </c>
      <c r="R636" s="8" t="e">
        <f>VLOOKUP(C636,Lookups!$A$136:$C$144,2)</f>
        <v>#N/A</v>
      </c>
      <c r="S636" s="4" t="str">
        <f t="shared" si="52"/>
        <v>No</v>
      </c>
      <c r="T636" s="125">
        <f t="shared" si="53"/>
        <v>0</v>
      </c>
      <c r="U636" s="125">
        <f t="shared" si="54"/>
        <v>0</v>
      </c>
      <c r="V636" s="4" t="e">
        <f>IF($Q636&lt;&gt;3,VLOOKUP(F636,'Points Table A'!B$3:$F$33,5),VLOOKUP(F636,'Points Table A'!H$3:$L$33,5))</f>
        <v>#N/A</v>
      </c>
      <c r="W636" s="4" t="e">
        <f>IF($Q636&lt;&gt;3,VLOOKUP(G636,'Points Table A'!C$3:$F$33,4),VLOOKUP(G636,'Points Table A'!I$3:$L$33,4))</f>
        <v>#N/A</v>
      </c>
      <c r="X636" s="4" t="e">
        <f>IF($Q636&lt;&gt;3,VLOOKUP(H636,'Points Table A'!D$3:$F$28,3),VLOOKUP(H636,'Points Table A'!J$3:$L$33,3))</f>
        <v>#N/A</v>
      </c>
      <c r="Y636" s="4" t="e">
        <f>IF($Q636&lt;&gt;3,VLOOKUP(I636,'Points Table A'!E$3:$F$33,2),VLOOKUP(I636,'Points Table A'!K$3:$L$33,2))</f>
        <v>#N/A</v>
      </c>
      <c r="Z636" s="4" t="e">
        <f t="shared" si="55"/>
        <v>#N/A</v>
      </c>
      <c r="AA636" s="4">
        <f>IF($S636=Lookups!$B$113,VLOOKUP(L636,'Points Table C'!A$3:$E$11,5),VLOOKUP(U636,'Points Table C'!B$3:$E$11,4))</f>
        <v>0</v>
      </c>
      <c r="AB636" s="4" t="e">
        <f>IF($Q636=1,0,VLOOKUP($J636,'Points Table C'!$C$3:$E$18,3))</f>
        <v>#N/A</v>
      </c>
      <c r="AC636" s="4">
        <f>VLOOKUP($K636,'Points Table C'!$D$3:$E$18,2)</f>
        <v>0</v>
      </c>
      <c r="AD636" s="4" t="e">
        <f>IF($Z636&lt;Lookups!$C$106,($AA636+AB636+AC636),IF($AA636&gt;=Lookups!$C$120,($AA636+AB636+AC636),$AA636+$AB636))</f>
        <v>#N/A</v>
      </c>
      <c r="AF636" s="7"/>
      <c r="AG636" s="7"/>
      <c r="AH636" s="7"/>
      <c r="AI636" s="7"/>
      <c r="AJ636" s="7"/>
      <c r="AK636" s="7"/>
      <c r="AL636" s="7"/>
      <c r="AM636" s="7"/>
      <c r="AN636" s="7"/>
      <c r="AO636" s="7"/>
      <c r="AP636" s="7"/>
      <c r="AQ636" s="7"/>
      <c r="AR636" s="7"/>
      <c r="AS636" s="7"/>
      <c r="AT636" s="7"/>
      <c r="AU636" s="7"/>
      <c r="AV636" s="7"/>
      <c r="AW636" s="7"/>
      <c r="AY636" s="7"/>
      <c r="AZ636" s="7"/>
      <c r="BA636" s="7"/>
      <c r="BB636" s="7"/>
    </row>
    <row r="637" spans="2:54" x14ac:dyDescent="0.2">
      <c r="B637" s="174"/>
      <c r="C637" s="176"/>
      <c r="F637" s="5">
        <v>0</v>
      </c>
      <c r="G637" s="192">
        <v>0</v>
      </c>
      <c r="H637" s="192">
        <v>0</v>
      </c>
      <c r="I637" s="5">
        <v>0</v>
      </c>
      <c r="J637" s="192">
        <v>0</v>
      </c>
      <c r="K637" s="192">
        <v>0</v>
      </c>
      <c r="L637" s="5">
        <v>0</v>
      </c>
      <c r="M637" s="5">
        <v>0</v>
      </c>
      <c r="N637" s="4" t="e">
        <f t="shared" si="56"/>
        <v>#N/A</v>
      </c>
      <c r="O637" s="4" t="e">
        <f>IF(ROUND(10.499-(((N637-VLOOKUP($C637,Lookups!$A$55:$D$64,3))/(VLOOKUP($C637,Lookups!$A$55:$D$64,4))*VLOOKUP($C637,Lookups!$C$2:$D$11,2))),0)&lt;1,1,IF(ROUND(10.499-(((N637-VLOOKUP($C637,Lookups!$A$55:$D$64,3))/(VLOOKUP($C637,Lookups!$A$55:$D$64,4))*VLOOKUP($C637,Lookups!$C$2:$D$11,2))),0)&lt;11,ROUND(10.499-(((N637-VLOOKUP($C637,Lookups!$A$55:$D$64,3))/(VLOOKUP($C637,Lookups!$A$55:$D$64,4))*VLOOKUP($C637,Lookups!$C$2:$D$11,2))),0),10))</f>
        <v>#N/A</v>
      </c>
      <c r="P637" s="13" t="str">
        <f>IF((SUM(F637:M637)=0),"J",VLOOKUP(O637,Lookups!$A$1:$B$11,2))</f>
        <v>J</v>
      </c>
      <c r="Q637" s="8" t="e">
        <f>VLOOKUP(C637,Lookups!$A$136:$C$144,3)</f>
        <v>#N/A</v>
      </c>
      <c r="R637" s="8" t="e">
        <f>VLOOKUP(C637,Lookups!$A$136:$C$144,2)</f>
        <v>#N/A</v>
      </c>
      <c r="S637" s="4" t="str">
        <f t="shared" si="52"/>
        <v>No</v>
      </c>
      <c r="T637" s="125">
        <f t="shared" si="53"/>
        <v>0</v>
      </c>
      <c r="U637" s="125">
        <f t="shared" si="54"/>
        <v>0</v>
      </c>
      <c r="V637" s="4" t="e">
        <f>IF($Q637&lt;&gt;3,VLOOKUP(F637,'Points Table A'!B$3:$F$33,5),VLOOKUP(F637,'Points Table A'!H$3:$L$33,5))</f>
        <v>#N/A</v>
      </c>
      <c r="W637" s="4" t="e">
        <f>IF($Q637&lt;&gt;3,VLOOKUP(G637,'Points Table A'!C$3:$F$33,4),VLOOKUP(G637,'Points Table A'!I$3:$L$33,4))</f>
        <v>#N/A</v>
      </c>
      <c r="X637" s="4" t="e">
        <f>IF($Q637&lt;&gt;3,VLOOKUP(H637,'Points Table A'!D$3:$F$28,3),VLOOKUP(H637,'Points Table A'!J$3:$L$33,3))</f>
        <v>#N/A</v>
      </c>
      <c r="Y637" s="4" t="e">
        <f>IF($Q637&lt;&gt;3,VLOOKUP(I637,'Points Table A'!E$3:$F$33,2),VLOOKUP(I637,'Points Table A'!K$3:$L$33,2))</f>
        <v>#N/A</v>
      </c>
      <c r="Z637" s="4" t="e">
        <f t="shared" si="55"/>
        <v>#N/A</v>
      </c>
      <c r="AA637" s="4">
        <f>IF($S637=Lookups!$B$113,VLOOKUP(L637,'Points Table C'!A$3:$E$11,5),VLOOKUP(U637,'Points Table C'!B$3:$E$11,4))</f>
        <v>0</v>
      </c>
      <c r="AB637" s="4" t="e">
        <f>IF($Q637=1,0,VLOOKUP($J637,'Points Table C'!$C$3:$E$18,3))</f>
        <v>#N/A</v>
      </c>
      <c r="AC637" s="4">
        <f>VLOOKUP($K637,'Points Table C'!$D$3:$E$18,2)</f>
        <v>0</v>
      </c>
      <c r="AD637" s="4" t="e">
        <f>IF($Z637&lt;Lookups!$C$106,($AA637+AB637+AC637),IF($AA637&gt;=Lookups!$C$120,($AA637+AB637+AC637),$AA637+$AB637))</f>
        <v>#N/A</v>
      </c>
      <c r="AF637" s="7"/>
      <c r="AG637" s="7"/>
      <c r="AH637" s="7"/>
      <c r="AI637" s="7"/>
      <c r="AJ637" s="7"/>
      <c r="AK637" s="7"/>
      <c r="AL637" s="7"/>
      <c r="AM637" s="7"/>
      <c r="AN637" s="7"/>
      <c r="AO637" s="7"/>
      <c r="AP637" s="7"/>
      <c r="AQ637" s="7"/>
      <c r="AR637" s="7"/>
      <c r="AS637" s="7"/>
      <c r="AT637" s="7"/>
      <c r="AU637" s="7"/>
      <c r="AV637" s="7"/>
      <c r="AW637" s="7"/>
      <c r="AY637" s="7"/>
      <c r="AZ637" s="7"/>
      <c r="BA637" s="7"/>
      <c r="BB637" s="7"/>
    </row>
    <row r="638" spans="2:54" x14ac:dyDescent="0.2">
      <c r="B638" s="174"/>
      <c r="C638" s="176"/>
      <c r="F638" s="5">
        <v>0</v>
      </c>
      <c r="G638" s="192">
        <v>0</v>
      </c>
      <c r="H638" s="192">
        <v>0</v>
      </c>
      <c r="I638" s="5">
        <v>0</v>
      </c>
      <c r="J638" s="192">
        <v>0</v>
      </c>
      <c r="K638" s="192">
        <v>0</v>
      </c>
      <c r="L638" s="5">
        <v>0</v>
      </c>
      <c r="M638" s="5">
        <v>0</v>
      </c>
      <c r="N638" s="4" t="e">
        <f t="shared" si="56"/>
        <v>#N/A</v>
      </c>
      <c r="O638" s="4" t="e">
        <f>IF(ROUND(10.499-(((N638-VLOOKUP($C638,Lookups!$A$55:$D$64,3))/(VLOOKUP($C638,Lookups!$A$55:$D$64,4))*VLOOKUP($C638,Lookups!$C$2:$D$11,2))),0)&lt;1,1,IF(ROUND(10.499-(((N638-VLOOKUP($C638,Lookups!$A$55:$D$64,3))/(VLOOKUP($C638,Lookups!$A$55:$D$64,4))*VLOOKUP($C638,Lookups!$C$2:$D$11,2))),0)&lt;11,ROUND(10.499-(((N638-VLOOKUP($C638,Lookups!$A$55:$D$64,3))/(VLOOKUP($C638,Lookups!$A$55:$D$64,4))*VLOOKUP($C638,Lookups!$C$2:$D$11,2))),0),10))</f>
        <v>#N/A</v>
      </c>
      <c r="P638" s="13" t="str">
        <f>IF((SUM(F638:M638)=0),"J",VLOOKUP(O638,Lookups!$A$1:$B$11,2))</f>
        <v>J</v>
      </c>
      <c r="Q638" s="8" t="e">
        <f>VLOOKUP(C638,Lookups!$A$136:$C$144,3)</f>
        <v>#N/A</v>
      </c>
      <c r="R638" s="8" t="e">
        <f>VLOOKUP(C638,Lookups!$A$136:$C$144,2)</f>
        <v>#N/A</v>
      </c>
      <c r="S638" s="4" t="str">
        <f t="shared" si="52"/>
        <v>No</v>
      </c>
      <c r="T638" s="125">
        <f t="shared" si="53"/>
        <v>0</v>
      </c>
      <c r="U638" s="125">
        <f t="shared" si="54"/>
        <v>0</v>
      </c>
      <c r="V638" s="4" t="e">
        <f>IF($Q638&lt;&gt;3,VLOOKUP(F638,'Points Table A'!B$3:$F$33,5),VLOOKUP(F638,'Points Table A'!H$3:$L$33,5))</f>
        <v>#N/A</v>
      </c>
      <c r="W638" s="4" t="e">
        <f>IF($Q638&lt;&gt;3,VLOOKUP(G638,'Points Table A'!C$3:$F$33,4),VLOOKUP(G638,'Points Table A'!I$3:$L$33,4))</f>
        <v>#N/A</v>
      </c>
      <c r="X638" s="4" t="e">
        <f>IF($Q638&lt;&gt;3,VLOOKUP(H638,'Points Table A'!D$3:$F$28,3),VLOOKUP(H638,'Points Table A'!J$3:$L$33,3))</f>
        <v>#N/A</v>
      </c>
      <c r="Y638" s="4" t="e">
        <f>IF($Q638&lt;&gt;3,VLOOKUP(I638,'Points Table A'!E$3:$F$33,2),VLOOKUP(I638,'Points Table A'!K$3:$L$33,2))</f>
        <v>#N/A</v>
      </c>
      <c r="Z638" s="4" t="e">
        <f t="shared" si="55"/>
        <v>#N/A</v>
      </c>
      <c r="AA638" s="4">
        <f>IF($S638=Lookups!$B$113,VLOOKUP(L638,'Points Table C'!A$3:$E$11,5),VLOOKUP(U638,'Points Table C'!B$3:$E$11,4))</f>
        <v>0</v>
      </c>
      <c r="AB638" s="4" t="e">
        <f>IF($Q638=1,0,VLOOKUP($J638,'Points Table C'!$C$3:$E$18,3))</f>
        <v>#N/A</v>
      </c>
      <c r="AC638" s="4">
        <f>VLOOKUP($K638,'Points Table C'!$D$3:$E$18,2)</f>
        <v>0</v>
      </c>
      <c r="AD638" s="4" t="e">
        <f>IF($Z638&lt;Lookups!$C$106,($AA638+AB638+AC638),IF($AA638&gt;=Lookups!$C$120,($AA638+AB638+AC638),$AA638+$AB638))</f>
        <v>#N/A</v>
      </c>
      <c r="AF638" s="7"/>
      <c r="AG638" s="7"/>
      <c r="AH638" s="7"/>
      <c r="AI638" s="7"/>
      <c r="AJ638" s="7"/>
      <c r="AK638" s="7"/>
      <c r="AL638" s="7"/>
      <c r="AM638" s="7"/>
      <c r="AN638" s="7"/>
      <c r="AO638" s="7"/>
      <c r="AP638" s="7"/>
      <c r="AQ638" s="7"/>
      <c r="AR638" s="7"/>
      <c r="AS638" s="7"/>
      <c r="AT638" s="7"/>
      <c r="AU638" s="7"/>
      <c r="AV638" s="7"/>
      <c r="AW638" s="7"/>
      <c r="AY638" s="7"/>
      <c r="AZ638" s="7"/>
      <c r="BA638" s="7"/>
      <c r="BB638" s="7"/>
    </row>
    <row r="639" spans="2:54" x14ac:dyDescent="0.2">
      <c r="B639" s="174"/>
      <c r="C639" s="176"/>
      <c r="F639" s="5">
        <v>0</v>
      </c>
      <c r="G639" s="192">
        <v>0</v>
      </c>
      <c r="H639" s="192">
        <v>0</v>
      </c>
      <c r="I639" s="5">
        <v>0</v>
      </c>
      <c r="J639" s="192">
        <v>0</v>
      </c>
      <c r="K639" s="192">
        <v>0</v>
      </c>
      <c r="L639" s="5">
        <v>0</v>
      </c>
      <c r="M639" s="5">
        <v>0</v>
      </c>
      <c r="N639" s="4" t="e">
        <f t="shared" si="56"/>
        <v>#N/A</v>
      </c>
      <c r="O639" s="4" t="e">
        <f>IF(ROUND(10.499-(((N639-VLOOKUP($C639,Lookups!$A$55:$D$64,3))/(VLOOKUP($C639,Lookups!$A$55:$D$64,4))*VLOOKUP($C639,Lookups!$C$2:$D$11,2))),0)&lt;1,1,IF(ROUND(10.499-(((N639-VLOOKUP($C639,Lookups!$A$55:$D$64,3))/(VLOOKUP($C639,Lookups!$A$55:$D$64,4))*VLOOKUP($C639,Lookups!$C$2:$D$11,2))),0)&lt;11,ROUND(10.499-(((N639-VLOOKUP($C639,Lookups!$A$55:$D$64,3))/(VLOOKUP($C639,Lookups!$A$55:$D$64,4))*VLOOKUP($C639,Lookups!$C$2:$D$11,2))),0),10))</f>
        <v>#N/A</v>
      </c>
      <c r="P639" s="13" t="str">
        <f>IF((SUM(F639:M639)=0),"J",VLOOKUP(O639,Lookups!$A$1:$B$11,2))</f>
        <v>J</v>
      </c>
      <c r="Q639" s="8" t="e">
        <f>VLOOKUP(C639,Lookups!$A$136:$C$144,3)</f>
        <v>#N/A</v>
      </c>
      <c r="R639" s="8" t="e">
        <f>VLOOKUP(C639,Lookups!$A$136:$C$144,2)</f>
        <v>#N/A</v>
      </c>
      <c r="S639" s="4" t="str">
        <f t="shared" si="52"/>
        <v>No</v>
      </c>
      <c r="T639" s="125">
        <f t="shared" si="53"/>
        <v>0</v>
      </c>
      <c r="U639" s="125">
        <f t="shared" si="54"/>
        <v>0</v>
      </c>
      <c r="V639" s="4" t="e">
        <f>IF($Q639&lt;&gt;3,VLOOKUP(F639,'Points Table A'!B$3:$F$33,5),VLOOKUP(F639,'Points Table A'!H$3:$L$33,5))</f>
        <v>#N/A</v>
      </c>
      <c r="W639" s="4" t="e">
        <f>IF($Q639&lt;&gt;3,VLOOKUP(G639,'Points Table A'!C$3:$F$33,4),VLOOKUP(G639,'Points Table A'!I$3:$L$33,4))</f>
        <v>#N/A</v>
      </c>
      <c r="X639" s="4" t="e">
        <f>IF($Q639&lt;&gt;3,VLOOKUP(H639,'Points Table A'!D$3:$F$28,3),VLOOKUP(H639,'Points Table A'!J$3:$L$33,3))</f>
        <v>#N/A</v>
      </c>
      <c r="Y639" s="4" t="e">
        <f>IF($Q639&lt;&gt;3,VLOOKUP(I639,'Points Table A'!E$3:$F$33,2),VLOOKUP(I639,'Points Table A'!K$3:$L$33,2))</f>
        <v>#N/A</v>
      </c>
      <c r="Z639" s="4" t="e">
        <f t="shared" si="55"/>
        <v>#N/A</v>
      </c>
      <c r="AA639" s="4">
        <f>IF($S639=Lookups!$B$113,VLOOKUP(L639,'Points Table C'!A$3:$E$11,5),VLOOKUP(U639,'Points Table C'!B$3:$E$11,4))</f>
        <v>0</v>
      </c>
      <c r="AB639" s="4" t="e">
        <f>IF($Q639=1,0,VLOOKUP($J639,'Points Table C'!$C$3:$E$18,3))</f>
        <v>#N/A</v>
      </c>
      <c r="AC639" s="4">
        <f>VLOOKUP($K639,'Points Table C'!$D$3:$E$18,2)</f>
        <v>0</v>
      </c>
      <c r="AD639" s="4" t="e">
        <f>IF($Z639&lt;Lookups!$C$106,($AA639+AB639+AC639),IF($AA639&gt;=Lookups!$C$120,($AA639+AB639+AC639),$AA639+$AB639))</f>
        <v>#N/A</v>
      </c>
      <c r="AF639" s="7"/>
      <c r="AG639" s="7"/>
      <c r="AH639" s="7"/>
      <c r="AI639" s="7"/>
      <c r="AJ639" s="7"/>
      <c r="AK639" s="7"/>
      <c r="AL639" s="7"/>
      <c r="AM639" s="7"/>
      <c r="AN639" s="7"/>
      <c r="AO639" s="7"/>
      <c r="AP639" s="7"/>
      <c r="AQ639" s="7"/>
      <c r="AR639" s="7"/>
      <c r="AS639" s="7"/>
      <c r="AT639" s="7"/>
      <c r="AU639" s="7"/>
      <c r="AV639" s="7"/>
      <c r="AW639" s="7"/>
      <c r="AY639" s="7"/>
      <c r="AZ639" s="7"/>
      <c r="BA639" s="7"/>
      <c r="BB639" s="7"/>
    </row>
    <row r="640" spans="2:54" x14ac:dyDescent="0.2">
      <c r="B640" s="174"/>
      <c r="C640" s="176"/>
      <c r="F640" s="5">
        <v>0</v>
      </c>
      <c r="G640" s="192">
        <v>0</v>
      </c>
      <c r="H640" s="192">
        <v>0</v>
      </c>
      <c r="I640" s="5">
        <v>0</v>
      </c>
      <c r="J640" s="192">
        <v>0</v>
      </c>
      <c r="K640" s="192">
        <v>0</v>
      </c>
      <c r="L640" s="5">
        <v>0</v>
      </c>
      <c r="M640" s="5">
        <v>0</v>
      </c>
      <c r="N640" s="4" t="e">
        <f t="shared" si="56"/>
        <v>#N/A</v>
      </c>
      <c r="O640" s="4" t="e">
        <f>IF(ROUND(10.499-(((N640-VLOOKUP($C640,Lookups!$A$55:$D$64,3))/(VLOOKUP($C640,Lookups!$A$55:$D$64,4))*VLOOKUP($C640,Lookups!$C$2:$D$11,2))),0)&lt;1,1,IF(ROUND(10.499-(((N640-VLOOKUP($C640,Lookups!$A$55:$D$64,3))/(VLOOKUP($C640,Lookups!$A$55:$D$64,4))*VLOOKUP($C640,Lookups!$C$2:$D$11,2))),0)&lt;11,ROUND(10.499-(((N640-VLOOKUP($C640,Lookups!$A$55:$D$64,3))/(VLOOKUP($C640,Lookups!$A$55:$D$64,4))*VLOOKUP($C640,Lookups!$C$2:$D$11,2))),0),10))</f>
        <v>#N/A</v>
      </c>
      <c r="P640" s="13" t="str">
        <f>IF((SUM(F640:M640)=0),"J",VLOOKUP(O640,Lookups!$A$1:$B$11,2))</f>
        <v>J</v>
      </c>
      <c r="Q640" s="8" t="e">
        <f>VLOOKUP(C640,Lookups!$A$136:$C$144,3)</f>
        <v>#N/A</v>
      </c>
      <c r="R640" s="8" t="e">
        <f>VLOOKUP(C640,Lookups!$A$136:$C$144,2)</f>
        <v>#N/A</v>
      </c>
      <c r="S640" s="4" t="str">
        <f t="shared" si="52"/>
        <v>No</v>
      </c>
      <c r="T640" s="125">
        <f t="shared" si="53"/>
        <v>0</v>
      </c>
      <c r="U640" s="125">
        <f t="shared" si="54"/>
        <v>0</v>
      </c>
      <c r="V640" s="4" t="e">
        <f>IF($Q640&lt;&gt;3,VLOOKUP(F640,'Points Table A'!B$3:$F$33,5),VLOOKUP(F640,'Points Table A'!H$3:$L$33,5))</f>
        <v>#N/A</v>
      </c>
      <c r="W640" s="4" t="e">
        <f>IF($Q640&lt;&gt;3,VLOOKUP(G640,'Points Table A'!C$3:$F$33,4),VLOOKUP(G640,'Points Table A'!I$3:$L$33,4))</f>
        <v>#N/A</v>
      </c>
      <c r="X640" s="4" t="e">
        <f>IF($Q640&lt;&gt;3,VLOOKUP(H640,'Points Table A'!D$3:$F$28,3),VLOOKUP(H640,'Points Table A'!J$3:$L$33,3))</f>
        <v>#N/A</v>
      </c>
      <c r="Y640" s="4" t="e">
        <f>IF($Q640&lt;&gt;3,VLOOKUP(I640,'Points Table A'!E$3:$F$33,2),VLOOKUP(I640,'Points Table A'!K$3:$L$33,2))</f>
        <v>#N/A</v>
      </c>
      <c r="Z640" s="4" t="e">
        <f t="shared" si="55"/>
        <v>#N/A</v>
      </c>
      <c r="AA640" s="4">
        <f>IF($S640=Lookups!$B$113,VLOOKUP(L640,'Points Table C'!A$3:$E$11,5),VLOOKUP(U640,'Points Table C'!B$3:$E$11,4))</f>
        <v>0</v>
      </c>
      <c r="AB640" s="4" t="e">
        <f>IF($Q640=1,0,VLOOKUP($J640,'Points Table C'!$C$3:$E$18,3))</f>
        <v>#N/A</v>
      </c>
      <c r="AC640" s="4">
        <f>VLOOKUP($K640,'Points Table C'!$D$3:$E$18,2)</f>
        <v>0</v>
      </c>
      <c r="AD640" s="4" t="e">
        <f>IF($Z640&lt;Lookups!$C$106,($AA640+AB640+AC640),IF($AA640&gt;=Lookups!$C$120,($AA640+AB640+AC640),$AA640+$AB640))</f>
        <v>#N/A</v>
      </c>
      <c r="AF640" s="7"/>
      <c r="AG640" s="7"/>
      <c r="AH640" s="7"/>
      <c r="AI640" s="7"/>
      <c r="AJ640" s="7"/>
      <c r="AK640" s="7"/>
      <c r="AL640" s="7"/>
      <c r="AM640" s="7"/>
      <c r="AN640" s="7"/>
      <c r="AO640" s="7"/>
      <c r="AP640" s="7"/>
      <c r="AQ640" s="7"/>
      <c r="AR640" s="7"/>
      <c r="AS640" s="7"/>
      <c r="AT640" s="7"/>
      <c r="AU640" s="7"/>
      <c r="AV640" s="7"/>
      <c r="AW640" s="7"/>
      <c r="AY640" s="7"/>
      <c r="AZ640" s="7"/>
      <c r="BA640" s="7"/>
      <c r="BB640" s="7"/>
    </row>
    <row r="641" spans="2:54" x14ac:dyDescent="0.2">
      <c r="B641" s="174"/>
      <c r="C641" s="176"/>
      <c r="F641" s="5">
        <v>0</v>
      </c>
      <c r="G641" s="192">
        <v>0</v>
      </c>
      <c r="H641" s="192">
        <v>0</v>
      </c>
      <c r="I641" s="5">
        <v>0</v>
      </c>
      <c r="J641" s="192">
        <v>0</v>
      </c>
      <c r="K641" s="192">
        <v>0</v>
      </c>
      <c r="L641" s="5">
        <v>0</v>
      </c>
      <c r="M641" s="5">
        <v>0</v>
      </c>
      <c r="N641" s="4" t="e">
        <f t="shared" si="56"/>
        <v>#N/A</v>
      </c>
      <c r="O641" s="4" t="e">
        <f>IF(ROUND(10.499-(((N641-VLOOKUP($C641,Lookups!$A$55:$D$64,3))/(VLOOKUP($C641,Lookups!$A$55:$D$64,4))*VLOOKUP($C641,Lookups!$C$2:$D$11,2))),0)&lt;1,1,IF(ROUND(10.499-(((N641-VLOOKUP($C641,Lookups!$A$55:$D$64,3))/(VLOOKUP($C641,Lookups!$A$55:$D$64,4))*VLOOKUP($C641,Lookups!$C$2:$D$11,2))),0)&lt;11,ROUND(10.499-(((N641-VLOOKUP($C641,Lookups!$A$55:$D$64,3))/(VLOOKUP($C641,Lookups!$A$55:$D$64,4))*VLOOKUP($C641,Lookups!$C$2:$D$11,2))),0),10))</f>
        <v>#N/A</v>
      </c>
      <c r="P641" s="13" t="str">
        <f>IF((SUM(F641:M641)=0),"J",VLOOKUP(O641,Lookups!$A$1:$B$11,2))</f>
        <v>J</v>
      </c>
      <c r="Q641" s="8" t="e">
        <f>VLOOKUP(C641,Lookups!$A$136:$C$144,3)</f>
        <v>#N/A</v>
      </c>
      <c r="R641" s="8" t="e">
        <f>VLOOKUP(C641,Lookups!$A$136:$C$144,2)</f>
        <v>#N/A</v>
      </c>
      <c r="S641" s="4" t="str">
        <f t="shared" si="52"/>
        <v>No</v>
      </c>
      <c r="T641" s="125">
        <f t="shared" si="53"/>
        <v>0</v>
      </c>
      <c r="U641" s="125">
        <f t="shared" si="54"/>
        <v>0</v>
      </c>
      <c r="V641" s="4" t="e">
        <f>IF($Q641&lt;&gt;3,VLOOKUP(F641,'Points Table A'!B$3:$F$33,5),VLOOKUP(F641,'Points Table A'!H$3:$L$33,5))</f>
        <v>#N/A</v>
      </c>
      <c r="W641" s="4" t="e">
        <f>IF($Q641&lt;&gt;3,VLOOKUP(G641,'Points Table A'!C$3:$F$33,4),VLOOKUP(G641,'Points Table A'!I$3:$L$33,4))</f>
        <v>#N/A</v>
      </c>
      <c r="X641" s="4" t="e">
        <f>IF($Q641&lt;&gt;3,VLOOKUP(H641,'Points Table A'!D$3:$F$28,3),VLOOKUP(H641,'Points Table A'!J$3:$L$33,3))</f>
        <v>#N/A</v>
      </c>
      <c r="Y641" s="4" t="e">
        <f>IF($Q641&lt;&gt;3,VLOOKUP(I641,'Points Table A'!E$3:$F$33,2),VLOOKUP(I641,'Points Table A'!K$3:$L$33,2))</f>
        <v>#N/A</v>
      </c>
      <c r="Z641" s="4" t="e">
        <f t="shared" si="55"/>
        <v>#N/A</v>
      </c>
      <c r="AA641" s="4">
        <f>IF($S641=Lookups!$B$113,VLOOKUP(L641,'Points Table C'!A$3:$E$11,5),VLOOKUP(U641,'Points Table C'!B$3:$E$11,4))</f>
        <v>0</v>
      </c>
      <c r="AB641" s="4" t="e">
        <f>IF($Q641=1,0,VLOOKUP($J641,'Points Table C'!$C$3:$E$18,3))</f>
        <v>#N/A</v>
      </c>
      <c r="AC641" s="4">
        <f>VLOOKUP($K641,'Points Table C'!$D$3:$E$18,2)</f>
        <v>0</v>
      </c>
      <c r="AD641" s="4" t="e">
        <f>IF($Z641&lt;Lookups!$C$106,($AA641+AB641+AC641),IF($AA641&gt;=Lookups!$C$120,($AA641+AB641+AC641),$AA641+$AB641))</f>
        <v>#N/A</v>
      </c>
      <c r="AF641" s="7"/>
      <c r="AG641" s="7"/>
      <c r="AH641" s="7"/>
      <c r="AI641" s="7"/>
      <c r="AJ641" s="7"/>
      <c r="AK641" s="7"/>
      <c r="AL641" s="7"/>
      <c r="AM641" s="7"/>
      <c r="AN641" s="7"/>
      <c r="AO641" s="7"/>
      <c r="AP641" s="7"/>
      <c r="AQ641" s="7"/>
      <c r="AR641" s="7"/>
      <c r="AS641" s="7"/>
      <c r="AT641" s="7"/>
      <c r="AU641" s="7"/>
      <c r="AV641" s="7"/>
      <c r="AW641" s="7"/>
      <c r="AY641" s="7"/>
      <c r="AZ641" s="7"/>
      <c r="BA641" s="7"/>
      <c r="BB641" s="7"/>
    </row>
    <row r="642" spans="2:54" x14ac:dyDescent="0.2">
      <c r="B642" s="174"/>
      <c r="C642" s="176"/>
      <c r="F642" s="5">
        <v>0</v>
      </c>
      <c r="G642" s="192">
        <v>0</v>
      </c>
      <c r="H642" s="192">
        <v>0</v>
      </c>
      <c r="I642" s="5">
        <v>0</v>
      </c>
      <c r="J642" s="192">
        <v>0</v>
      </c>
      <c r="K642" s="192">
        <v>0</v>
      </c>
      <c r="L642" s="5">
        <v>0</v>
      </c>
      <c r="M642" s="5">
        <v>0</v>
      </c>
      <c r="N642" s="4" t="e">
        <f t="shared" si="56"/>
        <v>#N/A</v>
      </c>
      <c r="O642" s="4" t="e">
        <f>IF(ROUND(10.499-(((N642-VLOOKUP($C642,Lookups!$A$55:$D$64,3))/(VLOOKUP($C642,Lookups!$A$55:$D$64,4))*VLOOKUP($C642,Lookups!$C$2:$D$11,2))),0)&lt;1,1,IF(ROUND(10.499-(((N642-VLOOKUP($C642,Lookups!$A$55:$D$64,3))/(VLOOKUP($C642,Lookups!$A$55:$D$64,4))*VLOOKUP($C642,Lookups!$C$2:$D$11,2))),0)&lt;11,ROUND(10.499-(((N642-VLOOKUP($C642,Lookups!$A$55:$D$64,3))/(VLOOKUP($C642,Lookups!$A$55:$D$64,4))*VLOOKUP($C642,Lookups!$C$2:$D$11,2))),0),10))</f>
        <v>#N/A</v>
      </c>
      <c r="P642" s="13" t="str">
        <f>IF((SUM(F642:M642)=0),"J",VLOOKUP(O642,Lookups!$A$1:$B$11,2))</f>
        <v>J</v>
      </c>
      <c r="Q642" s="8" t="e">
        <f>VLOOKUP(C642,Lookups!$A$136:$C$144,3)</f>
        <v>#N/A</v>
      </c>
      <c r="R642" s="8" t="e">
        <f>VLOOKUP(C642,Lookups!$A$136:$C$144,2)</f>
        <v>#N/A</v>
      </c>
      <c r="S642" s="4" t="str">
        <f t="shared" si="52"/>
        <v>No</v>
      </c>
      <c r="T642" s="125">
        <f t="shared" si="53"/>
        <v>0</v>
      </c>
      <c r="U642" s="125">
        <f t="shared" si="54"/>
        <v>0</v>
      </c>
      <c r="V642" s="4" t="e">
        <f>IF($Q642&lt;&gt;3,VLOOKUP(F642,'Points Table A'!B$3:$F$33,5),VLOOKUP(F642,'Points Table A'!H$3:$L$33,5))</f>
        <v>#N/A</v>
      </c>
      <c r="W642" s="4" t="e">
        <f>IF($Q642&lt;&gt;3,VLOOKUP(G642,'Points Table A'!C$3:$F$33,4),VLOOKUP(G642,'Points Table A'!I$3:$L$33,4))</f>
        <v>#N/A</v>
      </c>
      <c r="X642" s="4" t="e">
        <f>IF($Q642&lt;&gt;3,VLOOKUP(H642,'Points Table A'!D$3:$F$28,3),VLOOKUP(H642,'Points Table A'!J$3:$L$33,3))</f>
        <v>#N/A</v>
      </c>
      <c r="Y642" s="4" t="e">
        <f>IF($Q642&lt;&gt;3,VLOOKUP(I642,'Points Table A'!E$3:$F$33,2),VLOOKUP(I642,'Points Table A'!K$3:$L$33,2))</f>
        <v>#N/A</v>
      </c>
      <c r="Z642" s="4" t="e">
        <f t="shared" si="55"/>
        <v>#N/A</v>
      </c>
      <c r="AA642" s="4">
        <f>IF($S642=Lookups!$B$113,VLOOKUP(L642,'Points Table C'!A$3:$E$11,5),VLOOKUP(U642,'Points Table C'!B$3:$E$11,4))</f>
        <v>0</v>
      </c>
      <c r="AB642" s="4" t="e">
        <f>IF($Q642=1,0,VLOOKUP($J642,'Points Table C'!$C$3:$E$18,3))</f>
        <v>#N/A</v>
      </c>
      <c r="AC642" s="4">
        <f>VLOOKUP($K642,'Points Table C'!$D$3:$E$18,2)</f>
        <v>0</v>
      </c>
      <c r="AD642" s="4" t="e">
        <f>IF($Z642&lt;Lookups!$C$106,($AA642+AB642+AC642),IF($AA642&gt;=Lookups!$C$120,($AA642+AB642+AC642),$AA642+$AB642))</f>
        <v>#N/A</v>
      </c>
      <c r="AF642" s="7"/>
      <c r="AG642" s="7"/>
      <c r="AH642" s="7"/>
      <c r="AI642" s="7"/>
      <c r="AJ642" s="7"/>
      <c r="AK642" s="7"/>
      <c r="AL642" s="7"/>
      <c r="AM642" s="7"/>
      <c r="AN642" s="7"/>
      <c r="AO642" s="7"/>
      <c r="AP642" s="7"/>
      <c r="AQ642" s="7"/>
      <c r="AR642" s="7"/>
      <c r="AS642" s="7"/>
      <c r="AT642" s="7"/>
      <c r="AU642" s="7"/>
      <c r="AV642" s="7"/>
      <c r="AW642" s="7"/>
      <c r="AY642" s="7"/>
      <c r="AZ642" s="7"/>
      <c r="BA642" s="7"/>
      <c r="BB642" s="7"/>
    </row>
    <row r="643" spans="2:54" x14ac:dyDescent="0.2">
      <c r="B643" s="174"/>
      <c r="C643" s="176"/>
      <c r="F643" s="5">
        <v>0</v>
      </c>
      <c r="G643" s="192">
        <v>0</v>
      </c>
      <c r="H643" s="192">
        <v>0</v>
      </c>
      <c r="I643" s="5">
        <v>0</v>
      </c>
      <c r="J643" s="192">
        <v>0</v>
      </c>
      <c r="K643" s="192">
        <v>0</v>
      </c>
      <c r="L643" s="5">
        <v>0</v>
      </c>
      <c r="M643" s="5">
        <v>0</v>
      </c>
      <c r="N643" s="4" t="e">
        <f t="shared" si="56"/>
        <v>#N/A</v>
      </c>
      <c r="O643" s="4" t="e">
        <f>IF(ROUND(10.499-(((N643-VLOOKUP($C643,Lookups!$A$55:$D$64,3))/(VLOOKUP($C643,Lookups!$A$55:$D$64,4))*VLOOKUP($C643,Lookups!$C$2:$D$11,2))),0)&lt;1,1,IF(ROUND(10.499-(((N643-VLOOKUP($C643,Lookups!$A$55:$D$64,3))/(VLOOKUP($C643,Lookups!$A$55:$D$64,4))*VLOOKUP($C643,Lookups!$C$2:$D$11,2))),0)&lt;11,ROUND(10.499-(((N643-VLOOKUP($C643,Lookups!$A$55:$D$64,3))/(VLOOKUP($C643,Lookups!$A$55:$D$64,4))*VLOOKUP($C643,Lookups!$C$2:$D$11,2))),0),10))</f>
        <v>#N/A</v>
      </c>
      <c r="P643" s="13" t="str">
        <f>IF((SUM(F643:M643)=0),"J",VLOOKUP(O643,Lookups!$A$1:$B$11,2))</f>
        <v>J</v>
      </c>
      <c r="Q643" s="8" t="e">
        <f>VLOOKUP(C643,Lookups!$A$136:$C$144,3)</f>
        <v>#N/A</v>
      </c>
      <c r="R643" s="8" t="e">
        <f>VLOOKUP(C643,Lookups!$A$136:$C$144,2)</f>
        <v>#N/A</v>
      </c>
      <c r="S643" s="4" t="str">
        <f t="shared" si="52"/>
        <v>No</v>
      </c>
      <c r="T643" s="125">
        <f t="shared" si="53"/>
        <v>0</v>
      </c>
      <c r="U643" s="125">
        <f t="shared" si="54"/>
        <v>0</v>
      </c>
      <c r="V643" s="4" t="e">
        <f>IF($Q643&lt;&gt;3,VLOOKUP(F643,'Points Table A'!B$3:$F$33,5),VLOOKUP(F643,'Points Table A'!H$3:$L$33,5))</f>
        <v>#N/A</v>
      </c>
      <c r="W643" s="4" t="e">
        <f>IF($Q643&lt;&gt;3,VLOOKUP(G643,'Points Table A'!C$3:$F$33,4),VLOOKUP(G643,'Points Table A'!I$3:$L$33,4))</f>
        <v>#N/A</v>
      </c>
      <c r="X643" s="4" t="e">
        <f>IF($Q643&lt;&gt;3,VLOOKUP(H643,'Points Table A'!D$3:$F$28,3),VLOOKUP(H643,'Points Table A'!J$3:$L$33,3))</f>
        <v>#N/A</v>
      </c>
      <c r="Y643" s="4" t="e">
        <f>IF($Q643&lt;&gt;3,VLOOKUP(I643,'Points Table A'!E$3:$F$33,2),VLOOKUP(I643,'Points Table A'!K$3:$L$33,2))</f>
        <v>#N/A</v>
      </c>
      <c r="Z643" s="4" t="e">
        <f t="shared" si="55"/>
        <v>#N/A</v>
      </c>
      <c r="AA643" s="4">
        <f>IF($S643=Lookups!$B$113,VLOOKUP(L643,'Points Table C'!A$3:$E$11,5),VLOOKUP(U643,'Points Table C'!B$3:$E$11,4))</f>
        <v>0</v>
      </c>
      <c r="AB643" s="4" t="e">
        <f>IF($Q643=1,0,VLOOKUP($J643,'Points Table C'!$C$3:$E$18,3))</f>
        <v>#N/A</v>
      </c>
      <c r="AC643" s="4">
        <f>VLOOKUP($K643,'Points Table C'!$D$3:$E$18,2)</f>
        <v>0</v>
      </c>
      <c r="AD643" s="4" t="e">
        <f>IF($Z643&lt;Lookups!$C$106,($AA643+AB643+AC643),IF($AA643&gt;=Lookups!$C$120,($AA643+AB643+AC643),$AA643+$AB643))</f>
        <v>#N/A</v>
      </c>
      <c r="AF643" s="7"/>
      <c r="AG643" s="7"/>
      <c r="AH643" s="7"/>
      <c r="AI643" s="7"/>
      <c r="AJ643" s="7"/>
      <c r="AK643" s="7"/>
      <c r="AL643" s="7"/>
      <c r="AM643" s="7"/>
      <c r="AN643" s="7"/>
      <c r="AO643" s="7"/>
      <c r="AP643" s="7"/>
      <c r="AQ643" s="7"/>
      <c r="AR643" s="7"/>
      <c r="AS643" s="7"/>
      <c r="AT643" s="7"/>
      <c r="AU643" s="7"/>
      <c r="AV643" s="7"/>
      <c r="AW643" s="7"/>
      <c r="AY643" s="7"/>
      <c r="AZ643" s="7"/>
      <c r="BA643" s="7"/>
      <c r="BB643" s="7"/>
    </row>
    <row r="644" spans="2:54" x14ac:dyDescent="0.2">
      <c r="B644" s="174"/>
      <c r="C644" s="176"/>
      <c r="F644" s="5">
        <v>0</v>
      </c>
      <c r="G644" s="192">
        <v>0</v>
      </c>
      <c r="H644" s="192">
        <v>0</v>
      </c>
      <c r="I644" s="5">
        <v>0</v>
      </c>
      <c r="J644" s="192">
        <v>0</v>
      </c>
      <c r="K644" s="192">
        <v>0</v>
      </c>
      <c r="L644" s="5">
        <v>0</v>
      </c>
      <c r="M644" s="5">
        <v>0</v>
      </c>
      <c r="N644" s="4" t="e">
        <f t="shared" si="56"/>
        <v>#N/A</v>
      </c>
      <c r="O644" s="4" t="e">
        <f>IF(ROUND(10.499-(((N644-VLOOKUP($C644,Lookups!$A$55:$D$64,3))/(VLOOKUP($C644,Lookups!$A$55:$D$64,4))*VLOOKUP($C644,Lookups!$C$2:$D$11,2))),0)&lt;1,1,IF(ROUND(10.499-(((N644-VLOOKUP($C644,Lookups!$A$55:$D$64,3))/(VLOOKUP($C644,Lookups!$A$55:$D$64,4))*VLOOKUP($C644,Lookups!$C$2:$D$11,2))),0)&lt;11,ROUND(10.499-(((N644-VLOOKUP($C644,Lookups!$A$55:$D$64,3))/(VLOOKUP($C644,Lookups!$A$55:$D$64,4))*VLOOKUP($C644,Lookups!$C$2:$D$11,2))),0),10))</f>
        <v>#N/A</v>
      </c>
      <c r="P644" s="13" t="str">
        <f>IF((SUM(F644:M644)=0),"J",VLOOKUP(O644,Lookups!$A$1:$B$11,2))</f>
        <v>J</v>
      </c>
      <c r="Q644" s="8" t="e">
        <f>VLOOKUP(C644,Lookups!$A$136:$C$144,3)</f>
        <v>#N/A</v>
      </c>
      <c r="R644" s="8" t="e">
        <f>VLOOKUP(C644,Lookups!$A$136:$C$144,2)</f>
        <v>#N/A</v>
      </c>
      <c r="S644" s="4" t="str">
        <f t="shared" si="52"/>
        <v>No</v>
      </c>
      <c r="T644" s="125">
        <f t="shared" si="53"/>
        <v>0</v>
      </c>
      <c r="U644" s="125">
        <f t="shared" si="54"/>
        <v>0</v>
      </c>
      <c r="V644" s="4" t="e">
        <f>IF($Q644&lt;&gt;3,VLOOKUP(F644,'Points Table A'!B$3:$F$33,5),VLOOKUP(F644,'Points Table A'!H$3:$L$33,5))</f>
        <v>#N/A</v>
      </c>
      <c r="W644" s="4" t="e">
        <f>IF($Q644&lt;&gt;3,VLOOKUP(G644,'Points Table A'!C$3:$F$33,4),VLOOKUP(G644,'Points Table A'!I$3:$L$33,4))</f>
        <v>#N/A</v>
      </c>
      <c r="X644" s="4" t="e">
        <f>IF($Q644&lt;&gt;3,VLOOKUP(H644,'Points Table A'!D$3:$F$28,3),VLOOKUP(H644,'Points Table A'!J$3:$L$33,3))</f>
        <v>#N/A</v>
      </c>
      <c r="Y644" s="4" t="e">
        <f>IF($Q644&lt;&gt;3,VLOOKUP(I644,'Points Table A'!E$3:$F$33,2),VLOOKUP(I644,'Points Table A'!K$3:$L$33,2))</f>
        <v>#N/A</v>
      </c>
      <c r="Z644" s="4" t="e">
        <f t="shared" si="55"/>
        <v>#N/A</v>
      </c>
      <c r="AA644" s="4">
        <f>IF($S644=Lookups!$B$113,VLOOKUP(L644,'Points Table C'!A$3:$E$11,5),VLOOKUP(U644,'Points Table C'!B$3:$E$11,4))</f>
        <v>0</v>
      </c>
      <c r="AB644" s="4" t="e">
        <f>IF($Q644=1,0,VLOOKUP($J644,'Points Table C'!$C$3:$E$18,3))</f>
        <v>#N/A</v>
      </c>
      <c r="AC644" s="4">
        <f>VLOOKUP($K644,'Points Table C'!$D$3:$E$18,2)</f>
        <v>0</v>
      </c>
      <c r="AD644" s="4" t="e">
        <f>IF($Z644&lt;Lookups!$C$106,($AA644+AB644+AC644),IF($AA644&gt;=Lookups!$C$120,($AA644+AB644+AC644),$AA644+$AB644))</f>
        <v>#N/A</v>
      </c>
      <c r="AF644" s="7"/>
      <c r="AG644" s="7"/>
      <c r="AH644" s="7"/>
      <c r="AI644" s="7"/>
      <c r="AJ644" s="7"/>
      <c r="AK644" s="7"/>
      <c r="AL644" s="7"/>
      <c r="AM644" s="7"/>
      <c r="AN644" s="7"/>
      <c r="AO644" s="7"/>
      <c r="AP644" s="7"/>
      <c r="AQ644" s="7"/>
      <c r="AR644" s="7"/>
      <c r="AS644" s="7"/>
      <c r="AT644" s="7"/>
      <c r="AU644" s="7"/>
      <c r="AV644" s="7"/>
      <c r="AW644" s="7"/>
      <c r="AY644" s="7"/>
      <c r="AZ644" s="7"/>
      <c r="BA644" s="7"/>
      <c r="BB644" s="7"/>
    </row>
    <row r="645" spans="2:54" x14ac:dyDescent="0.2">
      <c r="B645" s="174"/>
      <c r="C645" s="176"/>
      <c r="F645" s="5">
        <v>0</v>
      </c>
      <c r="G645" s="192">
        <v>0</v>
      </c>
      <c r="H645" s="192">
        <v>0</v>
      </c>
      <c r="I645" s="5">
        <v>0</v>
      </c>
      <c r="J645" s="192">
        <v>0</v>
      </c>
      <c r="K645" s="192">
        <v>0</v>
      </c>
      <c r="L645" s="5">
        <v>0</v>
      </c>
      <c r="M645" s="5">
        <v>0</v>
      </c>
      <c r="N645" s="4" t="e">
        <f t="shared" si="56"/>
        <v>#N/A</v>
      </c>
      <c r="O645" s="4" t="e">
        <f>IF(ROUND(10.499-(((N645-VLOOKUP($C645,Lookups!$A$55:$D$64,3))/(VLOOKUP($C645,Lookups!$A$55:$D$64,4))*VLOOKUP($C645,Lookups!$C$2:$D$11,2))),0)&lt;1,1,IF(ROUND(10.499-(((N645-VLOOKUP($C645,Lookups!$A$55:$D$64,3))/(VLOOKUP($C645,Lookups!$A$55:$D$64,4))*VLOOKUP($C645,Lookups!$C$2:$D$11,2))),0)&lt;11,ROUND(10.499-(((N645-VLOOKUP($C645,Lookups!$A$55:$D$64,3))/(VLOOKUP($C645,Lookups!$A$55:$D$64,4))*VLOOKUP($C645,Lookups!$C$2:$D$11,2))),0),10))</f>
        <v>#N/A</v>
      </c>
      <c r="P645" s="13" t="str">
        <f>IF((SUM(F645:M645)=0),"J",VLOOKUP(O645,Lookups!$A$1:$B$11,2))</f>
        <v>J</v>
      </c>
      <c r="Q645" s="8" t="e">
        <f>VLOOKUP(C645,Lookups!$A$136:$C$144,3)</f>
        <v>#N/A</v>
      </c>
      <c r="R645" s="8" t="e">
        <f>VLOOKUP(C645,Lookups!$A$136:$C$144,2)</f>
        <v>#N/A</v>
      </c>
      <c r="S645" s="4" t="str">
        <f t="shared" si="52"/>
        <v>No</v>
      </c>
      <c r="T645" s="125">
        <f t="shared" si="53"/>
        <v>0</v>
      </c>
      <c r="U645" s="125">
        <f t="shared" si="54"/>
        <v>0</v>
      </c>
      <c r="V645" s="4" t="e">
        <f>IF($Q645&lt;&gt;3,VLOOKUP(F645,'Points Table A'!B$3:$F$33,5),VLOOKUP(F645,'Points Table A'!H$3:$L$33,5))</f>
        <v>#N/A</v>
      </c>
      <c r="W645" s="4" t="e">
        <f>IF($Q645&lt;&gt;3,VLOOKUP(G645,'Points Table A'!C$3:$F$33,4),VLOOKUP(G645,'Points Table A'!I$3:$L$33,4))</f>
        <v>#N/A</v>
      </c>
      <c r="X645" s="4" t="e">
        <f>IF($Q645&lt;&gt;3,VLOOKUP(H645,'Points Table A'!D$3:$F$28,3),VLOOKUP(H645,'Points Table A'!J$3:$L$33,3))</f>
        <v>#N/A</v>
      </c>
      <c r="Y645" s="4" t="e">
        <f>IF($Q645&lt;&gt;3,VLOOKUP(I645,'Points Table A'!E$3:$F$33,2),VLOOKUP(I645,'Points Table A'!K$3:$L$33,2))</f>
        <v>#N/A</v>
      </c>
      <c r="Z645" s="4" t="e">
        <f t="shared" si="55"/>
        <v>#N/A</v>
      </c>
      <c r="AA645" s="4">
        <f>IF($S645=Lookups!$B$113,VLOOKUP(L645,'Points Table C'!A$3:$E$11,5),VLOOKUP(U645,'Points Table C'!B$3:$E$11,4))</f>
        <v>0</v>
      </c>
      <c r="AB645" s="4" t="e">
        <f>IF($Q645=1,0,VLOOKUP($J645,'Points Table C'!$C$3:$E$18,3))</f>
        <v>#N/A</v>
      </c>
      <c r="AC645" s="4">
        <f>VLOOKUP($K645,'Points Table C'!$D$3:$E$18,2)</f>
        <v>0</v>
      </c>
      <c r="AD645" s="4" t="e">
        <f>IF($Z645&lt;Lookups!$C$106,($AA645+AB645+AC645),IF($AA645&gt;=Lookups!$C$120,($AA645+AB645+AC645),$AA645+$AB645))</f>
        <v>#N/A</v>
      </c>
      <c r="AF645" s="7"/>
      <c r="AG645" s="7"/>
      <c r="AH645" s="7"/>
      <c r="AI645" s="7"/>
      <c r="AJ645" s="7"/>
      <c r="AK645" s="7"/>
      <c r="AL645" s="7"/>
      <c r="AM645" s="7"/>
      <c r="AN645" s="7"/>
      <c r="AO645" s="7"/>
      <c r="AP645" s="7"/>
      <c r="AQ645" s="7"/>
      <c r="AR645" s="7"/>
      <c r="AS645" s="7"/>
      <c r="AT645" s="7"/>
      <c r="AU645" s="7"/>
      <c r="AV645" s="7"/>
      <c r="AW645" s="7"/>
      <c r="AY645" s="7"/>
      <c r="AZ645" s="7"/>
      <c r="BA645" s="7"/>
      <c r="BB645" s="7"/>
    </row>
    <row r="646" spans="2:54" x14ac:dyDescent="0.2">
      <c r="B646" s="174"/>
      <c r="C646" s="176"/>
      <c r="F646" s="5">
        <v>0</v>
      </c>
      <c r="G646" s="192">
        <v>0</v>
      </c>
      <c r="H646" s="192">
        <v>0</v>
      </c>
      <c r="I646" s="5">
        <v>0</v>
      </c>
      <c r="J646" s="192">
        <v>0</v>
      </c>
      <c r="K646" s="192">
        <v>0</v>
      </c>
      <c r="L646" s="5">
        <v>0</v>
      </c>
      <c r="M646" s="5">
        <v>0</v>
      </c>
      <c r="N646" s="4" t="e">
        <f t="shared" si="56"/>
        <v>#N/A</v>
      </c>
      <c r="O646" s="4" t="e">
        <f>IF(ROUND(10.499-(((N646-VLOOKUP($C646,Lookups!$A$55:$D$64,3))/(VLOOKUP($C646,Lookups!$A$55:$D$64,4))*VLOOKUP($C646,Lookups!$C$2:$D$11,2))),0)&lt;1,1,IF(ROUND(10.499-(((N646-VLOOKUP($C646,Lookups!$A$55:$D$64,3))/(VLOOKUP($C646,Lookups!$A$55:$D$64,4))*VLOOKUP($C646,Lookups!$C$2:$D$11,2))),0)&lt;11,ROUND(10.499-(((N646-VLOOKUP($C646,Lookups!$A$55:$D$64,3))/(VLOOKUP($C646,Lookups!$A$55:$D$64,4))*VLOOKUP($C646,Lookups!$C$2:$D$11,2))),0),10))</f>
        <v>#N/A</v>
      </c>
      <c r="P646" s="13" t="str">
        <f>IF((SUM(F646:M646)=0),"J",VLOOKUP(O646,Lookups!$A$1:$B$11,2))</f>
        <v>J</v>
      </c>
      <c r="Q646" s="8" t="e">
        <f>VLOOKUP(C646,Lookups!$A$136:$C$144,3)</f>
        <v>#N/A</v>
      </c>
      <c r="R646" s="8" t="e">
        <f>VLOOKUP(C646,Lookups!$A$136:$C$144,2)</f>
        <v>#N/A</v>
      </c>
      <c r="S646" s="4" t="str">
        <f t="shared" si="52"/>
        <v>No</v>
      </c>
      <c r="T646" s="125">
        <f t="shared" si="53"/>
        <v>0</v>
      </c>
      <c r="U646" s="125">
        <f t="shared" si="54"/>
        <v>0</v>
      </c>
      <c r="V646" s="4" t="e">
        <f>IF($Q646&lt;&gt;3,VLOOKUP(F646,'Points Table A'!B$3:$F$33,5),VLOOKUP(F646,'Points Table A'!H$3:$L$33,5))</f>
        <v>#N/A</v>
      </c>
      <c r="W646" s="4" t="e">
        <f>IF($Q646&lt;&gt;3,VLOOKUP(G646,'Points Table A'!C$3:$F$33,4),VLOOKUP(G646,'Points Table A'!I$3:$L$33,4))</f>
        <v>#N/A</v>
      </c>
      <c r="X646" s="4" t="e">
        <f>IF($Q646&lt;&gt;3,VLOOKUP(H646,'Points Table A'!D$3:$F$28,3),VLOOKUP(H646,'Points Table A'!J$3:$L$33,3))</f>
        <v>#N/A</v>
      </c>
      <c r="Y646" s="4" t="e">
        <f>IF($Q646&lt;&gt;3,VLOOKUP(I646,'Points Table A'!E$3:$F$33,2),VLOOKUP(I646,'Points Table A'!K$3:$L$33,2))</f>
        <v>#N/A</v>
      </c>
      <c r="Z646" s="4" t="e">
        <f t="shared" si="55"/>
        <v>#N/A</v>
      </c>
      <c r="AA646" s="4">
        <f>IF($S646=Lookups!$B$113,VLOOKUP(L646,'Points Table C'!A$3:$E$11,5),VLOOKUP(U646,'Points Table C'!B$3:$E$11,4))</f>
        <v>0</v>
      </c>
      <c r="AB646" s="4" t="e">
        <f>IF($Q646=1,0,VLOOKUP($J646,'Points Table C'!$C$3:$E$18,3))</f>
        <v>#N/A</v>
      </c>
      <c r="AC646" s="4">
        <f>VLOOKUP($K646,'Points Table C'!$D$3:$E$18,2)</f>
        <v>0</v>
      </c>
      <c r="AD646" s="4" t="e">
        <f>IF($Z646&lt;Lookups!$C$106,($AA646+AB646+AC646),IF($AA646&gt;=Lookups!$C$120,($AA646+AB646+AC646),$AA646+$AB646))</f>
        <v>#N/A</v>
      </c>
      <c r="AF646" s="7"/>
      <c r="AG646" s="7"/>
      <c r="AH646" s="7"/>
      <c r="AI646" s="7"/>
      <c r="AJ646" s="7"/>
      <c r="AK646" s="7"/>
      <c r="AL646" s="7"/>
      <c r="AM646" s="7"/>
      <c r="AN646" s="7"/>
      <c r="AO646" s="7"/>
      <c r="AP646" s="7"/>
      <c r="AQ646" s="7"/>
      <c r="AR646" s="7"/>
      <c r="AS646" s="7"/>
      <c r="AT646" s="7"/>
      <c r="AU646" s="7"/>
      <c r="AV646" s="7"/>
      <c r="AW646" s="7"/>
      <c r="AY646" s="7"/>
      <c r="AZ646" s="7"/>
      <c r="BA646" s="7"/>
      <c r="BB646" s="7"/>
    </row>
    <row r="647" spans="2:54" x14ac:dyDescent="0.2">
      <c r="B647" s="174"/>
      <c r="C647" s="176"/>
      <c r="F647" s="5">
        <v>0</v>
      </c>
      <c r="G647" s="192">
        <v>0</v>
      </c>
      <c r="H647" s="192">
        <v>0</v>
      </c>
      <c r="I647" s="5">
        <v>0</v>
      </c>
      <c r="J647" s="192">
        <v>0</v>
      </c>
      <c r="K647" s="192">
        <v>0</v>
      </c>
      <c r="L647" s="5">
        <v>0</v>
      </c>
      <c r="M647" s="5">
        <v>0</v>
      </c>
      <c r="N647" s="4" t="e">
        <f t="shared" si="56"/>
        <v>#N/A</v>
      </c>
      <c r="O647" s="4" t="e">
        <f>IF(ROUND(10.499-(((N647-VLOOKUP($C647,Lookups!$A$55:$D$64,3))/(VLOOKUP($C647,Lookups!$A$55:$D$64,4))*VLOOKUP($C647,Lookups!$C$2:$D$11,2))),0)&lt;1,1,IF(ROUND(10.499-(((N647-VLOOKUP($C647,Lookups!$A$55:$D$64,3))/(VLOOKUP($C647,Lookups!$A$55:$D$64,4))*VLOOKUP($C647,Lookups!$C$2:$D$11,2))),0)&lt;11,ROUND(10.499-(((N647-VLOOKUP($C647,Lookups!$A$55:$D$64,3))/(VLOOKUP($C647,Lookups!$A$55:$D$64,4))*VLOOKUP($C647,Lookups!$C$2:$D$11,2))),0),10))</f>
        <v>#N/A</v>
      </c>
      <c r="P647" s="13" t="str">
        <f>IF((SUM(F647:M647)=0),"J",VLOOKUP(O647,Lookups!$A$1:$B$11,2))</f>
        <v>J</v>
      </c>
      <c r="Q647" s="8" t="e">
        <f>VLOOKUP(C647,Lookups!$A$136:$C$144,3)</f>
        <v>#N/A</v>
      </c>
      <c r="R647" s="8" t="e">
        <f>VLOOKUP(C647,Lookups!$A$136:$C$144,2)</f>
        <v>#N/A</v>
      </c>
      <c r="S647" s="4" t="str">
        <f t="shared" si="52"/>
        <v>No</v>
      </c>
      <c r="T647" s="125">
        <f t="shared" si="53"/>
        <v>0</v>
      </c>
      <c r="U647" s="125">
        <f t="shared" si="54"/>
        <v>0</v>
      </c>
      <c r="V647" s="4" t="e">
        <f>IF($Q647&lt;&gt;3,VLOOKUP(F647,'Points Table A'!B$3:$F$33,5),VLOOKUP(F647,'Points Table A'!H$3:$L$33,5))</f>
        <v>#N/A</v>
      </c>
      <c r="W647" s="4" t="e">
        <f>IF($Q647&lt;&gt;3,VLOOKUP(G647,'Points Table A'!C$3:$F$33,4),VLOOKUP(G647,'Points Table A'!I$3:$L$33,4))</f>
        <v>#N/A</v>
      </c>
      <c r="X647" s="4" t="e">
        <f>IF($Q647&lt;&gt;3,VLOOKUP(H647,'Points Table A'!D$3:$F$28,3),VLOOKUP(H647,'Points Table A'!J$3:$L$33,3))</f>
        <v>#N/A</v>
      </c>
      <c r="Y647" s="4" t="e">
        <f>IF($Q647&lt;&gt;3,VLOOKUP(I647,'Points Table A'!E$3:$F$33,2),VLOOKUP(I647,'Points Table A'!K$3:$L$33,2))</f>
        <v>#N/A</v>
      </c>
      <c r="Z647" s="4" t="e">
        <f t="shared" si="55"/>
        <v>#N/A</v>
      </c>
      <c r="AA647" s="4">
        <f>IF($S647=Lookups!$B$113,VLOOKUP(L647,'Points Table C'!A$3:$E$11,5),VLOOKUP(U647,'Points Table C'!B$3:$E$11,4))</f>
        <v>0</v>
      </c>
      <c r="AB647" s="4" t="e">
        <f>IF($Q647=1,0,VLOOKUP($J647,'Points Table C'!$C$3:$E$18,3))</f>
        <v>#N/A</v>
      </c>
      <c r="AC647" s="4">
        <f>VLOOKUP($K647,'Points Table C'!$D$3:$E$18,2)</f>
        <v>0</v>
      </c>
      <c r="AD647" s="4" t="e">
        <f>IF($Z647&lt;Lookups!$C$106,($AA647+AB647+AC647),IF($AA647&gt;=Lookups!$C$120,($AA647+AB647+AC647),$AA647+$AB647))</f>
        <v>#N/A</v>
      </c>
      <c r="AF647" s="7"/>
      <c r="AG647" s="7"/>
      <c r="AH647" s="7"/>
      <c r="AI647" s="7"/>
      <c r="AJ647" s="7"/>
      <c r="AK647" s="7"/>
      <c r="AL647" s="7"/>
      <c r="AM647" s="7"/>
      <c r="AN647" s="7"/>
      <c r="AO647" s="7"/>
      <c r="AP647" s="7"/>
      <c r="AQ647" s="7"/>
      <c r="AR647" s="7"/>
      <c r="AS647" s="7"/>
      <c r="AT647" s="7"/>
      <c r="AU647" s="7"/>
      <c r="AV647" s="7"/>
      <c r="AW647" s="7"/>
      <c r="AY647" s="7"/>
      <c r="AZ647" s="7"/>
      <c r="BA647" s="7"/>
      <c r="BB647" s="7"/>
    </row>
    <row r="648" spans="2:54" x14ac:dyDescent="0.2">
      <c r="B648" s="174"/>
      <c r="C648" s="176"/>
      <c r="F648" s="5">
        <v>0</v>
      </c>
      <c r="G648" s="192">
        <v>0</v>
      </c>
      <c r="H648" s="192">
        <v>0</v>
      </c>
      <c r="I648" s="5">
        <v>0</v>
      </c>
      <c r="J648" s="192">
        <v>0</v>
      </c>
      <c r="K648" s="192">
        <v>0</v>
      </c>
      <c r="L648" s="5">
        <v>0</v>
      </c>
      <c r="M648" s="5">
        <v>0</v>
      </c>
      <c r="N648" s="4" t="e">
        <f t="shared" si="56"/>
        <v>#N/A</v>
      </c>
      <c r="O648" s="4" t="e">
        <f>IF(ROUND(10.499-(((N648-VLOOKUP($C648,Lookups!$A$55:$D$64,3))/(VLOOKUP($C648,Lookups!$A$55:$D$64,4))*VLOOKUP($C648,Lookups!$C$2:$D$11,2))),0)&lt;1,1,IF(ROUND(10.499-(((N648-VLOOKUP($C648,Lookups!$A$55:$D$64,3))/(VLOOKUP($C648,Lookups!$A$55:$D$64,4))*VLOOKUP($C648,Lookups!$C$2:$D$11,2))),0)&lt;11,ROUND(10.499-(((N648-VLOOKUP($C648,Lookups!$A$55:$D$64,3))/(VLOOKUP($C648,Lookups!$A$55:$D$64,4))*VLOOKUP($C648,Lookups!$C$2:$D$11,2))),0),10))</f>
        <v>#N/A</v>
      </c>
      <c r="P648" s="13" t="str">
        <f>IF((SUM(F648:M648)=0),"J",VLOOKUP(O648,Lookups!$A$1:$B$11,2))</f>
        <v>J</v>
      </c>
      <c r="Q648" s="8" t="e">
        <f>VLOOKUP(C648,Lookups!$A$136:$C$144,3)</f>
        <v>#N/A</v>
      </c>
      <c r="R648" s="8" t="e">
        <f>VLOOKUP(C648,Lookups!$A$136:$C$144,2)</f>
        <v>#N/A</v>
      </c>
      <c r="S648" s="4" t="str">
        <f t="shared" si="52"/>
        <v>No</v>
      </c>
      <c r="T648" s="125">
        <f t="shared" si="53"/>
        <v>0</v>
      </c>
      <c r="U648" s="125">
        <f t="shared" si="54"/>
        <v>0</v>
      </c>
      <c r="V648" s="4" t="e">
        <f>IF($Q648&lt;&gt;3,VLOOKUP(F648,'Points Table A'!B$3:$F$33,5),VLOOKUP(F648,'Points Table A'!H$3:$L$33,5))</f>
        <v>#N/A</v>
      </c>
      <c r="W648" s="4" t="e">
        <f>IF($Q648&lt;&gt;3,VLOOKUP(G648,'Points Table A'!C$3:$F$33,4),VLOOKUP(G648,'Points Table A'!I$3:$L$33,4))</f>
        <v>#N/A</v>
      </c>
      <c r="X648" s="4" t="e">
        <f>IF($Q648&lt;&gt;3,VLOOKUP(H648,'Points Table A'!D$3:$F$28,3),VLOOKUP(H648,'Points Table A'!J$3:$L$33,3))</f>
        <v>#N/A</v>
      </c>
      <c r="Y648" s="4" t="e">
        <f>IF($Q648&lt;&gt;3,VLOOKUP(I648,'Points Table A'!E$3:$F$33,2),VLOOKUP(I648,'Points Table A'!K$3:$L$33,2))</f>
        <v>#N/A</v>
      </c>
      <c r="Z648" s="4" t="e">
        <f t="shared" si="55"/>
        <v>#N/A</v>
      </c>
      <c r="AA648" s="4">
        <f>IF($S648=Lookups!$B$113,VLOOKUP(L648,'Points Table C'!A$3:$E$11,5),VLOOKUP(U648,'Points Table C'!B$3:$E$11,4))</f>
        <v>0</v>
      </c>
      <c r="AB648" s="4" t="e">
        <f>IF($Q648=1,0,VLOOKUP($J648,'Points Table C'!$C$3:$E$18,3))</f>
        <v>#N/A</v>
      </c>
      <c r="AC648" s="4">
        <f>VLOOKUP($K648,'Points Table C'!$D$3:$E$18,2)</f>
        <v>0</v>
      </c>
      <c r="AD648" s="4" t="e">
        <f>IF($Z648&lt;Lookups!$C$106,($AA648+AB648+AC648),IF($AA648&gt;=Lookups!$C$120,($AA648+AB648+AC648),$AA648+$AB648))</f>
        <v>#N/A</v>
      </c>
      <c r="AF648" s="7"/>
      <c r="AG648" s="7"/>
      <c r="AH648" s="7"/>
      <c r="AI648" s="7"/>
      <c r="AJ648" s="7"/>
      <c r="AK648" s="7"/>
      <c r="AL648" s="7"/>
      <c r="AM648" s="7"/>
      <c r="AN648" s="7"/>
      <c r="AO648" s="7"/>
      <c r="AP648" s="7"/>
      <c r="AQ648" s="7"/>
      <c r="AR648" s="7"/>
      <c r="AS648" s="7"/>
      <c r="AT648" s="7"/>
      <c r="AU648" s="7"/>
      <c r="AV648" s="7"/>
      <c r="AW648" s="7"/>
      <c r="AY648" s="7"/>
      <c r="AZ648" s="7"/>
      <c r="BA648" s="7"/>
      <c r="BB648" s="7"/>
    </row>
    <row r="649" spans="2:54" x14ac:dyDescent="0.2">
      <c r="B649" s="174"/>
      <c r="C649" s="176"/>
      <c r="F649" s="5">
        <v>0</v>
      </c>
      <c r="G649" s="192">
        <v>0</v>
      </c>
      <c r="H649" s="192">
        <v>0</v>
      </c>
      <c r="I649" s="5">
        <v>0</v>
      </c>
      <c r="J649" s="192">
        <v>0</v>
      </c>
      <c r="K649" s="192">
        <v>0</v>
      </c>
      <c r="L649" s="5">
        <v>0</v>
      </c>
      <c r="M649" s="5">
        <v>0</v>
      </c>
      <c r="N649" s="4" t="e">
        <f t="shared" si="56"/>
        <v>#N/A</v>
      </c>
      <c r="O649" s="4" t="e">
        <f>IF(ROUND(10.499-(((N649-VLOOKUP($C649,Lookups!$A$55:$D$64,3))/(VLOOKUP($C649,Lookups!$A$55:$D$64,4))*VLOOKUP($C649,Lookups!$C$2:$D$11,2))),0)&lt;1,1,IF(ROUND(10.499-(((N649-VLOOKUP($C649,Lookups!$A$55:$D$64,3))/(VLOOKUP($C649,Lookups!$A$55:$D$64,4))*VLOOKUP($C649,Lookups!$C$2:$D$11,2))),0)&lt;11,ROUND(10.499-(((N649-VLOOKUP($C649,Lookups!$A$55:$D$64,3))/(VLOOKUP($C649,Lookups!$A$55:$D$64,4))*VLOOKUP($C649,Lookups!$C$2:$D$11,2))),0),10))</f>
        <v>#N/A</v>
      </c>
      <c r="P649" s="13" t="str">
        <f>IF((SUM(F649:M649)=0),"J",VLOOKUP(O649,Lookups!$A$1:$B$11,2))</f>
        <v>J</v>
      </c>
      <c r="Q649" s="8" t="e">
        <f>VLOOKUP(C649,Lookups!$A$136:$C$144,3)</f>
        <v>#N/A</v>
      </c>
      <c r="R649" s="8" t="e">
        <f>VLOOKUP(C649,Lookups!$A$136:$C$144,2)</f>
        <v>#N/A</v>
      </c>
      <c r="S649" s="4" t="str">
        <f t="shared" si="52"/>
        <v>No</v>
      </c>
      <c r="T649" s="125">
        <f t="shared" si="53"/>
        <v>0</v>
      </c>
      <c r="U649" s="125">
        <f t="shared" si="54"/>
        <v>0</v>
      </c>
      <c r="V649" s="4" t="e">
        <f>IF($Q649&lt;&gt;3,VLOOKUP(F649,'Points Table A'!B$3:$F$33,5),VLOOKUP(F649,'Points Table A'!H$3:$L$33,5))</f>
        <v>#N/A</v>
      </c>
      <c r="W649" s="4" t="e">
        <f>IF($Q649&lt;&gt;3,VLOOKUP(G649,'Points Table A'!C$3:$F$33,4),VLOOKUP(G649,'Points Table A'!I$3:$L$33,4))</f>
        <v>#N/A</v>
      </c>
      <c r="X649" s="4" t="e">
        <f>IF($Q649&lt;&gt;3,VLOOKUP(H649,'Points Table A'!D$3:$F$28,3),VLOOKUP(H649,'Points Table A'!J$3:$L$33,3))</f>
        <v>#N/A</v>
      </c>
      <c r="Y649" s="4" t="e">
        <f>IF($Q649&lt;&gt;3,VLOOKUP(I649,'Points Table A'!E$3:$F$33,2),VLOOKUP(I649,'Points Table A'!K$3:$L$33,2))</f>
        <v>#N/A</v>
      </c>
      <c r="Z649" s="4" t="e">
        <f t="shared" si="55"/>
        <v>#N/A</v>
      </c>
      <c r="AA649" s="4">
        <f>IF($S649=Lookups!$B$113,VLOOKUP(L649,'Points Table C'!A$3:$E$11,5),VLOOKUP(U649,'Points Table C'!B$3:$E$11,4))</f>
        <v>0</v>
      </c>
      <c r="AB649" s="4" t="e">
        <f>IF($Q649=1,0,VLOOKUP($J649,'Points Table C'!$C$3:$E$18,3))</f>
        <v>#N/A</v>
      </c>
      <c r="AC649" s="4">
        <f>VLOOKUP($K649,'Points Table C'!$D$3:$E$18,2)</f>
        <v>0</v>
      </c>
      <c r="AD649" s="4" t="e">
        <f>IF($Z649&lt;Lookups!$C$106,($AA649+AB649+AC649),IF($AA649&gt;=Lookups!$C$120,($AA649+AB649+AC649),$AA649+$AB649))</f>
        <v>#N/A</v>
      </c>
      <c r="AF649" s="7"/>
      <c r="AG649" s="7"/>
      <c r="AH649" s="7"/>
      <c r="AI649" s="7"/>
      <c r="AJ649" s="7"/>
      <c r="AK649" s="7"/>
      <c r="AL649" s="7"/>
      <c r="AM649" s="7"/>
      <c r="AN649" s="7"/>
      <c r="AO649" s="7"/>
      <c r="AP649" s="7"/>
      <c r="AQ649" s="7"/>
      <c r="AR649" s="7"/>
      <c r="AS649" s="7"/>
      <c r="AT649" s="7"/>
      <c r="AU649" s="7"/>
      <c r="AV649" s="7"/>
      <c r="AW649" s="7"/>
      <c r="AY649" s="7"/>
      <c r="AZ649" s="7"/>
      <c r="BA649" s="7"/>
      <c r="BB649" s="7"/>
    </row>
    <row r="650" spans="2:54" x14ac:dyDescent="0.2">
      <c r="B650" s="174"/>
      <c r="C650" s="176"/>
      <c r="F650" s="5">
        <v>0</v>
      </c>
      <c r="G650" s="192">
        <v>0</v>
      </c>
      <c r="H650" s="192">
        <v>0</v>
      </c>
      <c r="I650" s="5">
        <v>0</v>
      </c>
      <c r="J650" s="192">
        <v>0</v>
      </c>
      <c r="K650" s="192">
        <v>0</v>
      </c>
      <c r="L650" s="5">
        <v>0</v>
      </c>
      <c r="M650" s="5">
        <v>0</v>
      </c>
      <c r="N650" s="4" t="e">
        <f t="shared" si="56"/>
        <v>#N/A</v>
      </c>
      <c r="O650" s="4" t="e">
        <f>IF(ROUND(10.499-(((N650-VLOOKUP($C650,Lookups!$A$55:$D$64,3))/(VLOOKUP($C650,Lookups!$A$55:$D$64,4))*VLOOKUP($C650,Lookups!$C$2:$D$11,2))),0)&lt;1,1,IF(ROUND(10.499-(((N650-VLOOKUP($C650,Lookups!$A$55:$D$64,3))/(VLOOKUP($C650,Lookups!$A$55:$D$64,4))*VLOOKUP($C650,Lookups!$C$2:$D$11,2))),0)&lt;11,ROUND(10.499-(((N650-VLOOKUP($C650,Lookups!$A$55:$D$64,3))/(VLOOKUP($C650,Lookups!$A$55:$D$64,4))*VLOOKUP($C650,Lookups!$C$2:$D$11,2))),0),10))</f>
        <v>#N/A</v>
      </c>
      <c r="P650" s="13" t="str">
        <f>IF((SUM(F650:M650)=0),"J",VLOOKUP(O650,Lookups!$A$1:$B$11,2))</f>
        <v>J</v>
      </c>
      <c r="Q650" s="8" t="e">
        <f>VLOOKUP(C650,Lookups!$A$136:$C$144,3)</f>
        <v>#N/A</v>
      </c>
      <c r="R650" s="8" t="e">
        <f>VLOOKUP(C650,Lookups!$A$136:$C$144,2)</f>
        <v>#N/A</v>
      </c>
      <c r="S650" s="4" t="str">
        <f t="shared" si="52"/>
        <v>No</v>
      </c>
      <c r="T650" s="125">
        <f t="shared" si="53"/>
        <v>0</v>
      </c>
      <c r="U650" s="125">
        <f t="shared" si="54"/>
        <v>0</v>
      </c>
      <c r="V650" s="4" t="e">
        <f>IF($Q650&lt;&gt;3,VLOOKUP(F650,'Points Table A'!B$3:$F$33,5),VLOOKUP(F650,'Points Table A'!H$3:$L$33,5))</f>
        <v>#N/A</v>
      </c>
      <c r="W650" s="4" t="e">
        <f>IF($Q650&lt;&gt;3,VLOOKUP(G650,'Points Table A'!C$3:$F$33,4),VLOOKUP(G650,'Points Table A'!I$3:$L$33,4))</f>
        <v>#N/A</v>
      </c>
      <c r="X650" s="4" t="e">
        <f>IF($Q650&lt;&gt;3,VLOOKUP(H650,'Points Table A'!D$3:$F$28,3),VLOOKUP(H650,'Points Table A'!J$3:$L$33,3))</f>
        <v>#N/A</v>
      </c>
      <c r="Y650" s="4" t="e">
        <f>IF($Q650&lt;&gt;3,VLOOKUP(I650,'Points Table A'!E$3:$F$33,2),VLOOKUP(I650,'Points Table A'!K$3:$L$33,2))</f>
        <v>#N/A</v>
      </c>
      <c r="Z650" s="4" t="e">
        <f t="shared" si="55"/>
        <v>#N/A</v>
      </c>
      <c r="AA650" s="4">
        <f>IF($S650=Lookups!$B$113,VLOOKUP(L650,'Points Table C'!A$3:$E$11,5),VLOOKUP(U650,'Points Table C'!B$3:$E$11,4))</f>
        <v>0</v>
      </c>
      <c r="AB650" s="4" t="e">
        <f>IF($Q650=1,0,VLOOKUP($J650,'Points Table C'!$C$3:$E$18,3))</f>
        <v>#N/A</v>
      </c>
      <c r="AC650" s="4">
        <f>VLOOKUP($K650,'Points Table C'!$D$3:$E$18,2)</f>
        <v>0</v>
      </c>
      <c r="AD650" s="4" t="e">
        <f>IF($Z650&lt;Lookups!$C$106,($AA650+AB650+AC650),IF($AA650&gt;=Lookups!$C$120,($AA650+AB650+AC650),$AA650+$AB650))</f>
        <v>#N/A</v>
      </c>
      <c r="AF650" s="7"/>
      <c r="AG650" s="7"/>
      <c r="AH650" s="7"/>
      <c r="AI650" s="7"/>
      <c r="AJ650" s="7"/>
      <c r="AK650" s="7"/>
      <c r="AL650" s="7"/>
      <c r="AM650" s="7"/>
      <c r="AN650" s="7"/>
      <c r="AO650" s="7"/>
      <c r="AP650" s="7"/>
      <c r="AQ650" s="7"/>
      <c r="AR650" s="7"/>
      <c r="AS650" s="7"/>
      <c r="AT650" s="7"/>
      <c r="AU650" s="7"/>
      <c r="AV650" s="7"/>
      <c r="AW650" s="7"/>
      <c r="AY650" s="7"/>
      <c r="AZ650" s="7"/>
      <c r="BA650" s="7"/>
      <c r="BB650" s="7"/>
    </row>
    <row r="651" spans="2:54" x14ac:dyDescent="0.2">
      <c r="B651" s="174"/>
      <c r="C651" s="176"/>
      <c r="F651" s="5">
        <v>0</v>
      </c>
      <c r="G651" s="192">
        <v>0</v>
      </c>
      <c r="H651" s="192">
        <v>0</v>
      </c>
      <c r="I651" s="5">
        <v>0</v>
      </c>
      <c r="J651" s="192">
        <v>0</v>
      </c>
      <c r="K651" s="192">
        <v>0</v>
      </c>
      <c r="L651" s="5">
        <v>0</v>
      </c>
      <c r="M651" s="5">
        <v>0</v>
      </c>
      <c r="N651" s="4" t="e">
        <f t="shared" si="56"/>
        <v>#N/A</v>
      </c>
      <c r="O651" s="4" t="e">
        <f>IF(ROUND(10.499-(((N651-VLOOKUP($C651,Lookups!$A$55:$D$64,3))/(VLOOKUP($C651,Lookups!$A$55:$D$64,4))*VLOOKUP($C651,Lookups!$C$2:$D$11,2))),0)&lt;1,1,IF(ROUND(10.499-(((N651-VLOOKUP($C651,Lookups!$A$55:$D$64,3))/(VLOOKUP($C651,Lookups!$A$55:$D$64,4))*VLOOKUP($C651,Lookups!$C$2:$D$11,2))),0)&lt;11,ROUND(10.499-(((N651-VLOOKUP($C651,Lookups!$A$55:$D$64,3))/(VLOOKUP($C651,Lookups!$A$55:$D$64,4))*VLOOKUP($C651,Lookups!$C$2:$D$11,2))),0),10))</f>
        <v>#N/A</v>
      </c>
      <c r="P651" s="13" t="str">
        <f>IF((SUM(F651:M651)=0),"J",VLOOKUP(O651,Lookups!$A$1:$B$11,2))</f>
        <v>J</v>
      </c>
      <c r="Q651" s="8" t="e">
        <f>VLOOKUP(C651,Lookups!$A$136:$C$144,3)</f>
        <v>#N/A</v>
      </c>
      <c r="R651" s="8" t="e">
        <f>VLOOKUP(C651,Lookups!$A$136:$C$144,2)</f>
        <v>#N/A</v>
      </c>
      <c r="S651" s="4" t="str">
        <f t="shared" si="52"/>
        <v>No</v>
      </c>
      <c r="T651" s="125">
        <f t="shared" si="53"/>
        <v>0</v>
      </c>
      <c r="U651" s="125">
        <f t="shared" si="54"/>
        <v>0</v>
      </c>
      <c r="V651" s="4" t="e">
        <f>IF($Q651&lt;&gt;3,VLOOKUP(F651,'Points Table A'!B$3:$F$33,5),VLOOKUP(F651,'Points Table A'!H$3:$L$33,5))</f>
        <v>#N/A</v>
      </c>
      <c r="W651" s="4" t="e">
        <f>IF($Q651&lt;&gt;3,VLOOKUP(G651,'Points Table A'!C$3:$F$33,4),VLOOKUP(G651,'Points Table A'!I$3:$L$33,4))</f>
        <v>#N/A</v>
      </c>
      <c r="X651" s="4" t="e">
        <f>IF($Q651&lt;&gt;3,VLOOKUP(H651,'Points Table A'!D$3:$F$28,3),VLOOKUP(H651,'Points Table A'!J$3:$L$33,3))</f>
        <v>#N/A</v>
      </c>
      <c r="Y651" s="4" t="e">
        <f>IF($Q651&lt;&gt;3,VLOOKUP(I651,'Points Table A'!E$3:$F$33,2),VLOOKUP(I651,'Points Table A'!K$3:$L$33,2))</f>
        <v>#N/A</v>
      </c>
      <c r="Z651" s="4" t="e">
        <f t="shared" si="55"/>
        <v>#N/A</v>
      </c>
      <c r="AA651" s="4">
        <f>IF($S651=Lookups!$B$113,VLOOKUP(L651,'Points Table C'!A$3:$E$11,5),VLOOKUP(U651,'Points Table C'!B$3:$E$11,4))</f>
        <v>0</v>
      </c>
      <c r="AB651" s="4" t="e">
        <f>IF($Q651=1,0,VLOOKUP($J651,'Points Table C'!$C$3:$E$18,3))</f>
        <v>#N/A</v>
      </c>
      <c r="AC651" s="4">
        <f>VLOOKUP($K651,'Points Table C'!$D$3:$E$18,2)</f>
        <v>0</v>
      </c>
      <c r="AD651" s="4" t="e">
        <f>IF($Z651&lt;Lookups!$C$106,($AA651+AB651+AC651),IF($AA651&gt;=Lookups!$C$120,($AA651+AB651+AC651),$AA651+$AB651))</f>
        <v>#N/A</v>
      </c>
      <c r="AF651" s="7"/>
      <c r="AG651" s="7"/>
      <c r="AH651" s="7"/>
      <c r="AI651" s="7"/>
      <c r="AJ651" s="7"/>
      <c r="AK651" s="7"/>
      <c r="AL651" s="7"/>
      <c r="AM651" s="7"/>
      <c r="AN651" s="7"/>
      <c r="AO651" s="7"/>
      <c r="AP651" s="7"/>
      <c r="AQ651" s="7"/>
      <c r="AR651" s="7"/>
      <c r="AS651" s="7"/>
      <c r="AT651" s="7"/>
      <c r="AU651" s="7"/>
      <c r="AV651" s="7"/>
      <c r="AW651" s="7"/>
      <c r="AY651" s="7"/>
      <c r="AZ651" s="7"/>
      <c r="BA651" s="7"/>
      <c r="BB651" s="7"/>
    </row>
    <row r="652" spans="2:54" x14ac:dyDescent="0.2">
      <c r="B652" s="174"/>
      <c r="C652" s="176"/>
      <c r="F652" s="5">
        <v>0</v>
      </c>
      <c r="G652" s="192">
        <v>0</v>
      </c>
      <c r="H652" s="192">
        <v>0</v>
      </c>
      <c r="I652" s="5">
        <v>0</v>
      </c>
      <c r="J652" s="192">
        <v>0</v>
      </c>
      <c r="K652" s="192">
        <v>0</v>
      </c>
      <c r="L652" s="5">
        <v>0</v>
      </c>
      <c r="M652" s="5">
        <v>0</v>
      </c>
      <c r="N652" s="4" t="e">
        <f t="shared" si="56"/>
        <v>#N/A</v>
      </c>
      <c r="O652" s="4" t="e">
        <f>IF(ROUND(10.499-(((N652-VLOOKUP($C652,Lookups!$A$55:$D$64,3))/(VLOOKUP($C652,Lookups!$A$55:$D$64,4))*VLOOKUP($C652,Lookups!$C$2:$D$11,2))),0)&lt;1,1,IF(ROUND(10.499-(((N652-VLOOKUP($C652,Lookups!$A$55:$D$64,3))/(VLOOKUP($C652,Lookups!$A$55:$D$64,4))*VLOOKUP($C652,Lookups!$C$2:$D$11,2))),0)&lt;11,ROUND(10.499-(((N652-VLOOKUP($C652,Lookups!$A$55:$D$64,3))/(VLOOKUP($C652,Lookups!$A$55:$D$64,4))*VLOOKUP($C652,Lookups!$C$2:$D$11,2))),0),10))</f>
        <v>#N/A</v>
      </c>
      <c r="P652" s="13" t="str">
        <f>IF((SUM(F652:M652)=0),"J",VLOOKUP(O652,Lookups!$A$1:$B$11,2))</f>
        <v>J</v>
      </c>
      <c r="Q652" s="8" t="e">
        <f>VLOOKUP(C652,Lookups!$A$136:$C$144,3)</f>
        <v>#N/A</v>
      </c>
      <c r="R652" s="8" t="e">
        <f>VLOOKUP(C652,Lookups!$A$136:$C$144,2)</f>
        <v>#N/A</v>
      </c>
      <c r="S652" s="4" t="str">
        <f t="shared" si="52"/>
        <v>No</v>
      </c>
      <c r="T652" s="125">
        <f t="shared" si="53"/>
        <v>0</v>
      </c>
      <c r="U652" s="125">
        <f t="shared" si="54"/>
        <v>0</v>
      </c>
      <c r="V652" s="4" t="e">
        <f>IF($Q652&lt;&gt;3,VLOOKUP(F652,'Points Table A'!B$3:$F$33,5),VLOOKUP(F652,'Points Table A'!H$3:$L$33,5))</f>
        <v>#N/A</v>
      </c>
      <c r="W652" s="4" t="e">
        <f>IF($Q652&lt;&gt;3,VLOOKUP(G652,'Points Table A'!C$3:$F$33,4),VLOOKUP(G652,'Points Table A'!I$3:$L$33,4))</f>
        <v>#N/A</v>
      </c>
      <c r="X652" s="4" t="e">
        <f>IF($Q652&lt;&gt;3,VLOOKUP(H652,'Points Table A'!D$3:$F$28,3),VLOOKUP(H652,'Points Table A'!J$3:$L$33,3))</f>
        <v>#N/A</v>
      </c>
      <c r="Y652" s="4" t="e">
        <f>IF($Q652&lt;&gt;3,VLOOKUP(I652,'Points Table A'!E$3:$F$33,2),VLOOKUP(I652,'Points Table A'!K$3:$L$33,2))</f>
        <v>#N/A</v>
      </c>
      <c r="Z652" s="4" t="e">
        <f t="shared" si="55"/>
        <v>#N/A</v>
      </c>
      <c r="AA652" s="4">
        <f>IF($S652=Lookups!$B$113,VLOOKUP(L652,'Points Table C'!A$3:$E$11,5),VLOOKUP(U652,'Points Table C'!B$3:$E$11,4))</f>
        <v>0</v>
      </c>
      <c r="AB652" s="4" t="e">
        <f>IF($Q652=1,0,VLOOKUP($J652,'Points Table C'!$C$3:$E$18,3))</f>
        <v>#N/A</v>
      </c>
      <c r="AC652" s="4">
        <f>VLOOKUP($K652,'Points Table C'!$D$3:$E$18,2)</f>
        <v>0</v>
      </c>
      <c r="AD652" s="4" t="e">
        <f>IF($Z652&lt;Lookups!$C$106,($AA652+AB652+AC652),IF($AA652&gt;=Lookups!$C$120,($AA652+AB652+AC652),$AA652+$AB652))</f>
        <v>#N/A</v>
      </c>
      <c r="AF652" s="7"/>
      <c r="AG652" s="7"/>
      <c r="AH652" s="7"/>
      <c r="AI652" s="7"/>
      <c r="AJ652" s="7"/>
      <c r="AK652" s="7"/>
      <c r="AL652" s="7"/>
      <c r="AM652" s="7"/>
      <c r="AN652" s="7"/>
      <c r="AO652" s="7"/>
      <c r="AP652" s="7"/>
      <c r="AQ652" s="7"/>
      <c r="AR652" s="7"/>
      <c r="AS652" s="7"/>
      <c r="AT652" s="7"/>
      <c r="AU652" s="7"/>
      <c r="AV652" s="7"/>
      <c r="AW652" s="7"/>
      <c r="AY652" s="7"/>
      <c r="AZ652" s="7"/>
      <c r="BA652" s="7"/>
      <c r="BB652" s="7"/>
    </row>
    <row r="653" spans="2:54" x14ac:dyDescent="0.2">
      <c r="B653" s="174"/>
      <c r="C653" s="176"/>
      <c r="F653" s="5">
        <v>0</v>
      </c>
      <c r="G653" s="192">
        <v>0</v>
      </c>
      <c r="H653" s="192">
        <v>0</v>
      </c>
      <c r="I653" s="5">
        <v>0</v>
      </c>
      <c r="J653" s="192">
        <v>0</v>
      </c>
      <c r="K653" s="192">
        <v>0</v>
      </c>
      <c r="L653" s="5">
        <v>0</v>
      </c>
      <c r="M653" s="5">
        <v>0</v>
      </c>
      <c r="N653" s="4" t="e">
        <f t="shared" si="56"/>
        <v>#N/A</v>
      </c>
      <c r="O653" s="4" t="e">
        <f>IF(ROUND(10.499-(((N653-VLOOKUP($C653,Lookups!$A$55:$D$64,3))/(VLOOKUP($C653,Lookups!$A$55:$D$64,4))*VLOOKUP($C653,Lookups!$C$2:$D$11,2))),0)&lt;1,1,IF(ROUND(10.499-(((N653-VLOOKUP($C653,Lookups!$A$55:$D$64,3))/(VLOOKUP($C653,Lookups!$A$55:$D$64,4))*VLOOKUP($C653,Lookups!$C$2:$D$11,2))),0)&lt;11,ROUND(10.499-(((N653-VLOOKUP($C653,Lookups!$A$55:$D$64,3))/(VLOOKUP($C653,Lookups!$A$55:$D$64,4))*VLOOKUP($C653,Lookups!$C$2:$D$11,2))),0),10))</f>
        <v>#N/A</v>
      </c>
      <c r="P653" s="13" t="str">
        <f>IF((SUM(F653:M653)=0),"J",VLOOKUP(O653,Lookups!$A$1:$B$11,2))</f>
        <v>J</v>
      </c>
      <c r="Q653" s="8" t="e">
        <f>VLOOKUP(C653,Lookups!$A$136:$C$144,3)</f>
        <v>#N/A</v>
      </c>
      <c r="R653" s="8" t="e">
        <f>VLOOKUP(C653,Lookups!$A$136:$C$144,2)</f>
        <v>#N/A</v>
      </c>
      <c r="S653" s="4" t="str">
        <f t="shared" si="52"/>
        <v>No</v>
      </c>
      <c r="T653" s="125">
        <f t="shared" si="53"/>
        <v>0</v>
      </c>
      <c r="U653" s="125">
        <f t="shared" si="54"/>
        <v>0</v>
      </c>
      <c r="V653" s="4" t="e">
        <f>IF($Q653&lt;&gt;3,VLOOKUP(F653,'Points Table A'!B$3:$F$33,5),VLOOKUP(F653,'Points Table A'!H$3:$L$33,5))</f>
        <v>#N/A</v>
      </c>
      <c r="W653" s="4" t="e">
        <f>IF($Q653&lt;&gt;3,VLOOKUP(G653,'Points Table A'!C$3:$F$33,4),VLOOKUP(G653,'Points Table A'!I$3:$L$33,4))</f>
        <v>#N/A</v>
      </c>
      <c r="X653" s="4" t="e">
        <f>IF($Q653&lt;&gt;3,VLOOKUP(H653,'Points Table A'!D$3:$F$28,3),VLOOKUP(H653,'Points Table A'!J$3:$L$33,3))</f>
        <v>#N/A</v>
      </c>
      <c r="Y653" s="4" t="e">
        <f>IF($Q653&lt;&gt;3,VLOOKUP(I653,'Points Table A'!E$3:$F$33,2),VLOOKUP(I653,'Points Table A'!K$3:$L$33,2))</f>
        <v>#N/A</v>
      </c>
      <c r="Z653" s="4" t="e">
        <f t="shared" si="55"/>
        <v>#N/A</v>
      </c>
      <c r="AA653" s="4">
        <f>IF($S653=Lookups!$B$113,VLOOKUP(L653,'Points Table C'!A$3:$E$11,5),VLOOKUP(U653,'Points Table C'!B$3:$E$11,4))</f>
        <v>0</v>
      </c>
      <c r="AB653" s="4" t="e">
        <f>IF($Q653=1,0,VLOOKUP($J653,'Points Table C'!$C$3:$E$18,3))</f>
        <v>#N/A</v>
      </c>
      <c r="AC653" s="4">
        <f>VLOOKUP($K653,'Points Table C'!$D$3:$E$18,2)</f>
        <v>0</v>
      </c>
      <c r="AD653" s="4" t="e">
        <f>IF($Z653&lt;Lookups!$C$106,($AA653+AB653+AC653),IF($AA653&gt;=Lookups!$C$120,($AA653+AB653+AC653),$AA653+$AB653))</f>
        <v>#N/A</v>
      </c>
      <c r="AF653" s="7"/>
      <c r="AG653" s="7"/>
      <c r="AH653" s="7"/>
      <c r="AI653" s="7"/>
      <c r="AJ653" s="7"/>
      <c r="AK653" s="7"/>
      <c r="AL653" s="7"/>
      <c r="AM653" s="7"/>
      <c r="AN653" s="7"/>
      <c r="AO653" s="7"/>
      <c r="AP653" s="7"/>
      <c r="AQ653" s="7"/>
      <c r="AR653" s="7"/>
      <c r="AS653" s="7"/>
      <c r="AT653" s="7"/>
      <c r="AU653" s="7"/>
      <c r="AV653" s="7"/>
      <c r="AW653" s="7"/>
      <c r="AY653" s="7"/>
      <c r="AZ653" s="7"/>
      <c r="BA653" s="7"/>
      <c r="BB653" s="7"/>
    </row>
    <row r="654" spans="2:54" x14ac:dyDescent="0.2">
      <c r="B654" s="174"/>
      <c r="C654" s="176"/>
      <c r="F654" s="5">
        <v>0</v>
      </c>
      <c r="G654" s="192">
        <v>0</v>
      </c>
      <c r="H654" s="192">
        <v>0</v>
      </c>
      <c r="I654" s="5">
        <v>0</v>
      </c>
      <c r="J654" s="192">
        <v>0</v>
      </c>
      <c r="K654" s="192">
        <v>0</v>
      </c>
      <c r="L654" s="5">
        <v>0</v>
      </c>
      <c r="M654" s="5">
        <v>0</v>
      </c>
      <c r="N654" s="4" t="e">
        <f t="shared" si="56"/>
        <v>#N/A</v>
      </c>
      <c r="O654" s="4" t="e">
        <f>IF(ROUND(10.499-(((N654-VLOOKUP($C654,Lookups!$A$55:$D$64,3))/(VLOOKUP($C654,Lookups!$A$55:$D$64,4))*VLOOKUP($C654,Lookups!$C$2:$D$11,2))),0)&lt;1,1,IF(ROUND(10.499-(((N654-VLOOKUP($C654,Lookups!$A$55:$D$64,3))/(VLOOKUP($C654,Lookups!$A$55:$D$64,4))*VLOOKUP($C654,Lookups!$C$2:$D$11,2))),0)&lt;11,ROUND(10.499-(((N654-VLOOKUP($C654,Lookups!$A$55:$D$64,3))/(VLOOKUP($C654,Lookups!$A$55:$D$64,4))*VLOOKUP($C654,Lookups!$C$2:$D$11,2))),0),10))</f>
        <v>#N/A</v>
      </c>
      <c r="P654" s="13" t="str">
        <f>IF((SUM(F654:M654)=0),"J",VLOOKUP(O654,Lookups!$A$1:$B$11,2))</f>
        <v>J</v>
      </c>
      <c r="Q654" s="8" t="e">
        <f>VLOOKUP(C654,Lookups!$A$136:$C$144,3)</f>
        <v>#N/A</v>
      </c>
      <c r="R654" s="8" t="e">
        <f>VLOOKUP(C654,Lookups!$A$136:$C$144,2)</f>
        <v>#N/A</v>
      </c>
      <c r="S654" s="4" t="str">
        <f t="shared" si="52"/>
        <v>No</v>
      </c>
      <c r="T654" s="125">
        <f t="shared" si="53"/>
        <v>0</v>
      </c>
      <c r="U654" s="125">
        <f t="shared" si="54"/>
        <v>0</v>
      </c>
      <c r="V654" s="4" t="e">
        <f>IF($Q654&lt;&gt;3,VLOOKUP(F654,'Points Table A'!B$3:$F$33,5),VLOOKUP(F654,'Points Table A'!H$3:$L$33,5))</f>
        <v>#N/A</v>
      </c>
      <c r="W654" s="4" t="e">
        <f>IF($Q654&lt;&gt;3,VLOOKUP(G654,'Points Table A'!C$3:$F$33,4),VLOOKUP(G654,'Points Table A'!I$3:$L$33,4))</f>
        <v>#N/A</v>
      </c>
      <c r="X654" s="4" t="e">
        <f>IF($Q654&lt;&gt;3,VLOOKUP(H654,'Points Table A'!D$3:$F$28,3),VLOOKUP(H654,'Points Table A'!J$3:$L$33,3))</f>
        <v>#N/A</v>
      </c>
      <c r="Y654" s="4" t="e">
        <f>IF($Q654&lt;&gt;3,VLOOKUP(I654,'Points Table A'!E$3:$F$33,2),VLOOKUP(I654,'Points Table A'!K$3:$L$33,2))</f>
        <v>#N/A</v>
      </c>
      <c r="Z654" s="4" t="e">
        <f t="shared" si="55"/>
        <v>#N/A</v>
      </c>
      <c r="AA654" s="4">
        <f>IF($S654=Lookups!$B$113,VLOOKUP(L654,'Points Table C'!A$3:$E$11,5),VLOOKUP(U654,'Points Table C'!B$3:$E$11,4))</f>
        <v>0</v>
      </c>
      <c r="AB654" s="4" t="e">
        <f>IF($Q654=1,0,VLOOKUP($J654,'Points Table C'!$C$3:$E$18,3))</f>
        <v>#N/A</v>
      </c>
      <c r="AC654" s="4">
        <f>VLOOKUP($K654,'Points Table C'!$D$3:$E$18,2)</f>
        <v>0</v>
      </c>
      <c r="AD654" s="4" t="e">
        <f>IF($Z654&lt;Lookups!$C$106,($AA654+AB654+AC654),IF($AA654&gt;=Lookups!$C$120,($AA654+AB654+AC654),$AA654+$AB654))</f>
        <v>#N/A</v>
      </c>
      <c r="AF654" s="7"/>
      <c r="AG654" s="7"/>
      <c r="AH654" s="7"/>
      <c r="AI654" s="7"/>
      <c r="AJ654" s="7"/>
      <c r="AK654" s="7"/>
      <c r="AL654" s="7"/>
      <c r="AM654" s="7"/>
      <c r="AN654" s="7"/>
      <c r="AO654" s="7"/>
      <c r="AP654" s="7"/>
      <c r="AQ654" s="7"/>
      <c r="AR654" s="7"/>
      <c r="AS654" s="7"/>
      <c r="AT654" s="7"/>
      <c r="AU654" s="7"/>
      <c r="AV654" s="7"/>
      <c r="AW654" s="7"/>
      <c r="AY654" s="7"/>
      <c r="AZ654" s="7"/>
      <c r="BA654" s="7"/>
      <c r="BB654" s="7"/>
    </row>
    <row r="655" spans="2:54" x14ac:dyDescent="0.2">
      <c r="B655" s="174"/>
      <c r="C655" s="176"/>
      <c r="F655" s="5">
        <v>0</v>
      </c>
      <c r="G655" s="192">
        <v>0</v>
      </c>
      <c r="H655" s="192">
        <v>0</v>
      </c>
      <c r="I655" s="5">
        <v>0</v>
      </c>
      <c r="J655" s="192">
        <v>0</v>
      </c>
      <c r="K655" s="192">
        <v>0</v>
      </c>
      <c r="L655" s="5">
        <v>0</v>
      </c>
      <c r="M655" s="5">
        <v>0</v>
      </c>
      <c r="N655" s="4" t="e">
        <f t="shared" si="56"/>
        <v>#N/A</v>
      </c>
      <c r="O655" s="4" t="e">
        <f>IF(ROUND(10.499-(((N655-VLOOKUP($C655,Lookups!$A$55:$D$64,3))/(VLOOKUP($C655,Lookups!$A$55:$D$64,4))*VLOOKUP($C655,Lookups!$C$2:$D$11,2))),0)&lt;1,1,IF(ROUND(10.499-(((N655-VLOOKUP($C655,Lookups!$A$55:$D$64,3))/(VLOOKUP($C655,Lookups!$A$55:$D$64,4))*VLOOKUP($C655,Lookups!$C$2:$D$11,2))),0)&lt;11,ROUND(10.499-(((N655-VLOOKUP($C655,Lookups!$A$55:$D$64,3))/(VLOOKUP($C655,Lookups!$A$55:$D$64,4))*VLOOKUP($C655,Lookups!$C$2:$D$11,2))),0),10))</f>
        <v>#N/A</v>
      </c>
      <c r="P655" s="13" t="str">
        <f>IF((SUM(F655:M655)=0),"J",VLOOKUP(O655,Lookups!$A$1:$B$11,2))</f>
        <v>J</v>
      </c>
      <c r="Q655" s="8" t="e">
        <f>VLOOKUP(C655,Lookups!$A$136:$C$144,3)</f>
        <v>#N/A</v>
      </c>
      <c r="R655" s="8" t="e">
        <f>VLOOKUP(C655,Lookups!$A$136:$C$144,2)</f>
        <v>#N/A</v>
      </c>
      <c r="S655" s="4" t="str">
        <f t="shared" ref="S655:S718" si="57">IF(AND(L655&gt;0,M655=0),"Yes","No")</f>
        <v>No</v>
      </c>
      <c r="T655" s="125">
        <f t="shared" ref="T655:T718" si="58">L655+M655</f>
        <v>0</v>
      </c>
      <c r="U655" s="125">
        <f t="shared" ref="U655:U718" si="59">ROUND(100*(M655+2*L655)/(M655+2*L655+(100-L655-M655)),2)</f>
        <v>0</v>
      </c>
      <c r="V655" s="4" t="e">
        <f>IF($Q655&lt;&gt;3,VLOOKUP(F655,'Points Table A'!B$3:$F$33,5),VLOOKUP(F655,'Points Table A'!H$3:$L$33,5))</f>
        <v>#N/A</v>
      </c>
      <c r="W655" s="4" t="e">
        <f>IF($Q655&lt;&gt;3,VLOOKUP(G655,'Points Table A'!C$3:$F$33,4),VLOOKUP(G655,'Points Table A'!I$3:$L$33,4))</f>
        <v>#N/A</v>
      </c>
      <c r="X655" s="4" t="e">
        <f>IF($Q655&lt;&gt;3,VLOOKUP(H655,'Points Table A'!D$3:$F$28,3),VLOOKUP(H655,'Points Table A'!J$3:$L$33,3))</f>
        <v>#N/A</v>
      </c>
      <c r="Y655" s="4" t="e">
        <f>IF($Q655&lt;&gt;3,VLOOKUP(I655,'Points Table A'!E$3:$F$33,2),VLOOKUP(I655,'Points Table A'!K$3:$L$33,2))</f>
        <v>#N/A</v>
      </c>
      <c r="Z655" s="4" t="e">
        <f t="shared" ref="Z655:Z718" si="60">SUM(V655:Y655)</f>
        <v>#N/A</v>
      </c>
      <c r="AA655" s="4">
        <f>IF($S655=Lookups!$B$113,VLOOKUP(L655,'Points Table C'!A$3:$E$11,5),VLOOKUP(U655,'Points Table C'!B$3:$E$11,4))</f>
        <v>0</v>
      </c>
      <c r="AB655" s="4" t="e">
        <f>IF($Q655=1,0,VLOOKUP($J655,'Points Table C'!$C$3:$E$18,3))</f>
        <v>#N/A</v>
      </c>
      <c r="AC655" s="4">
        <f>VLOOKUP($K655,'Points Table C'!$D$3:$E$18,2)</f>
        <v>0</v>
      </c>
      <c r="AD655" s="4" t="e">
        <f>IF($Z655&lt;Lookups!$C$106,($AA655+AB655+AC655),IF($AA655&gt;=Lookups!$C$120,($AA655+AB655+AC655),$AA655+$AB655))</f>
        <v>#N/A</v>
      </c>
      <c r="AF655" s="7"/>
      <c r="AG655" s="7"/>
      <c r="AH655" s="7"/>
      <c r="AI655" s="7"/>
      <c r="AJ655" s="7"/>
      <c r="AK655" s="7"/>
      <c r="AL655" s="7"/>
      <c r="AM655" s="7"/>
      <c r="AN655" s="7"/>
      <c r="AO655" s="7"/>
      <c r="AP655" s="7"/>
      <c r="AQ655" s="7"/>
      <c r="AR655" s="7"/>
      <c r="AS655" s="7"/>
      <c r="AT655" s="7"/>
      <c r="AU655" s="7"/>
      <c r="AV655" s="7"/>
      <c r="AW655" s="7"/>
      <c r="AY655" s="7"/>
      <c r="AZ655" s="7"/>
      <c r="BA655" s="7"/>
      <c r="BB655" s="7"/>
    </row>
    <row r="656" spans="2:54" x14ac:dyDescent="0.2">
      <c r="B656" s="174"/>
      <c r="C656" s="176"/>
      <c r="F656" s="5">
        <v>0</v>
      </c>
      <c r="G656" s="192">
        <v>0</v>
      </c>
      <c r="H656" s="192">
        <v>0</v>
      </c>
      <c r="I656" s="5">
        <v>0</v>
      </c>
      <c r="J656" s="192">
        <v>0</v>
      </c>
      <c r="K656" s="192">
        <v>0</v>
      </c>
      <c r="L656" s="5">
        <v>0</v>
      </c>
      <c r="M656" s="5">
        <v>0</v>
      </c>
      <c r="N656" s="4" t="e">
        <f t="shared" si="56"/>
        <v>#N/A</v>
      </c>
      <c r="O656" s="4" t="e">
        <f>IF(ROUND(10.499-(((N656-VLOOKUP($C656,Lookups!$A$55:$D$64,3))/(VLOOKUP($C656,Lookups!$A$55:$D$64,4))*VLOOKUP($C656,Lookups!$C$2:$D$11,2))),0)&lt;1,1,IF(ROUND(10.499-(((N656-VLOOKUP($C656,Lookups!$A$55:$D$64,3))/(VLOOKUP($C656,Lookups!$A$55:$D$64,4))*VLOOKUP($C656,Lookups!$C$2:$D$11,2))),0)&lt;11,ROUND(10.499-(((N656-VLOOKUP($C656,Lookups!$A$55:$D$64,3))/(VLOOKUP($C656,Lookups!$A$55:$D$64,4))*VLOOKUP($C656,Lookups!$C$2:$D$11,2))),0),10))</f>
        <v>#N/A</v>
      </c>
      <c r="P656" s="13" t="str">
        <f>IF((SUM(F656:M656)=0),"J",VLOOKUP(O656,Lookups!$A$1:$B$11,2))</f>
        <v>J</v>
      </c>
      <c r="Q656" s="8" t="e">
        <f>VLOOKUP(C656,Lookups!$A$136:$C$144,3)</f>
        <v>#N/A</v>
      </c>
      <c r="R656" s="8" t="e">
        <f>VLOOKUP(C656,Lookups!$A$136:$C$144,2)</f>
        <v>#N/A</v>
      </c>
      <c r="S656" s="4" t="str">
        <f t="shared" si="57"/>
        <v>No</v>
      </c>
      <c r="T656" s="125">
        <f t="shared" si="58"/>
        <v>0</v>
      </c>
      <c r="U656" s="125">
        <f t="shared" si="59"/>
        <v>0</v>
      </c>
      <c r="V656" s="4" t="e">
        <f>IF($Q656&lt;&gt;3,VLOOKUP(F656,'Points Table A'!B$3:$F$33,5),VLOOKUP(F656,'Points Table A'!H$3:$L$33,5))</f>
        <v>#N/A</v>
      </c>
      <c r="W656" s="4" t="e">
        <f>IF($Q656&lt;&gt;3,VLOOKUP(G656,'Points Table A'!C$3:$F$33,4),VLOOKUP(G656,'Points Table A'!I$3:$L$33,4))</f>
        <v>#N/A</v>
      </c>
      <c r="X656" s="4" t="e">
        <f>IF($Q656&lt;&gt;3,VLOOKUP(H656,'Points Table A'!D$3:$F$28,3),VLOOKUP(H656,'Points Table A'!J$3:$L$33,3))</f>
        <v>#N/A</v>
      </c>
      <c r="Y656" s="4" t="e">
        <f>IF($Q656&lt;&gt;3,VLOOKUP(I656,'Points Table A'!E$3:$F$33,2),VLOOKUP(I656,'Points Table A'!K$3:$L$33,2))</f>
        <v>#N/A</v>
      </c>
      <c r="Z656" s="4" t="e">
        <f t="shared" si="60"/>
        <v>#N/A</v>
      </c>
      <c r="AA656" s="4">
        <f>IF($S656=Lookups!$B$113,VLOOKUP(L656,'Points Table C'!A$3:$E$11,5),VLOOKUP(U656,'Points Table C'!B$3:$E$11,4))</f>
        <v>0</v>
      </c>
      <c r="AB656" s="4" t="e">
        <f>IF($Q656=1,0,VLOOKUP($J656,'Points Table C'!$C$3:$E$18,3))</f>
        <v>#N/A</v>
      </c>
      <c r="AC656" s="4">
        <f>VLOOKUP($K656,'Points Table C'!$D$3:$E$18,2)</f>
        <v>0</v>
      </c>
      <c r="AD656" s="4" t="e">
        <f>IF($Z656&lt;Lookups!$C$106,($AA656+AB656+AC656),IF($AA656&gt;=Lookups!$C$120,($AA656+AB656+AC656),$AA656+$AB656))</f>
        <v>#N/A</v>
      </c>
      <c r="AF656" s="7"/>
      <c r="AG656" s="7"/>
      <c r="AH656" s="7"/>
      <c r="AI656" s="7"/>
      <c r="AJ656" s="7"/>
      <c r="AK656" s="7"/>
      <c r="AL656" s="7"/>
      <c r="AM656" s="7"/>
      <c r="AN656" s="7"/>
      <c r="AO656" s="7"/>
      <c r="AP656" s="7"/>
      <c r="AQ656" s="7"/>
      <c r="AR656" s="7"/>
      <c r="AS656" s="7"/>
      <c r="AT656" s="7"/>
      <c r="AU656" s="7"/>
      <c r="AV656" s="7"/>
      <c r="AW656" s="7"/>
      <c r="AY656" s="7"/>
      <c r="AZ656" s="7"/>
      <c r="BA656" s="7"/>
      <c r="BB656" s="7"/>
    </row>
    <row r="657" spans="2:54" x14ac:dyDescent="0.2">
      <c r="B657" s="174"/>
      <c r="C657" s="176"/>
      <c r="F657" s="5">
        <v>0</v>
      </c>
      <c r="G657" s="192">
        <v>0</v>
      </c>
      <c r="H657" s="192">
        <v>0</v>
      </c>
      <c r="I657" s="5">
        <v>0</v>
      </c>
      <c r="J657" s="192">
        <v>0</v>
      </c>
      <c r="K657" s="192">
        <v>0</v>
      </c>
      <c r="L657" s="5">
        <v>0</v>
      </c>
      <c r="M657" s="5">
        <v>0</v>
      </c>
      <c r="N657" s="4" t="e">
        <f t="shared" si="56"/>
        <v>#N/A</v>
      </c>
      <c r="O657" s="4" t="e">
        <f>IF(ROUND(10.499-(((N657-VLOOKUP($C657,Lookups!$A$55:$D$64,3))/(VLOOKUP($C657,Lookups!$A$55:$D$64,4))*VLOOKUP($C657,Lookups!$C$2:$D$11,2))),0)&lt;1,1,IF(ROUND(10.499-(((N657-VLOOKUP($C657,Lookups!$A$55:$D$64,3))/(VLOOKUP($C657,Lookups!$A$55:$D$64,4))*VLOOKUP($C657,Lookups!$C$2:$D$11,2))),0)&lt;11,ROUND(10.499-(((N657-VLOOKUP($C657,Lookups!$A$55:$D$64,3))/(VLOOKUP($C657,Lookups!$A$55:$D$64,4))*VLOOKUP($C657,Lookups!$C$2:$D$11,2))),0),10))</f>
        <v>#N/A</v>
      </c>
      <c r="P657" s="13" t="str">
        <f>IF((SUM(F657:M657)=0),"J",VLOOKUP(O657,Lookups!$A$1:$B$11,2))</f>
        <v>J</v>
      </c>
      <c r="Q657" s="8" t="e">
        <f>VLOOKUP(C657,Lookups!$A$136:$C$144,3)</f>
        <v>#N/A</v>
      </c>
      <c r="R657" s="8" t="e">
        <f>VLOOKUP(C657,Lookups!$A$136:$C$144,2)</f>
        <v>#N/A</v>
      </c>
      <c r="S657" s="4" t="str">
        <f t="shared" si="57"/>
        <v>No</v>
      </c>
      <c r="T657" s="125">
        <f t="shared" si="58"/>
        <v>0</v>
      </c>
      <c r="U657" s="125">
        <f t="shared" si="59"/>
        <v>0</v>
      </c>
      <c r="V657" s="4" t="e">
        <f>IF($Q657&lt;&gt;3,VLOOKUP(F657,'Points Table A'!B$3:$F$33,5),VLOOKUP(F657,'Points Table A'!H$3:$L$33,5))</f>
        <v>#N/A</v>
      </c>
      <c r="W657" s="4" t="e">
        <f>IF($Q657&lt;&gt;3,VLOOKUP(G657,'Points Table A'!C$3:$F$33,4),VLOOKUP(G657,'Points Table A'!I$3:$L$33,4))</f>
        <v>#N/A</v>
      </c>
      <c r="X657" s="4" t="e">
        <f>IF($Q657&lt;&gt;3,VLOOKUP(H657,'Points Table A'!D$3:$F$28,3),VLOOKUP(H657,'Points Table A'!J$3:$L$33,3))</f>
        <v>#N/A</v>
      </c>
      <c r="Y657" s="4" t="e">
        <f>IF($Q657&lt;&gt;3,VLOOKUP(I657,'Points Table A'!E$3:$F$33,2),VLOOKUP(I657,'Points Table A'!K$3:$L$33,2))</f>
        <v>#N/A</v>
      </c>
      <c r="Z657" s="4" t="e">
        <f t="shared" si="60"/>
        <v>#N/A</v>
      </c>
      <c r="AA657" s="4">
        <f>IF($S657=Lookups!$B$113,VLOOKUP(L657,'Points Table C'!A$3:$E$11,5),VLOOKUP(U657,'Points Table C'!B$3:$E$11,4))</f>
        <v>0</v>
      </c>
      <c r="AB657" s="4" t="e">
        <f>IF($Q657=1,0,VLOOKUP($J657,'Points Table C'!$C$3:$E$18,3))</f>
        <v>#N/A</v>
      </c>
      <c r="AC657" s="4">
        <f>VLOOKUP($K657,'Points Table C'!$D$3:$E$18,2)</f>
        <v>0</v>
      </c>
      <c r="AD657" s="4" t="e">
        <f>IF($Z657&lt;Lookups!$C$106,($AA657+AB657+AC657),IF($AA657&gt;=Lookups!$C$120,($AA657+AB657+AC657),$AA657+$AB657))</f>
        <v>#N/A</v>
      </c>
      <c r="AF657" s="7"/>
      <c r="AG657" s="7"/>
      <c r="AH657" s="7"/>
      <c r="AI657" s="7"/>
      <c r="AJ657" s="7"/>
      <c r="AK657" s="7"/>
      <c r="AL657" s="7"/>
      <c r="AM657" s="7"/>
      <c r="AN657" s="7"/>
      <c r="AO657" s="7"/>
      <c r="AP657" s="7"/>
      <c r="AQ657" s="7"/>
      <c r="AR657" s="7"/>
      <c r="AS657" s="7"/>
      <c r="AT657" s="7"/>
      <c r="AU657" s="7"/>
      <c r="AV657" s="7"/>
      <c r="AW657" s="7"/>
      <c r="AY657" s="7"/>
      <c r="AZ657" s="7"/>
      <c r="BA657" s="7"/>
      <c r="BB657" s="7"/>
    </row>
    <row r="658" spans="2:54" x14ac:dyDescent="0.2">
      <c r="B658" s="174"/>
      <c r="C658" s="176"/>
      <c r="F658" s="5">
        <v>0</v>
      </c>
      <c r="G658" s="192">
        <v>0</v>
      </c>
      <c r="H658" s="192">
        <v>0</v>
      </c>
      <c r="I658" s="5">
        <v>0</v>
      </c>
      <c r="J658" s="192">
        <v>0</v>
      </c>
      <c r="K658" s="192">
        <v>0</v>
      </c>
      <c r="L658" s="5">
        <v>0</v>
      </c>
      <c r="M658" s="5">
        <v>0</v>
      </c>
      <c r="N658" s="4" t="e">
        <f t="shared" si="56"/>
        <v>#N/A</v>
      </c>
      <c r="O658" s="4" t="e">
        <f>IF(ROUND(10.499-(((N658-VLOOKUP($C658,Lookups!$A$55:$D$64,3))/(VLOOKUP($C658,Lookups!$A$55:$D$64,4))*VLOOKUP($C658,Lookups!$C$2:$D$11,2))),0)&lt;1,1,IF(ROUND(10.499-(((N658-VLOOKUP($C658,Lookups!$A$55:$D$64,3))/(VLOOKUP($C658,Lookups!$A$55:$D$64,4))*VLOOKUP($C658,Lookups!$C$2:$D$11,2))),0)&lt;11,ROUND(10.499-(((N658-VLOOKUP($C658,Lookups!$A$55:$D$64,3))/(VLOOKUP($C658,Lookups!$A$55:$D$64,4))*VLOOKUP($C658,Lookups!$C$2:$D$11,2))),0),10))</f>
        <v>#N/A</v>
      </c>
      <c r="P658" s="13" t="str">
        <f>IF((SUM(F658:M658)=0),"J",VLOOKUP(O658,Lookups!$A$1:$B$11,2))</f>
        <v>J</v>
      </c>
      <c r="Q658" s="8" t="e">
        <f>VLOOKUP(C658,Lookups!$A$136:$C$144,3)</f>
        <v>#N/A</v>
      </c>
      <c r="R658" s="8" t="e">
        <f>VLOOKUP(C658,Lookups!$A$136:$C$144,2)</f>
        <v>#N/A</v>
      </c>
      <c r="S658" s="4" t="str">
        <f t="shared" si="57"/>
        <v>No</v>
      </c>
      <c r="T658" s="125">
        <f t="shared" si="58"/>
        <v>0</v>
      </c>
      <c r="U658" s="125">
        <f t="shared" si="59"/>
        <v>0</v>
      </c>
      <c r="V658" s="4" t="e">
        <f>IF($Q658&lt;&gt;3,VLOOKUP(F658,'Points Table A'!B$3:$F$33,5),VLOOKUP(F658,'Points Table A'!H$3:$L$33,5))</f>
        <v>#N/A</v>
      </c>
      <c r="W658" s="4" t="e">
        <f>IF($Q658&lt;&gt;3,VLOOKUP(G658,'Points Table A'!C$3:$F$33,4),VLOOKUP(G658,'Points Table A'!I$3:$L$33,4))</f>
        <v>#N/A</v>
      </c>
      <c r="X658" s="4" t="e">
        <f>IF($Q658&lt;&gt;3,VLOOKUP(H658,'Points Table A'!D$3:$F$28,3),VLOOKUP(H658,'Points Table A'!J$3:$L$33,3))</f>
        <v>#N/A</v>
      </c>
      <c r="Y658" s="4" t="e">
        <f>IF($Q658&lt;&gt;3,VLOOKUP(I658,'Points Table A'!E$3:$F$33,2),VLOOKUP(I658,'Points Table A'!K$3:$L$33,2))</f>
        <v>#N/A</v>
      </c>
      <c r="Z658" s="4" t="e">
        <f t="shared" si="60"/>
        <v>#N/A</v>
      </c>
      <c r="AA658" s="4">
        <f>IF($S658=Lookups!$B$113,VLOOKUP(L658,'Points Table C'!A$3:$E$11,5),VLOOKUP(U658,'Points Table C'!B$3:$E$11,4))</f>
        <v>0</v>
      </c>
      <c r="AB658" s="4" t="e">
        <f>IF($Q658=1,0,VLOOKUP($J658,'Points Table C'!$C$3:$E$18,3))</f>
        <v>#N/A</v>
      </c>
      <c r="AC658" s="4">
        <f>VLOOKUP($K658,'Points Table C'!$D$3:$E$18,2)</f>
        <v>0</v>
      </c>
      <c r="AD658" s="4" t="e">
        <f>IF($Z658&lt;Lookups!$C$106,($AA658+AB658+AC658),IF($AA658&gt;=Lookups!$C$120,($AA658+AB658+AC658),$AA658+$AB658))</f>
        <v>#N/A</v>
      </c>
      <c r="AF658" s="7"/>
      <c r="AG658" s="7"/>
      <c r="AH658" s="7"/>
      <c r="AI658" s="7"/>
      <c r="AJ658" s="7"/>
      <c r="AK658" s="7"/>
      <c r="AL658" s="7"/>
      <c r="AM658" s="7"/>
      <c r="AN658" s="7"/>
      <c r="AO658" s="7"/>
      <c r="AP658" s="7"/>
      <c r="AQ658" s="7"/>
      <c r="AR658" s="7"/>
      <c r="AS658" s="7"/>
      <c r="AT658" s="7"/>
      <c r="AU658" s="7"/>
      <c r="AV658" s="7"/>
      <c r="AW658" s="7"/>
      <c r="AY658" s="7"/>
      <c r="AZ658" s="7"/>
      <c r="BA658" s="7"/>
      <c r="BB658" s="7"/>
    </row>
    <row r="659" spans="2:54" x14ac:dyDescent="0.2">
      <c r="B659" s="174"/>
      <c r="C659" s="176"/>
      <c r="F659" s="5">
        <v>0</v>
      </c>
      <c r="G659" s="192">
        <v>0</v>
      </c>
      <c r="H659" s="192">
        <v>0</v>
      </c>
      <c r="I659" s="5">
        <v>0</v>
      </c>
      <c r="J659" s="192">
        <v>0</v>
      </c>
      <c r="K659" s="192">
        <v>0</v>
      </c>
      <c r="L659" s="5">
        <v>0</v>
      </c>
      <c r="M659" s="5">
        <v>0</v>
      </c>
      <c r="N659" s="4" t="e">
        <f t="shared" si="56"/>
        <v>#N/A</v>
      </c>
      <c r="O659" s="4" t="e">
        <f>IF(ROUND(10.499-(((N659-VLOOKUP($C659,Lookups!$A$55:$D$64,3))/(VLOOKUP($C659,Lookups!$A$55:$D$64,4))*VLOOKUP($C659,Lookups!$C$2:$D$11,2))),0)&lt;1,1,IF(ROUND(10.499-(((N659-VLOOKUP($C659,Lookups!$A$55:$D$64,3))/(VLOOKUP($C659,Lookups!$A$55:$D$64,4))*VLOOKUP($C659,Lookups!$C$2:$D$11,2))),0)&lt;11,ROUND(10.499-(((N659-VLOOKUP($C659,Lookups!$A$55:$D$64,3))/(VLOOKUP($C659,Lookups!$A$55:$D$64,4))*VLOOKUP($C659,Lookups!$C$2:$D$11,2))),0),10))</f>
        <v>#N/A</v>
      </c>
      <c r="P659" s="13" t="str">
        <f>IF((SUM(F659:M659)=0),"J",VLOOKUP(O659,Lookups!$A$1:$B$11,2))</f>
        <v>J</v>
      </c>
      <c r="Q659" s="8" t="e">
        <f>VLOOKUP(C659,Lookups!$A$136:$C$144,3)</f>
        <v>#N/A</v>
      </c>
      <c r="R659" s="8" t="e">
        <f>VLOOKUP(C659,Lookups!$A$136:$C$144,2)</f>
        <v>#N/A</v>
      </c>
      <c r="S659" s="4" t="str">
        <f t="shared" si="57"/>
        <v>No</v>
      </c>
      <c r="T659" s="125">
        <f t="shared" si="58"/>
        <v>0</v>
      </c>
      <c r="U659" s="125">
        <f t="shared" si="59"/>
        <v>0</v>
      </c>
      <c r="V659" s="4" t="e">
        <f>IF($Q659&lt;&gt;3,VLOOKUP(F659,'Points Table A'!B$3:$F$33,5),VLOOKUP(F659,'Points Table A'!H$3:$L$33,5))</f>
        <v>#N/A</v>
      </c>
      <c r="W659" s="4" t="e">
        <f>IF($Q659&lt;&gt;3,VLOOKUP(G659,'Points Table A'!C$3:$F$33,4),VLOOKUP(G659,'Points Table A'!I$3:$L$33,4))</f>
        <v>#N/A</v>
      </c>
      <c r="X659" s="4" t="e">
        <f>IF($Q659&lt;&gt;3,VLOOKUP(H659,'Points Table A'!D$3:$F$28,3),VLOOKUP(H659,'Points Table A'!J$3:$L$33,3))</f>
        <v>#N/A</v>
      </c>
      <c r="Y659" s="4" t="e">
        <f>IF($Q659&lt;&gt;3,VLOOKUP(I659,'Points Table A'!E$3:$F$33,2),VLOOKUP(I659,'Points Table A'!K$3:$L$33,2))</f>
        <v>#N/A</v>
      </c>
      <c r="Z659" s="4" t="e">
        <f t="shared" si="60"/>
        <v>#N/A</v>
      </c>
      <c r="AA659" s="4">
        <f>IF($S659=Lookups!$B$113,VLOOKUP(L659,'Points Table C'!A$3:$E$11,5),VLOOKUP(U659,'Points Table C'!B$3:$E$11,4))</f>
        <v>0</v>
      </c>
      <c r="AB659" s="4" t="e">
        <f>IF($Q659=1,0,VLOOKUP($J659,'Points Table C'!$C$3:$E$18,3))</f>
        <v>#N/A</v>
      </c>
      <c r="AC659" s="4">
        <f>VLOOKUP($K659,'Points Table C'!$D$3:$E$18,2)</f>
        <v>0</v>
      </c>
      <c r="AD659" s="4" t="e">
        <f>IF($Z659&lt;Lookups!$C$106,($AA659+AB659+AC659),IF($AA659&gt;=Lookups!$C$120,($AA659+AB659+AC659),$AA659+$AB659))</f>
        <v>#N/A</v>
      </c>
      <c r="AF659" s="7"/>
      <c r="AG659" s="7"/>
      <c r="AH659" s="7"/>
      <c r="AI659" s="7"/>
      <c r="AJ659" s="7"/>
      <c r="AK659" s="7"/>
      <c r="AL659" s="7"/>
      <c r="AM659" s="7"/>
      <c r="AN659" s="7"/>
      <c r="AO659" s="7"/>
      <c r="AP659" s="7"/>
      <c r="AQ659" s="7"/>
      <c r="AR659" s="7"/>
      <c r="AS659" s="7"/>
      <c r="AT659" s="7"/>
      <c r="AU659" s="7"/>
      <c r="AV659" s="7"/>
      <c r="AW659" s="7"/>
      <c r="AY659" s="7"/>
      <c r="AZ659" s="7"/>
      <c r="BA659" s="7"/>
      <c r="BB659" s="7"/>
    </row>
    <row r="660" spans="2:54" x14ac:dyDescent="0.2">
      <c r="B660" s="174"/>
      <c r="C660" s="176"/>
      <c r="F660" s="5">
        <v>0</v>
      </c>
      <c r="G660" s="192">
        <v>0</v>
      </c>
      <c r="H660" s="192">
        <v>0</v>
      </c>
      <c r="I660" s="5">
        <v>0</v>
      </c>
      <c r="J660" s="192">
        <v>0</v>
      </c>
      <c r="K660" s="192">
        <v>0</v>
      </c>
      <c r="L660" s="5">
        <v>0</v>
      </c>
      <c r="M660" s="5">
        <v>0</v>
      </c>
      <c r="N660" s="4" t="e">
        <f t="shared" si="56"/>
        <v>#N/A</v>
      </c>
      <c r="O660" s="4" t="e">
        <f>IF(ROUND(10.499-(((N660-VLOOKUP($C660,Lookups!$A$55:$D$64,3))/(VLOOKUP($C660,Lookups!$A$55:$D$64,4))*VLOOKUP($C660,Lookups!$C$2:$D$11,2))),0)&lt;1,1,IF(ROUND(10.499-(((N660-VLOOKUP($C660,Lookups!$A$55:$D$64,3))/(VLOOKUP($C660,Lookups!$A$55:$D$64,4))*VLOOKUP($C660,Lookups!$C$2:$D$11,2))),0)&lt;11,ROUND(10.499-(((N660-VLOOKUP($C660,Lookups!$A$55:$D$64,3))/(VLOOKUP($C660,Lookups!$A$55:$D$64,4))*VLOOKUP($C660,Lookups!$C$2:$D$11,2))),0),10))</f>
        <v>#N/A</v>
      </c>
      <c r="P660" s="13" t="str">
        <f>IF((SUM(F660:M660)=0),"J",VLOOKUP(O660,Lookups!$A$1:$B$11,2))</f>
        <v>J</v>
      </c>
      <c r="Q660" s="8" t="e">
        <f>VLOOKUP(C660,Lookups!$A$136:$C$144,3)</f>
        <v>#N/A</v>
      </c>
      <c r="R660" s="8" t="e">
        <f>VLOOKUP(C660,Lookups!$A$136:$C$144,2)</f>
        <v>#N/A</v>
      </c>
      <c r="S660" s="4" t="str">
        <f t="shared" si="57"/>
        <v>No</v>
      </c>
      <c r="T660" s="125">
        <f t="shared" si="58"/>
        <v>0</v>
      </c>
      <c r="U660" s="125">
        <f t="shared" si="59"/>
        <v>0</v>
      </c>
      <c r="V660" s="4" t="e">
        <f>IF($Q660&lt;&gt;3,VLOOKUP(F660,'Points Table A'!B$3:$F$33,5),VLOOKUP(F660,'Points Table A'!H$3:$L$33,5))</f>
        <v>#N/A</v>
      </c>
      <c r="W660" s="4" t="e">
        <f>IF($Q660&lt;&gt;3,VLOOKUP(G660,'Points Table A'!C$3:$F$33,4),VLOOKUP(G660,'Points Table A'!I$3:$L$33,4))</f>
        <v>#N/A</v>
      </c>
      <c r="X660" s="4" t="e">
        <f>IF($Q660&lt;&gt;3,VLOOKUP(H660,'Points Table A'!D$3:$F$28,3),VLOOKUP(H660,'Points Table A'!J$3:$L$33,3))</f>
        <v>#N/A</v>
      </c>
      <c r="Y660" s="4" t="e">
        <f>IF($Q660&lt;&gt;3,VLOOKUP(I660,'Points Table A'!E$3:$F$33,2),VLOOKUP(I660,'Points Table A'!K$3:$L$33,2))</f>
        <v>#N/A</v>
      </c>
      <c r="Z660" s="4" t="e">
        <f t="shared" si="60"/>
        <v>#N/A</v>
      </c>
      <c r="AA660" s="4">
        <f>IF($S660=Lookups!$B$113,VLOOKUP(L660,'Points Table C'!A$3:$E$11,5),VLOOKUP(U660,'Points Table C'!B$3:$E$11,4))</f>
        <v>0</v>
      </c>
      <c r="AB660" s="4" t="e">
        <f>IF($Q660=1,0,VLOOKUP($J660,'Points Table C'!$C$3:$E$18,3))</f>
        <v>#N/A</v>
      </c>
      <c r="AC660" s="4">
        <f>VLOOKUP($K660,'Points Table C'!$D$3:$E$18,2)</f>
        <v>0</v>
      </c>
      <c r="AD660" s="4" t="e">
        <f>IF($Z660&lt;Lookups!$C$106,($AA660+AB660+AC660),IF($AA660&gt;=Lookups!$C$120,($AA660+AB660+AC660),$AA660+$AB660))</f>
        <v>#N/A</v>
      </c>
      <c r="AF660" s="7"/>
      <c r="AG660" s="7"/>
      <c r="AH660" s="7"/>
      <c r="AI660" s="7"/>
      <c r="AJ660" s="7"/>
      <c r="AK660" s="7"/>
      <c r="AL660" s="7"/>
      <c r="AM660" s="7"/>
      <c r="AN660" s="7"/>
      <c r="AO660" s="7"/>
      <c r="AP660" s="7"/>
      <c r="AQ660" s="7"/>
      <c r="AR660" s="7"/>
      <c r="AS660" s="7"/>
      <c r="AT660" s="7"/>
      <c r="AU660" s="7"/>
      <c r="AV660" s="7"/>
      <c r="AW660" s="7"/>
      <c r="AY660" s="7"/>
      <c r="AZ660" s="7"/>
      <c r="BA660" s="7"/>
      <c r="BB660" s="7"/>
    </row>
    <row r="661" spans="2:54" x14ac:dyDescent="0.2">
      <c r="B661" s="174"/>
      <c r="C661" s="176"/>
      <c r="F661" s="5">
        <v>0</v>
      </c>
      <c r="G661" s="192">
        <v>0</v>
      </c>
      <c r="H661" s="192">
        <v>0</v>
      </c>
      <c r="I661" s="5">
        <v>0</v>
      </c>
      <c r="J661" s="192">
        <v>0</v>
      </c>
      <c r="K661" s="192">
        <v>0</v>
      </c>
      <c r="L661" s="5">
        <v>0</v>
      </c>
      <c r="M661" s="5">
        <v>0</v>
      </c>
      <c r="N661" s="4" t="e">
        <f t="shared" si="56"/>
        <v>#N/A</v>
      </c>
      <c r="O661" s="4" t="e">
        <f>IF(ROUND(10.499-(((N661-VLOOKUP($C661,Lookups!$A$55:$D$64,3))/(VLOOKUP($C661,Lookups!$A$55:$D$64,4))*VLOOKUP($C661,Lookups!$C$2:$D$11,2))),0)&lt;1,1,IF(ROUND(10.499-(((N661-VLOOKUP($C661,Lookups!$A$55:$D$64,3))/(VLOOKUP($C661,Lookups!$A$55:$D$64,4))*VLOOKUP($C661,Lookups!$C$2:$D$11,2))),0)&lt;11,ROUND(10.499-(((N661-VLOOKUP($C661,Lookups!$A$55:$D$64,3))/(VLOOKUP($C661,Lookups!$A$55:$D$64,4))*VLOOKUP($C661,Lookups!$C$2:$D$11,2))),0),10))</f>
        <v>#N/A</v>
      </c>
      <c r="P661" s="13" t="str">
        <f>IF((SUM(F661:M661)=0),"J",VLOOKUP(O661,Lookups!$A$1:$B$11,2))</f>
        <v>J</v>
      </c>
      <c r="Q661" s="8" t="e">
        <f>VLOOKUP(C661,Lookups!$A$136:$C$144,3)</f>
        <v>#N/A</v>
      </c>
      <c r="R661" s="8" t="e">
        <f>VLOOKUP(C661,Lookups!$A$136:$C$144,2)</f>
        <v>#N/A</v>
      </c>
      <c r="S661" s="4" t="str">
        <f t="shared" si="57"/>
        <v>No</v>
      </c>
      <c r="T661" s="125">
        <f t="shared" si="58"/>
        <v>0</v>
      </c>
      <c r="U661" s="125">
        <f t="shared" si="59"/>
        <v>0</v>
      </c>
      <c r="V661" s="4" t="e">
        <f>IF($Q661&lt;&gt;3,VLOOKUP(F661,'Points Table A'!B$3:$F$33,5),VLOOKUP(F661,'Points Table A'!H$3:$L$33,5))</f>
        <v>#N/A</v>
      </c>
      <c r="W661" s="4" t="e">
        <f>IF($Q661&lt;&gt;3,VLOOKUP(G661,'Points Table A'!C$3:$F$33,4),VLOOKUP(G661,'Points Table A'!I$3:$L$33,4))</f>
        <v>#N/A</v>
      </c>
      <c r="X661" s="4" t="e">
        <f>IF($Q661&lt;&gt;3,VLOOKUP(H661,'Points Table A'!D$3:$F$28,3),VLOOKUP(H661,'Points Table A'!J$3:$L$33,3))</f>
        <v>#N/A</v>
      </c>
      <c r="Y661" s="4" t="e">
        <f>IF($Q661&lt;&gt;3,VLOOKUP(I661,'Points Table A'!E$3:$F$33,2),VLOOKUP(I661,'Points Table A'!K$3:$L$33,2))</f>
        <v>#N/A</v>
      </c>
      <c r="Z661" s="4" t="e">
        <f t="shared" si="60"/>
        <v>#N/A</v>
      </c>
      <c r="AA661" s="4">
        <f>IF($S661=Lookups!$B$113,VLOOKUP(L661,'Points Table C'!A$3:$E$11,5),VLOOKUP(U661,'Points Table C'!B$3:$E$11,4))</f>
        <v>0</v>
      </c>
      <c r="AB661" s="4" t="e">
        <f>IF($Q661=1,0,VLOOKUP($J661,'Points Table C'!$C$3:$E$18,3))</f>
        <v>#N/A</v>
      </c>
      <c r="AC661" s="4">
        <f>VLOOKUP($K661,'Points Table C'!$D$3:$E$18,2)</f>
        <v>0</v>
      </c>
      <c r="AD661" s="4" t="e">
        <f>IF($Z661&lt;Lookups!$C$106,($AA661+AB661+AC661),IF($AA661&gt;=Lookups!$C$120,($AA661+AB661+AC661),$AA661+$AB661))</f>
        <v>#N/A</v>
      </c>
      <c r="AF661" s="7"/>
      <c r="AG661" s="7"/>
      <c r="AH661" s="7"/>
      <c r="AI661" s="7"/>
      <c r="AJ661" s="7"/>
      <c r="AK661" s="7"/>
      <c r="AL661" s="7"/>
      <c r="AM661" s="7"/>
      <c r="AN661" s="7"/>
      <c r="AO661" s="7"/>
      <c r="AP661" s="7"/>
      <c r="AQ661" s="7"/>
      <c r="AR661" s="7"/>
      <c r="AS661" s="7"/>
      <c r="AT661" s="7"/>
      <c r="AU661" s="7"/>
      <c r="AV661" s="7"/>
      <c r="AW661" s="7"/>
      <c r="AY661" s="7"/>
      <c r="AZ661" s="7"/>
      <c r="BA661" s="7"/>
      <c r="BB661" s="7"/>
    </row>
    <row r="662" spans="2:54" x14ac:dyDescent="0.2">
      <c r="B662" s="174"/>
      <c r="C662" s="176"/>
      <c r="F662" s="5">
        <v>0</v>
      </c>
      <c r="G662" s="192">
        <v>0</v>
      </c>
      <c r="H662" s="192">
        <v>0</v>
      </c>
      <c r="I662" s="5">
        <v>0</v>
      </c>
      <c r="J662" s="192">
        <v>0</v>
      </c>
      <c r="K662" s="192">
        <v>0</v>
      </c>
      <c r="L662" s="5">
        <v>0</v>
      </c>
      <c r="M662" s="5">
        <v>0</v>
      </c>
      <c r="N662" s="4" t="e">
        <f t="shared" si="56"/>
        <v>#N/A</v>
      </c>
      <c r="O662" s="4" t="e">
        <f>IF(ROUND(10.499-(((N662-VLOOKUP($C662,Lookups!$A$55:$D$64,3))/(VLOOKUP($C662,Lookups!$A$55:$D$64,4))*VLOOKUP($C662,Lookups!$C$2:$D$11,2))),0)&lt;1,1,IF(ROUND(10.499-(((N662-VLOOKUP($C662,Lookups!$A$55:$D$64,3))/(VLOOKUP($C662,Lookups!$A$55:$D$64,4))*VLOOKUP($C662,Lookups!$C$2:$D$11,2))),0)&lt;11,ROUND(10.499-(((N662-VLOOKUP($C662,Lookups!$A$55:$D$64,3))/(VLOOKUP($C662,Lookups!$A$55:$D$64,4))*VLOOKUP($C662,Lookups!$C$2:$D$11,2))),0),10))</f>
        <v>#N/A</v>
      </c>
      <c r="P662" s="13" t="str">
        <f>IF((SUM(F662:M662)=0),"J",VLOOKUP(O662,Lookups!$A$1:$B$11,2))</f>
        <v>J</v>
      </c>
      <c r="Q662" s="8" t="e">
        <f>VLOOKUP(C662,Lookups!$A$136:$C$144,3)</f>
        <v>#N/A</v>
      </c>
      <c r="R662" s="8" t="e">
        <f>VLOOKUP(C662,Lookups!$A$136:$C$144,2)</f>
        <v>#N/A</v>
      </c>
      <c r="S662" s="4" t="str">
        <f t="shared" si="57"/>
        <v>No</v>
      </c>
      <c r="T662" s="125">
        <f t="shared" si="58"/>
        <v>0</v>
      </c>
      <c r="U662" s="125">
        <f t="shared" si="59"/>
        <v>0</v>
      </c>
      <c r="V662" s="4" t="e">
        <f>IF($Q662&lt;&gt;3,VLOOKUP(F662,'Points Table A'!B$3:$F$33,5),VLOOKUP(F662,'Points Table A'!H$3:$L$33,5))</f>
        <v>#N/A</v>
      </c>
      <c r="W662" s="4" t="e">
        <f>IF($Q662&lt;&gt;3,VLOOKUP(G662,'Points Table A'!C$3:$F$33,4),VLOOKUP(G662,'Points Table A'!I$3:$L$33,4))</f>
        <v>#N/A</v>
      </c>
      <c r="X662" s="4" t="e">
        <f>IF($Q662&lt;&gt;3,VLOOKUP(H662,'Points Table A'!D$3:$F$28,3),VLOOKUP(H662,'Points Table A'!J$3:$L$33,3))</f>
        <v>#N/A</v>
      </c>
      <c r="Y662" s="4" t="e">
        <f>IF($Q662&lt;&gt;3,VLOOKUP(I662,'Points Table A'!E$3:$F$33,2),VLOOKUP(I662,'Points Table A'!K$3:$L$33,2))</f>
        <v>#N/A</v>
      </c>
      <c r="Z662" s="4" t="e">
        <f t="shared" si="60"/>
        <v>#N/A</v>
      </c>
      <c r="AA662" s="4">
        <f>IF($S662=Lookups!$B$113,VLOOKUP(L662,'Points Table C'!A$3:$E$11,5),VLOOKUP(U662,'Points Table C'!B$3:$E$11,4))</f>
        <v>0</v>
      </c>
      <c r="AB662" s="4" t="e">
        <f>IF($Q662=1,0,VLOOKUP($J662,'Points Table C'!$C$3:$E$18,3))</f>
        <v>#N/A</v>
      </c>
      <c r="AC662" s="4">
        <f>VLOOKUP($K662,'Points Table C'!$D$3:$E$18,2)</f>
        <v>0</v>
      </c>
      <c r="AD662" s="4" t="e">
        <f>IF($Z662&lt;Lookups!$C$106,($AA662+AB662+AC662),IF($AA662&gt;=Lookups!$C$120,($AA662+AB662+AC662),$AA662+$AB662))</f>
        <v>#N/A</v>
      </c>
      <c r="AF662" s="7"/>
      <c r="AG662" s="7"/>
      <c r="AH662" s="7"/>
      <c r="AI662" s="7"/>
      <c r="AJ662" s="7"/>
      <c r="AK662" s="7"/>
      <c r="AL662" s="7"/>
      <c r="AM662" s="7"/>
      <c r="AN662" s="7"/>
      <c r="AO662" s="7"/>
      <c r="AP662" s="7"/>
      <c r="AQ662" s="7"/>
      <c r="AR662" s="7"/>
      <c r="AS662" s="7"/>
      <c r="AT662" s="7"/>
      <c r="AU662" s="7"/>
      <c r="AV662" s="7"/>
      <c r="AW662" s="7"/>
      <c r="AY662" s="7"/>
      <c r="AZ662" s="7"/>
      <c r="BA662" s="7"/>
      <c r="BB662" s="7"/>
    </row>
    <row r="663" spans="2:54" x14ac:dyDescent="0.2">
      <c r="B663" s="174"/>
      <c r="C663" s="176"/>
      <c r="F663" s="5">
        <v>0</v>
      </c>
      <c r="G663" s="192">
        <v>0</v>
      </c>
      <c r="H663" s="192">
        <v>0</v>
      </c>
      <c r="I663" s="5">
        <v>0</v>
      </c>
      <c r="J663" s="192">
        <v>0</v>
      </c>
      <c r="K663" s="192">
        <v>0</v>
      </c>
      <c r="L663" s="5">
        <v>0</v>
      </c>
      <c r="M663" s="5">
        <v>0</v>
      </c>
      <c r="N663" s="4" t="e">
        <f t="shared" si="56"/>
        <v>#N/A</v>
      </c>
      <c r="O663" s="4" t="e">
        <f>IF(ROUND(10.499-(((N663-VLOOKUP($C663,Lookups!$A$55:$D$64,3))/(VLOOKUP($C663,Lookups!$A$55:$D$64,4))*VLOOKUP($C663,Lookups!$C$2:$D$11,2))),0)&lt;1,1,IF(ROUND(10.499-(((N663-VLOOKUP($C663,Lookups!$A$55:$D$64,3))/(VLOOKUP($C663,Lookups!$A$55:$D$64,4))*VLOOKUP($C663,Lookups!$C$2:$D$11,2))),0)&lt;11,ROUND(10.499-(((N663-VLOOKUP($C663,Lookups!$A$55:$D$64,3))/(VLOOKUP($C663,Lookups!$A$55:$D$64,4))*VLOOKUP($C663,Lookups!$C$2:$D$11,2))),0),10))</f>
        <v>#N/A</v>
      </c>
      <c r="P663" s="13" t="str">
        <f>IF((SUM(F663:M663)=0),"J",VLOOKUP(O663,Lookups!$A$1:$B$11,2))</f>
        <v>J</v>
      </c>
      <c r="Q663" s="8" t="e">
        <f>VLOOKUP(C663,Lookups!$A$136:$C$144,3)</f>
        <v>#N/A</v>
      </c>
      <c r="R663" s="8" t="e">
        <f>VLOOKUP(C663,Lookups!$A$136:$C$144,2)</f>
        <v>#N/A</v>
      </c>
      <c r="S663" s="4" t="str">
        <f t="shared" si="57"/>
        <v>No</v>
      </c>
      <c r="T663" s="125">
        <f t="shared" si="58"/>
        <v>0</v>
      </c>
      <c r="U663" s="125">
        <f t="shared" si="59"/>
        <v>0</v>
      </c>
      <c r="V663" s="4" t="e">
        <f>IF($Q663&lt;&gt;3,VLOOKUP(F663,'Points Table A'!B$3:$F$33,5),VLOOKUP(F663,'Points Table A'!H$3:$L$33,5))</f>
        <v>#N/A</v>
      </c>
      <c r="W663" s="4" t="e">
        <f>IF($Q663&lt;&gt;3,VLOOKUP(G663,'Points Table A'!C$3:$F$33,4),VLOOKUP(G663,'Points Table A'!I$3:$L$33,4))</f>
        <v>#N/A</v>
      </c>
      <c r="X663" s="4" t="e">
        <f>IF($Q663&lt;&gt;3,VLOOKUP(H663,'Points Table A'!D$3:$F$28,3),VLOOKUP(H663,'Points Table A'!J$3:$L$33,3))</f>
        <v>#N/A</v>
      </c>
      <c r="Y663" s="4" t="e">
        <f>IF($Q663&lt;&gt;3,VLOOKUP(I663,'Points Table A'!E$3:$F$33,2),VLOOKUP(I663,'Points Table A'!K$3:$L$33,2))</f>
        <v>#N/A</v>
      </c>
      <c r="Z663" s="4" t="e">
        <f t="shared" si="60"/>
        <v>#N/A</v>
      </c>
      <c r="AA663" s="4">
        <f>IF($S663=Lookups!$B$113,VLOOKUP(L663,'Points Table C'!A$3:$E$11,5),VLOOKUP(U663,'Points Table C'!B$3:$E$11,4))</f>
        <v>0</v>
      </c>
      <c r="AB663" s="4" t="e">
        <f>IF($Q663=1,0,VLOOKUP($J663,'Points Table C'!$C$3:$E$18,3))</f>
        <v>#N/A</v>
      </c>
      <c r="AC663" s="4">
        <f>VLOOKUP($K663,'Points Table C'!$D$3:$E$18,2)</f>
        <v>0</v>
      </c>
      <c r="AD663" s="4" t="e">
        <f>IF($Z663&lt;Lookups!$C$106,($AA663+AB663+AC663),IF($AA663&gt;=Lookups!$C$120,($AA663+AB663+AC663),$AA663+$AB663))</f>
        <v>#N/A</v>
      </c>
      <c r="AF663" s="7"/>
      <c r="AG663" s="7"/>
      <c r="AH663" s="7"/>
      <c r="AI663" s="7"/>
      <c r="AJ663" s="7"/>
      <c r="AK663" s="7"/>
      <c r="AL663" s="7"/>
      <c r="AM663" s="7"/>
      <c r="AN663" s="7"/>
      <c r="AO663" s="7"/>
      <c r="AP663" s="7"/>
      <c r="AQ663" s="7"/>
      <c r="AR663" s="7"/>
      <c r="AS663" s="7"/>
      <c r="AT663" s="7"/>
      <c r="AU663" s="7"/>
      <c r="AV663" s="7"/>
      <c r="AW663" s="7"/>
      <c r="AY663" s="7"/>
      <c r="AZ663" s="7"/>
      <c r="BA663" s="7"/>
      <c r="BB663" s="7"/>
    </row>
    <row r="664" spans="2:54" x14ac:dyDescent="0.2">
      <c r="B664" s="174"/>
      <c r="C664" s="176"/>
      <c r="F664" s="5">
        <v>0</v>
      </c>
      <c r="G664" s="192">
        <v>0</v>
      </c>
      <c r="H664" s="192">
        <v>0</v>
      </c>
      <c r="I664" s="5">
        <v>0</v>
      </c>
      <c r="J664" s="192">
        <v>0</v>
      </c>
      <c r="K664" s="192">
        <v>0</v>
      </c>
      <c r="L664" s="5">
        <v>0</v>
      </c>
      <c r="M664" s="5">
        <v>0</v>
      </c>
      <c r="N664" s="4" t="e">
        <f t="shared" si="56"/>
        <v>#N/A</v>
      </c>
      <c r="O664" s="4" t="e">
        <f>IF(ROUND(10.499-(((N664-VLOOKUP($C664,Lookups!$A$55:$D$64,3))/(VLOOKUP($C664,Lookups!$A$55:$D$64,4))*VLOOKUP($C664,Lookups!$C$2:$D$11,2))),0)&lt;1,1,IF(ROUND(10.499-(((N664-VLOOKUP($C664,Lookups!$A$55:$D$64,3))/(VLOOKUP($C664,Lookups!$A$55:$D$64,4))*VLOOKUP($C664,Lookups!$C$2:$D$11,2))),0)&lt;11,ROUND(10.499-(((N664-VLOOKUP($C664,Lookups!$A$55:$D$64,3))/(VLOOKUP($C664,Lookups!$A$55:$D$64,4))*VLOOKUP($C664,Lookups!$C$2:$D$11,2))),0),10))</f>
        <v>#N/A</v>
      </c>
      <c r="P664" s="13" t="str">
        <f>IF((SUM(F664:M664)=0),"J",VLOOKUP(O664,Lookups!$A$1:$B$11,2))</f>
        <v>J</v>
      </c>
      <c r="Q664" s="8" t="e">
        <f>VLOOKUP(C664,Lookups!$A$136:$C$144,3)</f>
        <v>#N/A</v>
      </c>
      <c r="R664" s="8" t="e">
        <f>VLOOKUP(C664,Lookups!$A$136:$C$144,2)</f>
        <v>#N/A</v>
      </c>
      <c r="S664" s="4" t="str">
        <f t="shared" si="57"/>
        <v>No</v>
      </c>
      <c r="T664" s="125">
        <f t="shared" si="58"/>
        <v>0</v>
      </c>
      <c r="U664" s="125">
        <f t="shared" si="59"/>
        <v>0</v>
      </c>
      <c r="V664" s="4" t="e">
        <f>IF($Q664&lt;&gt;3,VLOOKUP(F664,'Points Table A'!B$3:$F$33,5),VLOOKUP(F664,'Points Table A'!H$3:$L$33,5))</f>
        <v>#N/A</v>
      </c>
      <c r="W664" s="4" t="e">
        <f>IF($Q664&lt;&gt;3,VLOOKUP(G664,'Points Table A'!C$3:$F$33,4),VLOOKUP(G664,'Points Table A'!I$3:$L$33,4))</f>
        <v>#N/A</v>
      </c>
      <c r="X664" s="4" t="e">
        <f>IF($Q664&lt;&gt;3,VLOOKUP(H664,'Points Table A'!D$3:$F$28,3),VLOOKUP(H664,'Points Table A'!J$3:$L$33,3))</f>
        <v>#N/A</v>
      </c>
      <c r="Y664" s="4" t="e">
        <f>IF($Q664&lt;&gt;3,VLOOKUP(I664,'Points Table A'!E$3:$F$33,2),VLOOKUP(I664,'Points Table A'!K$3:$L$33,2))</f>
        <v>#N/A</v>
      </c>
      <c r="Z664" s="4" t="e">
        <f t="shared" si="60"/>
        <v>#N/A</v>
      </c>
      <c r="AA664" s="4">
        <f>IF($S664=Lookups!$B$113,VLOOKUP(L664,'Points Table C'!A$3:$E$11,5),VLOOKUP(U664,'Points Table C'!B$3:$E$11,4))</f>
        <v>0</v>
      </c>
      <c r="AB664" s="4" t="e">
        <f>IF($Q664=1,0,VLOOKUP($J664,'Points Table C'!$C$3:$E$18,3))</f>
        <v>#N/A</v>
      </c>
      <c r="AC664" s="4">
        <f>VLOOKUP($K664,'Points Table C'!$D$3:$E$18,2)</f>
        <v>0</v>
      </c>
      <c r="AD664" s="4" t="e">
        <f>IF($Z664&lt;Lookups!$C$106,($AA664+AB664+AC664),IF($AA664&gt;=Lookups!$C$120,($AA664+AB664+AC664),$AA664+$AB664))</f>
        <v>#N/A</v>
      </c>
      <c r="AF664" s="7"/>
      <c r="AG664" s="7"/>
      <c r="AH664" s="7"/>
      <c r="AI664" s="7"/>
      <c r="AJ664" s="7"/>
      <c r="AK664" s="7"/>
      <c r="AL664" s="7"/>
      <c r="AM664" s="7"/>
      <c r="AN664" s="7"/>
      <c r="AO664" s="7"/>
      <c r="AP664" s="7"/>
      <c r="AQ664" s="7"/>
      <c r="AR664" s="7"/>
      <c r="AS664" s="7"/>
      <c r="AT664" s="7"/>
      <c r="AU664" s="7"/>
      <c r="AV664" s="7"/>
      <c r="AW664" s="7"/>
      <c r="AY664" s="7"/>
      <c r="AZ664" s="7"/>
      <c r="BA664" s="7"/>
      <c r="BB664" s="7"/>
    </row>
    <row r="665" spans="2:54" x14ac:dyDescent="0.2">
      <c r="B665" s="174"/>
      <c r="C665" s="176"/>
      <c r="F665" s="5">
        <v>0</v>
      </c>
      <c r="G665" s="192">
        <v>0</v>
      </c>
      <c r="H665" s="192">
        <v>0</v>
      </c>
      <c r="I665" s="5">
        <v>0</v>
      </c>
      <c r="J665" s="192">
        <v>0</v>
      </c>
      <c r="K665" s="192">
        <v>0</v>
      </c>
      <c r="L665" s="5">
        <v>0</v>
      </c>
      <c r="M665" s="5">
        <v>0</v>
      </c>
      <c r="N665" s="4" t="e">
        <f t="shared" si="56"/>
        <v>#N/A</v>
      </c>
      <c r="O665" s="4" t="e">
        <f>IF(ROUND(10.499-(((N665-VLOOKUP($C665,Lookups!$A$55:$D$64,3))/(VLOOKUP($C665,Lookups!$A$55:$D$64,4))*VLOOKUP($C665,Lookups!$C$2:$D$11,2))),0)&lt;1,1,IF(ROUND(10.499-(((N665-VLOOKUP($C665,Lookups!$A$55:$D$64,3))/(VLOOKUP($C665,Lookups!$A$55:$D$64,4))*VLOOKUP($C665,Lookups!$C$2:$D$11,2))),0)&lt;11,ROUND(10.499-(((N665-VLOOKUP($C665,Lookups!$A$55:$D$64,3))/(VLOOKUP($C665,Lookups!$A$55:$D$64,4))*VLOOKUP($C665,Lookups!$C$2:$D$11,2))),0),10))</f>
        <v>#N/A</v>
      </c>
      <c r="P665" s="13" t="str">
        <f>IF((SUM(F665:M665)=0),"J",VLOOKUP(O665,Lookups!$A$1:$B$11,2))</f>
        <v>J</v>
      </c>
      <c r="Q665" s="8" t="e">
        <f>VLOOKUP(C665,Lookups!$A$136:$C$144,3)</f>
        <v>#N/A</v>
      </c>
      <c r="R665" s="8" t="e">
        <f>VLOOKUP(C665,Lookups!$A$136:$C$144,2)</f>
        <v>#N/A</v>
      </c>
      <c r="S665" s="4" t="str">
        <f t="shared" si="57"/>
        <v>No</v>
      </c>
      <c r="T665" s="125">
        <f t="shared" si="58"/>
        <v>0</v>
      </c>
      <c r="U665" s="125">
        <f t="shared" si="59"/>
        <v>0</v>
      </c>
      <c r="V665" s="4" t="e">
        <f>IF($Q665&lt;&gt;3,VLOOKUP(F665,'Points Table A'!B$3:$F$33,5),VLOOKUP(F665,'Points Table A'!H$3:$L$33,5))</f>
        <v>#N/A</v>
      </c>
      <c r="W665" s="4" t="e">
        <f>IF($Q665&lt;&gt;3,VLOOKUP(G665,'Points Table A'!C$3:$F$33,4),VLOOKUP(G665,'Points Table A'!I$3:$L$33,4))</f>
        <v>#N/A</v>
      </c>
      <c r="X665" s="4" t="e">
        <f>IF($Q665&lt;&gt;3,VLOOKUP(H665,'Points Table A'!D$3:$F$28,3),VLOOKUP(H665,'Points Table A'!J$3:$L$33,3))</f>
        <v>#N/A</v>
      </c>
      <c r="Y665" s="4" t="e">
        <f>IF($Q665&lt;&gt;3,VLOOKUP(I665,'Points Table A'!E$3:$F$33,2),VLOOKUP(I665,'Points Table A'!K$3:$L$33,2))</f>
        <v>#N/A</v>
      </c>
      <c r="Z665" s="4" t="e">
        <f t="shared" si="60"/>
        <v>#N/A</v>
      </c>
      <c r="AA665" s="4">
        <f>IF($S665=Lookups!$B$113,VLOOKUP(L665,'Points Table C'!A$3:$E$11,5),VLOOKUP(U665,'Points Table C'!B$3:$E$11,4))</f>
        <v>0</v>
      </c>
      <c r="AB665" s="4" t="e">
        <f>IF($Q665=1,0,VLOOKUP($J665,'Points Table C'!$C$3:$E$18,3))</f>
        <v>#N/A</v>
      </c>
      <c r="AC665" s="4">
        <f>VLOOKUP($K665,'Points Table C'!$D$3:$E$18,2)</f>
        <v>0</v>
      </c>
      <c r="AD665" s="4" t="e">
        <f>IF($Z665&lt;Lookups!$C$106,($AA665+AB665+AC665),IF($AA665&gt;=Lookups!$C$120,($AA665+AB665+AC665),$AA665+$AB665))</f>
        <v>#N/A</v>
      </c>
      <c r="AF665" s="7"/>
      <c r="AG665" s="7"/>
      <c r="AH665" s="7"/>
      <c r="AI665" s="7"/>
      <c r="AJ665" s="7"/>
      <c r="AK665" s="7"/>
      <c r="AL665" s="7"/>
      <c r="AM665" s="7"/>
      <c r="AN665" s="7"/>
      <c r="AO665" s="7"/>
      <c r="AP665" s="7"/>
      <c r="AQ665" s="7"/>
      <c r="AR665" s="7"/>
      <c r="AS665" s="7"/>
      <c r="AT665" s="7"/>
      <c r="AU665" s="7"/>
      <c r="AV665" s="7"/>
      <c r="AW665" s="7"/>
      <c r="AY665" s="7"/>
      <c r="AZ665" s="7"/>
      <c r="BA665" s="7"/>
      <c r="BB665" s="7"/>
    </row>
    <row r="666" spans="2:54" x14ac:dyDescent="0.2">
      <c r="B666" s="174"/>
      <c r="C666" s="176"/>
      <c r="F666" s="5">
        <v>0</v>
      </c>
      <c r="G666" s="192">
        <v>0</v>
      </c>
      <c r="H666" s="192">
        <v>0</v>
      </c>
      <c r="I666" s="5">
        <v>0</v>
      </c>
      <c r="J666" s="192">
        <v>0</v>
      </c>
      <c r="K666" s="192">
        <v>0</v>
      </c>
      <c r="L666" s="5">
        <v>0</v>
      </c>
      <c r="M666" s="5">
        <v>0</v>
      </c>
      <c r="N666" s="4" t="e">
        <f t="shared" si="56"/>
        <v>#N/A</v>
      </c>
      <c r="O666" s="4" t="e">
        <f>IF(ROUND(10.499-(((N666-VLOOKUP($C666,Lookups!$A$55:$D$64,3))/(VLOOKUP($C666,Lookups!$A$55:$D$64,4))*VLOOKUP($C666,Lookups!$C$2:$D$11,2))),0)&lt;1,1,IF(ROUND(10.499-(((N666-VLOOKUP($C666,Lookups!$A$55:$D$64,3))/(VLOOKUP($C666,Lookups!$A$55:$D$64,4))*VLOOKUP($C666,Lookups!$C$2:$D$11,2))),0)&lt;11,ROUND(10.499-(((N666-VLOOKUP($C666,Lookups!$A$55:$D$64,3))/(VLOOKUP($C666,Lookups!$A$55:$D$64,4))*VLOOKUP($C666,Lookups!$C$2:$D$11,2))),0),10))</f>
        <v>#N/A</v>
      </c>
      <c r="P666" s="13" t="str">
        <f>IF((SUM(F666:M666)=0),"J",VLOOKUP(O666,Lookups!$A$1:$B$11,2))</f>
        <v>J</v>
      </c>
      <c r="Q666" s="8" t="e">
        <f>VLOOKUP(C666,Lookups!$A$136:$C$144,3)</f>
        <v>#N/A</v>
      </c>
      <c r="R666" s="8" t="e">
        <f>VLOOKUP(C666,Lookups!$A$136:$C$144,2)</f>
        <v>#N/A</v>
      </c>
      <c r="S666" s="4" t="str">
        <f t="shared" si="57"/>
        <v>No</v>
      </c>
      <c r="T666" s="125">
        <f t="shared" si="58"/>
        <v>0</v>
      </c>
      <c r="U666" s="125">
        <f t="shared" si="59"/>
        <v>0</v>
      </c>
      <c r="V666" s="4" t="e">
        <f>IF($Q666&lt;&gt;3,VLOOKUP(F666,'Points Table A'!B$3:$F$33,5),VLOOKUP(F666,'Points Table A'!H$3:$L$33,5))</f>
        <v>#N/A</v>
      </c>
      <c r="W666" s="4" t="e">
        <f>IF($Q666&lt;&gt;3,VLOOKUP(G666,'Points Table A'!C$3:$F$33,4),VLOOKUP(G666,'Points Table A'!I$3:$L$33,4))</f>
        <v>#N/A</v>
      </c>
      <c r="X666" s="4" t="e">
        <f>IF($Q666&lt;&gt;3,VLOOKUP(H666,'Points Table A'!D$3:$F$28,3),VLOOKUP(H666,'Points Table A'!J$3:$L$33,3))</f>
        <v>#N/A</v>
      </c>
      <c r="Y666" s="4" t="e">
        <f>IF($Q666&lt;&gt;3,VLOOKUP(I666,'Points Table A'!E$3:$F$33,2),VLOOKUP(I666,'Points Table A'!K$3:$L$33,2))</f>
        <v>#N/A</v>
      </c>
      <c r="Z666" s="4" t="e">
        <f t="shared" si="60"/>
        <v>#N/A</v>
      </c>
      <c r="AA666" s="4">
        <f>IF($S666=Lookups!$B$113,VLOOKUP(L666,'Points Table C'!A$3:$E$11,5),VLOOKUP(U666,'Points Table C'!B$3:$E$11,4))</f>
        <v>0</v>
      </c>
      <c r="AB666" s="4" t="e">
        <f>IF($Q666=1,0,VLOOKUP($J666,'Points Table C'!$C$3:$E$18,3))</f>
        <v>#N/A</v>
      </c>
      <c r="AC666" s="4">
        <f>VLOOKUP($K666,'Points Table C'!$D$3:$E$18,2)</f>
        <v>0</v>
      </c>
      <c r="AD666" s="4" t="e">
        <f>IF($Z666&lt;Lookups!$C$106,($AA666+AB666+AC666),IF($AA666&gt;=Lookups!$C$120,($AA666+AB666+AC666),$AA666+$AB666))</f>
        <v>#N/A</v>
      </c>
      <c r="AF666" s="7"/>
      <c r="AG666" s="7"/>
      <c r="AH666" s="7"/>
      <c r="AI666" s="7"/>
      <c r="AJ666" s="7"/>
      <c r="AK666" s="7"/>
      <c r="AL666" s="7"/>
      <c r="AM666" s="7"/>
      <c r="AN666" s="7"/>
      <c r="AO666" s="7"/>
      <c r="AP666" s="7"/>
      <c r="AQ666" s="7"/>
      <c r="AR666" s="7"/>
      <c r="AS666" s="7"/>
      <c r="AT666" s="7"/>
      <c r="AU666" s="7"/>
      <c r="AV666" s="7"/>
      <c r="AW666" s="7"/>
      <c r="AY666" s="7"/>
      <c r="AZ666" s="7"/>
      <c r="BA666" s="7"/>
      <c r="BB666" s="7"/>
    </row>
    <row r="667" spans="2:54" x14ac:dyDescent="0.2">
      <c r="B667" s="174"/>
      <c r="C667" s="176"/>
      <c r="F667" s="5">
        <v>0</v>
      </c>
      <c r="G667" s="192">
        <v>0</v>
      </c>
      <c r="H667" s="192">
        <v>0</v>
      </c>
      <c r="I667" s="5">
        <v>0</v>
      </c>
      <c r="J667" s="192">
        <v>0</v>
      </c>
      <c r="K667" s="192">
        <v>0</v>
      </c>
      <c r="L667" s="5">
        <v>0</v>
      </c>
      <c r="M667" s="5">
        <v>0</v>
      </c>
      <c r="N667" s="4" t="e">
        <f t="shared" si="56"/>
        <v>#N/A</v>
      </c>
      <c r="O667" s="4" t="e">
        <f>IF(ROUND(10.499-(((N667-VLOOKUP($C667,Lookups!$A$55:$D$64,3))/(VLOOKUP($C667,Lookups!$A$55:$D$64,4))*VLOOKUP($C667,Lookups!$C$2:$D$11,2))),0)&lt;1,1,IF(ROUND(10.499-(((N667-VLOOKUP($C667,Lookups!$A$55:$D$64,3))/(VLOOKUP($C667,Lookups!$A$55:$D$64,4))*VLOOKUP($C667,Lookups!$C$2:$D$11,2))),0)&lt;11,ROUND(10.499-(((N667-VLOOKUP($C667,Lookups!$A$55:$D$64,3))/(VLOOKUP($C667,Lookups!$A$55:$D$64,4))*VLOOKUP($C667,Lookups!$C$2:$D$11,2))),0),10))</f>
        <v>#N/A</v>
      </c>
      <c r="P667" s="13" t="str">
        <f>IF((SUM(F667:M667)=0),"J",VLOOKUP(O667,Lookups!$A$1:$B$11,2))</f>
        <v>J</v>
      </c>
      <c r="Q667" s="8" t="e">
        <f>VLOOKUP(C667,Lookups!$A$136:$C$144,3)</f>
        <v>#N/A</v>
      </c>
      <c r="R667" s="8" t="e">
        <f>VLOOKUP(C667,Lookups!$A$136:$C$144,2)</f>
        <v>#N/A</v>
      </c>
      <c r="S667" s="4" t="str">
        <f t="shared" si="57"/>
        <v>No</v>
      </c>
      <c r="T667" s="125">
        <f t="shared" si="58"/>
        <v>0</v>
      </c>
      <c r="U667" s="125">
        <f t="shared" si="59"/>
        <v>0</v>
      </c>
      <c r="V667" s="4" t="e">
        <f>IF($Q667&lt;&gt;3,VLOOKUP(F667,'Points Table A'!B$3:$F$33,5),VLOOKUP(F667,'Points Table A'!H$3:$L$33,5))</f>
        <v>#N/A</v>
      </c>
      <c r="W667" s="4" t="e">
        <f>IF($Q667&lt;&gt;3,VLOOKUP(G667,'Points Table A'!C$3:$F$33,4),VLOOKUP(G667,'Points Table A'!I$3:$L$33,4))</f>
        <v>#N/A</v>
      </c>
      <c r="X667" s="4" t="e">
        <f>IF($Q667&lt;&gt;3,VLOOKUP(H667,'Points Table A'!D$3:$F$28,3),VLOOKUP(H667,'Points Table A'!J$3:$L$33,3))</f>
        <v>#N/A</v>
      </c>
      <c r="Y667" s="4" t="e">
        <f>IF($Q667&lt;&gt;3,VLOOKUP(I667,'Points Table A'!E$3:$F$33,2),VLOOKUP(I667,'Points Table A'!K$3:$L$33,2))</f>
        <v>#N/A</v>
      </c>
      <c r="Z667" s="4" t="e">
        <f t="shared" si="60"/>
        <v>#N/A</v>
      </c>
      <c r="AA667" s="4">
        <f>IF($S667=Lookups!$B$113,VLOOKUP(L667,'Points Table C'!A$3:$E$11,5),VLOOKUP(U667,'Points Table C'!B$3:$E$11,4))</f>
        <v>0</v>
      </c>
      <c r="AB667" s="4" t="e">
        <f>IF($Q667=1,0,VLOOKUP($J667,'Points Table C'!$C$3:$E$18,3))</f>
        <v>#N/A</v>
      </c>
      <c r="AC667" s="4">
        <f>VLOOKUP($K667,'Points Table C'!$D$3:$E$18,2)</f>
        <v>0</v>
      </c>
      <c r="AD667" s="4" t="e">
        <f>IF($Z667&lt;Lookups!$C$106,($AA667+AB667+AC667),IF($AA667&gt;=Lookups!$C$120,($AA667+AB667+AC667),$AA667+$AB667))</f>
        <v>#N/A</v>
      </c>
      <c r="AF667" s="7"/>
      <c r="AG667" s="7"/>
      <c r="AH667" s="7"/>
      <c r="AI667" s="7"/>
      <c r="AJ667" s="7"/>
      <c r="AK667" s="7"/>
      <c r="AL667" s="7"/>
      <c r="AM667" s="7"/>
      <c r="AN667" s="7"/>
      <c r="AO667" s="7"/>
      <c r="AP667" s="7"/>
      <c r="AQ667" s="7"/>
      <c r="AR667" s="7"/>
      <c r="AS667" s="7"/>
      <c r="AT667" s="7"/>
      <c r="AU667" s="7"/>
      <c r="AV667" s="7"/>
      <c r="AW667" s="7"/>
      <c r="AY667" s="7"/>
      <c r="AZ667" s="7"/>
      <c r="BA667" s="7"/>
      <c r="BB667" s="7"/>
    </row>
    <row r="668" spans="2:54" x14ac:dyDescent="0.2">
      <c r="B668" s="174"/>
      <c r="C668" s="176"/>
      <c r="F668" s="5">
        <v>0</v>
      </c>
      <c r="G668" s="192">
        <v>0</v>
      </c>
      <c r="H668" s="192">
        <v>0</v>
      </c>
      <c r="I668" s="5">
        <v>0</v>
      </c>
      <c r="J668" s="192">
        <v>0</v>
      </c>
      <c r="K668" s="192">
        <v>0</v>
      </c>
      <c r="L668" s="5">
        <v>0</v>
      </c>
      <c r="M668" s="5">
        <v>0</v>
      </c>
      <c r="N668" s="4" t="e">
        <f t="shared" si="56"/>
        <v>#N/A</v>
      </c>
      <c r="O668" s="4" t="e">
        <f>IF(ROUND(10.499-(((N668-VLOOKUP($C668,Lookups!$A$55:$D$64,3))/(VLOOKUP($C668,Lookups!$A$55:$D$64,4))*VLOOKUP($C668,Lookups!$C$2:$D$11,2))),0)&lt;1,1,IF(ROUND(10.499-(((N668-VLOOKUP($C668,Lookups!$A$55:$D$64,3))/(VLOOKUP($C668,Lookups!$A$55:$D$64,4))*VLOOKUP($C668,Lookups!$C$2:$D$11,2))),0)&lt;11,ROUND(10.499-(((N668-VLOOKUP($C668,Lookups!$A$55:$D$64,3))/(VLOOKUP($C668,Lookups!$A$55:$D$64,4))*VLOOKUP($C668,Lookups!$C$2:$D$11,2))),0),10))</f>
        <v>#N/A</v>
      </c>
      <c r="P668" s="13" t="str">
        <f>IF((SUM(F668:M668)=0),"J",VLOOKUP(O668,Lookups!$A$1:$B$11,2))</f>
        <v>J</v>
      </c>
      <c r="Q668" s="8" t="e">
        <f>VLOOKUP(C668,Lookups!$A$136:$C$144,3)</f>
        <v>#N/A</v>
      </c>
      <c r="R668" s="8" t="e">
        <f>VLOOKUP(C668,Lookups!$A$136:$C$144,2)</f>
        <v>#N/A</v>
      </c>
      <c r="S668" s="4" t="str">
        <f t="shared" si="57"/>
        <v>No</v>
      </c>
      <c r="T668" s="125">
        <f t="shared" si="58"/>
        <v>0</v>
      </c>
      <c r="U668" s="125">
        <f t="shared" si="59"/>
        <v>0</v>
      </c>
      <c r="V668" s="4" t="e">
        <f>IF($Q668&lt;&gt;3,VLOOKUP(F668,'Points Table A'!B$3:$F$33,5),VLOOKUP(F668,'Points Table A'!H$3:$L$33,5))</f>
        <v>#N/A</v>
      </c>
      <c r="W668" s="4" t="e">
        <f>IF($Q668&lt;&gt;3,VLOOKUP(G668,'Points Table A'!C$3:$F$33,4),VLOOKUP(G668,'Points Table A'!I$3:$L$33,4))</f>
        <v>#N/A</v>
      </c>
      <c r="X668" s="4" t="e">
        <f>IF($Q668&lt;&gt;3,VLOOKUP(H668,'Points Table A'!D$3:$F$28,3),VLOOKUP(H668,'Points Table A'!J$3:$L$33,3))</f>
        <v>#N/A</v>
      </c>
      <c r="Y668" s="4" t="e">
        <f>IF($Q668&lt;&gt;3,VLOOKUP(I668,'Points Table A'!E$3:$F$33,2),VLOOKUP(I668,'Points Table A'!K$3:$L$33,2))</f>
        <v>#N/A</v>
      </c>
      <c r="Z668" s="4" t="e">
        <f t="shared" si="60"/>
        <v>#N/A</v>
      </c>
      <c r="AA668" s="4">
        <f>IF($S668=Lookups!$B$113,VLOOKUP(L668,'Points Table C'!A$3:$E$11,5),VLOOKUP(U668,'Points Table C'!B$3:$E$11,4))</f>
        <v>0</v>
      </c>
      <c r="AB668" s="4" t="e">
        <f>IF($Q668=1,0,VLOOKUP($J668,'Points Table C'!$C$3:$E$18,3))</f>
        <v>#N/A</v>
      </c>
      <c r="AC668" s="4">
        <f>VLOOKUP($K668,'Points Table C'!$D$3:$E$18,2)</f>
        <v>0</v>
      </c>
      <c r="AD668" s="4" t="e">
        <f>IF($Z668&lt;Lookups!$C$106,($AA668+AB668+AC668),IF($AA668&gt;=Lookups!$C$120,($AA668+AB668+AC668),$AA668+$AB668))</f>
        <v>#N/A</v>
      </c>
      <c r="AF668" s="7"/>
      <c r="AG668" s="7"/>
      <c r="AH668" s="7"/>
      <c r="AI668" s="7"/>
      <c r="AJ668" s="7"/>
      <c r="AK668" s="7"/>
      <c r="AL668" s="7"/>
      <c r="AM668" s="7"/>
      <c r="AN668" s="7"/>
      <c r="AO668" s="7"/>
      <c r="AP668" s="7"/>
      <c r="AQ668" s="7"/>
      <c r="AR668" s="7"/>
      <c r="AS668" s="7"/>
      <c r="AT668" s="7"/>
      <c r="AU668" s="7"/>
      <c r="AV668" s="7"/>
      <c r="AW668" s="7"/>
      <c r="AY668" s="7"/>
      <c r="AZ668" s="7"/>
      <c r="BA668" s="7"/>
      <c r="BB668" s="7"/>
    </row>
    <row r="669" spans="2:54" x14ac:dyDescent="0.2">
      <c r="B669" s="174"/>
      <c r="C669" s="176"/>
      <c r="F669" s="5">
        <v>0</v>
      </c>
      <c r="G669" s="192">
        <v>0</v>
      </c>
      <c r="H669" s="192">
        <v>0</v>
      </c>
      <c r="I669" s="5">
        <v>0</v>
      </c>
      <c r="J669" s="192">
        <v>0</v>
      </c>
      <c r="K669" s="192">
        <v>0</v>
      </c>
      <c r="L669" s="5">
        <v>0</v>
      </c>
      <c r="M669" s="5">
        <v>0</v>
      </c>
      <c r="N669" s="4" t="e">
        <f t="shared" si="56"/>
        <v>#N/A</v>
      </c>
      <c r="O669" s="4" t="e">
        <f>IF(ROUND(10.499-(((N669-VLOOKUP($C669,Lookups!$A$55:$D$64,3))/(VLOOKUP($C669,Lookups!$A$55:$D$64,4))*VLOOKUP($C669,Lookups!$C$2:$D$11,2))),0)&lt;1,1,IF(ROUND(10.499-(((N669-VLOOKUP($C669,Lookups!$A$55:$D$64,3))/(VLOOKUP($C669,Lookups!$A$55:$D$64,4))*VLOOKUP($C669,Lookups!$C$2:$D$11,2))),0)&lt;11,ROUND(10.499-(((N669-VLOOKUP($C669,Lookups!$A$55:$D$64,3))/(VLOOKUP($C669,Lookups!$A$55:$D$64,4))*VLOOKUP($C669,Lookups!$C$2:$D$11,2))),0),10))</f>
        <v>#N/A</v>
      </c>
      <c r="P669" s="13" t="str">
        <f>IF((SUM(F669:M669)=0),"J",VLOOKUP(O669,Lookups!$A$1:$B$11,2))</f>
        <v>J</v>
      </c>
      <c r="Q669" s="8" t="e">
        <f>VLOOKUP(C669,Lookups!$A$136:$C$144,3)</f>
        <v>#N/A</v>
      </c>
      <c r="R669" s="8" t="e">
        <f>VLOOKUP(C669,Lookups!$A$136:$C$144,2)</f>
        <v>#N/A</v>
      </c>
      <c r="S669" s="4" t="str">
        <f t="shared" si="57"/>
        <v>No</v>
      </c>
      <c r="T669" s="125">
        <f t="shared" si="58"/>
        <v>0</v>
      </c>
      <c r="U669" s="125">
        <f t="shared" si="59"/>
        <v>0</v>
      </c>
      <c r="V669" s="4" t="e">
        <f>IF($Q669&lt;&gt;3,VLOOKUP(F669,'Points Table A'!B$3:$F$33,5),VLOOKUP(F669,'Points Table A'!H$3:$L$33,5))</f>
        <v>#N/A</v>
      </c>
      <c r="W669" s="4" t="e">
        <f>IF($Q669&lt;&gt;3,VLOOKUP(G669,'Points Table A'!C$3:$F$33,4),VLOOKUP(G669,'Points Table A'!I$3:$L$33,4))</f>
        <v>#N/A</v>
      </c>
      <c r="X669" s="4" t="e">
        <f>IF($Q669&lt;&gt;3,VLOOKUP(H669,'Points Table A'!D$3:$F$28,3),VLOOKUP(H669,'Points Table A'!J$3:$L$33,3))</f>
        <v>#N/A</v>
      </c>
      <c r="Y669" s="4" t="e">
        <f>IF($Q669&lt;&gt;3,VLOOKUP(I669,'Points Table A'!E$3:$F$33,2),VLOOKUP(I669,'Points Table A'!K$3:$L$33,2))</f>
        <v>#N/A</v>
      </c>
      <c r="Z669" s="4" t="e">
        <f t="shared" si="60"/>
        <v>#N/A</v>
      </c>
      <c r="AA669" s="4">
        <f>IF($S669=Lookups!$B$113,VLOOKUP(L669,'Points Table C'!A$3:$E$11,5),VLOOKUP(U669,'Points Table C'!B$3:$E$11,4))</f>
        <v>0</v>
      </c>
      <c r="AB669" s="4" t="e">
        <f>IF($Q669=1,0,VLOOKUP($J669,'Points Table C'!$C$3:$E$18,3))</f>
        <v>#N/A</v>
      </c>
      <c r="AC669" s="4">
        <f>VLOOKUP($K669,'Points Table C'!$D$3:$E$18,2)</f>
        <v>0</v>
      </c>
      <c r="AD669" s="4" t="e">
        <f>IF($Z669&lt;Lookups!$C$106,($AA669+AB669+AC669),IF($AA669&gt;=Lookups!$C$120,($AA669+AB669+AC669),$AA669+$AB669))</f>
        <v>#N/A</v>
      </c>
      <c r="AF669" s="7"/>
      <c r="AG669" s="7"/>
      <c r="AH669" s="7"/>
      <c r="AI669" s="7"/>
      <c r="AJ669" s="7"/>
      <c r="AK669" s="7"/>
      <c r="AL669" s="7"/>
      <c r="AM669" s="7"/>
      <c r="AN669" s="7"/>
      <c r="AO669" s="7"/>
      <c r="AP669" s="7"/>
      <c r="AQ669" s="7"/>
      <c r="AR669" s="7"/>
      <c r="AS669" s="7"/>
      <c r="AT669" s="7"/>
      <c r="AU669" s="7"/>
      <c r="AV669" s="7"/>
      <c r="AW669" s="7"/>
      <c r="AY669" s="7"/>
      <c r="AZ669" s="7"/>
      <c r="BA669" s="7"/>
      <c r="BB669" s="7"/>
    </row>
    <row r="670" spans="2:54" x14ac:dyDescent="0.2">
      <c r="B670" s="174"/>
      <c r="C670" s="176"/>
      <c r="F670" s="5">
        <v>0</v>
      </c>
      <c r="G670" s="192">
        <v>0</v>
      </c>
      <c r="H670" s="192">
        <v>0</v>
      </c>
      <c r="I670" s="5">
        <v>0</v>
      </c>
      <c r="J670" s="192">
        <v>0</v>
      </c>
      <c r="K670" s="192">
        <v>0</v>
      </c>
      <c r="L670" s="5">
        <v>0</v>
      </c>
      <c r="M670" s="5">
        <v>0</v>
      </c>
      <c r="N670" s="4" t="e">
        <f t="shared" si="56"/>
        <v>#N/A</v>
      </c>
      <c r="O670" s="4" t="e">
        <f>IF(ROUND(10.499-(((N670-VLOOKUP($C670,Lookups!$A$55:$D$64,3))/(VLOOKUP($C670,Lookups!$A$55:$D$64,4))*VLOOKUP($C670,Lookups!$C$2:$D$11,2))),0)&lt;1,1,IF(ROUND(10.499-(((N670-VLOOKUP($C670,Lookups!$A$55:$D$64,3))/(VLOOKUP($C670,Lookups!$A$55:$D$64,4))*VLOOKUP($C670,Lookups!$C$2:$D$11,2))),0)&lt;11,ROUND(10.499-(((N670-VLOOKUP($C670,Lookups!$A$55:$D$64,3))/(VLOOKUP($C670,Lookups!$A$55:$D$64,4))*VLOOKUP($C670,Lookups!$C$2:$D$11,2))),0),10))</f>
        <v>#N/A</v>
      </c>
      <c r="P670" s="13" t="str">
        <f>IF((SUM(F670:M670)=0),"J",VLOOKUP(O670,Lookups!$A$1:$B$11,2))</f>
        <v>J</v>
      </c>
      <c r="Q670" s="8" t="e">
        <f>VLOOKUP(C670,Lookups!$A$136:$C$144,3)</f>
        <v>#N/A</v>
      </c>
      <c r="R670" s="8" t="e">
        <f>VLOOKUP(C670,Lookups!$A$136:$C$144,2)</f>
        <v>#N/A</v>
      </c>
      <c r="S670" s="4" t="str">
        <f t="shared" si="57"/>
        <v>No</v>
      </c>
      <c r="T670" s="125">
        <f t="shared" si="58"/>
        <v>0</v>
      </c>
      <c r="U670" s="125">
        <f t="shared" si="59"/>
        <v>0</v>
      </c>
      <c r="V670" s="4" t="e">
        <f>IF($Q670&lt;&gt;3,VLOOKUP(F670,'Points Table A'!B$3:$F$33,5),VLOOKUP(F670,'Points Table A'!H$3:$L$33,5))</f>
        <v>#N/A</v>
      </c>
      <c r="W670" s="4" t="e">
        <f>IF($Q670&lt;&gt;3,VLOOKUP(G670,'Points Table A'!C$3:$F$33,4),VLOOKUP(G670,'Points Table A'!I$3:$L$33,4))</f>
        <v>#N/A</v>
      </c>
      <c r="X670" s="4" t="e">
        <f>IF($Q670&lt;&gt;3,VLOOKUP(H670,'Points Table A'!D$3:$F$28,3),VLOOKUP(H670,'Points Table A'!J$3:$L$33,3))</f>
        <v>#N/A</v>
      </c>
      <c r="Y670" s="4" t="e">
        <f>IF($Q670&lt;&gt;3,VLOOKUP(I670,'Points Table A'!E$3:$F$33,2),VLOOKUP(I670,'Points Table A'!K$3:$L$33,2))</f>
        <v>#N/A</v>
      </c>
      <c r="Z670" s="4" t="e">
        <f t="shared" si="60"/>
        <v>#N/A</v>
      </c>
      <c r="AA670" s="4">
        <f>IF($S670=Lookups!$B$113,VLOOKUP(L670,'Points Table C'!A$3:$E$11,5),VLOOKUP(U670,'Points Table C'!B$3:$E$11,4))</f>
        <v>0</v>
      </c>
      <c r="AB670" s="4" t="e">
        <f>IF($Q670=1,0,VLOOKUP($J670,'Points Table C'!$C$3:$E$18,3))</f>
        <v>#N/A</v>
      </c>
      <c r="AC670" s="4">
        <f>VLOOKUP($K670,'Points Table C'!$D$3:$E$18,2)</f>
        <v>0</v>
      </c>
      <c r="AD670" s="4" t="e">
        <f>IF($Z670&lt;Lookups!$C$106,($AA670+AB670+AC670),IF($AA670&gt;=Lookups!$C$120,($AA670+AB670+AC670),$AA670+$AB670))</f>
        <v>#N/A</v>
      </c>
      <c r="AF670" s="7"/>
      <c r="AG670" s="7"/>
      <c r="AH670" s="7"/>
      <c r="AI670" s="7"/>
      <c r="AJ670" s="7"/>
      <c r="AK670" s="7"/>
      <c r="AL670" s="7"/>
      <c r="AM670" s="7"/>
      <c r="AN670" s="7"/>
      <c r="AO670" s="7"/>
      <c r="AP670" s="7"/>
      <c r="AQ670" s="7"/>
      <c r="AR670" s="7"/>
      <c r="AS670" s="7"/>
      <c r="AT670" s="7"/>
      <c r="AU670" s="7"/>
      <c r="AV670" s="7"/>
      <c r="AW670" s="7"/>
      <c r="AY670" s="7"/>
      <c r="AZ670" s="7"/>
      <c r="BA670" s="7"/>
      <c r="BB670" s="7"/>
    </row>
    <row r="671" spans="2:54" x14ac:dyDescent="0.2">
      <c r="B671" s="174"/>
      <c r="C671" s="176"/>
      <c r="F671" s="5">
        <v>0</v>
      </c>
      <c r="G671" s="192">
        <v>0</v>
      </c>
      <c r="H671" s="192">
        <v>0</v>
      </c>
      <c r="I671" s="5">
        <v>0</v>
      </c>
      <c r="J671" s="192">
        <v>0</v>
      </c>
      <c r="K671" s="192">
        <v>0</v>
      </c>
      <c r="L671" s="5">
        <v>0</v>
      </c>
      <c r="M671" s="5">
        <v>0</v>
      </c>
      <c r="N671" s="4" t="e">
        <f t="shared" si="56"/>
        <v>#N/A</v>
      </c>
      <c r="O671" s="4" t="e">
        <f>IF(ROUND(10.499-(((N671-VLOOKUP($C671,Lookups!$A$55:$D$64,3))/(VLOOKUP($C671,Lookups!$A$55:$D$64,4))*VLOOKUP($C671,Lookups!$C$2:$D$11,2))),0)&lt;1,1,IF(ROUND(10.499-(((N671-VLOOKUP($C671,Lookups!$A$55:$D$64,3))/(VLOOKUP($C671,Lookups!$A$55:$D$64,4))*VLOOKUP($C671,Lookups!$C$2:$D$11,2))),0)&lt;11,ROUND(10.499-(((N671-VLOOKUP($C671,Lookups!$A$55:$D$64,3))/(VLOOKUP($C671,Lookups!$A$55:$D$64,4))*VLOOKUP($C671,Lookups!$C$2:$D$11,2))),0),10))</f>
        <v>#N/A</v>
      </c>
      <c r="P671" s="13" t="str">
        <f>IF((SUM(F671:M671)=0),"J",VLOOKUP(O671,Lookups!$A$1:$B$11,2))</f>
        <v>J</v>
      </c>
      <c r="Q671" s="8" t="e">
        <f>VLOOKUP(C671,Lookups!$A$136:$C$144,3)</f>
        <v>#N/A</v>
      </c>
      <c r="R671" s="8" t="e">
        <f>VLOOKUP(C671,Lookups!$A$136:$C$144,2)</f>
        <v>#N/A</v>
      </c>
      <c r="S671" s="4" t="str">
        <f t="shared" si="57"/>
        <v>No</v>
      </c>
      <c r="T671" s="125">
        <f t="shared" si="58"/>
        <v>0</v>
      </c>
      <c r="U671" s="125">
        <f t="shared" si="59"/>
        <v>0</v>
      </c>
      <c r="V671" s="4" t="e">
        <f>IF($Q671&lt;&gt;3,VLOOKUP(F671,'Points Table A'!B$3:$F$33,5),VLOOKUP(F671,'Points Table A'!H$3:$L$33,5))</f>
        <v>#N/A</v>
      </c>
      <c r="W671" s="4" t="e">
        <f>IF($Q671&lt;&gt;3,VLOOKUP(G671,'Points Table A'!C$3:$F$33,4),VLOOKUP(G671,'Points Table A'!I$3:$L$33,4))</f>
        <v>#N/A</v>
      </c>
      <c r="X671" s="4" t="e">
        <f>IF($Q671&lt;&gt;3,VLOOKUP(H671,'Points Table A'!D$3:$F$28,3),VLOOKUP(H671,'Points Table A'!J$3:$L$33,3))</f>
        <v>#N/A</v>
      </c>
      <c r="Y671" s="4" t="e">
        <f>IF($Q671&lt;&gt;3,VLOOKUP(I671,'Points Table A'!E$3:$F$33,2),VLOOKUP(I671,'Points Table A'!K$3:$L$33,2))</f>
        <v>#N/A</v>
      </c>
      <c r="Z671" s="4" t="e">
        <f t="shared" si="60"/>
        <v>#N/A</v>
      </c>
      <c r="AA671" s="4">
        <f>IF($S671=Lookups!$B$113,VLOOKUP(L671,'Points Table C'!A$3:$E$11,5),VLOOKUP(U671,'Points Table C'!B$3:$E$11,4))</f>
        <v>0</v>
      </c>
      <c r="AB671" s="4" t="e">
        <f>IF($Q671=1,0,VLOOKUP($J671,'Points Table C'!$C$3:$E$18,3))</f>
        <v>#N/A</v>
      </c>
      <c r="AC671" s="4">
        <f>VLOOKUP($K671,'Points Table C'!$D$3:$E$18,2)</f>
        <v>0</v>
      </c>
      <c r="AD671" s="4" t="e">
        <f>IF($Z671&lt;Lookups!$C$106,($AA671+AB671+AC671),IF($AA671&gt;=Lookups!$C$120,($AA671+AB671+AC671),$AA671+$AB671))</f>
        <v>#N/A</v>
      </c>
      <c r="AF671" s="7"/>
      <c r="AG671" s="7"/>
      <c r="AH671" s="7"/>
      <c r="AI671" s="7"/>
      <c r="AJ671" s="7"/>
      <c r="AK671" s="7"/>
      <c r="AL671" s="7"/>
      <c r="AM671" s="7"/>
      <c r="AN671" s="7"/>
      <c r="AO671" s="7"/>
      <c r="AP671" s="7"/>
      <c r="AQ671" s="7"/>
      <c r="AR671" s="7"/>
      <c r="AS671" s="7"/>
      <c r="AT671" s="7"/>
      <c r="AU671" s="7"/>
      <c r="AV671" s="7"/>
      <c r="AW671" s="7"/>
      <c r="AY671" s="7"/>
      <c r="AZ671" s="7"/>
      <c r="BA671" s="7"/>
      <c r="BB671" s="7"/>
    </row>
    <row r="672" spans="2:54" x14ac:dyDescent="0.2">
      <c r="B672" s="174"/>
      <c r="C672" s="176"/>
      <c r="F672" s="5">
        <v>0</v>
      </c>
      <c r="G672" s="192">
        <v>0</v>
      </c>
      <c r="H672" s="192">
        <v>0</v>
      </c>
      <c r="I672" s="5">
        <v>0</v>
      </c>
      <c r="J672" s="192">
        <v>0</v>
      </c>
      <c r="K672" s="192">
        <v>0</v>
      </c>
      <c r="L672" s="5">
        <v>0</v>
      </c>
      <c r="M672" s="5">
        <v>0</v>
      </c>
      <c r="N672" s="4" t="e">
        <f t="shared" si="56"/>
        <v>#N/A</v>
      </c>
      <c r="O672" s="4" t="e">
        <f>IF(ROUND(10.499-(((N672-VLOOKUP($C672,Lookups!$A$55:$D$64,3))/(VLOOKUP($C672,Lookups!$A$55:$D$64,4))*VLOOKUP($C672,Lookups!$C$2:$D$11,2))),0)&lt;1,1,IF(ROUND(10.499-(((N672-VLOOKUP($C672,Lookups!$A$55:$D$64,3))/(VLOOKUP($C672,Lookups!$A$55:$D$64,4))*VLOOKUP($C672,Lookups!$C$2:$D$11,2))),0)&lt;11,ROUND(10.499-(((N672-VLOOKUP($C672,Lookups!$A$55:$D$64,3))/(VLOOKUP($C672,Lookups!$A$55:$D$64,4))*VLOOKUP($C672,Lookups!$C$2:$D$11,2))),0),10))</f>
        <v>#N/A</v>
      </c>
      <c r="P672" s="13" t="str">
        <f>IF((SUM(F672:M672)=0),"J",VLOOKUP(O672,Lookups!$A$1:$B$11,2))</f>
        <v>J</v>
      </c>
      <c r="Q672" s="8" t="e">
        <f>VLOOKUP(C672,Lookups!$A$136:$C$144,3)</f>
        <v>#N/A</v>
      </c>
      <c r="R672" s="8" t="e">
        <f>VLOOKUP(C672,Lookups!$A$136:$C$144,2)</f>
        <v>#N/A</v>
      </c>
      <c r="S672" s="4" t="str">
        <f t="shared" si="57"/>
        <v>No</v>
      </c>
      <c r="T672" s="125">
        <f t="shared" si="58"/>
        <v>0</v>
      </c>
      <c r="U672" s="125">
        <f t="shared" si="59"/>
        <v>0</v>
      </c>
      <c r="V672" s="4" t="e">
        <f>IF($Q672&lt;&gt;3,VLOOKUP(F672,'Points Table A'!B$3:$F$33,5),VLOOKUP(F672,'Points Table A'!H$3:$L$33,5))</f>
        <v>#N/A</v>
      </c>
      <c r="W672" s="4" t="e">
        <f>IF($Q672&lt;&gt;3,VLOOKUP(G672,'Points Table A'!C$3:$F$33,4),VLOOKUP(G672,'Points Table A'!I$3:$L$33,4))</f>
        <v>#N/A</v>
      </c>
      <c r="X672" s="4" t="e">
        <f>IF($Q672&lt;&gt;3,VLOOKUP(H672,'Points Table A'!D$3:$F$28,3),VLOOKUP(H672,'Points Table A'!J$3:$L$33,3))</f>
        <v>#N/A</v>
      </c>
      <c r="Y672" s="4" t="e">
        <f>IF($Q672&lt;&gt;3,VLOOKUP(I672,'Points Table A'!E$3:$F$33,2),VLOOKUP(I672,'Points Table A'!K$3:$L$33,2))</f>
        <v>#N/A</v>
      </c>
      <c r="Z672" s="4" t="e">
        <f t="shared" si="60"/>
        <v>#N/A</v>
      </c>
      <c r="AA672" s="4">
        <f>IF($S672=Lookups!$B$113,VLOOKUP(L672,'Points Table C'!A$3:$E$11,5),VLOOKUP(U672,'Points Table C'!B$3:$E$11,4))</f>
        <v>0</v>
      </c>
      <c r="AB672" s="4" t="e">
        <f>IF($Q672=1,0,VLOOKUP($J672,'Points Table C'!$C$3:$E$18,3))</f>
        <v>#N/A</v>
      </c>
      <c r="AC672" s="4">
        <f>VLOOKUP($K672,'Points Table C'!$D$3:$E$18,2)</f>
        <v>0</v>
      </c>
      <c r="AD672" s="4" t="e">
        <f>IF($Z672&lt;Lookups!$C$106,($AA672+AB672+AC672),IF($AA672&gt;=Lookups!$C$120,($AA672+AB672+AC672),$AA672+$AB672))</f>
        <v>#N/A</v>
      </c>
      <c r="AF672" s="7"/>
      <c r="AG672" s="7"/>
      <c r="AH672" s="7"/>
      <c r="AI672" s="7"/>
      <c r="AJ672" s="7"/>
      <c r="AK672" s="7"/>
      <c r="AL672" s="7"/>
      <c r="AM672" s="7"/>
      <c r="AN672" s="7"/>
      <c r="AO672" s="7"/>
      <c r="AP672" s="7"/>
      <c r="AQ672" s="7"/>
      <c r="AR672" s="7"/>
      <c r="AS672" s="7"/>
      <c r="AT672" s="7"/>
      <c r="AU672" s="7"/>
      <c r="AV672" s="7"/>
      <c r="AW672" s="7"/>
      <c r="AY672" s="7"/>
      <c r="AZ672" s="7"/>
      <c r="BA672" s="7"/>
      <c r="BB672" s="7"/>
    </row>
    <row r="673" spans="2:54" x14ac:dyDescent="0.2">
      <c r="B673" s="174"/>
      <c r="C673" s="176"/>
      <c r="F673" s="5">
        <v>0</v>
      </c>
      <c r="G673" s="192">
        <v>0</v>
      </c>
      <c r="H673" s="192">
        <v>0</v>
      </c>
      <c r="I673" s="5">
        <v>0</v>
      </c>
      <c r="J673" s="192">
        <v>0</v>
      </c>
      <c r="K673" s="192">
        <v>0</v>
      </c>
      <c r="L673" s="5">
        <v>0</v>
      </c>
      <c r="M673" s="5">
        <v>0</v>
      </c>
      <c r="N673" s="4" t="e">
        <f t="shared" si="56"/>
        <v>#N/A</v>
      </c>
      <c r="O673" s="4" t="e">
        <f>IF(ROUND(10.499-(((N673-VLOOKUP($C673,Lookups!$A$55:$D$64,3))/(VLOOKUP($C673,Lookups!$A$55:$D$64,4))*VLOOKUP($C673,Lookups!$C$2:$D$11,2))),0)&lt;1,1,IF(ROUND(10.499-(((N673-VLOOKUP($C673,Lookups!$A$55:$D$64,3))/(VLOOKUP($C673,Lookups!$A$55:$D$64,4))*VLOOKUP($C673,Lookups!$C$2:$D$11,2))),0)&lt;11,ROUND(10.499-(((N673-VLOOKUP($C673,Lookups!$A$55:$D$64,3))/(VLOOKUP($C673,Lookups!$A$55:$D$64,4))*VLOOKUP($C673,Lookups!$C$2:$D$11,2))),0),10))</f>
        <v>#N/A</v>
      </c>
      <c r="P673" s="13" t="str">
        <f>IF((SUM(F673:M673)=0),"J",VLOOKUP(O673,Lookups!$A$1:$B$11,2))</f>
        <v>J</v>
      </c>
      <c r="Q673" s="8" t="e">
        <f>VLOOKUP(C673,Lookups!$A$136:$C$144,3)</f>
        <v>#N/A</v>
      </c>
      <c r="R673" s="8" t="e">
        <f>VLOOKUP(C673,Lookups!$A$136:$C$144,2)</f>
        <v>#N/A</v>
      </c>
      <c r="S673" s="4" t="str">
        <f t="shared" si="57"/>
        <v>No</v>
      </c>
      <c r="T673" s="125">
        <f t="shared" si="58"/>
        <v>0</v>
      </c>
      <c r="U673" s="125">
        <f t="shared" si="59"/>
        <v>0</v>
      </c>
      <c r="V673" s="4" t="e">
        <f>IF($Q673&lt;&gt;3,VLOOKUP(F673,'Points Table A'!B$3:$F$33,5),VLOOKUP(F673,'Points Table A'!H$3:$L$33,5))</f>
        <v>#N/A</v>
      </c>
      <c r="W673" s="4" t="e">
        <f>IF($Q673&lt;&gt;3,VLOOKUP(G673,'Points Table A'!C$3:$F$33,4),VLOOKUP(G673,'Points Table A'!I$3:$L$33,4))</f>
        <v>#N/A</v>
      </c>
      <c r="X673" s="4" t="e">
        <f>IF($Q673&lt;&gt;3,VLOOKUP(H673,'Points Table A'!D$3:$F$28,3),VLOOKUP(H673,'Points Table A'!J$3:$L$33,3))</f>
        <v>#N/A</v>
      </c>
      <c r="Y673" s="4" t="e">
        <f>IF($Q673&lt;&gt;3,VLOOKUP(I673,'Points Table A'!E$3:$F$33,2),VLOOKUP(I673,'Points Table A'!K$3:$L$33,2))</f>
        <v>#N/A</v>
      </c>
      <c r="Z673" s="4" t="e">
        <f t="shared" si="60"/>
        <v>#N/A</v>
      </c>
      <c r="AA673" s="4">
        <f>IF($S673=Lookups!$B$113,VLOOKUP(L673,'Points Table C'!A$3:$E$11,5),VLOOKUP(U673,'Points Table C'!B$3:$E$11,4))</f>
        <v>0</v>
      </c>
      <c r="AB673" s="4" t="e">
        <f>IF($Q673=1,0,VLOOKUP($J673,'Points Table C'!$C$3:$E$18,3))</f>
        <v>#N/A</v>
      </c>
      <c r="AC673" s="4">
        <f>VLOOKUP($K673,'Points Table C'!$D$3:$E$18,2)</f>
        <v>0</v>
      </c>
      <c r="AD673" s="4" t="e">
        <f>IF($Z673&lt;Lookups!$C$106,($AA673+AB673+AC673),IF($AA673&gt;=Lookups!$C$120,($AA673+AB673+AC673),$AA673+$AB673))</f>
        <v>#N/A</v>
      </c>
      <c r="AF673" s="7"/>
      <c r="AG673" s="7"/>
      <c r="AH673" s="7"/>
      <c r="AI673" s="7"/>
      <c r="AJ673" s="7"/>
      <c r="AK673" s="7"/>
      <c r="AL673" s="7"/>
      <c r="AM673" s="7"/>
      <c r="AN673" s="7"/>
      <c r="AO673" s="7"/>
      <c r="AP673" s="7"/>
      <c r="AQ673" s="7"/>
      <c r="AR673" s="7"/>
      <c r="AS673" s="7"/>
      <c r="AT673" s="7"/>
      <c r="AU673" s="7"/>
      <c r="AV673" s="7"/>
      <c r="AW673" s="7"/>
      <c r="AY673" s="7"/>
      <c r="AZ673" s="7"/>
      <c r="BA673" s="7"/>
      <c r="BB673" s="7"/>
    </row>
    <row r="674" spans="2:54" x14ac:dyDescent="0.2">
      <c r="B674" s="174"/>
      <c r="C674" s="176"/>
      <c r="F674" s="5">
        <v>0</v>
      </c>
      <c r="G674" s="192">
        <v>0</v>
      </c>
      <c r="H674" s="192">
        <v>0</v>
      </c>
      <c r="I674" s="5">
        <v>0</v>
      </c>
      <c r="J674" s="192">
        <v>0</v>
      </c>
      <c r="K674" s="192">
        <v>0</v>
      </c>
      <c r="L674" s="5">
        <v>0</v>
      </c>
      <c r="M674" s="5">
        <v>0</v>
      </c>
      <c r="N674" s="4" t="e">
        <f t="shared" si="56"/>
        <v>#N/A</v>
      </c>
      <c r="O674" s="4" t="e">
        <f>IF(ROUND(10.499-(((N674-VLOOKUP($C674,Lookups!$A$55:$D$64,3))/(VLOOKUP($C674,Lookups!$A$55:$D$64,4))*VLOOKUP($C674,Lookups!$C$2:$D$11,2))),0)&lt;1,1,IF(ROUND(10.499-(((N674-VLOOKUP($C674,Lookups!$A$55:$D$64,3))/(VLOOKUP($C674,Lookups!$A$55:$D$64,4))*VLOOKUP($C674,Lookups!$C$2:$D$11,2))),0)&lt;11,ROUND(10.499-(((N674-VLOOKUP($C674,Lookups!$A$55:$D$64,3))/(VLOOKUP($C674,Lookups!$A$55:$D$64,4))*VLOOKUP($C674,Lookups!$C$2:$D$11,2))),0),10))</f>
        <v>#N/A</v>
      </c>
      <c r="P674" s="13" t="str">
        <f>IF((SUM(F674:M674)=0),"J",VLOOKUP(O674,Lookups!$A$1:$B$11,2))</f>
        <v>J</v>
      </c>
      <c r="Q674" s="8" t="e">
        <f>VLOOKUP(C674,Lookups!$A$136:$C$144,3)</f>
        <v>#N/A</v>
      </c>
      <c r="R674" s="8" t="e">
        <f>VLOOKUP(C674,Lookups!$A$136:$C$144,2)</f>
        <v>#N/A</v>
      </c>
      <c r="S674" s="4" t="str">
        <f t="shared" si="57"/>
        <v>No</v>
      </c>
      <c r="T674" s="125">
        <f t="shared" si="58"/>
        <v>0</v>
      </c>
      <c r="U674" s="125">
        <f t="shared" si="59"/>
        <v>0</v>
      </c>
      <c r="V674" s="4" t="e">
        <f>IF($Q674&lt;&gt;3,VLOOKUP(F674,'Points Table A'!B$3:$F$33,5),VLOOKUP(F674,'Points Table A'!H$3:$L$33,5))</f>
        <v>#N/A</v>
      </c>
      <c r="W674" s="4" t="e">
        <f>IF($Q674&lt;&gt;3,VLOOKUP(G674,'Points Table A'!C$3:$F$33,4),VLOOKUP(G674,'Points Table A'!I$3:$L$33,4))</f>
        <v>#N/A</v>
      </c>
      <c r="X674" s="4" t="e">
        <f>IF($Q674&lt;&gt;3,VLOOKUP(H674,'Points Table A'!D$3:$F$28,3),VLOOKUP(H674,'Points Table A'!J$3:$L$33,3))</f>
        <v>#N/A</v>
      </c>
      <c r="Y674" s="4" t="e">
        <f>IF($Q674&lt;&gt;3,VLOOKUP(I674,'Points Table A'!E$3:$F$33,2),VLOOKUP(I674,'Points Table A'!K$3:$L$33,2))</f>
        <v>#N/A</v>
      </c>
      <c r="Z674" s="4" t="e">
        <f t="shared" si="60"/>
        <v>#N/A</v>
      </c>
      <c r="AA674" s="4">
        <f>IF($S674=Lookups!$B$113,VLOOKUP(L674,'Points Table C'!A$3:$E$11,5),VLOOKUP(U674,'Points Table C'!B$3:$E$11,4))</f>
        <v>0</v>
      </c>
      <c r="AB674" s="4" t="e">
        <f>IF($Q674=1,0,VLOOKUP($J674,'Points Table C'!$C$3:$E$18,3))</f>
        <v>#N/A</v>
      </c>
      <c r="AC674" s="4">
        <f>VLOOKUP($K674,'Points Table C'!$D$3:$E$18,2)</f>
        <v>0</v>
      </c>
      <c r="AD674" s="4" t="e">
        <f>IF($Z674&lt;Lookups!$C$106,($AA674+AB674+AC674),IF($AA674&gt;=Lookups!$C$120,($AA674+AB674+AC674),$AA674+$AB674))</f>
        <v>#N/A</v>
      </c>
      <c r="AF674" s="7"/>
      <c r="AG674" s="7"/>
      <c r="AH674" s="7"/>
      <c r="AI674" s="7"/>
      <c r="AJ674" s="7"/>
      <c r="AK674" s="7"/>
      <c r="AL674" s="7"/>
      <c r="AM674" s="7"/>
      <c r="AN674" s="7"/>
      <c r="AO674" s="7"/>
      <c r="AP674" s="7"/>
      <c r="AQ674" s="7"/>
      <c r="AR674" s="7"/>
      <c r="AS674" s="7"/>
      <c r="AT674" s="7"/>
      <c r="AU674" s="7"/>
      <c r="AV674" s="7"/>
      <c r="AW674" s="7"/>
      <c r="AY674" s="7"/>
      <c r="AZ674" s="7"/>
      <c r="BA674" s="7"/>
      <c r="BB674" s="7"/>
    </row>
    <row r="675" spans="2:54" x14ac:dyDescent="0.2">
      <c r="B675" s="174"/>
      <c r="C675" s="176"/>
      <c r="F675" s="5">
        <v>0</v>
      </c>
      <c r="G675" s="192">
        <v>0</v>
      </c>
      <c r="H675" s="192">
        <v>0</v>
      </c>
      <c r="I675" s="5">
        <v>0</v>
      </c>
      <c r="J675" s="192">
        <v>0</v>
      </c>
      <c r="K675" s="192">
        <v>0</v>
      </c>
      <c r="L675" s="5">
        <v>0</v>
      </c>
      <c r="M675" s="5">
        <v>0</v>
      </c>
      <c r="N675" s="4" t="e">
        <f t="shared" si="56"/>
        <v>#N/A</v>
      </c>
      <c r="O675" s="4" t="e">
        <f>IF(ROUND(10.499-(((N675-VLOOKUP($C675,Lookups!$A$55:$D$64,3))/(VLOOKUP($C675,Lookups!$A$55:$D$64,4))*VLOOKUP($C675,Lookups!$C$2:$D$11,2))),0)&lt;1,1,IF(ROUND(10.499-(((N675-VLOOKUP($C675,Lookups!$A$55:$D$64,3))/(VLOOKUP($C675,Lookups!$A$55:$D$64,4))*VLOOKUP($C675,Lookups!$C$2:$D$11,2))),0)&lt;11,ROUND(10.499-(((N675-VLOOKUP($C675,Lookups!$A$55:$D$64,3))/(VLOOKUP($C675,Lookups!$A$55:$D$64,4))*VLOOKUP($C675,Lookups!$C$2:$D$11,2))),0),10))</f>
        <v>#N/A</v>
      </c>
      <c r="P675" s="13" t="str">
        <f>IF((SUM(F675:M675)=0),"J",VLOOKUP(O675,Lookups!$A$1:$B$11,2))</f>
        <v>J</v>
      </c>
      <c r="Q675" s="8" t="e">
        <f>VLOOKUP(C675,Lookups!$A$136:$C$144,3)</f>
        <v>#N/A</v>
      </c>
      <c r="R675" s="8" t="e">
        <f>VLOOKUP(C675,Lookups!$A$136:$C$144,2)</f>
        <v>#N/A</v>
      </c>
      <c r="S675" s="4" t="str">
        <f t="shared" si="57"/>
        <v>No</v>
      </c>
      <c r="T675" s="125">
        <f t="shared" si="58"/>
        <v>0</v>
      </c>
      <c r="U675" s="125">
        <f t="shared" si="59"/>
        <v>0</v>
      </c>
      <c r="V675" s="4" t="e">
        <f>IF($Q675&lt;&gt;3,VLOOKUP(F675,'Points Table A'!B$3:$F$33,5),VLOOKUP(F675,'Points Table A'!H$3:$L$33,5))</f>
        <v>#N/A</v>
      </c>
      <c r="W675" s="4" t="e">
        <f>IF($Q675&lt;&gt;3,VLOOKUP(G675,'Points Table A'!C$3:$F$33,4),VLOOKUP(G675,'Points Table A'!I$3:$L$33,4))</f>
        <v>#N/A</v>
      </c>
      <c r="X675" s="4" t="e">
        <f>IF($Q675&lt;&gt;3,VLOOKUP(H675,'Points Table A'!D$3:$F$28,3),VLOOKUP(H675,'Points Table A'!J$3:$L$33,3))</f>
        <v>#N/A</v>
      </c>
      <c r="Y675" s="4" t="e">
        <f>IF($Q675&lt;&gt;3,VLOOKUP(I675,'Points Table A'!E$3:$F$33,2),VLOOKUP(I675,'Points Table A'!K$3:$L$33,2))</f>
        <v>#N/A</v>
      </c>
      <c r="Z675" s="4" t="e">
        <f t="shared" si="60"/>
        <v>#N/A</v>
      </c>
      <c r="AA675" s="4">
        <f>IF($S675=Lookups!$B$113,VLOOKUP(L675,'Points Table C'!A$3:$E$11,5),VLOOKUP(U675,'Points Table C'!B$3:$E$11,4))</f>
        <v>0</v>
      </c>
      <c r="AB675" s="4" t="e">
        <f>IF($Q675=1,0,VLOOKUP($J675,'Points Table C'!$C$3:$E$18,3))</f>
        <v>#N/A</v>
      </c>
      <c r="AC675" s="4">
        <f>VLOOKUP($K675,'Points Table C'!$D$3:$E$18,2)</f>
        <v>0</v>
      </c>
      <c r="AD675" s="4" t="e">
        <f>IF($Z675&lt;Lookups!$C$106,($AA675+AB675+AC675),IF($AA675&gt;=Lookups!$C$120,($AA675+AB675+AC675),$AA675+$AB675))</f>
        <v>#N/A</v>
      </c>
      <c r="AF675" s="7"/>
      <c r="AG675" s="7"/>
      <c r="AH675" s="7"/>
      <c r="AI675" s="7"/>
      <c r="AJ675" s="7"/>
      <c r="AK675" s="7"/>
      <c r="AL675" s="7"/>
      <c r="AM675" s="7"/>
      <c r="AN675" s="7"/>
      <c r="AO675" s="7"/>
      <c r="AP675" s="7"/>
      <c r="AQ675" s="7"/>
      <c r="AR675" s="7"/>
      <c r="AS675" s="7"/>
      <c r="AT675" s="7"/>
      <c r="AU675" s="7"/>
      <c r="AV675" s="7"/>
      <c r="AW675" s="7"/>
      <c r="AY675" s="7"/>
      <c r="AZ675" s="7"/>
      <c r="BA675" s="7"/>
      <c r="BB675" s="7"/>
    </row>
    <row r="676" spans="2:54" x14ac:dyDescent="0.2">
      <c r="B676" s="174"/>
      <c r="C676" s="176"/>
      <c r="F676" s="5">
        <v>0</v>
      </c>
      <c r="G676" s="192">
        <v>0</v>
      </c>
      <c r="H676" s="192">
        <v>0</v>
      </c>
      <c r="I676" s="5">
        <v>0</v>
      </c>
      <c r="J676" s="192">
        <v>0</v>
      </c>
      <c r="K676" s="192">
        <v>0</v>
      </c>
      <c r="L676" s="5">
        <v>0</v>
      </c>
      <c r="M676" s="5">
        <v>0</v>
      </c>
      <c r="N676" s="4" t="e">
        <f t="shared" si="56"/>
        <v>#N/A</v>
      </c>
      <c r="O676" s="4" t="e">
        <f>IF(ROUND(10.499-(((N676-VLOOKUP($C676,Lookups!$A$55:$D$64,3))/(VLOOKUP($C676,Lookups!$A$55:$D$64,4))*VLOOKUP($C676,Lookups!$C$2:$D$11,2))),0)&lt;1,1,IF(ROUND(10.499-(((N676-VLOOKUP($C676,Lookups!$A$55:$D$64,3))/(VLOOKUP($C676,Lookups!$A$55:$D$64,4))*VLOOKUP($C676,Lookups!$C$2:$D$11,2))),0)&lt;11,ROUND(10.499-(((N676-VLOOKUP($C676,Lookups!$A$55:$D$64,3))/(VLOOKUP($C676,Lookups!$A$55:$D$64,4))*VLOOKUP($C676,Lookups!$C$2:$D$11,2))),0),10))</f>
        <v>#N/A</v>
      </c>
      <c r="P676" s="13" t="str">
        <f>IF((SUM(F676:M676)=0),"J",VLOOKUP(O676,Lookups!$A$1:$B$11,2))</f>
        <v>J</v>
      </c>
      <c r="Q676" s="8" t="e">
        <f>VLOOKUP(C676,Lookups!$A$136:$C$144,3)</f>
        <v>#N/A</v>
      </c>
      <c r="R676" s="8" t="e">
        <f>VLOOKUP(C676,Lookups!$A$136:$C$144,2)</f>
        <v>#N/A</v>
      </c>
      <c r="S676" s="4" t="str">
        <f t="shared" si="57"/>
        <v>No</v>
      </c>
      <c r="T676" s="125">
        <f t="shared" si="58"/>
        <v>0</v>
      </c>
      <c r="U676" s="125">
        <f t="shared" si="59"/>
        <v>0</v>
      </c>
      <c r="V676" s="4" t="e">
        <f>IF($Q676&lt;&gt;3,VLOOKUP(F676,'Points Table A'!B$3:$F$33,5),VLOOKUP(F676,'Points Table A'!H$3:$L$33,5))</f>
        <v>#N/A</v>
      </c>
      <c r="W676" s="4" t="e">
        <f>IF($Q676&lt;&gt;3,VLOOKUP(G676,'Points Table A'!C$3:$F$33,4),VLOOKUP(G676,'Points Table A'!I$3:$L$33,4))</f>
        <v>#N/A</v>
      </c>
      <c r="X676" s="4" t="e">
        <f>IF($Q676&lt;&gt;3,VLOOKUP(H676,'Points Table A'!D$3:$F$28,3),VLOOKUP(H676,'Points Table A'!J$3:$L$33,3))</f>
        <v>#N/A</v>
      </c>
      <c r="Y676" s="4" t="e">
        <f>IF($Q676&lt;&gt;3,VLOOKUP(I676,'Points Table A'!E$3:$F$33,2),VLOOKUP(I676,'Points Table A'!K$3:$L$33,2))</f>
        <v>#N/A</v>
      </c>
      <c r="Z676" s="4" t="e">
        <f t="shared" si="60"/>
        <v>#N/A</v>
      </c>
      <c r="AA676" s="4">
        <f>IF($S676=Lookups!$B$113,VLOOKUP(L676,'Points Table C'!A$3:$E$11,5),VLOOKUP(U676,'Points Table C'!B$3:$E$11,4))</f>
        <v>0</v>
      </c>
      <c r="AB676" s="4" t="e">
        <f>IF($Q676=1,0,VLOOKUP($J676,'Points Table C'!$C$3:$E$18,3))</f>
        <v>#N/A</v>
      </c>
      <c r="AC676" s="4">
        <f>VLOOKUP($K676,'Points Table C'!$D$3:$E$18,2)</f>
        <v>0</v>
      </c>
      <c r="AD676" s="4" t="e">
        <f>IF($Z676&lt;Lookups!$C$106,($AA676+AB676+AC676),IF($AA676&gt;=Lookups!$C$120,($AA676+AB676+AC676),$AA676+$AB676))</f>
        <v>#N/A</v>
      </c>
      <c r="AF676" s="7"/>
      <c r="AG676" s="7"/>
      <c r="AH676" s="7"/>
      <c r="AI676" s="7"/>
      <c r="AJ676" s="7"/>
      <c r="AK676" s="7"/>
      <c r="AL676" s="7"/>
      <c r="AM676" s="7"/>
      <c r="AN676" s="7"/>
      <c r="AO676" s="7"/>
      <c r="AP676" s="7"/>
      <c r="AQ676" s="7"/>
      <c r="AR676" s="7"/>
      <c r="AS676" s="7"/>
      <c r="AT676" s="7"/>
      <c r="AU676" s="7"/>
      <c r="AV676" s="7"/>
      <c r="AW676" s="7"/>
      <c r="AY676" s="7"/>
      <c r="AZ676" s="7"/>
      <c r="BA676" s="7"/>
      <c r="BB676" s="7"/>
    </row>
    <row r="677" spans="2:54" x14ac:dyDescent="0.2">
      <c r="B677" s="174"/>
      <c r="C677" s="176"/>
      <c r="F677" s="5">
        <v>0</v>
      </c>
      <c r="G677" s="192">
        <v>0</v>
      </c>
      <c r="H677" s="192">
        <v>0</v>
      </c>
      <c r="I677" s="5">
        <v>0</v>
      </c>
      <c r="J677" s="192">
        <v>0</v>
      </c>
      <c r="K677" s="192">
        <v>0</v>
      </c>
      <c r="L677" s="5">
        <v>0</v>
      </c>
      <c r="M677" s="5">
        <v>0</v>
      </c>
      <c r="N677" s="4" t="e">
        <f t="shared" si="56"/>
        <v>#N/A</v>
      </c>
      <c r="O677" s="4" t="e">
        <f>IF(ROUND(10.499-(((N677-VLOOKUP($C677,Lookups!$A$55:$D$64,3))/(VLOOKUP($C677,Lookups!$A$55:$D$64,4))*VLOOKUP($C677,Lookups!$C$2:$D$11,2))),0)&lt;1,1,IF(ROUND(10.499-(((N677-VLOOKUP($C677,Lookups!$A$55:$D$64,3))/(VLOOKUP($C677,Lookups!$A$55:$D$64,4))*VLOOKUP($C677,Lookups!$C$2:$D$11,2))),0)&lt;11,ROUND(10.499-(((N677-VLOOKUP($C677,Lookups!$A$55:$D$64,3))/(VLOOKUP($C677,Lookups!$A$55:$D$64,4))*VLOOKUP($C677,Lookups!$C$2:$D$11,2))),0),10))</f>
        <v>#N/A</v>
      </c>
      <c r="P677" s="13" t="str">
        <f>IF((SUM(F677:M677)=0),"J",VLOOKUP(O677,Lookups!$A$1:$B$11,2))</f>
        <v>J</v>
      </c>
      <c r="Q677" s="8" t="e">
        <f>VLOOKUP(C677,Lookups!$A$136:$C$144,3)</f>
        <v>#N/A</v>
      </c>
      <c r="R677" s="8" t="e">
        <f>VLOOKUP(C677,Lookups!$A$136:$C$144,2)</f>
        <v>#N/A</v>
      </c>
      <c r="S677" s="4" t="str">
        <f t="shared" si="57"/>
        <v>No</v>
      </c>
      <c r="T677" s="125">
        <f t="shared" si="58"/>
        <v>0</v>
      </c>
      <c r="U677" s="125">
        <f t="shared" si="59"/>
        <v>0</v>
      </c>
      <c r="V677" s="4" t="e">
        <f>IF($Q677&lt;&gt;3,VLOOKUP(F677,'Points Table A'!B$3:$F$33,5),VLOOKUP(F677,'Points Table A'!H$3:$L$33,5))</f>
        <v>#N/A</v>
      </c>
      <c r="W677" s="4" t="e">
        <f>IF($Q677&lt;&gt;3,VLOOKUP(G677,'Points Table A'!C$3:$F$33,4),VLOOKUP(G677,'Points Table A'!I$3:$L$33,4))</f>
        <v>#N/A</v>
      </c>
      <c r="X677" s="4" t="e">
        <f>IF($Q677&lt;&gt;3,VLOOKUP(H677,'Points Table A'!D$3:$F$28,3),VLOOKUP(H677,'Points Table A'!J$3:$L$33,3))</f>
        <v>#N/A</v>
      </c>
      <c r="Y677" s="4" t="e">
        <f>IF($Q677&lt;&gt;3,VLOOKUP(I677,'Points Table A'!E$3:$F$33,2),VLOOKUP(I677,'Points Table A'!K$3:$L$33,2))</f>
        <v>#N/A</v>
      </c>
      <c r="Z677" s="4" t="e">
        <f t="shared" si="60"/>
        <v>#N/A</v>
      </c>
      <c r="AA677" s="4">
        <f>IF($S677=Lookups!$B$113,VLOOKUP(L677,'Points Table C'!A$3:$E$11,5),VLOOKUP(U677,'Points Table C'!B$3:$E$11,4))</f>
        <v>0</v>
      </c>
      <c r="AB677" s="4" t="e">
        <f>IF($Q677=1,0,VLOOKUP($J677,'Points Table C'!$C$3:$E$18,3))</f>
        <v>#N/A</v>
      </c>
      <c r="AC677" s="4">
        <f>VLOOKUP($K677,'Points Table C'!$D$3:$E$18,2)</f>
        <v>0</v>
      </c>
      <c r="AD677" s="4" t="e">
        <f>IF($Z677&lt;Lookups!$C$106,($AA677+AB677+AC677),IF($AA677&gt;=Lookups!$C$120,($AA677+AB677+AC677),$AA677+$AB677))</f>
        <v>#N/A</v>
      </c>
      <c r="AF677" s="7"/>
      <c r="AG677" s="7"/>
      <c r="AH677" s="7"/>
      <c r="AI677" s="7"/>
      <c r="AJ677" s="7"/>
      <c r="AK677" s="7"/>
      <c r="AL677" s="7"/>
      <c r="AM677" s="7"/>
      <c r="AN677" s="7"/>
      <c r="AO677" s="7"/>
      <c r="AP677" s="7"/>
      <c r="AQ677" s="7"/>
      <c r="AR677" s="7"/>
      <c r="AS677" s="7"/>
      <c r="AT677" s="7"/>
      <c r="AU677" s="7"/>
      <c r="AV677" s="7"/>
      <c r="AW677" s="7"/>
      <c r="AY677" s="7"/>
      <c r="AZ677" s="7"/>
      <c r="BA677" s="7"/>
      <c r="BB677" s="7"/>
    </row>
    <row r="678" spans="2:54" x14ac:dyDescent="0.2">
      <c r="B678" s="174"/>
      <c r="C678" s="176"/>
      <c r="F678" s="5">
        <v>0</v>
      </c>
      <c r="G678" s="192">
        <v>0</v>
      </c>
      <c r="H678" s="192">
        <v>0</v>
      </c>
      <c r="I678" s="5">
        <v>0</v>
      </c>
      <c r="J678" s="192">
        <v>0</v>
      </c>
      <c r="K678" s="192">
        <v>0</v>
      </c>
      <c r="L678" s="5">
        <v>0</v>
      </c>
      <c r="M678" s="5">
        <v>0</v>
      </c>
      <c r="N678" s="4" t="e">
        <f t="shared" si="56"/>
        <v>#N/A</v>
      </c>
      <c r="O678" s="4" t="e">
        <f>IF(ROUND(10.499-(((N678-VLOOKUP($C678,Lookups!$A$55:$D$64,3))/(VLOOKUP($C678,Lookups!$A$55:$D$64,4))*VLOOKUP($C678,Lookups!$C$2:$D$11,2))),0)&lt;1,1,IF(ROUND(10.499-(((N678-VLOOKUP($C678,Lookups!$A$55:$D$64,3))/(VLOOKUP($C678,Lookups!$A$55:$D$64,4))*VLOOKUP($C678,Lookups!$C$2:$D$11,2))),0)&lt;11,ROUND(10.499-(((N678-VLOOKUP($C678,Lookups!$A$55:$D$64,3))/(VLOOKUP($C678,Lookups!$A$55:$D$64,4))*VLOOKUP($C678,Lookups!$C$2:$D$11,2))),0),10))</f>
        <v>#N/A</v>
      </c>
      <c r="P678" s="13" t="str">
        <f>IF((SUM(F678:M678)=0),"J",VLOOKUP(O678,Lookups!$A$1:$B$11,2))</f>
        <v>J</v>
      </c>
      <c r="Q678" s="8" t="e">
        <f>VLOOKUP(C678,Lookups!$A$136:$C$144,3)</f>
        <v>#N/A</v>
      </c>
      <c r="R678" s="8" t="e">
        <f>VLOOKUP(C678,Lookups!$A$136:$C$144,2)</f>
        <v>#N/A</v>
      </c>
      <c r="S678" s="4" t="str">
        <f t="shared" si="57"/>
        <v>No</v>
      </c>
      <c r="T678" s="125">
        <f t="shared" si="58"/>
        <v>0</v>
      </c>
      <c r="U678" s="125">
        <f t="shared" si="59"/>
        <v>0</v>
      </c>
      <c r="V678" s="4" t="e">
        <f>IF($Q678&lt;&gt;3,VLOOKUP(F678,'Points Table A'!B$3:$F$33,5),VLOOKUP(F678,'Points Table A'!H$3:$L$33,5))</f>
        <v>#N/A</v>
      </c>
      <c r="W678" s="4" t="e">
        <f>IF($Q678&lt;&gt;3,VLOOKUP(G678,'Points Table A'!C$3:$F$33,4),VLOOKUP(G678,'Points Table A'!I$3:$L$33,4))</f>
        <v>#N/A</v>
      </c>
      <c r="X678" s="4" t="e">
        <f>IF($Q678&lt;&gt;3,VLOOKUP(H678,'Points Table A'!D$3:$F$28,3),VLOOKUP(H678,'Points Table A'!J$3:$L$33,3))</f>
        <v>#N/A</v>
      </c>
      <c r="Y678" s="4" t="e">
        <f>IF($Q678&lt;&gt;3,VLOOKUP(I678,'Points Table A'!E$3:$F$33,2),VLOOKUP(I678,'Points Table A'!K$3:$L$33,2))</f>
        <v>#N/A</v>
      </c>
      <c r="Z678" s="4" t="e">
        <f t="shared" si="60"/>
        <v>#N/A</v>
      </c>
      <c r="AA678" s="4">
        <f>IF($S678=Lookups!$B$113,VLOOKUP(L678,'Points Table C'!A$3:$E$11,5),VLOOKUP(U678,'Points Table C'!B$3:$E$11,4))</f>
        <v>0</v>
      </c>
      <c r="AB678" s="4" t="e">
        <f>IF($Q678=1,0,VLOOKUP($J678,'Points Table C'!$C$3:$E$18,3))</f>
        <v>#N/A</v>
      </c>
      <c r="AC678" s="4">
        <f>VLOOKUP($K678,'Points Table C'!$D$3:$E$18,2)</f>
        <v>0</v>
      </c>
      <c r="AD678" s="4" t="e">
        <f>IF($Z678&lt;Lookups!$C$106,($AA678+AB678+AC678),IF($AA678&gt;=Lookups!$C$120,($AA678+AB678+AC678),$AA678+$AB678))</f>
        <v>#N/A</v>
      </c>
      <c r="AF678" s="7"/>
      <c r="AG678" s="7"/>
      <c r="AH678" s="7"/>
      <c r="AI678" s="7"/>
      <c r="AJ678" s="7"/>
      <c r="AK678" s="7"/>
      <c r="AL678" s="7"/>
      <c r="AM678" s="7"/>
      <c r="AN678" s="7"/>
      <c r="AO678" s="7"/>
      <c r="AP678" s="7"/>
      <c r="AQ678" s="7"/>
      <c r="AR678" s="7"/>
      <c r="AS678" s="7"/>
      <c r="AT678" s="7"/>
      <c r="AU678" s="7"/>
      <c r="AV678" s="7"/>
      <c r="AW678" s="7"/>
      <c r="AY678" s="7"/>
      <c r="AZ678" s="7"/>
      <c r="BA678" s="7"/>
      <c r="BB678" s="7"/>
    </row>
    <row r="679" spans="2:54" x14ac:dyDescent="0.2">
      <c r="B679" s="174"/>
      <c r="C679" s="176"/>
      <c r="F679" s="5">
        <v>0</v>
      </c>
      <c r="G679" s="192">
        <v>0</v>
      </c>
      <c r="H679" s="192">
        <v>0</v>
      </c>
      <c r="I679" s="5">
        <v>0</v>
      </c>
      <c r="J679" s="192">
        <v>0</v>
      </c>
      <c r="K679" s="192">
        <v>0</v>
      </c>
      <c r="L679" s="5">
        <v>0</v>
      </c>
      <c r="M679" s="5">
        <v>0</v>
      </c>
      <c r="N679" s="4" t="e">
        <f t="shared" si="56"/>
        <v>#N/A</v>
      </c>
      <c r="O679" s="4" t="e">
        <f>IF(ROUND(10.499-(((N679-VLOOKUP($C679,Lookups!$A$55:$D$64,3))/(VLOOKUP($C679,Lookups!$A$55:$D$64,4))*VLOOKUP($C679,Lookups!$C$2:$D$11,2))),0)&lt;1,1,IF(ROUND(10.499-(((N679-VLOOKUP($C679,Lookups!$A$55:$D$64,3))/(VLOOKUP($C679,Lookups!$A$55:$D$64,4))*VLOOKUP($C679,Lookups!$C$2:$D$11,2))),0)&lt;11,ROUND(10.499-(((N679-VLOOKUP($C679,Lookups!$A$55:$D$64,3))/(VLOOKUP($C679,Lookups!$A$55:$D$64,4))*VLOOKUP($C679,Lookups!$C$2:$D$11,2))),0),10))</f>
        <v>#N/A</v>
      </c>
      <c r="P679" s="13" t="str">
        <f>IF((SUM(F679:M679)=0),"J",VLOOKUP(O679,Lookups!$A$1:$B$11,2))</f>
        <v>J</v>
      </c>
      <c r="Q679" s="8" t="e">
        <f>VLOOKUP(C679,Lookups!$A$136:$C$144,3)</f>
        <v>#N/A</v>
      </c>
      <c r="R679" s="8" t="e">
        <f>VLOOKUP(C679,Lookups!$A$136:$C$144,2)</f>
        <v>#N/A</v>
      </c>
      <c r="S679" s="4" t="str">
        <f t="shared" si="57"/>
        <v>No</v>
      </c>
      <c r="T679" s="125">
        <f t="shared" si="58"/>
        <v>0</v>
      </c>
      <c r="U679" s="125">
        <f t="shared" si="59"/>
        <v>0</v>
      </c>
      <c r="V679" s="4" t="e">
        <f>IF($Q679&lt;&gt;3,VLOOKUP(F679,'Points Table A'!B$3:$F$33,5),VLOOKUP(F679,'Points Table A'!H$3:$L$33,5))</f>
        <v>#N/A</v>
      </c>
      <c r="W679" s="4" t="e">
        <f>IF($Q679&lt;&gt;3,VLOOKUP(G679,'Points Table A'!C$3:$F$33,4),VLOOKUP(G679,'Points Table A'!I$3:$L$33,4))</f>
        <v>#N/A</v>
      </c>
      <c r="X679" s="4" t="e">
        <f>IF($Q679&lt;&gt;3,VLOOKUP(H679,'Points Table A'!D$3:$F$28,3),VLOOKUP(H679,'Points Table A'!J$3:$L$33,3))</f>
        <v>#N/A</v>
      </c>
      <c r="Y679" s="4" t="e">
        <f>IF($Q679&lt;&gt;3,VLOOKUP(I679,'Points Table A'!E$3:$F$33,2),VLOOKUP(I679,'Points Table A'!K$3:$L$33,2))</f>
        <v>#N/A</v>
      </c>
      <c r="Z679" s="4" t="e">
        <f t="shared" si="60"/>
        <v>#N/A</v>
      </c>
      <c r="AA679" s="4">
        <f>IF($S679=Lookups!$B$113,VLOOKUP(L679,'Points Table C'!A$3:$E$11,5),VLOOKUP(U679,'Points Table C'!B$3:$E$11,4))</f>
        <v>0</v>
      </c>
      <c r="AB679" s="4" t="e">
        <f>IF($Q679=1,0,VLOOKUP($J679,'Points Table C'!$C$3:$E$18,3))</f>
        <v>#N/A</v>
      </c>
      <c r="AC679" s="4">
        <f>VLOOKUP($K679,'Points Table C'!$D$3:$E$18,2)</f>
        <v>0</v>
      </c>
      <c r="AD679" s="4" t="e">
        <f>IF($Z679&lt;Lookups!$C$106,($AA679+AB679+AC679),IF($AA679&gt;=Lookups!$C$120,($AA679+AB679+AC679),$AA679+$AB679))</f>
        <v>#N/A</v>
      </c>
      <c r="AF679" s="7"/>
      <c r="AG679" s="7"/>
      <c r="AH679" s="7"/>
      <c r="AI679" s="7"/>
      <c r="AJ679" s="7"/>
      <c r="AK679" s="7"/>
      <c r="AL679" s="7"/>
      <c r="AM679" s="7"/>
      <c r="AN679" s="7"/>
      <c r="AO679" s="7"/>
      <c r="AP679" s="7"/>
      <c r="AQ679" s="7"/>
      <c r="AR679" s="7"/>
      <c r="AS679" s="7"/>
      <c r="AT679" s="7"/>
      <c r="AU679" s="7"/>
      <c r="AV679" s="7"/>
      <c r="AW679" s="7"/>
      <c r="AY679" s="7"/>
      <c r="AZ679" s="7"/>
      <c r="BA679" s="7"/>
      <c r="BB679" s="7"/>
    </row>
    <row r="680" spans="2:54" x14ac:dyDescent="0.2">
      <c r="B680" s="174"/>
      <c r="C680" s="176"/>
      <c r="F680" s="5">
        <v>0</v>
      </c>
      <c r="G680" s="192">
        <v>0</v>
      </c>
      <c r="H680" s="192">
        <v>0</v>
      </c>
      <c r="I680" s="5">
        <v>0</v>
      </c>
      <c r="J680" s="192">
        <v>0</v>
      </c>
      <c r="K680" s="192">
        <v>0</v>
      </c>
      <c r="L680" s="5">
        <v>0</v>
      </c>
      <c r="M680" s="5">
        <v>0</v>
      </c>
      <c r="N680" s="4" t="e">
        <f t="shared" si="56"/>
        <v>#N/A</v>
      </c>
      <c r="O680" s="4" t="e">
        <f>IF(ROUND(10.499-(((N680-VLOOKUP($C680,Lookups!$A$55:$D$64,3))/(VLOOKUP($C680,Lookups!$A$55:$D$64,4))*VLOOKUP($C680,Lookups!$C$2:$D$11,2))),0)&lt;1,1,IF(ROUND(10.499-(((N680-VLOOKUP($C680,Lookups!$A$55:$D$64,3))/(VLOOKUP($C680,Lookups!$A$55:$D$64,4))*VLOOKUP($C680,Lookups!$C$2:$D$11,2))),0)&lt;11,ROUND(10.499-(((N680-VLOOKUP($C680,Lookups!$A$55:$D$64,3))/(VLOOKUP($C680,Lookups!$A$55:$D$64,4))*VLOOKUP($C680,Lookups!$C$2:$D$11,2))),0),10))</f>
        <v>#N/A</v>
      </c>
      <c r="P680" s="13" t="str">
        <f>IF((SUM(F680:M680)=0),"J",VLOOKUP(O680,Lookups!$A$1:$B$11,2))</f>
        <v>J</v>
      </c>
      <c r="Q680" s="8" t="e">
        <f>VLOOKUP(C680,Lookups!$A$136:$C$144,3)</f>
        <v>#N/A</v>
      </c>
      <c r="R680" s="8" t="e">
        <f>VLOOKUP(C680,Lookups!$A$136:$C$144,2)</f>
        <v>#N/A</v>
      </c>
      <c r="S680" s="4" t="str">
        <f t="shared" si="57"/>
        <v>No</v>
      </c>
      <c r="T680" s="125">
        <f t="shared" si="58"/>
        <v>0</v>
      </c>
      <c r="U680" s="125">
        <f t="shared" si="59"/>
        <v>0</v>
      </c>
      <c r="V680" s="4" t="e">
        <f>IF($Q680&lt;&gt;3,VLOOKUP(F680,'Points Table A'!B$3:$F$33,5),VLOOKUP(F680,'Points Table A'!H$3:$L$33,5))</f>
        <v>#N/A</v>
      </c>
      <c r="W680" s="4" t="e">
        <f>IF($Q680&lt;&gt;3,VLOOKUP(G680,'Points Table A'!C$3:$F$33,4),VLOOKUP(G680,'Points Table A'!I$3:$L$33,4))</f>
        <v>#N/A</v>
      </c>
      <c r="X680" s="4" t="e">
        <f>IF($Q680&lt;&gt;3,VLOOKUP(H680,'Points Table A'!D$3:$F$28,3),VLOOKUP(H680,'Points Table A'!J$3:$L$33,3))</f>
        <v>#N/A</v>
      </c>
      <c r="Y680" s="4" t="e">
        <f>IF($Q680&lt;&gt;3,VLOOKUP(I680,'Points Table A'!E$3:$F$33,2),VLOOKUP(I680,'Points Table A'!K$3:$L$33,2))</f>
        <v>#N/A</v>
      </c>
      <c r="Z680" s="4" t="e">
        <f t="shared" si="60"/>
        <v>#N/A</v>
      </c>
      <c r="AA680" s="4">
        <f>IF($S680=Lookups!$B$113,VLOOKUP(L680,'Points Table C'!A$3:$E$11,5),VLOOKUP(U680,'Points Table C'!B$3:$E$11,4))</f>
        <v>0</v>
      </c>
      <c r="AB680" s="4" t="e">
        <f>IF($Q680=1,0,VLOOKUP($J680,'Points Table C'!$C$3:$E$18,3))</f>
        <v>#N/A</v>
      </c>
      <c r="AC680" s="4">
        <f>VLOOKUP($K680,'Points Table C'!$D$3:$E$18,2)</f>
        <v>0</v>
      </c>
      <c r="AD680" s="4" t="e">
        <f>IF($Z680&lt;Lookups!$C$106,($AA680+AB680+AC680),IF($AA680&gt;=Lookups!$C$120,($AA680+AB680+AC680),$AA680+$AB680))</f>
        <v>#N/A</v>
      </c>
      <c r="AF680" s="7"/>
      <c r="AG680" s="7"/>
      <c r="AH680" s="7"/>
      <c r="AI680" s="7"/>
      <c r="AJ680" s="7"/>
      <c r="AK680" s="7"/>
      <c r="AL680" s="7"/>
      <c r="AM680" s="7"/>
      <c r="AN680" s="7"/>
      <c r="AO680" s="7"/>
      <c r="AP680" s="7"/>
      <c r="AQ680" s="7"/>
      <c r="AR680" s="7"/>
      <c r="AS680" s="7"/>
      <c r="AT680" s="7"/>
      <c r="AU680" s="7"/>
      <c r="AV680" s="7"/>
      <c r="AW680" s="7"/>
      <c r="AY680" s="7"/>
      <c r="AZ680" s="7"/>
      <c r="BA680" s="7"/>
      <c r="BB680" s="7"/>
    </row>
    <row r="681" spans="2:54" x14ac:dyDescent="0.2">
      <c r="B681" s="174"/>
      <c r="C681" s="176"/>
      <c r="F681" s="5">
        <v>0</v>
      </c>
      <c r="G681" s="192">
        <v>0</v>
      </c>
      <c r="H681" s="192">
        <v>0</v>
      </c>
      <c r="I681" s="5">
        <v>0</v>
      </c>
      <c r="J681" s="192">
        <v>0</v>
      </c>
      <c r="K681" s="192">
        <v>0</v>
      </c>
      <c r="L681" s="5">
        <v>0</v>
      </c>
      <c r="M681" s="5">
        <v>0</v>
      </c>
      <c r="N681" s="4" t="e">
        <f t="shared" si="56"/>
        <v>#N/A</v>
      </c>
      <c r="O681" s="4" t="e">
        <f>IF(ROUND(10.499-(((N681-VLOOKUP($C681,Lookups!$A$55:$D$64,3))/(VLOOKUP($C681,Lookups!$A$55:$D$64,4))*VLOOKUP($C681,Lookups!$C$2:$D$11,2))),0)&lt;1,1,IF(ROUND(10.499-(((N681-VLOOKUP($C681,Lookups!$A$55:$D$64,3))/(VLOOKUP($C681,Lookups!$A$55:$D$64,4))*VLOOKUP($C681,Lookups!$C$2:$D$11,2))),0)&lt;11,ROUND(10.499-(((N681-VLOOKUP($C681,Lookups!$A$55:$D$64,3))/(VLOOKUP($C681,Lookups!$A$55:$D$64,4))*VLOOKUP($C681,Lookups!$C$2:$D$11,2))),0),10))</f>
        <v>#N/A</v>
      </c>
      <c r="P681" s="13" t="str">
        <f>IF((SUM(F681:M681)=0),"J",VLOOKUP(O681,Lookups!$A$1:$B$11,2))</f>
        <v>J</v>
      </c>
      <c r="Q681" s="8" t="e">
        <f>VLOOKUP(C681,Lookups!$A$136:$C$144,3)</f>
        <v>#N/A</v>
      </c>
      <c r="R681" s="8" t="e">
        <f>VLOOKUP(C681,Lookups!$A$136:$C$144,2)</f>
        <v>#N/A</v>
      </c>
      <c r="S681" s="4" t="str">
        <f t="shared" si="57"/>
        <v>No</v>
      </c>
      <c r="T681" s="125">
        <f t="shared" si="58"/>
        <v>0</v>
      </c>
      <c r="U681" s="125">
        <f t="shared" si="59"/>
        <v>0</v>
      </c>
      <c r="V681" s="4" t="e">
        <f>IF($Q681&lt;&gt;3,VLOOKUP(F681,'Points Table A'!B$3:$F$33,5),VLOOKUP(F681,'Points Table A'!H$3:$L$33,5))</f>
        <v>#N/A</v>
      </c>
      <c r="W681" s="4" t="e">
        <f>IF($Q681&lt;&gt;3,VLOOKUP(G681,'Points Table A'!C$3:$F$33,4),VLOOKUP(G681,'Points Table A'!I$3:$L$33,4))</f>
        <v>#N/A</v>
      </c>
      <c r="X681" s="4" t="e">
        <f>IF($Q681&lt;&gt;3,VLOOKUP(H681,'Points Table A'!D$3:$F$28,3),VLOOKUP(H681,'Points Table A'!J$3:$L$33,3))</f>
        <v>#N/A</v>
      </c>
      <c r="Y681" s="4" t="e">
        <f>IF($Q681&lt;&gt;3,VLOOKUP(I681,'Points Table A'!E$3:$F$33,2),VLOOKUP(I681,'Points Table A'!K$3:$L$33,2))</f>
        <v>#N/A</v>
      </c>
      <c r="Z681" s="4" t="e">
        <f t="shared" si="60"/>
        <v>#N/A</v>
      </c>
      <c r="AA681" s="4">
        <f>IF($S681=Lookups!$B$113,VLOOKUP(L681,'Points Table C'!A$3:$E$11,5),VLOOKUP(U681,'Points Table C'!B$3:$E$11,4))</f>
        <v>0</v>
      </c>
      <c r="AB681" s="4" t="e">
        <f>IF($Q681=1,0,VLOOKUP($J681,'Points Table C'!$C$3:$E$18,3))</f>
        <v>#N/A</v>
      </c>
      <c r="AC681" s="4">
        <f>VLOOKUP($K681,'Points Table C'!$D$3:$E$18,2)</f>
        <v>0</v>
      </c>
      <c r="AD681" s="4" t="e">
        <f>IF($Z681&lt;Lookups!$C$106,($AA681+AB681+AC681),IF($AA681&gt;=Lookups!$C$120,($AA681+AB681+AC681),$AA681+$AB681))</f>
        <v>#N/A</v>
      </c>
      <c r="AF681" s="7"/>
      <c r="AG681" s="7"/>
      <c r="AH681" s="7"/>
      <c r="AI681" s="7"/>
      <c r="AJ681" s="7"/>
      <c r="AK681" s="7"/>
      <c r="AL681" s="7"/>
      <c r="AM681" s="7"/>
      <c r="AN681" s="7"/>
      <c r="AO681" s="7"/>
      <c r="AP681" s="7"/>
      <c r="AQ681" s="7"/>
      <c r="AR681" s="7"/>
      <c r="AS681" s="7"/>
      <c r="AT681" s="7"/>
      <c r="AU681" s="7"/>
      <c r="AV681" s="7"/>
      <c r="AW681" s="7"/>
      <c r="AY681" s="7"/>
      <c r="AZ681" s="7"/>
      <c r="BA681" s="7"/>
      <c r="BB681" s="7"/>
    </row>
    <row r="682" spans="2:54" x14ac:dyDescent="0.2">
      <c r="B682" s="174"/>
      <c r="C682" s="176"/>
      <c r="F682" s="5">
        <v>0</v>
      </c>
      <c r="G682" s="192">
        <v>0</v>
      </c>
      <c r="H682" s="192">
        <v>0</v>
      </c>
      <c r="I682" s="5">
        <v>0</v>
      </c>
      <c r="J682" s="192">
        <v>0</v>
      </c>
      <c r="K682" s="192">
        <v>0</v>
      </c>
      <c r="L682" s="5">
        <v>0</v>
      </c>
      <c r="M682" s="5">
        <v>0</v>
      </c>
      <c r="N682" s="4" t="e">
        <f t="shared" si="56"/>
        <v>#N/A</v>
      </c>
      <c r="O682" s="4" t="e">
        <f>IF(ROUND(10.499-(((N682-VLOOKUP($C682,Lookups!$A$55:$D$64,3))/(VLOOKUP($C682,Lookups!$A$55:$D$64,4))*VLOOKUP($C682,Lookups!$C$2:$D$11,2))),0)&lt;1,1,IF(ROUND(10.499-(((N682-VLOOKUP($C682,Lookups!$A$55:$D$64,3))/(VLOOKUP($C682,Lookups!$A$55:$D$64,4))*VLOOKUP($C682,Lookups!$C$2:$D$11,2))),0)&lt;11,ROUND(10.499-(((N682-VLOOKUP($C682,Lookups!$A$55:$D$64,3))/(VLOOKUP($C682,Lookups!$A$55:$D$64,4))*VLOOKUP($C682,Lookups!$C$2:$D$11,2))),0),10))</f>
        <v>#N/A</v>
      </c>
      <c r="P682" s="13" t="str">
        <f>IF((SUM(F682:M682)=0),"J",VLOOKUP(O682,Lookups!$A$1:$B$11,2))</f>
        <v>J</v>
      </c>
      <c r="Q682" s="8" t="e">
        <f>VLOOKUP(C682,Lookups!$A$136:$C$144,3)</f>
        <v>#N/A</v>
      </c>
      <c r="R682" s="8" t="e">
        <f>VLOOKUP(C682,Lookups!$A$136:$C$144,2)</f>
        <v>#N/A</v>
      </c>
      <c r="S682" s="4" t="str">
        <f t="shared" si="57"/>
        <v>No</v>
      </c>
      <c r="T682" s="125">
        <f t="shared" si="58"/>
        <v>0</v>
      </c>
      <c r="U682" s="125">
        <f t="shared" si="59"/>
        <v>0</v>
      </c>
      <c r="V682" s="4" t="e">
        <f>IF($Q682&lt;&gt;3,VLOOKUP(F682,'Points Table A'!B$3:$F$33,5),VLOOKUP(F682,'Points Table A'!H$3:$L$33,5))</f>
        <v>#N/A</v>
      </c>
      <c r="W682" s="4" t="e">
        <f>IF($Q682&lt;&gt;3,VLOOKUP(G682,'Points Table A'!C$3:$F$33,4),VLOOKUP(G682,'Points Table A'!I$3:$L$33,4))</f>
        <v>#N/A</v>
      </c>
      <c r="X682" s="4" t="e">
        <f>IF($Q682&lt;&gt;3,VLOOKUP(H682,'Points Table A'!D$3:$F$28,3),VLOOKUP(H682,'Points Table A'!J$3:$L$33,3))</f>
        <v>#N/A</v>
      </c>
      <c r="Y682" s="4" t="e">
        <f>IF($Q682&lt;&gt;3,VLOOKUP(I682,'Points Table A'!E$3:$F$33,2),VLOOKUP(I682,'Points Table A'!K$3:$L$33,2))</f>
        <v>#N/A</v>
      </c>
      <c r="Z682" s="4" t="e">
        <f t="shared" si="60"/>
        <v>#N/A</v>
      </c>
      <c r="AA682" s="4">
        <f>IF($S682=Lookups!$B$113,VLOOKUP(L682,'Points Table C'!A$3:$E$11,5),VLOOKUP(U682,'Points Table C'!B$3:$E$11,4))</f>
        <v>0</v>
      </c>
      <c r="AB682" s="4" t="e">
        <f>IF($Q682=1,0,VLOOKUP($J682,'Points Table C'!$C$3:$E$18,3))</f>
        <v>#N/A</v>
      </c>
      <c r="AC682" s="4">
        <f>VLOOKUP($K682,'Points Table C'!$D$3:$E$18,2)</f>
        <v>0</v>
      </c>
      <c r="AD682" s="4" t="e">
        <f>IF($Z682&lt;Lookups!$C$106,($AA682+AB682+AC682),IF($AA682&gt;=Lookups!$C$120,($AA682+AB682+AC682),$AA682+$AB682))</f>
        <v>#N/A</v>
      </c>
      <c r="AF682" s="7"/>
      <c r="AG682" s="7"/>
      <c r="AH682" s="7"/>
      <c r="AI682" s="7"/>
      <c r="AJ682" s="7"/>
      <c r="AK682" s="7"/>
      <c r="AL682" s="7"/>
      <c r="AM682" s="7"/>
      <c r="AN682" s="7"/>
      <c r="AO682" s="7"/>
      <c r="AP682" s="7"/>
      <c r="AQ682" s="7"/>
      <c r="AR682" s="7"/>
      <c r="AS682" s="7"/>
      <c r="AT682" s="7"/>
      <c r="AU682" s="7"/>
      <c r="AV682" s="7"/>
      <c r="AW682" s="7"/>
      <c r="AY682" s="7"/>
      <c r="AZ682" s="7"/>
      <c r="BA682" s="7"/>
      <c r="BB682" s="7"/>
    </row>
    <row r="683" spans="2:54" x14ac:dyDescent="0.2">
      <c r="B683" s="174"/>
      <c r="C683" s="176"/>
      <c r="F683" s="5">
        <v>0</v>
      </c>
      <c r="G683" s="192">
        <v>0</v>
      </c>
      <c r="H683" s="192">
        <v>0</v>
      </c>
      <c r="I683" s="5">
        <v>0</v>
      </c>
      <c r="J683" s="192">
        <v>0</v>
      </c>
      <c r="K683" s="192">
        <v>0</v>
      </c>
      <c r="L683" s="5">
        <v>0</v>
      </c>
      <c r="M683" s="5">
        <v>0</v>
      </c>
      <c r="N683" s="4" t="e">
        <f t="shared" si="56"/>
        <v>#N/A</v>
      </c>
      <c r="O683" s="4" t="e">
        <f>IF(ROUND(10.499-(((N683-VLOOKUP($C683,Lookups!$A$55:$D$64,3))/(VLOOKUP($C683,Lookups!$A$55:$D$64,4))*VLOOKUP($C683,Lookups!$C$2:$D$11,2))),0)&lt;1,1,IF(ROUND(10.499-(((N683-VLOOKUP($C683,Lookups!$A$55:$D$64,3))/(VLOOKUP($C683,Lookups!$A$55:$D$64,4))*VLOOKUP($C683,Lookups!$C$2:$D$11,2))),0)&lt;11,ROUND(10.499-(((N683-VLOOKUP($C683,Lookups!$A$55:$D$64,3))/(VLOOKUP($C683,Lookups!$A$55:$D$64,4))*VLOOKUP($C683,Lookups!$C$2:$D$11,2))),0),10))</f>
        <v>#N/A</v>
      </c>
      <c r="P683" s="13" t="str">
        <f>IF((SUM(F683:M683)=0),"J",VLOOKUP(O683,Lookups!$A$1:$B$11,2))</f>
        <v>J</v>
      </c>
      <c r="Q683" s="8" t="e">
        <f>VLOOKUP(C683,Lookups!$A$136:$C$144,3)</f>
        <v>#N/A</v>
      </c>
      <c r="R683" s="8" t="e">
        <f>VLOOKUP(C683,Lookups!$A$136:$C$144,2)</f>
        <v>#N/A</v>
      </c>
      <c r="S683" s="4" t="str">
        <f t="shared" si="57"/>
        <v>No</v>
      </c>
      <c r="T683" s="125">
        <f t="shared" si="58"/>
        <v>0</v>
      </c>
      <c r="U683" s="125">
        <f t="shared" si="59"/>
        <v>0</v>
      </c>
      <c r="V683" s="4" t="e">
        <f>IF($Q683&lt;&gt;3,VLOOKUP(F683,'Points Table A'!B$3:$F$33,5),VLOOKUP(F683,'Points Table A'!H$3:$L$33,5))</f>
        <v>#N/A</v>
      </c>
      <c r="W683" s="4" t="e">
        <f>IF($Q683&lt;&gt;3,VLOOKUP(G683,'Points Table A'!C$3:$F$33,4),VLOOKUP(G683,'Points Table A'!I$3:$L$33,4))</f>
        <v>#N/A</v>
      </c>
      <c r="X683" s="4" t="e">
        <f>IF($Q683&lt;&gt;3,VLOOKUP(H683,'Points Table A'!D$3:$F$28,3),VLOOKUP(H683,'Points Table A'!J$3:$L$33,3))</f>
        <v>#N/A</v>
      </c>
      <c r="Y683" s="4" t="e">
        <f>IF($Q683&lt;&gt;3,VLOOKUP(I683,'Points Table A'!E$3:$F$33,2),VLOOKUP(I683,'Points Table A'!K$3:$L$33,2))</f>
        <v>#N/A</v>
      </c>
      <c r="Z683" s="4" t="e">
        <f t="shared" si="60"/>
        <v>#N/A</v>
      </c>
      <c r="AA683" s="4">
        <f>IF($S683=Lookups!$B$113,VLOOKUP(L683,'Points Table C'!A$3:$E$11,5),VLOOKUP(U683,'Points Table C'!B$3:$E$11,4))</f>
        <v>0</v>
      </c>
      <c r="AB683" s="4" t="e">
        <f>IF($Q683=1,0,VLOOKUP($J683,'Points Table C'!$C$3:$E$18,3))</f>
        <v>#N/A</v>
      </c>
      <c r="AC683" s="4">
        <f>VLOOKUP($K683,'Points Table C'!$D$3:$E$18,2)</f>
        <v>0</v>
      </c>
      <c r="AD683" s="4" t="e">
        <f>IF($Z683&lt;Lookups!$C$106,($AA683+AB683+AC683),IF($AA683&gt;=Lookups!$C$120,($AA683+AB683+AC683),$AA683+$AB683))</f>
        <v>#N/A</v>
      </c>
      <c r="AF683" s="7"/>
      <c r="AG683" s="7"/>
      <c r="AH683" s="7"/>
      <c r="AI683" s="7"/>
      <c r="AJ683" s="7"/>
      <c r="AK683" s="7"/>
      <c r="AL683" s="7"/>
      <c r="AM683" s="7"/>
      <c r="AN683" s="7"/>
      <c r="AO683" s="7"/>
      <c r="AP683" s="7"/>
      <c r="AQ683" s="7"/>
      <c r="AR683" s="7"/>
      <c r="AS683" s="7"/>
      <c r="AT683" s="7"/>
      <c r="AU683" s="7"/>
      <c r="AV683" s="7"/>
      <c r="AW683" s="7"/>
      <c r="AY683" s="7"/>
      <c r="AZ683" s="7"/>
      <c r="BA683" s="7"/>
      <c r="BB683" s="7"/>
    </row>
    <row r="684" spans="2:54" x14ac:dyDescent="0.2">
      <c r="B684" s="174"/>
      <c r="C684" s="176"/>
      <c r="F684" s="5">
        <v>0</v>
      </c>
      <c r="G684" s="192">
        <v>0</v>
      </c>
      <c r="H684" s="192">
        <v>0</v>
      </c>
      <c r="I684" s="5">
        <v>0</v>
      </c>
      <c r="J684" s="192">
        <v>0</v>
      </c>
      <c r="K684" s="192">
        <v>0</v>
      </c>
      <c r="L684" s="5">
        <v>0</v>
      </c>
      <c r="M684" s="5">
        <v>0</v>
      </c>
      <c r="N684" s="4" t="e">
        <f t="shared" si="56"/>
        <v>#N/A</v>
      </c>
      <c r="O684" s="4" t="e">
        <f>IF(ROUND(10.499-(((N684-VLOOKUP($C684,Lookups!$A$55:$D$64,3))/(VLOOKUP($C684,Lookups!$A$55:$D$64,4))*VLOOKUP($C684,Lookups!$C$2:$D$11,2))),0)&lt;1,1,IF(ROUND(10.499-(((N684-VLOOKUP($C684,Lookups!$A$55:$D$64,3))/(VLOOKUP($C684,Lookups!$A$55:$D$64,4))*VLOOKUP($C684,Lookups!$C$2:$D$11,2))),0)&lt;11,ROUND(10.499-(((N684-VLOOKUP($C684,Lookups!$A$55:$D$64,3))/(VLOOKUP($C684,Lookups!$A$55:$D$64,4))*VLOOKUP($C684,Lookups!$C$2:$D$11,2))),0),10))</f>
        <v>#N/A</v>
      </c>
      <c r="P684" s="13" t="str">
        <f>IF((SUM(F684:M684)=0),"J",VLOOKUP(O684,Lookups!$A$1:$B$11,2))</f>
        <v>J</v>
      </c>
      <c r="Q684" s="8" t="e">
        <f>VLOOKUP(C684,Lookups!$A$136:$C$144,3)</f>
        <v>#N/A</v>
      </c>
      <c r="R684" s="8" t="e">
        <f>VLOOKUP(C684,Lookups!$A$136:$C$144,2)</f>
        <v>#N/A</v>
      </c>
      <c r="S684" s="4" t="str">
        <f t="shared" si="57"/>
        <v>No</v>
      </c>
      <c r="T684" s="125">
        <f t="shared" si="58"/>
        <v>0</v>
      </c>
      <c r="U684" s="125">
        <f t="shared" si="59"/>
        <v>0</v>
      </c>
      <c r="V684" s="4" t="e">
        <f>IF($Q684&lt;&gt;3,VLOOKUP(F684,'Points Table A'!B$3:$F$33,5),VLOOKUP(F684,'Points Table A'!H$3:$L$33,5))</f>
        <v>#N/A</v>
      </c>
      <c r="W684" s="4" t="e">
        <f>IF($Q684&lt;&gt;3,VLOOKUP(G684,'Points Table A'!C$3:$F$33,4),VLOOKUP(G684,'Points Table A'!I$3:$L$33,4))</f>
        <v>#N/A</v>
      </c>
      <c r="X684" s="4" t="e">
        <f>IF($Q684&lt;&gt;3,VLOOKUP(H684,'Points Table A'!D$3:$F$28,3),VLOOKUP(H684,'Points Table A'!J$3:$L$33,3))</f>
        <v>#N/A</v>
      </c>
      <c r="Y684" s="4" t="e">
        <f>IF($Q684&lt;&gt;3,VLOOKUP(I684,'Points Table A'!E$3:$F$33,2),VLOOKUP(I684,'Points Table A'!K$3:$L$33,2))</f>
        <v>#N/A</v>
      </c>
      <c r="Z684" s="4" t="e">
        <f t="shared" si="60"/>
        <v>#N/A</v>
      </c>
      <c r="AA684" s="4">
        <f>IF($S684=Lookups!$B$113,VLOOKUP(L684,'Points Table C'!A$3:$E$11,5),VLOOKUP(U684,'Points Table C'!B$3:$E$11,4))</f>
        <v>0</v>
      </c>
      <c r="AB684" s="4" t="e">
        <f>IF($Q684=1,0,VLOOKUP($J684,'Points Table C'!$C$3:$E$18,3))</f>
        <v>#N/A</v>
      </c>
      <c r="AC684" s="4">
        <f>VLOOKUP($K684,'Points Table C'!$D$3:$E$18,2)</f>
        <v>0</v>
      </c>
      <c r="AD684" s="4" t="e">
        <f>IF($Z684&lt;Lookups!$C$106,($AA684+AB684+AC684),IF($AA684&gt;=Lookups!$C$120,($AA684+AB684+AC684),$AA684+$AB684))</f>
        <v>#N/A</v>
      </c>
      <c r="AF684" s="7"/>
      <c r="AG684" s="7"/>
      <c r="AH684" s="7"/>
      <c r="AI684" s="7"/>
      <c r="AJ684" s="7"/>
      <c r="AK684" s="7"/>
      <c r="AL684" s="7"/>
      <c r="AM684" s="7"/>
      <c r="AN684" s="7"/>
      <c r="AO684" s="7"/>
      <c r="AP684" s="7"/>
      <c r="AQ684" s="7"/>
      <c r="AR684" s="7"/>
      <c r="AS684" s="7"/>
      <c r="AT684" s="7"/>
      <c r="AU684" s="7"/>
      <c r="AV684" s="7"/>
      <c r="AW684" s="7"/>
      <c r="AY684" s="7"/>
      <c r="AZ684" s="7"/>
      <c r="BA684" s="7"/>
      <c r="BB684" s="7"/>
    </row>
    <row r="685" spans="2:54" x14ac:dyDescent="0.2">
      <c r="B685" s="174"/>
      <c r="C685" s="176"/>
      <c r="F685" s="5">
        <v>0</v>
      </c>
      <c r="G685" s="192">
        <v>0</v>
      </c>
      <c r="H685" s="192">
        <v>0</v>
      </c>
      <c r="I685" s="5">
        <v>0</v>
      </c>
      <c r="J685" s="192">
        <v>0</v>
      </c>
      <c r="K685" s="192">
        <v>0</v>
      </c>
      <c r="L685" s="5">
        <v>0</v>
      </c>
      <c r="M685" s="5">
        <v>0</v>
      </c>
      <c r="N685" s="4" t="e">
        <f t="shared" si="56"/>
        <v>#N/A</v>
      </c>
      <c r="O685" s="4" t="e">
        <f>IF(ROUND(10.499-(((N685-VLOOKUP($C685,Lookups!$A$55:$D$64,3))/(VLOOKUP($C685,Lookups!$A$55:$D$64,4))*VLOOKUP($C685,Lookups!$C$2:$D$11,2))),0)&lt;1,1,IF(ROUND(10.499-(((N685-VLOOKUP($C685,Lookups!$A$55:$D$64,3))/(VLOOKUP($C685,Lookups!$A$55:$D$64,4))*VLOOKUP($C685,Lookups!$C$2:$D$11,2))),0)&lt;11,ROUND(10.499-(((N685-VLOOKUP($C685,Lookups!$A$55:$D$64,3))/(VLOOKUP($C685,Lookups!$A$55:$D$64,4))*VLOOKUP($C685,Lookups!$C$2:$D$11,2))),0),10))</f>
        <v>#N/A</v>
      </c>
      <c r="P685" s="13" t="str">
        <f>IF((SUM(F685:M685)=0),"J",VLOOKUP(O685,Lookups!$A$1:$B$11,2))</f>
        <v>J</v>
      </c>
      <c r="Q685" s="8" t="e">
        <f>VLOOKUP(C685,Lookups!$A$136:$C$144,3)</f>
        <v>#N/A</v>
      </c>
      <c r="R685" s="8" t="e">
        <f>VLOOKUP(C685,Lookups!$A$136:$C$144,2)</f>
        <v>#N/A</v>
      </c>
      <c r="S685" s="4" t="str">
        <f t="shared" si="57"/>
        <v>No</v>
      </c>
      <c r="T685" s="125">
        <f t="shared" si="58"/>
        <v>0</v>
      </c>
      <c r="U685" s="125">
        <f t="shared" si="59"/>
        <v>0</v>
      </c>
      <c r="V685" s="4" t="e">
        <f>IF($Q685&lt;&gt;3,VLOOKUP(F685,'Points Table A'!B$3:$F$33,5),VLOOKUP(F685,'Points Table A'!H$3:$L$33,5))</f>
        <v>#N/A</v>
      </c>
      <c r="W685" s="4" t="e">
        <f>IF($Q685&lt;&gt;3,VLOOKUP(G685,'Points Table A'!C$3:$F$33,4),VLOOKUP(G685,'Points Table A'!I$3:$L$33,4))</f>
        <v>#N/A</v>
      </c>
      <c r="X685" s="4" t="e">
        <f>IF($Q685&lt;&gt;3,VLOOKUP(H685,'Points Table A'!D$3:$F$28,3),VLOOKUP(H685,'Points Table A'!J$3:$L$33,3))</f>
        <v>#N/A</v>
      </c>
      <c r="Y685" s="4" t="e">
        <f>IF($Q685&lt;&gt;3,VLOOKUP(I685,'Points Table A'!E$3:$F$33,2),VLOOKUP(I685,'Points Table A'!K$3:$L$33,2))</f>
        <v>#N/A</v>
      </c>
      <c r="Z685" s="4" t="e">
        <f t="shared" si="60"/>
        <v>#N/A</v>
      </c>
      <c r="AA685" s="4">
        <f>IF($S685=Lookups!$B$113,VLOOKUP(L685,'Points Table C'!A$3:$E$11,5),VLOOKUP(U685,'Points Table C'!B$3:$E$11,4))</f>
        <v>0</v>
      </c>
      <c r="AB685" s="4" t="e">
        <f>IF($Q685=1,0,VLOOKUP($J685,'Points Table C'!$C$3:$E$18,3))</f>
        <v>#N/A</v>
      </c>
      <c r="AC685" s="4">
        <f>VLOOKUP($K685,'Points Table C'!$D$3:$E$18,2)</f>
        <v>0</v>
      </c>
      <c r="AD685" s="4" t="e">
        <f>IF($Z685&lt;Lookups!$C$106,($AA685+AB685+AC685),IF($AA685&gt;=Lookups!$C$120,($AA685+AB685+AC685),$AA685+$AB685))</f>
        <v>#N/A</v>
      </c>
      <c r="AF685" s="7"/>
      <c r="AG685" s="7"/>
      <c r="AH685" s="7"/>
      <c r="AI685" s="7"/>
      <c r="AJ685" s="7"/>
      <c r="AK685" s="7"/>
      <c r="AL685" s="7"/>
      <c r="AM685" s="7"/>
      <c r="AN685" s="7"/>
      <c r="AO685" s="7"/>
      <c r="AP685" s="7"/>
      <c r="AQ685" s="7"/>
      <c r="AR685" s="7"/>
      <c r="AS685" s="7"/>
      <c r="AT685" s="7"/>
      <c r="AU685" s="7"/>
      <c r="AV685" s="7"/>
      <c r="AW685" s="7"/>
      <c r="AY685" s="7"/>
      <c r="AZ685" s="7"/>
      <c r="BA685" s="7"/>
      <c r="BB685" s="7"/>
    </row>
    <row r="686" spans="2:54" x14ac:dyDescent="0.2">
      <c r="B686" s="174"/>
      <c r="C686" s="176"/>
      <c r="F686" s="5">
        <v>0</v>
      </c>
      <c r="G686" s="192">
        <v>0</v>
      </c>
      <c r="H686" s="192">
        <v>0</v>
      </c>
      <c r="I686" s="5">
        <v>0</v>
      </c>
      <c r="J686" s="192">
        <v>0</v>
      </c>
      <c r="K686" s="192">
        <v>0</v>
      </c>
      <c r="L686" s="5">
        <v>0</v>
      </c>
      <c r="M686" s="5">
        <v>0</v>
      </c>
      <c r="N686" s="4" t="e">
        <f t="shared" si="56"/>
        <v>#N/A</v>
      </c>
      <c r="O686" s="4" t="e">
        <f>IF(ROUND(10.499-(((N686-VLOOKUP($C686,Lookups!$A$55:$D$64,3))/(VLOOKUP($C686,Lookups!$A$55:$D$64,4))*VLOOKUP($C686,Lookups!$C$2:$D$11,2))),0)&lt;1,1,IF(ROUND(10.499-(((N686-VLOOKUP($C686,Lookups!$A$55:$D$64,3))/(VLOOKUP($C686,Lookups!$A$55:$D$64,4))*VLOOKUP($C686,Lookups!$C$2:$D$11,2))),0)&lt;11,ROUND(10.499-(((N686-VLOOKUP($C686,Lookups!$A$55:$D$64,3))/(VLOOKUP($C686,Lookups!$A$55:$D$64,4))*VLOOKUP($C686,Lookups!$C$2:$D$11,2))),0),10))</f>
        <v>#N/A</v>
      </c>
      <c r="P686" s="13" t="str">
        <f>IF((SUM(F686:M686)=0),"J",VLOOKUP(O686,Lookups!$A$1:$B$11,2))</f>
        <v>J</v>
      </c>
      <c r="Q686" s="8" t="e">
        <f>VLOOKUP(C686,Lookups!$A$136:$C$144,3)</f>
        <v>#N/A</v>
      </c>
      <c r="R686" s="8" t="e">
        <f>VLOOKUP(C686,Lookups!$A$136:$C$144,2)</f>
        <v>#N/A</v>
      </c>
      <c r="S686" s="4" t="str">
        <f t="shared" si="57"/>
        <v>No</v>
      </c>
      <c r="T686" s="125">
        <f t="shared" si="58"/>
        <v>0</v>
      </c>
      <c r="U686" s="125">
        <f t="shared" si="59"/>
        <v>0</v>
      </c>
      <c r="V686" s="4" t="e">
        <f>IF($Q686&lt;&gt;3,VLOOKUP(F686,'Points Table A'!B$3:$F$33,5),VLOOKUP(F686,'Points Table A'!H$3:$L$33,5))</f>
        <v>#N/A</v>
      </c>
      <c r="W686" s="4" t="e">
        <f>IF($Q686&lt;&gt;3,VLOOKUP(G686,'Points Table A'!C$3:$F$33,4),VLOOKUP(G686,'Points Table A'!I$3:$L$33,4))</f>
        <v>#N/A</v>
      </c>
      <c r="X686" s="4" t="e">
        <f>IF($Q686&lt;&gt;3,VLOOKUP(H686,'Points Table A'!D$3:$F$28,3),VLOOKUP(H686,'Points Table A'!J$3:$L$33,3))</f>
        <v>#N/A</v>
      </c>
      <c r="Y686" s="4" t="e">
        <f>IF($Q686&lt;&gt;3,VLOOKUP(I686,'Points Table A'!E$3:$F$33,2),VLOOKUP(I686,'Points Table A'!K$3:$L$33,2))</f>
        <v>#N/A</v>
      </c>
      <c r="Z686" s="4" t="e">
        <f t="shared" si="60"/>
        <v>#N/A</v>
      </c>
      <c r="AA686" s="4">
        <f>IF($S686=Lookups!$B$113,VLOOKUP(L686,'Points Table C'!A$3:$E$11,5),VLOOKUP(U686,'Points Table C'!B$3:$E$11,4))</f>
        <v>0</v>
      </c>
      <c r="AB686" s="4" t="e">
        <f>IF($Q686=1,0,VLOOKUP($J686,'Points Table C'!$C$3:$E$18,3))</f>
        <v>#N/A</v>
      </c>
      <c r="AC686" s="4">
        <f>VLOOKUP($K686,'Points Table C'!$D$3:$E$18,2)</f>
        <v>0</v>
      </c>
      <c r="AD686" s="4" t="e">
        <f>IF($Z686&lt;Lookups!$C$106,($AA686+AB686+AC686),IF($AA686&gt;=Lookups!$C$120,($AA686+AB686+AC686),$AA686+$AB686))</f>
        <v>#N/A</v>
      </c>
      <c r="AF686" s="7"/>
      <c r="AG686" s="7"/>
      <c r="AH686" s="7"/>
      <c r="AI686" s="7"/>
      <c r="AJ686" s="7"/>
      <c r="AK686" s="7"/>
      <c r="AL686" s="7"/>
      <c r="AM686" s="7"/>
      <c r="AN686" s="7"/>
      <c r="AO686" s="7"/>
      <c r="AP686" s="7"/>
      <c r="AQ686" s="7"/>
      <c r="AR686" s="7"/>
      <c r="AS686" s="7"/>
      <c r="AT686" s="7"/>
      <c r="AU686" s="7"/>
      <c r="AV686" s="7"/>
      <c r="AW686" s="7"/>
      <c r="AY686" s="7"/>
      <c r="AZ686" s="7"/>
      <c r="BA686" s="7"/>
      <c r="BB686" s="7"/>
    </row>
    <row r="687" spans="2:54" x14ac:dyDescent="0.2">
      <c r="B687" s="174"/>
      <c r="C687" s="176"/>
      <c r="F687" s="5">
        <v>0</v>
      </c>
      <c r="G687" s="192">
        <v>0</v>
      </c>
      <c r="H687" s="192">
        <v>0</v>
      </c>
      <c r="I687" s="5">
        <v>0</v>
      </c>
      <c r="J687" s="192">
        <v>0</v>
      </c>
      <c r="K687" s="192">
        <v>0</v>
      </c>
      <c r="L687" s="5">
        <v>0</v>
      </c>
      <c r="M687" s="5">
        <v>0</v>
      </c>
      <c r="N687" s="4" t="e">
        <f t="shared" si="56"/>
        <v>#N/A</v>
      </c>
      <c r="O687" s="4" t="e">
        <f>IF(ROUND(10.499-(((N687-VLOOKUP($C687,Lookups!$A$55:$D$64,3))/(VLOOKUP($C687,Lookups!$A$55:$D$64,4))*VLOOKUP($C687,Lookups!$C$2:$D$11,2))),0)&lt;1,1,IF(ROUND(10.499-(((N687-VLOOKUP($C687,Lookups!$A$55:$D$64,3))/(VLOOKUP($C687,Lookups!$A$55:$D$64,4))*VLOOKUP($C687,Lookups!$C$2:$D$11,2))),0)&lt;11,ROUND(10.499-(((N687-VLOOKUP($C687,Lookups!$A$55:$D$64,3))/(VLOOKUP($C687,Lookups!$A$55:$D$64,4))*VLOOKUP($C687,Lookups!$C$2:$D$11,2))),0),10))</f>
        <v>#N/A</v>
      </c>
      <c r="P687" s="13" t="str">
        <f>IF((SUM(F687:M687)=0),"J",VLOOKUP(O687,Lookups!$A$1:$B$11,2))</f>
        <v>J</v>
      </c>
      <c r="Q687" s="8" t="e">
        <f>VLOOKUP(C687,Lookups!$A$136:$C$144,3)</f>
        <v>#N/A</v>
      </c>
      <c r="R687" s="8" t="e">
        <f>VLOOKUP(C687,Lookups!$A$136:$C$144,2)</f>
        <v>#N/A</v>
      </c>
      <c r="S687" s="4" t="str">
        <f t="shared" si="57"/>
        <v>No</v>
      </c>
      <c r="T687" s="125">
        <f t="shared" si="58"/>
        <v>0</v>
      </c>
      <c r="U687" s="125">
        <f t="shared" si="59"/>
        <v>0</v>
      </c>
      <c r="V687" s="4" t="e">
        <f>IF($Q687&lt;&gt;3,VLOOKUP(F687,'Points Table A'!B$3:$F$33,5),VLOOKUP(F687,'Points Table A'!H$3:$L$33,5))</f>
        <v>#N/A</v>
      </c>
      <c r="W687" s="4" t="e">
        <f>IF($Q687&lt;&gt;3,VLOOKUP(G687,'Points Table A'!C$3:$F$33,4),VLOOKUP(G687,'Points Table A'!I$3:$L$33,4))</f>
        <v>#N/A</v>
      </c>
      <c r="X687" s="4" t="e">
        <f>IF($Q687&lt;&gt;3,VLOOKUP(H687,'Points Table A'!D$3:$F$28,3),VLOOKUP(H687,'Points Table A'!J$3:$L$33,3))</f>
        <v>#N/A</v>
      </c>
      <c r="Y687" s="4" t="e">
        <f>IF($Q687&lt;&gt;3,VLOOKUP(I687,'Points Table A'!E$3:$F$33,2),VLOOKUP(I687,'Points Table A'!K$3:$L$33,2))</f>
        <v>#N/A</v>
      </c>
      <c r="Z687" s="4" t="e">
        <f t="shared" si="60"/>
        <v>#N/A</v>
      </c>
      <c r="AA687" s="4">
        <f>IF($S687=Lookups!$B$113,VLOOKUP(L687,'Points Table C'!A$3:$E$11,5),VLOOKUP(U687,'Points Table C'!B$3:$E$11,4))</f>
        <v>0</v>
      </c>
      <c r="AB687" s="4" t="e">
        <f>IF($Q687=1,0,VLOOKUP($J687,'Points Table C'!$C$3:$E$18,3))</f>
        <v>#N/A</v>
      </c>
      <c r="AC687" s="4">
        <f>VLOOKUP($K687,'Points Table C'!$D$3:$E$18,2)</f>
        <v>0</v>
      </c>
      <c r="AD687" s="4" t="e">
        <f>IF($Z687&lt;Lookups!$C$106,($AA687+AB687+AC687),IF($AA687&gt;=Lookups!$C$120,($AA687+AB687+AC687),$AA687+$AB687))</f>
        <v>#N/A</v>
      </c>
      <c r="AF687" s="7"/>
      <c r="AG687" s="7"/>
      <c r="AH687" s="7"/>
      <c r="AI687" s="7"/>
      <c r="AJ687" s="7"/>
      <c r="AK687" s="7"/>
      <c r="AL687" s="7"/>
      <c r="AM687" s="7"/>
      <c r="AN687" s="7"/>
      <c r="AO687" s="7"/>
      <c r="AP687" s="7"/>
      <c r="AQ687" s="7"/>
      <c r="AR687" s="7"/>
      <c r="AS687" s="7"/>
      <c r="AT687" s="7"/>
      <c r="AU687" s="7"/>
      <c r="AV687" s="7"/>
      <c r="AW687" s="7"/>
      <c r="AY687" s="7"/>
      <c r="AZ687" s="7"/>
      <c r="BA687" s="7"/>
      <c r="BB687" s="7"/>
    </row>
    <row r="688" spans="2:54" x14ac:dyDescent="0.2">
      <c r="B688" s="174"/>
      <c r="C688" s="176"/>
      <c r="F688" s="5">
        <v>0</v>
      </c>
      <c r="G688" s="192">
        <v>0</v>
      </c>
      <c r="H688" s="192">
        <v>0</v>
      </c>
      <c r="I688" s="5">
        <v>0</v>
      </c>
      <c r="J688" s="192">
        <v>0</v>
      </c>
      <c r="K688" s="192">
        <v>0</v>
      </c>
      <c r="L688" s="5">
        <v>0</v>
      </c>
      <c r="M688" s="5">
        <v>0</v>
      </c>
      <c r="N688" s="4" t="e">
        <f t="shared" si="56"/>
        <v>#N/A</v>
      </c>
      <c r="O688" s="4" t="e">
        <f>IF(ROUND(10.499-(((N688-VLOOKUP($C688,Lookups!$A$55:$D$64,3))/(VLOOKUP($C688,Lookups!$A$55:$D$64,4))*VLOOKUP($C688,Lookups!$C$2:$D$11,2))),0)&lt;1,1,IF(ROUND(10.499-(((N688-VLOOKUP($C688,Lookups!$A$55:$D$64,3))/(VLOOKUP($C688,Lookups!$A$55:$D$64,4))*VLOOKUP($C688,Lookups!$C$2:$D$11,2))),0)&lt;11,ROUND(10.499-(((N688-VLOOKUP($C688,Lookups!$A$55:$D$64,3))/(VLOOKUP($C688,Lookups!$A$55:$D$64,4))*VLOOKUP($C688,Lookups!$C$2:$D$11,2))),0),10))</f>
        <v>#N/A</v>
      </c>
      <c r="P688" s="13" t="str">
        <f>IF((SUM(F688:M688)=0),"J",VLOOKUP(O688,Lookups!$A$1:$B$11,2))</f>
        <v>J</v>
      </c>
      <c r="Q688" s="8" t="e">
        <f>VLOOKUP(C688,Lookups!$A$136:$C$144,3)</f>
        <v>#N/A</v>
      </c>
      <c r="R688" s="8" t="e">
        <f>VLOOKUP(C688,Lookups!$A$136:$C$144,2)</f>
        <v>#N/A</v>
      </c>
      <c r="S688" s="4" t="str">
        <f t="shared" si="57"/>
        <v>No</v>
      </c>
      <c r="T688" s="125">
        <f t="shared" si="58"/>
        <v>0</v>
      </c>
      <c r="U688" s="125">
        <f t="shared" si="59"/>
        <v>0</v>
      </c>
      <c r="V688" s="4" t="e">
        <f>IF($Q688&lt;&gt;3,VLOOKUP(F688,'Points Table A'!B$3:$F$33,5),VLOOKUP(F688,'Points Table A'!H$3:$L$33,5))</f>
        <v>#N/A</v>
      </c>
      <c r="W688" s="4" t="e">
        <f>IF($Q688&lt;&gt;3,VLOOKUP(G688,'Points Table A'!C$3:$F$33,4),VLOOKUP(G688,'Points Table A'!I$3:$L$33,4))</f>
        <v>#N/A</v>
      </c>
      <c r="X688" s="4" t="e">
        <f>IF($Q688&lt;&gt;3,VLOOKUP(H688,'Points Table A'!D$3:$F$28,3),VLOOKUP(H688,'Points Table A'!J$3:$L$33,3))</f>
        <v>#N/A</v>
      </c>
      <c r="Y688" s="4" t="e">
        <f>IF($Q688&lt;&gt;3,VLOOKUP(I688,'Points Table A'!E$3:$F$33,2),VLOOKUP(I688,'Points Table A'!K$3:$L$33,2))</f>
        <v>#N/A</v>
      </c>
      <c r="Z688" s="4" t="e">
        <f t="shared" si="60"/>
        <v>#N/A</v>
      </c>
      <c r="AA688" s="4">
        <f>IF($S688=Lookups!$B$113,VLOOKUP(L688,'Points Table C'!A$3:$E$11,5),VLOOKUP(U688,'Points Table C'!B$3:$E$11,4))</f>
        <v>0</v>
      </c>
      <c r="AB688" s="4" t="e">
        <f>IF($Q688=1,0,VLOOKUP($J688,'Points Table C'!$C$3:$E$18,3))</f>
        <v>#N/A</v>
      </c>
      <c r="AC688" s="4">
        <f>VLOOKUP($K688,'Points Table C'!$D$3:$E$18,2)</f>
        <v>0</v>
      </c>
      <c r="AD688" s="4" t="e">
        <f>IF($Z688&lt;Lookups!$C$106,($AA688+AB688+AC688),IF($AA688&gt;=Lookups!$C$120,($AA688+AB688+AC688),$AA688+$AB688))</f>
        <v>#N/A</v>
      </c>
      <c r="AF688" s="7"/>
      <c r="AG688" s="7"/>
      <c r="AH688" s="7"/>
      <c r="AI688" s="7"/>
      <c r="AJ688" s="7"/>
      <c r="AK688" s="7"/>
      <c r="AL688" s="7"/>
      <c r="AM688" s="7"/>
      <c r="AN688" s="7"/>
      <c r="AO688" s="7"/>
      <c r="AP688" s="7"/>
      <c r="AQ688" s="7"/>
      <c r="AR688" s="7"/>
      <c r="AS688" s="7"/>
      <c r="AT688" s="7"/>
      <c r="AU688" s="7"/>
      <c r="AV688" s="7"/>
      <c r="AW688" s="7"/>
      <c r="AY688" s="7"/>
      <c r="AZ688" s="7"/>
      <c r="BA688" s="7"/>
      <c r="BB688" s="7"/>
    </row>
    <row r="689" spans="2:54" x14ac:dyDescent="0.2">
      <c r="B689" s="174"/>
      <c r="C689" s="176"/>
      <c r="F689" s="5">
        <v>0</v>
      </c>
      <c r="G689" s="192">
        <v>0</v>
      </c>
      <c r="H689" s="192">
        <v>0</v>
      </c>
      <c r="I689" s="5">
        <v>0</v>
      </c>
      <c r="J689" s="192">
        <v>0</v>
      </c>
      <c r="K689" s="192">
        <v>0</v>
      </c>
      <c r="L689" s="5">
        <v>0</v>
      </c>
      <c r="M689" s="5">
        <v>0</v>
      </c>
      <c r="N689" s="4" t="e">
        <f t="shared" si="56"/>
        <v>#N/A</v>
      </c>
      <c r="O689" s="4" t="e">
        <f>IF(ROUND(10.499-(((N689-VLOOKUP($C689,Lookups!$A$55:$D$64,3))/(VLOOKUP($C689,Lookups!$A$55:$D$64,4))*VLOOKUP($C689,Lookups!$C$2:$D$11,2))),0)&lt;1,1,IF(ROUND(10.499-(((N689-VLOOKUP($C689,Lookups!$A$55:$D$64,3))/(VLOOKUP($C689,Lookups!$A$55:$D$64,4))*VLOOKUP($C689,Lookups!$C$2:$D$11,2))),0)&lt;11,ROUND(10.499-(((N689-VLOOKUP($C689,Lookups!$A$55:$D$64,3))/(VLOOKUP($C689,Lookups!$A$55:$D$64,4))*VLOOKUP($C689,Lookups!$C$2:$D$11,2))),0),10))</f>
        <v>#N/A</v>
      </c>
      <c r="P689" s="13" t="str">
        <f>IF((SUM(F689:M689)=0),"J",VLOOKUP(O689,Lookups!$A$1:$B$11,2))</f>
        <v>J</v>
      </c>
      <c r="Q689" s="8" t="e">
        <f>VLOOKUP(C689,Lookups!$A$136:$C$144,3)</f>
        <v>#N/A</v>
      </c>
      <c r="R689" s="8" t="e">
        <f>VLOOKUP(C689,Lookups!$A$136:$C$144,2)</f>
        <v>#N/A</v>
      </c>
      <c r="S689" s="4" t="str">
        <f t="shared" si="57"/>
        <v>No</v>
      </c>
      <c r="T689" s="125">
        <f t="shared" si="58"/>
        <v>0</v>
      </c>
      <c r="U689" s="125">
        <f t="shared" si="59"/>
        <v>0</v>
      </c>
      <c r="V689" s="4" t="e">
        <f>IF($Q689&lt;&gt;3,VLOOKUP(F689,'Points Table A'!B$3:$F$33,5),VLOOKUP(F689,'Points Table A'!H$3:$L$33,5))</f>
        <v>#N/A</v>
      </c>
      <c r="W689" s="4" t="e">
        <f>IF($Q689&lt;&gt;3,VLOOKUP(G689,'Points Table A'!C$3:$F$33,4),VLOOKUP(G689,'Points Table A'!I$3:$L$33,4))</f>
        <v>#N/A</v>
      </c>
      <c r="X689" s="4" t="e">
        <f>IF($Q689&lt;&gt;3,VLOOKUP(H689,'Points Table A'!D$3:$F$28,3),VLOOKUP(H689,'Points Table A'!J$3:$L$33,3))</f>
        <v>#N/A</v>
      </c>
      <c r="Y689" s="4" t="e">
        <f>IF($Q689&lt;&gt;3,VLOOKUP(I689,'Points Table A'!E$3:$F$33,2),VLOOKUP(I689,'Points Table A'!K$3:$L$33,2))</f>
        <v>#N/A</v>
      </c>
      <c r="Z689" s="4" t="e">
        <f t="shared" si="60"/>
        <v>#N/A</v>
      </c>
      <c r="AA689" s="4">
        <f>IF($S689=Lookups!$B$113,VLOOKUP(L689,'Points Table C'!A$3:$E$11,5),VLOOKUP(U689,'Points Table C'!B$3:$E$11,4))</f>
        <v>0</v>
      </c>
      <c r="AB689" s="4" t="e">
        <f>IF($Q689=1,0,VLOOKUP($J689,'Points Table C'!$C$3:$E$18,3))</f>
        <v>#N/A</v>
      </c>
      <c r="AC689" s="4">
        <f>VLOOKUP($K689,'Points Table C'!$D$3:$E$18,2)</f>
        <v>0</v>
      </c>
      <c r="AD689" s="4" t="e">
        <f>IF($Z689&lt;Lookups!$C$106,($AA689+AB689+AC689),IF($AA689&gt;=Lookups!$C$120,($AA689+AB689+AC689),$AA689+$AB689))</f>
        <v>#N/A</v>
      </c>
      <c r="AF689" s="7"/>
      <c r="AG689" s="7"/>
      <c r="AH689" s="7"/>
      <c r="AI689" s="7"/>
      <c r="AJ689" s="7"/>
      <c r="AK689" s="7"/>
      <c r="AL689" s="7"/>
      <c r="AM689" s="7"/>
      <c r="AN689" s="7"/>
      <c r="AO689" s="7"/>
      <c r="AP689" s="7"/>
      <c r="AQ689" s="7"/>
      <c r="AR689" s="7"/>
      <c r="AS689" s="7"/>
      <c r="AT689" s="7"/>
      <c r="AU689" s="7"/>
      <c r="AV689" s="7"/>
      <c r="AW689" s="7"/>
      <c r="AY689" s="7"/>
      <c r="AZ689" s="7"/>
      <c r="BA689" s="7"/>
      <c r="BB689" s="7"/>
    </row>
    <row r="690" spans="2:54" x14ac:dyDescent="0.2">
      <c r="B690" s="174"/>
      <c r="C690" s="176"/>
      <c r="F690" s="5">
        <v>0</v>
      </c>
      <c r="G690" s="192">
        <v>0</v>
      </c>
      <c r="H690" s="192">
        <v>0</v>
      </c>
      <c r="I690" s="5">
        <v>0</v>
      </c>
      <c r="J690" s="192">
        <v>0</v>
      </c>
      <c r="K690" s="192">
        <v>0</v>
      </c>
      <c r="L690" s="5">
        <v>0</v>
      </c>
      <c r="M690" s="5">
        <v>0</v>
      </c>
      <c r="N690" s="4" t="e">
        <f t="shared" si="56"/>
        <v>#N/A</v>
      </c>
      <c r="O690" s="4" t="e">
        <f>IF(ROUND(10.499-(((N690-VLOOKUP($C690,Lookups!$A$55:$D$64,3))/(VLOOKUP($C690,Lookups!$A$55:$D$64,4))*VLOOKUP($C690,Lookups!$C$2:$D$11,2))),0)&lt;1,1,IF(ROUND(10.499-(((N690-VLOOKUP($C690,Lookups!$A$55:$D$64,3))/(VLOOKUP($C690,Lookups!$A$55:$D$64,4))*VLOOKUP($C690,Lookups!$C$2:$D$11,2))),0)&lt;11,ROUND(10.499-(((N690-VLOOKUP($C690,Lookups!$A$55:$D$64,3))/(VLOOKUP($C690,Lookups!$A$55:$D$64,4))*VLOOKUP($C690,Lookups!$C$2:$D$11,2))),0),10))</f>
        <v>#N/A</v>
      </c>
      <c r="P690" s="13" t="str">
        <f>IF((SUM(F690:M690)=0),"J",VLOOKUP(O690,Lookups!$A$1:$B$11,2))</f>
        <v>J</v>
      </c>
      <c r="Q690" s="8" t="e">
        <f>VLOOKUP(C690,Lookups!$A$136:$C$144,3)</f>
        <v>#N/A</v>
      </c>
      <c r="R690" s="8" t="e">
        <f>VLOOKUP(C690,Lookups!$A$136:$C$144,2)</f>
        <v>#N/A</v>
      </c>
      <c r="S690" s="4" t="str">
        <f t="shared" si="57"/>
        <v>No</v>
      </c>
      <c r="T690" s="125">
        <f t="shared" si="58"/>
        <v>0</v>
      </c>
      <c r="U690" s="125">
        <f t="shared" si="59"/>
        <v>0</v>
      </c>
      <c r="V690" s="4" t="e">
        <f>IF($Q690&lt;&gt;3,VLOOKUP(F690,'Points Table A'!B$3:$F$33,5),VLOOKUP(F690,'Points Table A'!H$3:$L$33,5))</f>
        <v>#N/A</v>
      </c>
      <c r="W690" s="4" t="e">
        <f>IF($Q690&lt;&gt;3,VLOOKUP(G690,'Points Table A'!C$3:$F$33,4),VLOOKUP(G690,'Points Table A'!I$3:$L$33,4))</f>
        <v>#N/A</v>
      </c>
      <c r="X690" s="4" t="e">
        <f>IF($Q690&lt;&gt;3,VLOOKUP(H690,'Points Table A'!D$3:$F$28,3),VLOOKUP(H690,'Points Table A'!J$3:$L$33,3))</f>
        <v>#N/A</v>
      </c>
      <c r="Y690" s="4" t="e">
        <f>IF($Q690&lt;&gt;3,VLOOKUP(I690,'Points Table A'!E$3:$F$33,2),VLOOKUP(I690,'Points Table A'!K$3:$L$33,2))</f>
        <v>#N/A</v>
      </c>
      <c r="Z690" s="4" t="e">
        <f t="shared" si="60"/>
        <v>#N/A</v>
      </c>
      <c r="AA690" s="4">
        <f>IF($S690=Lookups!$B$113,VLOOKUP(L690,'Points Table C'!A$3:$E$11,5),VLOOKUP(U690,'Points Table C'!B$3:$E$11,4))</f>
        <v>0</v>
      </c>
      <c r="AB690" s="4" t="e">
        <f>IF($Q690=1,0,VLOOKUP($J690,'Points Table C'!$C$3:$E$18,3))</f>
        <v>#N/A</v>
      </c>
      <c r="AC690" s="4">
        <f>VLOOKUP($K690,'Points Table C'!$D$3:$E$18,2)</f>
        <v>0</v>
      </c>
      <c r="AD690" s="4" t="e">
        <f>IF($Z690&lt;Lookups!$C$106,($AA690+AB690+AC690),IF($AA690&gt;=Lookups!$C$120,($AA690+AB690+AC690),$AA690+$AB690))</f>
        <v>#N/A</v>
      </c>
      <c r="AF690" s="7"/>
      <c r="AG690" s="7"/>
      <c r="AH690" s="7"/>
      <c r="AI690" s="7"/>
      <c r="AJ690" s="7"/>
      <c r="AK690" s="7"/>
      <c r="AL690" s="7"/>
      <c r="AM690" s="7"/>
      <c r="AN690" s="7"/>
      <c r="AO690" s="7"/>
      <c r="AP690" s="7"/>
      <c r="AQ690" s="7"/>
      <c r="AR690" s="7"/>
      <c r="AS690" s="7"/>
      <c r="AT690" s="7"/>
      <c r="AU690" s="7"/>
      <c r="AV690" s="7"/>
      <c r="AW690" s="7"/>
      <c r="AY690" s="7"/>
      <c r="AZ690" s="7"/>
      <c r="BA690" s="7"/>
      <c r="BB690" s="7"/>
    </row>
    <row r="691" spans="2:54" x14ac:dyDescent="0.2">
      <c r="B691" s="174"/>
      <c r="C691" s="176"/>
      <c r="F691" s="5">
        <v>0</v>
      </c>
      <c r="G691" s="192">
        <v>0</v>
      </c>
      <c r="H691" s="192">
        <v>0</v>
      </c>
      <c r="I691" s="5">
        <v>0</v>
      </c>
      <c r="J691" s="192">
        <v>0</v>
      </c>
      <c r="K691" s="192">
        <v>0</v>
      </c>
      <c r="L691" s="5">
        <v>0</v>
      </c>
      <c r="M691" s="5">
        <v>0</v>
      </c>
      <c r="N691" s="4" t="e">
        <f t="shared" si="56"/>
        <v>#N/A</v>
      </c>
      <c r="O691" s="4" t="e">
        <f>IF(ROUND(10.499-(((N691-VLOOKUP($C691,Lookups!$A$55:$D$64,3))/(VLOOKUP($C691,Lookups!$A$55:$D$64,4))*VLOOKUP($C691,Lookups!$C$2:$D$11,2))),0)&lt;1,1,IF(ROUND(10.499-(((N691-VLOOKUP($C691,Lookups!$A$55:$D$64,3))/(VLOOKUP($C691,Lookups!$A$55:$D$64,4))*VLOOKUP($C691,Lookups!$C$2:$D$11,2))),0)&lt;11,ROUND(10.499-(((N691-VLOOKUP($C691,Lookups!$A$55:$D$64,3))/(VLOOKUP($C691,Lookups!$A$55:$D$64,4))*VLOOKUP($C691,Lookups!$C$2:$D$11,2))),0),10))</f>
        <v>#N/A</v>
      </c>
      <c r="P691" s="13" t="str">
        <f>IF((SUM(F691:M691)=0),"J",VLOOKUP(O691,Lookups!$A$1:$B$11,2))</f>
        <v>J</v>
      </c>
      <c r="Q691" s="8" t="e">
        <f>VLOOKUP(C691,Lookups!$A$136:$C$144,3)</f>
        <v>#N/A</v>
      </c>
      <c r="R691" s="8" t="e">
        <f>VLOOKUP(C691,Lookups!$A$136:$C$144,2)</f>
        <v>#N/A</v>
      </c>
      <c r="S691" s="4" t="str">
        <f t="shared" si="57"/>
        <v>No</v>
      </c>
      <c r="T691" s="125">
        <f t="shared" si="58"/>
        <v>0</v>
      </c>
      <c r="U691" s="125">
        <f t="shared" si="59"/>
        <v>0</v>
      </c>
      <c r="V691" s="4" t="e">
        <f>IF($Q691&lt;&gt;3,VLOOKUP(F691,'Points Table A'!B$3:$F$33,5),VLOOKUP(F691,'Points Table A'!H$3:$L$33,5))</f>
        <v>#N/A</v>
      </c>
      <c r="W691" s="4" t="e">
        <f>IF($Q691&lt;&gt;3,VLOOKUP(G691,'Points Table A'!C$3:$F$33,4),VLOOKUP(G691,'Points Table A'!I$3:$L$33,4))</f>
        <v>#N/A</v>
      </c>
      <c r="X691" s="4" t="e">
        <f>IF($Q691&lt;&gt;3,VLOOKUP(H691,'Points Table A'!D$3:$F$28,3),VLOOKUP(H691,'Points Table A'!J$3:$L$33,3))</f>
        <v>#N/A</v>
      </c>
      <c r="Y691" s="4" t="e">
        <f>IF($Q691&lt;&gt;3,VLOOKUP(I691,'Points Table A'!E$3:$F$33,2),VLOOKUP(I691,'Points Table A'!K$3:$L$33,2))</f>
        <v>#N/A</v>
      </c>
      <c r="Z691" s="4" t="e">
        <f t="shared" si="60"/>
        <v>#N/A</v>
      </c>
      <c r="AA691" s="4">
        <f>IF($S691=Lookups!$B$113,VLOOKUP(L691,'Points Table C'!A$3:$E$11,5),VLOOKUP(U691,'Points Table C'!B$3:$E$11,4))</f>
        <v>0</v>
      </c>
      <c r="AB691" s="4" t="e">
        <f>IF($Q691=1,0,VLOOKUP($J691,'Points Table C'!$C$3:$E$18,3))</f>
        <v>#N/A</v>
      </c>
      <c r="AC691" s="4">
        <f>VLOOKUP($K691,'Points Table C'!$D$3:$E$18,2)</f>
        <v>0</v>
      </c>
      <c r="AD691" s="4" t="e">
        <f>IF($Z691&lt;Lookups!$C$106,($AA691+AB691+AC691),IF($AA691&gt;=Lookups!$C$120,($AA691+AB691+AC691),$AA691+$AB691))</f>
        <v>#N/A</v>
      </c>
      <c r="AF691" s="7"/>
      <c r="AG691" s="7"/>
      <c r="AH691" s="7"/>
      <c r="AI691" s="7"/>
      <c r="AJ691" s="7"/>
      <c r="AK691" s="7"/>
      <c r="AL691" s="7"/>
      <c r="AM691" s="7"/>
      <c r="AN691" s="7"/>
      <c r="AO691" s="7"/>
      <c r="AP691" s="7"/>
      <c r="AQ691" s="7"/>
      <c r="AR691" s="7"/>
      <c r="AS691" s="7"/>
      <c r="AT691" s="7"/>
      <c r="AU691" s="7"/>
      <c r="AV691" s="7"/>
      <c r="AW691" s="7"/>
      <c r="AY691" s="7"/>
      <c r="AZ691" s="7"/>
      <c r="BA691" s="7"/>
      <c r="BB691" s="7"/>
    </row>
    <row r="692" spans="2:54" x14ac:dyDescent="0.2">
      <c r="B692" s="174"/>
      <c r="C692" s="176"/>
      <c r="F692" s="5">
        <v>0</v>
      </c>
      <c r="G692" s="192">
        <v>0</v>
      </c>
      <c r="H692" s="192">
        <v>0</v>
      </c>
      <c r="I692" s="5">
        <v>0</v>
      </c>
      <c r="J692" s="192">
        <v>0</v>
      </c>
      <c r="K692" s="192">
        <v>0</v>
      </c>
      <c r="L692" s="5">
        <v>0</v>
      </c>
      <c r="M692" s="5">
        <v>0</v>
      </c>
      <c r="N692" s="4" t="e">
        <f t="shared" si="56"/>
        <v>#N/A</v>
      </c>
      <c r="O692" s="4" t="e">
        <f>IF(ROUND(10.499-(((N692-VLOOKUP($C692,Lookups!$A$55:$D$64,3))/(VLOOKUP($C692,Lookups!$A$55:$D$64,4))*VLOOKUP($C692,Lookups!$C$2:$D$11,2))),0)&lt;1,1,IF(ROUND(10.499-(((N692-VLOOKUP($C692,Lookups!$A$55:$D$64,3))/(VLOOKUP($C692,Lookups!$A$55:$D$64,4))*VLOOKUP($C692,Lookups!$C$2:$D$11,2))),0)&lt;11,ROUND(10.499-(((N692-VLOOKUP($C692,Lookups!$A$55:$D$64,3))/(VLOOKUP($C692,Lookups!$A$55:$D$64,4))*VLOOKUP($C692,Lookups!$C$2:$D$11,2))),0),10))</f>
        <v>#N/A</v>
      </c>
      <c r="P692" s="13" t="str">
        <f>IF((SUM(F692:M692)=0),"J",VLOOKUP(O692,Lookups!$A$1:$B$11,2))</f>
        <v>J</v>
      </c>
      <c r="Q692" s="8" t="e">
        <f>VLOOKUP(C692,Lookups!$A$136:$C$144,3)</f>
        <v>#N/A</v>
      </c>
      <c r="R692" s="8" t="e">
        <f>VLOOKUP(C692,Lookups!$A$136:$C$144,2)</f>
        <v>#N/A</v>
      </c>
      <c r="S692" s="4" t="str">
        <f t="shared" si="57"/>
        <v>No</v>
      </c>
      <c r="T692" s="125">
        <f t="shared" si="58"/>
        <v>0</v>
      </c>
      <c r="U692" s="125">
        <f t="shared" si="59"/>
        <v>0</v>
      </c>
      <c r="V692" s="4" t="e">
        <f>IF($Q692&lt;&gt;3,VLOOKUP(F692,'Points Table A'!B$3:$F$33,5),VLOOKUP(F692,'Points Table A'!H$3:$L$33,5))</f>
        <v>#N/A</v>
      </c>
      <c r="W692" s="4" t="e">
        <f>IF($Q692&lt;&gt;3,VLOOKUP(G692,'Points Table A'!C$3:$F$33,4),VLOOKUP(G692,'Points Table A'!I$3:$L$33,4))</f>
        <v>#N/A</v>
      </c>
      <c r="X692" s="4" t="e">
        <f>IF($Q692&lt;&gt;3,VLOOKUP(H692,'Points Table A'!D$3:$F$28,3),VLOOKUP(H692,'Points Table A'!J$3:$L$33,3))</f>
        <v>#N/A</v>
      </c>
      <c r="Y692" s="4" t="e">
        <f>IF($Q692&lt;&gt;3,VLOOKUP(I692,'Points Table A'!E$3:$F$33,2),VLOOKUP(I692,'Points Table A'!K$3:$L$33,2))</f>
        <v>#N/A</v>
      </c>
      <c r="Z692" s="4" t="e">
        <f t="shared" si="60"/>
        <v>#N/A</v>
      </c>
      <c r="AA692" s="4">
        <f>IF($S692=Lookups!$B$113,VLOOKUP(L692,'Points Table C'!A$3:$E$11,5),VLOOKUP(U692,'Points Table C'!B$3:$E$11,4))</f>
        <v>0</v>
      </c>
      <c r="AB692" s="4" t="e">
        <f>IF($Q692=1,0,VLOOKUP($J692,'Points Table C'!$C$3:$E$18,3))</f>
        <v>#N/A</v>
      </c>
      <c r="AC692" s="4">
        <f>VLOOKUP($K692,'Points Table C'!$D$3:$E$18,2)</f>
        <v>0</v>
      </c>
      <c r="AD692" s="4" t="e">
        <f>IF($Z692&lt;Lookups!$C$106,($AA692+AB692+AC692),IF($AA692&gt;=Lookups!$C$120,($AA692+AB692+AC692),$AA692+$AB692))</f>
        <v>#N/A</v>
      </c>
      <c r="AF692" s="7"/>
      <c r="AG692" s="7"/>
      <c r="AH692" s="7"/>
      <c r="AI692" s="7"/>
      <c r="AJ692" s="7"/>
      <c r="AK692" s="7"/>
      <c r="AL692" s="7"/>
      <c r="AM692" s="7"/>
      <c r="AN692" s="7"/>
      <c r="AO692" s="7"/>
      <c r="AP692" s="7"/>
      <c r="AQ692" s="7"/>
      <c r="AR692" s="7"/>
      <c r="AS692" s="7"/>
      <c r="AT692" s="7"/>
      <c r="AU692" s="7"/>
      <c r="AV692" s="7"/>
      <c r="AW692" s="7"/>
      <c r="AY692" s="7"/>
      <c r="AZ692" s="7"/>
      <c r="BA692" s="7"/>
      <c r="BB692" s="7"/>
    </row>
    <row r="693" spans="2:54" x14ac:dyDescent="0.2">
      <c r="B693" s="174"/>
      <c r="C693" s="176"/>
      <c r="F693" s="5">
        <v>0</v>
      </c>
      <c r="G693" s="192">
        <v>0</v>
      </c>
      <c r="H693" s="192">
        <v>0</v>
      </c>
      <c r="I693" s="5">
        <v>0</v>
      </c>
      <c r="J693" s="192">
        <v>0</v>
      </c>
      <c r="K693" s="192">
        <v>0</v>
      </c>
      <c r="L693" s="5">
        <v>0</v>
      </c>
      <c r="M693" s="5">
        <v>0</v>
      </c>
      <c r="N693" s="4" t="e">
        <f t="shared" si="56"/>
        <v>#N/A</v>
      </c>
      <c r="O693" s="4" t="e">
        <f>IF(ROUND(10.499-(((N693-VLOOKUP($C693,Lookups!$A$55:$D$64,3))/(VLOOKUP($C693,Lookups!$A$55:$D$64,4))*VLOOKUP($C693,Lookups!$C$2:$D$11,2))),0)&lt;1,1,IF(ROUND(10.499-(((N693-VLOOKUP($C693,Lookups!$A$55:$D$64,3))/(VLOOKUP($C693,Lookups!$A$55:$D$64,4))*VLOOKUP($C693,Lookups!$C$2:$D$11,2))),0)&lt;11,ROUND(10.499-(((N693-VLOOKUP($C693,Lookups!$A$55:$D$64,3))/(VLOOKUP($C693,Lookups!$A$55:$D$64,4))*VLOOKUP($C693,Lookups!$C$2:$D$11,2))),0),10))</f>
        <v>#N/A</v>
      </c>
      <c r="P693" s="13" t="str">
        <f>IF((SUM(F693:M693)=0),"J",VLOOKUP(O693,Lookups!$A$1:$B$11,2))</f>
        <v>J</v>
      </c>
      <c r="Q693" s="8" t="e">
        <f>VLOOKUP(C693,Lookups!$A$136:$C$144,3)</f>
        <v>#N/A</v>
      </c>
      <c r="R693" s="8" t="e">
        <f>VLOOKUP(C693,Lookups!$A$136:$C$144,2)</f>
        <v>#N/A</v>
      </c>
      <c r="S693" s="4" t="str">
        <f t="shared" si="57"/>
        <v>No</v>
      </c>
      <c r="T693" s="125">
        <f t="shared" si="58"/>
        <v>0</v>
      </c>
      <c r="U693" s="125">
        <f t="shared" si="59"/>
        <v>0</v>
      </c>
      <c r="V693" s="4" t="e">
        <f>IF($Q693&lt;&gt;3,VLOOKUP(F693,'Points Table A'!B$3:$F$33,5),VLOOKUP(F693,'Points Table A'!H$3:$L$33,5))</f>
        <v>#N/A</v>
      </c>
      <c r="W693" s="4" t="e">
        <f>IF($Q693&lt;&gt;3,VLOOKUP(G693,'Points Table A'!C$3:$F$33,4),VLOOKUP(G693,'Points Table A'!I$3:$L$33,4))</f>
        <v>#N/A</v>
      </c>
      <c r="X693" s="4" t="e">
        <f>IF($Q693&lt;&gt;3,VLOOKUP(H693,'Points Table A'!D$3:$F$28,3),VLOOKUP(H693,'Points Table A'!J$3:$L$33,3))</f>
        <v>#N/A</v>
      </c>
      <c r="Y693" s="4" t="e">
        <f>IF($Q693&lt;&gt;3,VLOOKUP(I693,'Points Table A'!E$3:$F$33,2),VLOOKUP(I693,'Points Table A'!K$3:$L$33,2))</f>
        <v>#N/A</v>
      </c>
      <c r="Z693" s="4" t="e">
        <f t="shared" si="60"/>
        <v>#N/A</v>
      </c>
      <c r="AA693" s="4">
        <f>IF($S693=Lookups!$B$113,VLOOKUP(L693,'Points Table C'!A$3:$E$11,5),VLOOKUP(U693,'Points Table C'!B$3:$E$11,4))</f>
        <v>0</v>
      </c>
      <c r="AB693" s="4" t="e">
        <f>IF($Q693=1,0,VLOOKUP($J693,'Points Table C'!$C$3:$E$18,3))</f>
        <v>#N/A</v>
      </c>
      <c r="AC693" s="4">
        <f>VLOOKUP($K693,'Points Table C'!$D$3:$E$18,2)</f>
        <v>0</v>
      </c>
      <c r="AD693" s="4" t="e">
        <f>IF($Z693&lt;Lookups!$C$106,($AA693+AB693+AC693),IF($AA693&gt;=Lookups!$C$120,($AA693+AB693+AC693),$AA693+$AB693))</f>
        <v>#N/A</v>
      </c>
      <c r="AF693" s="7"/>
      <c r="AG693" s="7"/>
      <c r="AH693" s="7"/>
      <c r="AI693" s="7"/>
      <c r="AJ693" s="7"/>
      <c r="AK693" s="7"/>
      <c r="AL693" s="7"/>
      <c r="AM693" s="7"/>
      <c r="AN693" s="7"/>
      <c r="AO693" s="7"/>
      <c r="AP693" s="7"/>
      <c r="AQ693" s="7"/>
      <c r="AR693" s="7"/>
      <c r="AS693" s="7"/>
      <c r="AT693" s="7"/>
      <c r="AU693" s="7"/>
      <c r="AV693" s="7"/>
      <c r="AW693" s="7"/>
      <c r="AY693" s="7"/>
      <c r="AZ693" s="7"/>
      <c r="BA693" s="7"/>
      <c r="BB693" s="7"/>
    </row>
    <row r="694" spans="2:54" x14ac:dyDescent="0.2">
      <c r="B694" s="174"/>
      <c r="C694" s="176"/>
      <c r="F694" s="5">
        <v>0</v>
      </c>
      <c r="G694" s="192">
        <v>0</v>
      </c>
      <c r="H694" s="192">
        <v>0</v>
      </c>
      <c r="I694" s="5">
        <v>0</v>
      </c>
      <c r="J694" s="192">
        <v>0</v>
      </c>
      <c r="K694" s="192">
        <v>0</v>
      </c>
      <c r="L694" s="5">
        <v>0</v>
      </c>
      <c r="M694" s="5">
        <v>0</v>
      </c>
      <c r="N694" s="4" t="e">
        <f t="shared" si="56"/>
        <v>#N/A</v>
      </c>
      <c r="O694" s="4" t="e">
        <f>IF(ROUND(10.499-(((N694-VLOOKUP($C694,Lookups!$A$55:$D$64,3))/(VLOOKUP($C694,Lookups!$A$55:$D$64,4))*VLOOKUP($C694,Lookups!$C$2:$D$11,2))),0)&lt;1,1,IF(ROUND(10.499-(((N694-VLOOKUP($C694,Lookups!$A$55:$D$64,3))/(VLOOKUP($C694,Lookups!$A$55:$D$64,4))*VLOOKUP($C694,Lookups!$C$2:$D$11,2))),0)&lt;11,ROUND(10.499-(((N694-VLOOKUP($C694,Lookups!$A$55:$D$64,3))/(VLOOKUP($C694,Lookups!$A$55:$D$64,4))*VLOOKUP($C694,Lookups!$C$2:$D$11,2))),0),10))</f>
        <v>#N/A</v>
      </c>
      <c r="P694" s="13" t="str">
        <f>IF((SUM(F694:M694)=0),"J",VLOOKUP(O694,Lookups!$A$1:$B$11,2))</f>
        <v>J</v>
      </c>
      <c r="Q694" s="8" t="e">
        <f>VLOOKUP(C694,Lookups!$A$136:$C$144,3)</f>
        <v>#N/A</v>
      </c>
      <c r="R694" s="8" t="e">
        <f>VLOOKUP(C694,Lookups!$A$136:$C$144,2)</f>
        <v>#N/A</v>
      </c>
      <c r="S694" s="4" t="str">
        <f t="shared" si="57"/>
        <v>No</v>
      </c>
      <c r="T694" s="125">
        <f t="shared" si="58"/>
        <v>0</v>
      </c>
      <c r="U694" s="125">
        <f t="shared" si="59"/>
        <v>0</v>
      </c>
      <c r="V694" s="4" t="e">
        <f>IF($Q694&lt;&gt;3,VLOOKUP(F694,'Points Table A'!B$3:$F$33,5),VLOOKUP(F694,'Points Table A'!H$3:$L$33,5))</f>
        <v>#N/A</v>
      </c>
      <c r="W694" s="4" t="e">
        <f>IF($Q694&lt;&gt;3,VLOOKUP(G694,'Points Table A'!C$3:$F$33,4),VLOOKUP(G694,'Points Table A'!I$3:$L$33,4))</f>
        <v>#N/A</v>
      </c>
      <c r="X694" s="4" t="e">
        <f>IF($Q694&lt;&gt;3,VLOOKUP(H694,'Points Table A'!D$3:$F$28,3),VLOOKUP(H694,'Points Table A'!J$3:$L$33,3))</f>
        <v>#N/A</v>
      </c>
      <c r="Y694" s="4" t="e">
        <f>IF($Q694&lt;&gt;3,VLOOKUP(I694,'Points Table A'!E$3:$F$33,2),VLOOKUP(I694,'Points Table A'!K$3:$L$33,2))</f>
        <v>#N/A</v>
      </c>
      <c r="Z694" s="4" t="e">
        <f t="shared" si="60"/>
        <v>#N/A</v>
      </c>
      <c r="AA694" s="4">
        <f>IF($S694=Lookups!$B$113,VLOOKUP(L694,'Points Table C'!A$3:$E$11,5),VLOOKUP(U694,'Points Table C'!B$3:$E$11,4))</f>
        <v>0</v>
      </c>
      <c r="AB694" s="4" t="e">
        <f>IF($Q694=1,0,VLOOKUP($J694,'Points Table C'!$C$3:$E$18,3))</f>
        <v>#N/A</v>
      </c>
      <c r="AC694" s="4">
        <f>VLOOKUP($K694,'Points Table C'!$D$3:$E$18,2)</f>
        <v>0</v>
      </c>
      <c r="AD694" s="4" t="e">
        <f>IF($Z694&lt;Lookups!$C$106,($AA694+AB694+AC694),IF($AA694&gt;=Lookups!$C$120,($AA694+AB694+AC694),$AA694+$AB694))</f>
        <v>#N/A</v>
      </c>
      <c r="AF694" s="7"/>
      <c r="AG694" s="7"/>
      <c r="AH694" s="7"/>
      <c r="AI694" s="7"/>
      <c r="AJ694" s="7"/>
      <c r="AK694" s="7"/>
      <c r="AL694" s="7"/>
      <c r="AM694" s="7"/>
      <c r="AN694" s="7"/>
      <c r="AO694" s="7"/>
      <c r="AP694" s="7"/>
      <c r="AQ694" s="7"/>
      <c r="AR694" s="7"/>
      <c r="AS694" s="7"/>
      <c r="AT694" s="7"/>
      <c r="AU694" s="7"/>
      <c r="AV694" s="7"/>
      <c r="AW694" s="7"/>
      <c r="AY694" s="7"/>
      <c r="AZ694" s="7"/>
      <c r="BA694" s="7"/>
      <c r="BB694" s="7"/>
    </row>
    <row r="695" spans="2:54" x14ac:dyDescent="0.2">
      <c r="B695" s="174"/>
      <c r="C695" s="176"/>
      <c r="F695" s="5">
        <v>0</v>
      </c>
      <c r="G695" s="192">
        <v>0</v>
      </c>
      <c r="H695" s="192">
        <v>0</v>
      </c>
      <c r="I695" s="5">
        <v>0</v>
      </c>
      <c r="J695" s="192">
        <v>0</v>
      </c>
      <c r="K695" s="192">
        <v>0</v>
      </c>
      <c r="L695" s="5">
        <v>0</v>
      </c>
      <c r="M695" s="5">
        <v>0</v>
      </c>
      <c r="N695" s="4" t="e">
        <f t="shared" si="56"/>
        <v>#N/A</v>
      </c>
      <c r="O695" s="4" t="e">
        <f>IF(ROUND(10.499-(((N695-VLOOKUP($C695,Lookups!$A$55:$D$64,3))/(VLOOKUP($C695,Lookups!$A$55:$D$64,4))*VLOOKUP($C695,Lookups!$C$2:$D$11,2))),0)&lt;1,1,IF(ROUND(10.499-(((N695-VLOOKUP($C695,Lookups!$A$55:$D$64,3))/(VLOOKUP($C695,Lookups!$A$55:$D$64,4))*VLOOKUP($C695,Lookups!$C$2:$D$11,2))),0)&lt;11,ROUND(10.499-(((N695-VLOOKUP($C695,Lookups!$A$55:$D$64,3))/(VLOOKUP($C695,Lookups!$A$55:$D$64,4))*VLOOKUP($C695,Lookups!$C$2:$D$11,2))),0),10))</f>
        <v>#N/A</v>
      </c>
      <c r="P695" s="13" t="str">
        <f>IF((SUM(F695:M695)=0),"J",VLOOKUP(O695,Lookups!$A$1:$B$11,2))</f>
        <v>J</v>
      </c>
      <c r="Q695" s="8" t="e">
        <f>VLOOKUP(C695,Lookups!$A$136:$C$144,3)</f>
        <v>#N/A</v>
      </c>
      <c r="R695" s="8" t="e">
        <f>VLOOKUP(C695,Lookups!$A$136:$C$144,2)</f>
        <v>#N/A</v>
      </c>
      <c r="S695" s="4" t="str">
        <f t="shared" si="57"/>
        <v>No</v>
      </c>
      <c r="T695" s="125">
        <f t="shared" si="58"/>
        <v>0</v>
      </c>
      <c r="U695" s="125">
        <f t="shared" si="59"/>
        <v>0</v>
      </c>
      <c r="V695" s="4" t="e">
        <f>IF($Q695&lt;&gt;3,VLOOKUP(F695,'Points Table A'!B$3:$F$33,5),VLOOKUP(F695,'Points Table A'!H$3:$L$33,5))</f>
        <v>#N/A</v>
      </c>
      <c r="W695" s="4" t="e">
        <f>IF($Q695&lt;&gt;3,VLOOKUP(G695,'Points Table A'!C$3:$F$33,4),VLOOKUP(G695,'Points Table A'!I$3:$L$33,4))</f>
        <v>#N/A</v>
      </c>
      <c r="X695" s="4" t="e">
        <f>IF($Q695&lt;&gt;3,VLOOKUP(H695,'Points Table A'!D$3:$F$28,3),VLOOKUP(H695,'Points Table A'!J$3:$L$33,3))</f>
        <v>#N/A</v>
      </c>
      <c r="Y695" s="4" t="e">
        <f>IF($Q695&lt;&gt;3,VLOOKUP(I695,'Points Table A'!E$3:$F$33,2),VLOOKUP(I695,'Points Table A'!K$3:$L$33,2))</f>
        <v>#N/A</v>
      </c>
      <c r="Z695" s="4" t="e">
        <f t="shared" si="60"/>
        <v>#N/A</v>
      </c>
      <c r="AA695" s="4">
        <f>IF($S695=Lookups!$B$113,VLOOKUP(L695,'Points Table C'!A$3:$E$11,5),VLOOKUP(U695,'Points Table C'!B$3:$E$11,4))</f>
        <v>0</v>
      </c>
      <c r="AB695" s="4" t="e">
        <f>IF($Q695=1,0,VLOOKUP($J695,'Points Table C'!$C$3:$E$18,3))</f>
        <v>#N/A</v>
      </c>
      <c r="AC695" s="4">
        <f>VLOOKUP($K695,'Points Table C'!$D$3:$E$18,2)</f>
        <v>0</v>
      </c>
      <c r="AD695" s="4" t="e">
        <f>IF($Z695&lt;Lookups!$C$106,($AA695+AB695+AC695),IF($AA695&gt;=Lookups!$C$120,($AA695+AB695+AC695),$AA695+$AB695))</f>
        <v>#N/A</v>
      </c>
      <c r="AF695" s="7"/>
      <c r="AG695" s="7"/>
      <c r="AH695" s="7"/>
      <c r="AI695" s="7"/>
      <c r="AJ695" s="7"/>
      <c r="AK695" s="7"/>
      <c r="AL695" s="7"/>
      <c r="AM695" s="7"/>
      <c r="AN695" s="7"/>
      <c r="AO695" s="7"/>
      <c r="AP695" s="7"/>
      <c r="AQ695" s="7"/>
      <c r="AR695" s="7"/>
      <c r="AS695" s="7"/>
      <c r="AT695" s="7"/>
      <c r="AU695" s="7"/>
      <c r="AV695" s="7"/>
      <c r="AW695" s="7"/>
      <c r="AY695" s="7"/>
      <c r="AZ695" s="7"/>
      <c r="BA695" s="7"/>
      <c r="BB695" s="7"/>
    </row>
    <row r="696" spans="2:54" x14ac:dyDescent="0.2">
      <c r="B696" s="174"/>
      <c r="C696" s="176"/>
      <c r="F696" s="5">
        <v>0</v>
      </c>
      <c r="G696" s="192">
        <v>0</v>
      </c>
      <c r="H696" s="192">
        <v>0</v>
      </c>
      <c r="I696" s="5">
        <v>0</v>
      </c>
      <c r="J696" s="192">
        <v>0</v>
      </c>
      <c r="K696" s="192">
        <v>0</v>
      </c>
      <c r="L696" s="5">
        <v>0</v>
      </c>
      <c r="M696" s="5">
        <v>0</v>
      </c>
      <c r="N696" s="4" t="e">
        <f t="shared" si="56"/>
        <v>#N/A</v>
      </c>
      <c r="O696" s="4" t="e">
        <f>IF(ROUND(10.499-(((N696-VLOOKUP($C696,Lookups!$A$55:$D$64,3))/(VLOOKUP($C696,Lookups!$A$55:$D$64,4))*VLOOKUP($C696,Lookups!$C$2:$D$11,2))),0)&lt;1,1,IF(ROUND(10.499-(((N696-VLOOKUP($C696,Lookups!$A$55:$D$64,3))/(VLOOKUP($C696,Lookups!$A$55:$D$64,4))*VLOOKUP($C696,Lookups!$C$2:$D$11,2))),0)&lt;11,ROUND(10.499-(((N696-VLOOKUP($C696,Lookups!$A$55:$D$64,3))/(VLOOKUP($C696,Lookups!$A$55:$D$64,4))*VLOOKUP($C696,Lookups!$C$2:$D$11,2))),0),10))</f>
        <v>#N/A</v>
      </c>
      <c r="P696" s="13" t="str">
        <f>IF((SUM(F696:M696)=0),"J",VLOOKUP(O696,Lookups!$A$1:$B$11,2))</f>
        <v>J</v>
      </c>
      <c r="Q696" s="8" t="e">
        <f>VLOOKUP(C696,Lookups!$A$136:$C$144,3)</f>
        <v>#N/A</v>
      </c>
      <c r="R696" s="8" t="e">
        <f>VLOOKUP(C696,Lookups!$A$136:$C$144,2)</f>
        <v>#N/A</v>
      </c>
      <c r="S696" s="4" t="str">
        <f t="shared" si="57"/>
        <v>No</v>
      </c>
      <c r="T696" s="125">
        <f t="shared" si="58"/>
        <v>0</v>
      </c>
      <c r="U696" s="125">
        <f t="shared" si="59"/>
        <v>0</v>
      </c>
      <c r="V696" s="4" t="e">
        <f>IF($Q696&lt;&gt;3,VLOOKUP(F696,'Points Table A'!B$3:$F$33,5),VLOOKUP(F696,'Points Table A'!H$3:$L$33,5))</f>
        <v>#N/A</v>
      </c>
      <c r="W696" s="4" t="e">
        <f>IF($Q696&lt;&gt;3,VLOOKUP(G696,'Points Table A'!C$3:$F$33,4),VLOOKUP(G696,'Points Table A'!I$3:$L$33,4))</f>
        <v>#N/A</v>
      </c>
      <c r="X696" s="4" t="e">
        <f>IF($Q696&lt;&gt;3,VLOOKUP(H696,'Points Table A'!D$3:$F$28,3),VLOOKUP(H696,'Points Table A'!J$3:$L$33,3))</f>
        <v>#N/A</v>
      </c>
      <c r="Y696" s="4" t="e">
        <f>IF($Q696&lt;&gt;3,VLOOKUP(I696,'Points Table A'!E$3:$F$33,2),VLOOKUP(I696,'Points Table A'!K$3:$L$33,2))</f>
        <v>#N/A</v>
      </c>
      <c r="Z696" s="4" t="e">
        <f t="shared" si="60"/>
        <v>#N/A</v>
      </c>
      <c r="AA696" s="4">
        <f>IF($S696=Lookups!$B$113,VLOOKUP(L696,'Points Table C'!A$3:$E$11,5),VLOOKUP(U696,'Points Table C'!B$3:$E$11,4))</f>
        <v>0</v>
      </c>
      <c r="AB696" s="4" t="e">
        <f>IF($Q696=1,0,VLOOKUP($J696,'Points Table C'!$C$3:$E$18,3))</f>
        <v>#N/A</v>
      </c>
      <c r="AC696" s="4">
        <f>VLOOKUP($K696,'Points Table C'!$D$3:$E$18,2)</f>
        <v>0</v>
      </c>
      <c r="AD696" s="4" t="e">
        <f>IF($Z696&lt;Lookups!$C$106,($AA696+AB696+AC696),IF($AA696&gt;=Lookups!$C$120,($AA696+AB696+AC696),$AA696+$AB696))</f>
        <v>#N/A</v>
      </c>
      <c r="AF696" s="7"/>
      <c r="AG696" s="7"/>
      <c r="AH696" s="7"/>
      <c r="AI696" s="7"/>
      <c r="AJ696" s="7"/>
      <c r="AK696" s="7"/>
      <c r="AL696" s="7"/>
      <c r="AM696" s="7"/>
      <c r="AN696" s="7"/>
      <c r="AO696" s="7"/>
      <c r="AP696" s="7"/>
      <c r="AQ696" s="7"/>
      <c r="AR696" s="7"/>
      <c r="AS696" s="7"/>
      <c r="AT696" s="7"/>
      <c r="AU696" s="7"/>
      <c r="AV696" s="7"/>
      <c r="AW696" s="7"/>
      <c r="AY696" s="7"/>
      <c r="AZ696" s="7"/>
      <c r="BA696" s="7"/>
      <c r="BB696" s="7"/>
    </row>
    <row r="697" spans="2:54" x14ac:dyDescent="0.2">
      <c r="B697" s="174"/>
      <c r="C697" s="176"/>
      <c r="F697" s="5">
        <v>0</v>
      </c>
      <c r="G697" s="192">
        <v>0</v>
      </c>
      <c r="H697" s="192">
        <v>0</v>
      </c>
      <c r="I697" s="5">
        <v>0</v>
      </c>
      <c r="J697" s="192">
        <v>0</v>
      </c>
      <c r="K697" s="192">
        <v>0</v>
      </c>
      <c r="L697" s="5">
        <v>0</v>
      </c>
      <c r="M697" s="5">
        <v>0</v>
      </c>
      <c r="N697" s="4" t="e">
        <f t="shared" ref="N697:N760" si="61">$Z697-$AD697</f>
        <v>#N/A</v>
      </c>
      <c r="O697" s="4" t="e">
        <f>IF(ROUND(10.499-(((N697-VLOOKUP($C697,Lookups!$A$55:$D$64,3))/(VLOOKUP($C697,Lookups!$A$55:$D$64,4))*VLOOKUP($C697,Lookups!$C$2:$D$11,2))),0)&lt;1,1,IF(ROUND(10.499-(((N697-VLOOKUP($C697,Lookups!$A$55:$D$64,3))/(VLOOKUP($C697,Lookups!$A$55:$D$64,4))*VLOOKUP($C697,Lookups!$C$2:$D$11,2))),0)&lt;11,ROUND(10.499-(((N697-VLOOKUP($C697,Lookups!$A$55:$D$64,3))/(VLOOKUP($C697,Lookups!$A$55:$D$64,4))*VLOOKUP($C697,Lookups!$C$2:$D$11,2))),0),10))</f>
        <v>#N/A</v>
      </c>
      <c r="P697" s="13" t="str">
        <f>IF((SUM(F697:M697)=0),"J",VLOOKUP(O697,Lookups!$A$1:$B$11,2))</f>
        <v>J</v>
      </c>
      <c r="Q697" s="8" t="e">
        <f>VLOOKUP(C697,Lookups!$A$136:$C$144,3)</f>
        <v>#N/A</v>
      </c>
      <c r="R697" s="8" t="e">
        <f>VLOOKUP(C697,Lookups!$A$136:$C$144,2)</f>
        <v>#N/A</v>
      </c>
      <c r="S697" s="4" t="str">
        <f t="shared" si="57"/>
        <v>No</v>
      </c>
      <c r="T697" s="125">
        <f t="shared" si="58"/>
        <v>0</v>
      </c>
      <c r="U697" s="125">
        <f t="shared" si="59"/>
        <v>0</v>
      </c>
      <c r="V697" s="4" t="e">
        <f>IF($Q697&lt;&gt;3,VLOOKUP(F697,'Points Table A'!B$3:$F$33,5),VLOOKUP(F697,'Points Table A'!H$3:$L$33,5))</f>
        <v>#N/A</v>
      </c>
      <c r="W697" s="4" t="e">
        <f>IF($Q697&lt;&gt;3,VLOOKUP(G697,'Points Table A'!C$3:$F$33,4),VLOOKUP(G697,'Points Table A'!I$3:$L$33,4))</f>
        <v>#N/A</v>
      </c>
      <c r="X697" s="4" t="e">
        <f>IF($Q697&lt;&gt;3,VLOOKUP(H697,'Points Table A'!D$3:$F$28,3),VLOOKUP(H697,'Points Table A'!J$3:$L$33,3))</f>
        <v>#N/A</v>
      </c>
      <c r="Y697" s="4" t="e">
        <f>IF($Q697&lt;&gt;3,VLOOKUP(I697,'Points Table A'!E$3:$F$33,2),VLOOKUP(I697,'Points Table A'!K$3:$L$33,2))</f>
        <v>#N/A</v>
      </c>
      <c r="Z697" s="4" t="e">
        <f t="shared" si="60"/>
        <v>#N/A</v>
      </c>
      <c r="AA697" s="4">
        <f>IF($S697=Lookups!$B$113,VLOOKUP(L697,'Points Table C'!A$3:$E$11,5),VLOOKUP(U697,'Points Table C'!B$3:$E$11,4))</f>
        <v>0</v>
      </c>
      <c r="AB697" s="4" t="e">
        <f>IF($Q697=1,0,VLOOKUP($J697,'Points Table C'!$C$3:$E$18,3))</f>
        <v>#N/A</v>
      </c>
      <c r="AC697" s="4">
        <f>VLOOKUP($K697,'Points Table C'!$D$3:$E$18,2)</f>
        <v>0</v>
      </c>
      <c r="AD697" s="4" t="e">
        <f>IF($Z697&lt;Lookups!$C$106,($AA697+AB697+AC697),IF($AA697&gt;=Lookups!$C$120,($AA697+AB697+AC697),$AA697+$AB697))</f>
        <v>#N/A</v>
      </c>
      <c r="AF697" s="7"/>
      <c r="AG697" s="7"/>
      <c r="AH697" s="7"/>
      <c r="AI697" s="7"/>
      <c r="AJ697" s="7"/>
      <c r="AK697" s="7"/>
      <c r="AL697" s="7"/>
      <c r="AM697" s="7"/>
      <c r="AN697" s="7"/>
      <c r="AO697" s="7"/>
      <c r="AP697" s="7"/>
      <c r="AQ697" s="7"/>
      <c r="AR697" s="7"/>
      <c r="AS697" s="7"/>
      <c r="AT697" s="7"/>
      <c r="AU697" s="7"/>
      <c r="AV697" s="7"/>
      <c r="AW697" s="7"/>
      <c r="AY697" s="7"/>
      <c r="AZ697" s="7"/>
      <c r="BA697" s="7"/>
      <c r="BB697" s="7"/>
    </row>
    <row r="698" spans="2:54" x14ac:dyDescent="0.2">
      <c r="B698" s="174"/>
      <c r="C698" s="176"/>
      <c r="F698" s="5">
        <v>0</v>
      </c>
      <c r="G698" s="192">
        <v>0</v>
      </c>
      <c r="H698" s="192">
        <v>0</v>
      </c>
      <c r="I698" s="5">
        <v>0</v>
      </c>
      <c r="J698" s="192">
        <v>0</v>
      </c>
      <c r="K698" s="192">
        <v>0</v>
      </c>
      <c r="L698" s="5">
        <v>0</v>
      </c>
      <c r="M698" s="5">
        <v>0</v>
      </c>
      <c r="N698" s="4" t="e">
        <f t="shared" si="61"/>
        <v>#N/A</v>
      </c>
      <c r="O698" s="4" t="e">
        <f>IF(ROUND(10.499-(((N698-VLOOKUP($C698,Lookups!$A$55:$D$64,3))/(VLOOKUP($C698,Lookups!$A$55:$D$64,4))*VLOOKUP($C698,Lookups!$C$2:$D$11,2))),0)&lt;1,1,IF(ROUND(10.499-(((N698-VLOOKUP($C698,Lookups!$A$55:$D$64,3))/(VLOOKUP($C698,Lookups!$A$55:$D$64,4))*VLOOKUP($C698,Lookups!$C$2:$D$11,2))),0)&lt;11,ROUND(10.499-(((N698-VLOOKUP($C698,Lookups!$A$55:$D$64,3))/(VLOOKUP($C698,Lookups!$A$55:$D$64,4))*VLOOKUP($C698,Lookups!$C$2:$D$11,2))),0),10))</f>
        <v>#N/A</v>
      </c>
      <c r="P698" s="13" t="str">
        <f>IF((SUM(F698:M698)=0),"J",VLOOKUP(O698,Lookups!$A$1:$B$11,2))</f>
        <v>J</v>
      </c>
      <c r="Q698" s="8" t="e">
        <f>VLOOKUP(C698,Lookups!$A$136:$C$144,3)</f>
        <v>#N/A</v>
      </c>
      <c r="R698" s="8" t="e">
        <f>VLOOKUP(C698,Lookups!$A$136:$C$144,2)</f>
        <v>#N/A</v>
      </c>
      <c r="S698" s="4" t="str">
        <f t="shared" si="57"/>
        <v>No</v>
      </c>
      <c r="T698" s="125">
        <f t="shared" si="58"/>
        <v>0</v>
      </c>
      <c r="U698" s="125">
        <f t="shared" si="59"/>
        <v>0</v>
      </c>
      <c r="V698" s="4" t="e">
        <f>IF($Q698&lt;&gt;3,VLOOKUP(F698,'Points Table A'!B$3:$F$33,5),VLOOKUP(F698,'Points Table A'!H$3:$L$33,5))</f>
        <v>#N/A</v>
      </c>
      <c r="W698" s="4" t="e">
        <f>IF($Q698&lt;&gt;3,VLOOKUP(G698,'Points Table A'!C$3:$F$33,4),VLOOKUP(G698,'Points Table A'!I$3:$L$33,4))</f>
        <v>#N/A</v>
      </c>
      <c r="X698" s="4" t="e">
        <f>IF($Q698&lt;&gt;3,VLOOKUP(H698,'Points Table A'!D$3:$F$28,3),VLOOKUP(H698,'Points Table A'!J$3:$L$33,3))</f>
        <v>#N/A</v>
      </c>
      <c r="Y698" s="4" t="e">
        <f>IF($Q698&lt;&gt;3,VLOOKUP(I698,'Points Table A'!E$3:$F$33,2),VLOOKUP(I698,'Points Table A'!K$3:$L$33,2))</f>
        <v>#N/A</v>
      </c>
      <c r="Z698" s="4" t="e">
        <f t="shared" si="60"/>
        <v>#N/A</v>
      </c>
      <c r="AA698" s="4">
        <f>IF($S698=Lookups!$B$113,VLOOKUP(L698,'Points Table C'!A$3:$E$11,5),VLOOKUP(U698,'Points Table C'!B$3:$E$11,4))</f>
        <v>0</v>
      </c>
      <c r="AB698" s="4" t="e">
        <f>IF($Q698=1,0,VLOOKUP($J698,'Points Table C'!$C$3:$E$18,3))</f>
        <v>#N/A</v>
      </c>
      <c r="AC698" s="4">
        <f>VLOOKUP($K698,'Points Table C'!$D$3:$E$18,2)</f>
        <v>0</v>
      </c>
      <c r="AD698" s="4" t="e">
        <f>IF($Z698&lt;Lookups!$C$106,($AA698+AB698+AC698),IF($AA698&gt;=Lookups!$C$120,($AA698+AB698+AC698),$AA698+$AB698))</f>
        <v>#N/A</v>
      </c>
      <c r="AF698" s="7"/>
      <c r="AG698" s="7"/>
      <c r="AH698" s="7"/>
      <c r="AI698" s="7"/>
      <c r="AJ698" s="7"/>
      <c r="AK698" s="7"/>
      <c r="AL698" s="7"/>
      <c r="AM698" s="7"/>
      <c r="AN698" s="7"/>
      <c r="AO698" s="7"/>
      <c r="AP698" s="7"/>
      <c r="AQ698" s="7"/>
      <c r="AR698" s="7"/>
      <c r="AS698" s="7"/>
      <c r="AT698" s="7"/>
      <c r="AU698" s="7"/>
      <c r="AV698" s="7"/>
      <c r="AW698" s="7"/>
      <c r="AY698" s="7"/>
      <c r="AZ698" s="7"/>
      <c r="BA698" s="7"/>
      <c r="BB698" s="7"/>
    </row>
    <row r="699" spans="2:54" x14ac:dyDescent="0.2">
      <c r="B699" s="174"/>
      <c r="C699" s="176"/>
      <c r="F699" s="5">
        <v>0</v>
      </c>
      <c r="G699" s="192">
        <v>0</v>
      </c>
      <c r="H699" s="192">
        <v>0</v>
      </c>
      <c r="I699" s="5">
        <v>0</v>
      </c>
      <c r="J699" s="192">
        <v>0</v>
      </c>
      <c r="K699" s="192">
        <v>0</v>
      </c>
      <c r="L699" s="5">
        <v>0</v>
      </c>
      <c r="M699" s="5">
        <v>0</v>
      </c>
      <c r="N699" s="4" t="e">
        <f t="shared" si="61"/>
        <v>#N/A</v>
      </c>
      <c r="O699" s="4" t="e">
        <f>IF(ROUND(10.499-(((N699-VLOOKUP($C699,Lookups!$A$55:$D$64,3))/(VLOOKUP($C699,Lookups!$A$55:$D$64,4))*VLOOKUP($C699,Lookups!$C$2:$D$11,2))),0)&lt;1,1,IF(ROUND(10.499-(((N699-VLOOKUP($C699,Lookups!$A$55:$D$64,3))/(VLOOKUP($C699,Lookups!$A$55:$D$64,4))*VLOOKUP($C699,Lookups!$C$2:$D$11,2))),0)&lt;11,ROUND(10.499-(((N699-VLOOKUP($C699,Lookups!$A$55:$D$64,3))/(VLOOKUP($C699,Lookups!$A$55:$D$64,4))*VLOOKUP($C699,Lookups!$C$2:$D$11,2))),0),10))</f>
        <v>#N/A</v>
      </c>
      <c r="P699" s="13" t="str">
        <f>IF((SUM(F699:M699)=0),"J",VLOOKUP(O699,Lookups!$A$1:$B$11,2))</f>
        <v>J</v>
      </c>
      <c r="Q699" s="8" t="e">
        <f>VLOOKUP(C699,Lookups!$A$136:$C$144,3)</f>
        <v>#N/A</v>
      </c>
      <c r="R699" s="8" t="e">
        <f>VLOOKUP(C699,Lookups!$A$136:$C$144,2)</f>
        <v>#N/A</v>
      </c>
      <c r="S699" s="4" t="str">
        <f t="shared" si="57"/>
        <v>No</v>
      </c>
      <c r="T699" s="125">
        <f t="shared" si="58"/>
        <v>0</v>
      </c>
      <c r="U699" s="125">
        <f t="shared" si="59"/>
        <v>0</v>
      </c>
      <c r="V699" s="4" t="e">
        <f>IF($Q699&lt;&gt;3,VLOOKUP(F699,'Points Table A'!B$3:$F$33,5),VLOOKUP(F699,'Points Table A'!H$3:$L$33,5))</f>
        <v>#N/A</v>
      </c>
      <c r="W699" s="4" t="e">
        <f>IF($Q699&lt;&gt;3,VLOOKUP(G699,'Points Table A'!C$3:$F$33,4),VLOOKUP(G699,'Points Table A'!I$3:$L$33,4))</f>
        <v>#N/A</v>
      </c>
      <c r="X699" s="4" t="e">
        <f>IF($Q699&lt;&gt;3,VLOOKUP(H699,'Points Table A'!D$3:$F$28,3),VLOOKUP(H699,'Points Table A'!J$3:$L$33,3))</f>
        <v>#N/A</v>
      </c>
      <c r="Y699" s="4" t="e">
        <f>IF($Q699&lt;&gt;3,VLOOKUP(I699,'Points Table A'!E$3:$F$33,2),VLOOKUP(I699,'Points Table A'!K$3:$L$33,2))</f>
        <v>#N/A</v>
      </c>
      <c r="Z699" s="4" t="e">
        <f t="shared" si="60"/>
        <v>#N/A</v>
      </c>
      <c r="AA699" s="4">
        <f>IF($S699=Lookups!$B$113,VLOOKUP(L699,'Points Table C'!A$3:$E$11,5),VLOOKUP(U699,'Points Table C'!B$3:$E$11,4))</f>
        <v>0</v>
      </c>
      <c r="AB699" s="4" t="e">
        <f>IF($Q699=1,0,VLOOKUP($J699,'Points Table C'!$C$3:$E$18,3))</f>
        <v>#N/A</v>
      </c>
      <c r="AC699" s="4">
        <f>VLOOKUP($K699,'Points Table C'!$D$3:$E$18,2)</f>
        <v>0</v>
      </c>
      <c r="AD699" s="4" t="e">
        <f>IF($Z699&lt;Lookups!$C$106,($AA699+AB699+AC699),IF($AA699&gt;=Lookups!$C$120,($AA699+AB699+AC699),$AA699+$AB699))</f>
        <v>#N/A</v>
      </c>
      <c r="AF699" s="7"/>
      <c r="AG699" s="7"/>
      <c r="AH699" s="7"/>
      <c r="AI699" s="7"/>
      <c r="AJ699" s="7"/>
      <c r="AK699" s="7"/>
      <c r="AL699" s="7"/>
      <c r="AM699" s="7"/>
      <c r="AN699" s="7"/>
      <c r="AO699" s="7"/>
      <c r="AP699" s="7"/>
      <c r="AQ699" s="7"/>
      <c r="AR699" s="7"/>
      <c r="AS699" s="7"/>
      <c r="AT699" s="7"/>
      <c r="AU699" s="7"/>
      <c r="AV699" s="7"/>
      <c r="AW699" s="7"/>
      <c r="AY699" s="7"/>
      <c r="AZ699" s="7"/>
      <c r="BA699" s="7"/>
      <c r="BB699" s="7"/>
    </row>
    <row r="700" spans="2:54" x14ac:dyDescent="0.2">
      <c r="B700" s="174"/>
      <c r="C700" s="176"/>
      <c r="F700" s="5">
        <v>0</v>
      </c>
      <c r="G700" s="192">
        <v>0</v>
      </c>
      <c r="H700" s="192">
        <v>0</v>
      </c>
      <c r="I700" s="5">
        <v>0</v>
      </c>
      <c r="J700" s="192">
        <v>0</v>
      </c>
      <c r="K700" s="192">
        <v>0</v>
      </c>
      <c r="L700" s="5">
        <v>0</v>
      </c>
      <c r="M700" s="5">
        <v>0</v>
      </c>
      <c r="N700" s="4" t="e">
        <f t="shared" si="61"/>
        <v>#N/A</v>
      </c>
      <c r="O700" s="4" t="e">
        <f>IF(ROUND(10.499-(((N700-VLOOKUP($C700,Lookups!$A$55:$D$64,3))/(VLOOKUP($C700,Lookups!$A$55:$D$64,4))*VLOOKUP($C700,Lookups!$C$2:$D$11,2))),0)&lt;1,1,IF(ROUND(10.499-(((N700-VLOOKUP($C700,Lookups!$A$55:$D$64,3))/(VLOOKUP($C700,Lookups!$A$55:$D$64,4))*VLOOKUP($C700,Lookups!$C$2:$D$11,2))),0)&lt;11,ROUND(10.499-(((N700-VLOOKUP($C700,Lookups!$A$55:$D$64,3))/(VLOOKUP($C700,Lookups!$A$55:$D$64,4))*VLOOKUP($C700,Lookups!$C$2:$D$11,2))),0),10))</f>
        <v>#N/A</v>
      </c>
      <c r="P700" s="13" t="str">
        <f>IF((SUM(F700:M700)=0),"J",VLOOKUP(O700,Lookups!$A$1:$B$11,2))</f>
        <v>J</v>
      </c>
      <c r="Q700" s="8" t="e">
        <f>VLOOKUP(C700,Lookups!$A$136:$C$144,3)</f>
        <v>#N/A</v>
      </c>
      <c r="R700" s="8" t="e">
        <f>VLOOKUP(C700,Lookups!$A$136:$C$144,2)</f>
        <v>#N/A</v>
      </c>
      <c r="S700" s="4" t="str">
        <f t="shared" si="57"/>
        <v>No</v>
      </c>
      <c r="T700" s="125">
        <f t="shared" si="58"/>
        <v>0</v>
      </c>
      <c r="U700" s="125">
        <f t="shared" si="59"/>
        <v>0</v>
      </c>
      <c r="V700" s="4" t="e">
        <f>IF($Q700&lt;&gt;3,VLOOKUP(F700,'Points Table A'!B$3:$F$33,5),VLOOKUP(F700,'Points Table A'!H$3:$L$33,5))</f>
        <v>#N/A</v>
      </c>
      <c r="W700" s="4" t="e">
        <f>IF($Q700&lt;&gt;3,VLOOKUP(G700,'Points Table A'!C$3:$F$33,4),VLOOKUP(G700,'Points Table A'!I$3:$L$33,4))</f>
        <v>#N/A</v>
      </c>
      <c r="X700" s="4" t="e">
        <f>IF($Q700&lt;&gt;3,VLOOKUP(H700,'Points Table A'!D$3:$F$28,3),VLOOKUP(H700,'Points Table A'!J$3:$L$33,3))</f>
        <v>#N/A</v>
      </c>
      <c r="Y700" s="4" t="e">
        <f>IF($Q700&lt;&gt;3,VLOOKUP(I700,'Points Table A'!E$3:$F$33,2),VLOOKUP(I700,'Points Table A'!K$3:$L$33,2))</f>
        <v>#N/A</v>
      </c>
      <c r="Z700" s="4" t="e">
        <f t="shared" si="60"/>
        <v>#N/A</v>
      </c>
      <c r="AA700" s="4">
        <f>IF($S700=Lookups!$B$113,VLOOKUP(L700,'Points Table C'!A$3:$E$11,5),VLOOKUP(U700,'Points Table C'!B$3:$E$11,4))</f>
        <v>0</v>
      </c>
      <c r="AB700" s="4" t="e">
        <f>IF($Q700=1,0,VLOOKUP($J700,'Points Table C'!$C$3:$E$18,3))</f>
        <v>#N/A</v>
      </c>
      <c r="AC700" s="4">
        <f>VLOOKUP($K700,'Points Table C'!$D$3:$E$18,2)</f>
        <v>0</v>
      </c>
      <c r="AD700" s="4" t="e">
        <f>IF($Z700&lt;Lookups!$C$106,($AA700+AB700+AC700),IF($AA700&gt;=Lookups!$C$120,($AA700+AB700+AC700),$AA700+$AB700))</f>
        <v>#N/A</v>
      </c>
      <c r="AF700" s="7"/>
      <c r="AG700" s="7"/>
      <c r="AH700" s="7"/>
      <c r="AI700" s="7"/>
      <c r="AJ700" s="7"/>
      <c r="AK700" s="7"/>
      <c r="AL700" s="7"/>
      <c r="AM700" s="7"/>
      <c r="AN700" s="7"/>
      <c r="AO700" s="7"/>
      <c r="AP700" s="7"/>
      <c r="AQ700" s="7"/>
      <c r="AR700" s="7"/>
      <c r="AS700" s="7"/>
      <c r="AT700" s="7"/>
      <c r="AU700" s="7"/>
      <c r="AV700" s="7"/>
      <c r="AW700" s="7"/>
      <c r="AY700" s="7"/>
      <c r="AZ700" s="7"/>
      <c r="BA700" s="7"/>
      <c r="BB700" s="7"/>
    </row>
    <row r="701" spans="2:54" x14ac:dyDescent="0.2">
      <c r="B701" s="174"/>
      <c r="C701" s="176"/>
      <c r="F701" s="5">
        <v>0</v>
      </c>
      <c r="G701" s="192">
        <v>0</v>
      </c>
      <c r="H701" s="192">
        <v>0</v>
      </c>
      <c r="I701" s="5">
        <v>0</v>
      </c>
      <c r="J701" s="192">
        <v>0</v>
      </c>
      <c r="K701" s="192">
        <v>0</v>
      </c>
      <c r="L701" s="5">
        <v>0</v>
      </c>
      <c r="M701" s="5">
        <v>0</v>
      </c>
      <c r="N701" s="4" t="e">
        <f t="shared" si="61"/>
        <v>#N/A</v>
      </c>
      <c r="O701" s="4" t="e">
        <f>IF(ROUND(10.499-(((N701-VLOOKUP($C701,Lookups!$A$55:$D$64,3))/(VLOOKUP($C701,Lookups!$A$55:$D$64,4))*VLOOKUP($C701,Lookups!$C$2:$D$11,2))),0)&lt;1,1,IF(ROUND(10.499-(((N701-VLOOKUP($C701,Lookups!$A$55:$D$64,3))/(VLOOKUP($C701,Lookups!$A$55:$D$64,4))*VLOOKUP($C701,Lookups!$C$2:$D$11,2))),0)&lt;11,ROUND(10.499-(((N701-VLOOKUP($C701,Lookups!$A$55:$D$64,3))/(VLOOKUP($C701,Lookups!$A$55:$D$64,4))*VLOOKUP($C701,Lookups!$C$2:$D$11,2))),0),10))</f>
        <v>#N/A</v>
      </c>
      <c r="P701" s="13" t="str">
        <f>IF((SUM(F701:M701)=0),"J",VLOOKUP(O701,Lookups!$A$1:$B$11,2))</f>
        <v>J</v>
      </c>
      <c r="Q701" s="8" t="e">
        <f>VLOOKUP(C701,Lookups!$A$136:$C$144,3)</f>
        <v>#N/A</v>
      </c>
      <c r="R701" s="8" t="e">
        <f>VLOOKUP(C701,Lookups!$A$136:$C$144,2)</f>
        <v>#N/A</v>
      </c>
      <c r="S701" s="4" t="str">
        <f t="shared" si="57"/>
        <v>No</v>
      </c>
      <c r="T701" s="125">
        <f t="shared" si="58"/>
        <v>0</v>
      </c>
      <c r="U701" s="125">
        <f t="shared" si="59"/>
        <v>0</v>
      </c>
      <c r="V701" s="4" t="e">
        <f>IF($Q701&lt;&gt;3,VLOOKUP(F701,'Points Table A'!B$3:$F$33,5),VLOOKUP(F701,'Points Table A'!H$3:$L$33,5))</f>
        <v>#N/A</v>
      </c>
      <c r="W701" s="4" t="e">
        <f>IF($Q701&lt;&gt;3,VLOOKUP(G701,'Points Table A'!C$3:$F$33,4),VLOOKUP(G701,'Points Table A'!I$3:$L$33,4))</f>
        <v>#N/A</v>
      </c>
      <c r="X701" s="4" t="e">
        <f>IF($Q701&lt;&gt;3,VLOOKUP(H701,'Points Table A'!D$3:$F$28,3),VLOOKUP(H701,'Points Table A'!J$3:$L$33,3))</f>
        <v>#N/A</v>
      </c>
      <c r="Y701" s="4" t="e">
        <f>IF($Q701&lt;&gt;3,VLOOKUP(I701,'Points Table A'!E$3:$F$33,2),VLOOKUP(I701,'Points Table A'!K$3:$L$33,2))</f>
        <v>#N/A</v>
      </c>
      <c r="Z701" s="4" t="e">
        <f t="shared" si="60"/>
        <v>#N/A</v>
      </c>
      <c r="AA701" s="4">
        <f>IF($S701=Lookups!$B$113,VLOOKUP(L701,'Points Table C'!A$3:$E$11,5),VLOOKUP(U701,'Points Table C'!B$3:$E$11,4))</f>
        <v>0</v>
      </c>
      <c r="AB701" s="4" t="e">
        <f>IF($Q701=1,0,VLOOKUP($J701,'Points Table C'!$C$3:$E$18,3))</f>
        <v>#N/A</v>
      </c>
      <c r="AC701" s="4">
        <f>VLOOKUP($K701,'Points Table C'!$D$3:$E$18,2)</f>
        <v>0</v>
      </c>
      <c r="AD701" s="4" t="e">
        <f>IF($Z701&lt;Lookups!$C$106,($AA701+AB701+AC701),IF($AA701&gt;=Lookups!$C$120,($AA701+AB701+AC701),$AA701+$AB701))</f>
        <v>#N/A</v>
      </c>
      <c r="AF701" s="7"/>
      <c r="AG701" s="7"/>
      <c r="AH701" s="7"/>
      <c r="AI701" s="7"/>
      <c r="AJ701" s="7"/>
      <c r="AK701" s="7"/>
      <c r="AL701" s="7"/>
      <c r="AM701" s="7"/>
      <c r="AN701" s="7"/>
      <c r="AO701" s="7"/>
      <c r="AP701" s="7"/>
      <c r="AQ701" s="7"/>
      <c r="AR701" s="7"/>
      <c r="AS701" s="7"/>
      <c r="AT701" s="7"/>
      <c r="AU701" s="7"/>
      <c r="AV701" s="7"/>
      <c r="AW701" s="7"/>
      <c r="AY701" s="7"/>
      <c r="AZ701" s="7"/>
      <c r="BA701" s="7"/>
      <c r="BB701" s="7"/>
    </row>
    <row r="702" spans="2:54" x14ac:dyDescent="0.2">
      <c r="B702" s="174"/>
      <c r="C702" s="176"/>
      <c r="F702" s="5">
        <v>0</v>
      </c>
      <c r="G702" s="192">
        <v>0</v>
      </c>
      <c r="H702" s="192">
        <v>0</v>
      </c>
      <c r="I702" s="5">
        <v>0</v>
      </c>
      <c r="J702" s="192">
        <v>0</v>
      </c>
      <c r="K702" s="192">
        <v>0</v>
      </c>
      <c r="L702" s="5">
        <v>0</v>
      </c>
      <c r="M702" s="5">
        <v>0</v>
      </c>
      <c r="N702" s="4" t="e">
        <f t="shared" si="61"/>
        <v>#N/A</v>
      </c>
      <c r="O702" s="4" t="e">
        <f>IF(ROUND(10.499-(((N702-VLOOKUP($C702,Lookups!$A$55:$D$64,3))/(VLOOKUP($C702,Lookups!$A$55:$D$64,4))*VLOOKUP($C702,Lookups!$C$2:$D$11,2))),0)&lt;1,1,IF(ROUND(10.499-(((N702-VLOOKUP($C702,Lookups!$A$55:$D$64,3))/(VLOOKUP($C702,Lookups!$A$55:$D$64,4))*VLOOKUP($C702,Lookups!$C$2:$D$11,2))),0)&lt;11,ROUND(10.499-(((N702-VLOOKUP($C702,Lookups!$A$55:$D$64,3))/(VLOOKUP($C702,Lookups!$A$55:$D$64,4))*VLOOKUP($C702,Lookups!$C$2:$D$11,2))),0),10))</f>
        <v>#N/A</v>
      </c>
      <c r="P702" s="13" t="str">
        <f>IF((SUM(F702:M702)=0),"J",VLOOKUP(O702,Lookups!$A$1:$B$11,2))</f>
        <v>J</v>
      </c>
      <c r="Q702" s="8" t="e">
        <f>VLOOKUP(C702,Lookups!$A$136:$C$144,3)</f>
        <v>#N/A</v>
      </c>
      <c r="R702" s="8" t="e">
        <f>VLOOKUP(C702,Lookups!$A$136:$C$144,2)</f>
        <v>#N/A</v>
      </c>
      <c r="S702" s="4" t="str">
        <f t="shared" si="57"/>
        <v>No</v>
      </c>
      <c r="T702" s="125">
        <f t="shared" si="58"/>
        <v>0</v>
      </c>
      <c r="U702" s="125">
        <f t="shared" si="59"/>
        <v>0</v>
      </c>
      <c r="V702" s="4" t="e">
        <f>IF($Q702&lt;&gt;3,VLOOKUP(F702,'Points Table A'!B$3:$F$33,5),VLOOKUP(F702,'Points Table A'!H$3:$L$33,5))</f>
        <v>#N/A</v>
      </c>
      <c r="W702" s="4" t="e">
        <f>IF($Q702&lt;&gt;3,VLOOKUP(G702,'Points Table A'!C$3:$F$33,4),VLOOKUP(G702,'Points Table A'!I$3:$L$33,4))</f>
        <v>#N/A</v>
      </c>
      <c r="X702" s="4" t="e">
        <f>IF($Q702&lt;&gt;3,VLOOKUP(H702,'Points Table A'!D$3:$F$28,3),VLOOKUP(H702,'Points Table A'!J$3:$L$33,3))</f>
        <v>#N/A</v>
      </c>
      <c r="Y702" s="4" t="e">
        <f>IF($Q702&lt;&gt;3,VLOOKUP(I702,'Points Table A'!E$3:$F$33,2),VLOOKUP(I702,'Points Table A'!K$3:$L$33,2))</f>
        <v>#N/A</v>
      </c>
      <c r="Z702" s="4" t="e">
        <f t="shared" si="60"/>
        <v>#N/A</v>
      </c>
      <c r="AA702" s="4">
        <f>IF($S702=Lookups!$B$113,VLOOKUP(L702,'Points Table C'!A$3:$E$11,5),VLOOKUP(U702,'Points Table C'!B$3:$E$11,4))</f>
        <v>0</v>
      </c>
      <c r="AB702" s="4" t="e">
        <f>IF($Q702=1,0,VLOOKUP($J702,'Points Table C'!$C$3:$E$18,3))</f>
        <v>#N/A</v>
      </c>
      <c r="AC702" s="4">
        <f>VLOOKUP($K702,'Points Table C'!$D$3:$E$18,2)</f>
        <v>0</v>
      </c>
      <c r="AD702" s="4" t="e">
        <f>IF($Z702&lt;Lookups!$C$106,($AA702+AB702+AC702),IF($AA702&gt;=Lookups!$C$120,($AA702+AB702+AC702),$AA702+$AB702))</f>
        <v>#N/A</v>
      </c>
      <c r="AF702" s="7"/>
      <c r="AG702" s="7"/>
      <c r="AH702" s="7"/>
      <c r="AI702" s="7"/>
      <c r="AJ702" s="7"/>
      <c r="AK702" s="7"/>
      <c r="AL702" s="7"/>
      <c r="AM702" s="7"/>
      <c r="AN702" s="7"/>
      <c r="AO702" s="7"/>
      <c r="AP702" s="7"/>
      <c r="AQ702" s="7"/>
      <c r="AR702" s="7"/>
      <c r="AS702" s="7"/>
      <c r="AT702" s="7"/>
      <c r="AU702" s="7"/>
      <c r="AV702" s="7"/>
      <c r="AW702" s="7"/>
      <c r="AY702" s="7"/>
      <c r="AZ702" s="7"/>
      <c r="BA702" s="7"/>
      <c r="BB702" s="7"/>
    </row>
    <row r="703" spans="2:54" x14ac:dyDescent="0.2">
      <c r="B703" s="174"/>
      <c r="C703" s="176"/>
      <c r="F703" s="5">
        <v>0</v>
      </c>
      <c r="G703" s="192">
        <v>0</v>
      </c>
      <c r="H703" s="192">
        <v>0</v>
      </c>
      <c r="I703" s="5">
        <v>0</v>
      </c>
      <c r="J703" s="192">
        <v>0</v>
      </c>
      <c r="K703" s="192">
        <v>0</v>
      </c>
      <c r="L703" s="5">
        <v>0</v>
      </c>
      <c r="M703" s="5">
        <v>0</v>
      </c>
      <c r="N703" s="4" t="e">
        <f t="shared" si="61"/>
        <v>#N/A</v>
      </c>
      <c r="O703" s="4" t="e">
        <f>IF(ROUND(10.499-(((N703-VLOOKUP($C703,Lookups!$A$55:$D$64,3))/(VLOOKUP($C703,Lookups!$A$55:$D$64,4))*VLOOKUP($C703,Lookups!$C$2:$D$11,2))),0)&lt;1,1,IF(ROUND(10.499-(((N703-VLOOKUP($C703,Lookups!$A$55:$D$64,3))/(VLOOKUP($C703,Lookups!$A$55:$D$64,4))*VLOOKUP($C703,Lookups!$C$2:$D$11,2))),0)&lt;11,ROUND(10.499-(((N703-VLOOKUP($C703,Lookups!$A$55:$D$64,3))/(VLOOKUP($C703,Lookups!$A$55:$D$64,4))*VLOOKUP($C703,Lookups!$C$2:$D$11,2))),0),10))</f>
        <v>#N/A</v>
      </c>
      <c r="P703" s="13" t="str">
        <f>IF((SUM(F703:M703)=0),"J",VLOOKUP(O703,Lookups!$A$1:$B$11,2))</f>
        <v>J</v>
      </c>
      <c r="Q703" s="8" t="e">
        <f>VLOOKUP(C703,Lookups!$A$136:$C$144,3)</f>
        <v>#N/A</v>
      </c>
      <c r="R703" s="8" t="e">
        <f>VLOOKUP(C703,Lookups!$A$136:$C$144,2)</f>
        <v>#N/A</v>
      </c>
      <c r="S703" s="4" t="str">
        <f t="shared" si="57"/>
        <v>No</v>
      </c>
      <c r="T703" s="125">
        <f t="shared" si="58"/>
        <v>0</v>
      </c>
      <c r="U703" s="125">
        <f t="shared" si="59"/>
        <v>0</v>
      </c>
      <c r="V703" s="4" t="e">
        <f>IF($Q703&lt;&gt;3,VLOOKUP(F703,'Points Table A'!B$3:$F$33,5),VLOOKUP(F703,'Points Table A'!H$3:$L$33,5))</f>
        <v>#N/A</v>
      </c>
      <c r="W703" s="4" t="e">
        <f>IF($Q703&lt;&gt;3,VLOOKUP(G703,'Points Table A'!C$3:$F$33,4),VLOOKUP(G703,'Points Table A'!I$3:$L$33,4))</f>
        <v>#N/A</v>
      </c>
      <c r="X703" s="4" t="e">
        <f>IF($Q703&lt;&gt;3,VLOOKUP(H703,'Points Table A'!D$3:$F$28,3),VLOOKUP(H703,'Points Table A'!J$3:$L$33,3))</f>
        <v>#N/A</v>
      </c>
      <c r="Y703" s="4" t="e">
        <f>IF($Q703&lt;&gt;3,VLOOKUP(I703,'Points Table A'!E$3:$F$33,2),VLOOKUP(I703,'Points Table A'!K$3:$L$33,2))</f>
        <v>#N/A</v>
      </c>
      <c r="Z703" s="4" t="e">
        <f t="shared" si="60"/>
        <v>#N/A</v>
      </c>
      <c r="AA703" s="4">
        <f>IF($S703=Lookups!$B$113,VLOOKUP(L703,'Points Table C'!A$3:$E$11,5),VLOOKUP(U703,'Points Table C'!B$3:$E$11,4))</f>
        <v>0</v>
      </c>
      <c r="AB703" s="4" t="e">
        <f>IF($Q703=1,0,VLOOKUP($J703,'Points Table C'!$C$3:$E$18,3))</f>
        <v>#N/A</v>
      </c>
      <c r="AC703" s="4">
        <f>VLOOKUP($K703,'Points Table C'!$D$3:$E$18,2)</f>
        <v>0</v>
      </c>
      <c r="AD703" s="4" t="e">
        <f>IF($Z703&lt;Lookups!$C$106,($AA703+AB703+AC703),IF($AA703&gt;=Lookups!$C$120,($AA703+AB703+AC703),$AA703+$AB703))</f>
        <v>#N/A</v>
      </c>
      <c r="AF703" s="7"/>
      <c r="AG703" s="7"/>
      <c r="AH703" s="7"/>
      <c r="AI703" s="7"/>
      <c r="AJ703" s="7"/>
      <c r="AK703" s="7"/>
      <c r="AL703" s="7"/>
      <c r="AM703" s="7"/>
      <c r="AN703" s="7"/>
      <c r="AO703" s="7"/>
      <c r="AP703" s="7"/>
      <c r="AQ703" s="7"/>
      <c r="AR703" s="7"/>
      <c r="AS703" s="7"/>
      <c r="AT703" s="7"/>
      <c r="AU703" s="7"/>
      <c r="AV703" s="7"/>
      <c r="AW703" s="7"/>
      <c r="AY703" s="7"/>
      <c r="AZ703" s="7"/>
      <c r="BA703" s="7"/>
      <c r="BB703" s="7"/>
    </row>
    <row r="704" spans="2:54" x14ac:dyDescent="0.2">
      <c r="B704" s="174"/>
      <c r="C704" s="176"/>
      <c r="F704" s="5">
        <v>0</v>
      </c>
      <c r="G704" s="192">
        <v>0</v>
      </c>
      <c r="H704" s="192">
        <v>0</v>
      </c>
      <c r="I704" s="5">
        <v>0</v>
      </c>
      <c r="J704" s="192">
        <v>0</v>
      </c>
      <c r="K704" s="192">
        <v>0</v>
      </c>
      <c r="L704" s="5">
        <v>0</v>
      </c>
      <c r="M704" s="5">
        <v>0</v>
      </c>
      <c r="N704" s="4" t="e">
        <f t="shared" si="61"/>
        <v>#N/A</v>
      </c>
      <c r="O704" s="4" t="e">
        <f>IF(ROUND(10.499-(((N704-VLOOKUP($C704,Lookups!$A$55:$D$64,3))/(VLOOKUP($C704,Lookups!$A$55:$D$64,4))*VLOOKUP($C704,Lookups!$C$2:$D$11,2))),0)&lt;1,1,IF(ROUND(10.499-(((N704-VLOOKUP($C704,Lookups!$A$55:$D$64,3))/(VLOOKUP($C704,Lookups!$A$55:$D$64,4))*VLOOKUP($C704,Lookups!$C$2:$D$11,2))),0)&lt;11,ROUND(10.499-(((N704-VLOOKUP($C704,Lookups!$A$55:$D$64,3))/(VLOOKUP($C704,Lookups!$A$55:$D$64,4))*VLOOKUP($C704,Lookups!$C$2:$D$11,2))),0),10))</f>
        <v>#N/A</v>
      </c>
      <c r="P704" s="13" t="str">
        <f>IF((SUM(F704:M704)=0),"J",VLOOKUP(O704,Lookups!$A$1:$B$11,2))</f>
        <v>J</v>
      </c>
      <c r="Q704" s="8" t="e">
        <f>VLOOKUP(C704,Lookups!$A$136:$C$144,3)</f>
        <v>#N/A</v>
      </c>
      <c r="R704" s="8" t="e">
        <f>VLOOKUP(C704,Lookups!$A$136:$C$144,2)</f>
        <v>#N/A</v>
      </c>
      <c r="S704" s="4" t="str">
        <f t="shared" si="57"/>
        <v>No</v>
      </c>
      <c r="T704" s="125">
        <f t="shared" si="58"/>
        <v>0</v>
      </c>
      <c r="U704" s="125">
        <f t="shared" si="59"/>
        <v>0</v>
      </c>
      <c r="V704" s="4" t="e">
        <f>IF($Q704&lt;&gt;3,VLOOKUP(F704,'Points Table A'!B$3:$F$33,5),VLOOKUP(F704,'Points Table A'!H$3:$L$33,5))</f>
        <v>#N/A</v>
      </c>
      <c r="W704" s="4" t="e">
        <f>IF($Q704&lt;&gt;3,VLOOKUP(G704,'Points Table A'!C$3:$F$33,4),VLOOKUP(G704,'Points Table A'!I$3:$L$33,4))</f>
        <v>#N/A</v>
      </c>
      <c r="X704" s="4" t="e">
        <f>IF($Q704&lt;&gt;3,VLOOKUP(H704,'Points Table A'!D$3:$F$28,3),VLOOKUP(H704,'Points Table A'!J$3:$L$33,3))</f>
        <v>#N/A</v>
      </c>
      <c r="Y704" s="4" t="e">
        <f>IF($Q704&lt;&gt;3,VLOOKUP(I704,'Points Table A'!E$3:$F$33,2),VLOOKUP(I704,'Points Table A'!K$3:$L$33,2))</f>
        <v>#N/A</v>
      </c>
      <c r="Z704" s="4" t="e">
        <f t="shared" si="60"/>
        <v>#N/A</v>
      </c>
      <c r="AA704" s="4">
        <f>IF($S704=Lookups!$B$113,VLOOKUP(L704,'Points Table C'!A$3:$E$11,5),VLOOKUP(U704,'Points Table C'!B$3:$E$11,4))</f>
        <v>0</v>
      </c>
      <c r="AB704" s="4" t="e">
        <f>IF($Q704=1,0,VLOOKUP($J704,'Points Table C'!$C$3:$E$18,3))</f>
        <v>#N/A</v>
      </c>
      <c r="AC704" s="4">
        <f>VLOOKUP($K704,'Points Table C'!$D$3:$E$18,2)</f>
        <v>0</v>
      </c>
      <c r="AD704" s="4" t="e">
        <f>IF($Z704&lt;Lookups!$C$106,($AA704+AB704+AC704),IF($AA704&gt;=Lookups!$C$120,($AA704+AB704+AC704),$AA704+$AB704))</f>
        <v>#N/A</v>
      </c>
      <c r="AF704" s="7"/>
      <c r="AG704" s="7"/>
      <c r="AH704" s="7"/>
      <c r="AI704" s="7"/>
      <c r="AJ704" s="7"/>
      <c r="AK704" s="7"/>
      <c r="AL704" s="7"/>
      <c r="AM704" s="7"/>
      <c r="AN704" s="7"/>
      <c r="AO704" s="7"/>
      <c r="AP704" s="7"/>
      <c r="AQ704" s="7"/>
      <c r="AR704" s="7"/>
      <c r="AS704" s="7"/>
      <c r="AT704" s="7"/>
      <c r="AU704" s="7"/>
      <c r="AV704" s="7"/>
      <c r="AW704" s="7"/>
      <c r="AY704" s="7"/>
      <c r="AZ704" s="7"/>
      <c r="BA704" s="7"/>
      <c r="BB704" s="7"/>
    </row>
    <row r="705" spans="2:54" x14ac:dyDescent="0.2">
      <c r="B705" s="174"/>
      <c r="C705" s="176"/>
      <c r="F705" s="5">
        <v>0</v>
      </c>
      <c r="G705" s="192">
        <v>0</v>
      </c>
      <c r="H705" s="192">
        <v>0</v>
      </c>
      <c r="I705" s="5">
        <v>0</v>
      </c>
      <c r="J705" s="192">
        <v>0</v>
      </c>
      <c r="K705" s="192">
        <v>0</v>
      </c>
      <c r="L705" s="5">
        <v>0</v>
      </c>
      <c r="M705" s="5">
        <v>0</v>
      </c>
      <c r="N705" s="4" t="e">
        <f t="shared" si="61"/>
        <v>#N/A</v>
      </c>
      <c r="O705" s="4" t="e">
        <f>IF(ROUND(10.499-(((N705-VLOOKUP($C705,Lookups!$A$55:$D$64,3))/(VLOOKUP($C705,Lookups!$A$55:$D$64,4))*VLOOKUP($C705,Lookups!$C$2:$D$11,2))),0)&lt;1,1,IF(ROUND(10.499-(((N705-VLOOKUP($C705,Lookups!$A$55:$D$64,3))/(VLOOKUP($C705,Lookups!$A$55:$D$64,4))*VLOOKUP($C705,Lookups!$C$2:$D$11,2))),0)&lt;11,ROUND(10.499-(((N705-VLOOKUP($C705,Lookups!$A$55:$D$64,3))/(VLOOKUP($C705,Lookups!$A$55:$D$64,4))*VLOOKUP($C705,Lookups!$C$2:$D$11,2))),0),10))</f>
        <v>#N/A</v>
      </c>
      <c r="P705" s="13" t="str">
        <f>IF((SUM(F705:M705)=0),"J",VLOOKUP(O705,Lookups!$A$1:$B$11,2))</f>
        <v>J</v>
      </c>
      <c r="Q705" s="8" t="e">
        <f>VLOOKUP(C705,Lookups!$A$136:$C$144,3)</f>
        <v>#N/A</v>
      </c>
      <c r="R705" s="8" t="e">
        <f>VLOOKUP(C705,Lookups!$A$136:$C$144,2)</f>
        <v>#N/A</v>
      </c>
      <c r="S705" s="4" t="str">
        <f t="shared" si="57"/>
        <v>No</v>
      </c>
      <c r="T705" s="125">
        <f t="shared" si="58"/>
        <v>0</v>
      </c>
      <c r="U705" s="125">
        <f t="shared" si="59"/>
        <v>0</v>
      </c>
      <c r="V705" s="4" t="e">
        <f>IF($Q705&lt;&gt;3,VLOOKUP(F705,'Points Table A'!B$3:$F$33,5),VLOOKUP(F705,'Points Table A'!H$3:$L$33,5))</f>
        <v>#N/A</v>
      </c>
      <c r="W705" s="4" t="e">
        <f>IF($Q705&lt;&gt;3,VLOOKUP(G705,'Points Table A'!C$3:$F$33,4),VLOOKUP(G705,'Points Table A'!I$3:$L$33,4))</f>
        <v>#N/A</v>
      </c>
      <c r="X705" s="4" t="e">
        <f>IF($Q705&lt;&gt;3,VLOOKUP(H705,'Points Table A'!D$3:$F$28,3),VLOOKUP(H705,'Points Table A'!J$3:$L$33,3))</f>
        <v>#N/A</v>
      </c>
      <c r="Y705" s="4" t="e">
        <f>IF($Q705&lt;&gt;3,VLOOKUP(I705,'Points Table A'!E$3:$F$33,2),VLOOKUP(I705,'Points Table A'!K$3:$L$33,2))</f>
        <v>#N/A</v>
      </c>
      <c r="Z705" s="4" t="e">
        <f t="shared" si="60"/>
        <v>#N/A</v>
      </c>
      <c r="AA705" s="4">
        <f>IF($S705=Lookups!$B$113,VLOOKUP(L705,'Points Table C'!A$3:$E$11,5),VLOOKUP(U705,'Points Table C'!B$3:$E$11,4))</f>
        <v>0</v>
      </c>
      <c r="AB705" s="4" t="e">
        <f>IF($Q705=1,0,VLOOKUP($J705,'Points Table C'!$C$3:$E$18,3))</f>
        <v>#N/A</v>
      </c>
      <c r="AC705" s="4">
        <f>VLOOKUP($K705,'Points Table C'!$D$3:$E$18,2)</f>
        <v>0</v>
      </c>
      <c r="AD705" s="4" t="e">
        <f>IF($Z705&lt;Lookups!$C$106,($AA705+AB705+AC705),IF($AA705&gt;=Lookups!$C$120,($AA705+AB705+AC705),$AA705+$AB705))</f>
        <v>#N/A</v>
      </c>
      <c r="AF705" s="7"/>
      <c r="AG705" s="7"/>
      <c r="AH705" s="7"/>
      <c r="AI705" s="7"/>
      <c r="AJ705" s="7"/>
      <c r="AK705" s="7"/>
      <c r="AL705" s="7"/>
      <c r="AM705" s="7"/>
      <c r="AN705" s="7"/>
      <c r="AO705" s="7"/>
      <c r="AP705" s="7"/>
      <c r="AQ705" s="7"/>
      <c r="AR705" s="7"/>
      <c r="AS705" s="7"/>
      <c r="AT705" s="7"/>
      <c r="AU705" s="7"/>
      <c r="AV705" s="7"/>
      <c r="AW705" s="7"/>
      <c r="AY705" s="7"/>
      <c r="AZ705" s="7"/>
      <c r="BA705" s="7"/>
      <c r="BB705" s="7"/>
    </row>
    <row r="706" spans="2:54" x14ac:dyDescent="0.2">
      <c r="B706" s="174"/>
      <c r="C706" s="176"/>
      <c r="F706" s="5">
        <v>0</v>
      </c>
      <c r="G706" s="192">
        <v>0</v>
      </c>
      <c r="H706" s="192">
        <v>0</v>
      </c>
      <c r="I706" s="5">
        <v>0</v>
      </c>
      <c r="J706" s="192">
        <v>0</v>
      </c>
      <c r="K706" s="192">
        <v>0</v>
      </c>
      <c r="L706" s="5">
        <v>0</v>
      </c>
      <c r="M706" s="5">
        <v>0</v>
      </c>
      <c r="N706" s="4" t="e">
        <f t="shared" si="61"/>
        <v>#N/A</v>
      </c>
      <c r="O706" s="4" t="e">
        <f>IF(ROUND(10.499-(((N706-VLOOKUP($C706,Lookups!$A$55:$D$64,3))/(VLOOKUP($C706,Lookups!$A$55:$D$64,4))*VLOOKUP($C706,Lookups!$C$2:$D$11,2))),0)&lt;1,1,IF(ROUND(10.499-(((N706-VLOOKUP($C706,Lookups!$A$55:$D$64,3))/(VLOOKUP($C706,Lookups!$A$55:$D$64,4))*VLOOKUP($C706,Lookups!$C$2:$D$11,2))),0)&lt;11,ROUND(10.499-(((N706-VLOOKUP($C706,Lookups!$A$55:$D$64,3))/(VLOOKUP($C706,Lookups!$A$55:$D$64,4))*VLOOKUP($C706,Lookups!$C$2:$D$11,2))),0),10))</f>
        <v>#N/A</v>
      </c>
      <c r="P706" s="13" t="str">
        <f>IF((SUM(F706:M706)=0),"J",VLOOKUP(O706,Lookups!$A$1:$B$11,2))</f>
        <v>J</v>
      </c>
      <c r="Q706" s="8" t="e">
        <f>VLOOKUP(C706,Lookups!$A$136:$C$144,3)</f>
        <v>#N/A</v>
      </c>
      <c r="R706" s="8" t="e">
        <f>VLOOKUP(C706,Lookups!$A$136:$C$144,2)</f>
        <v>#N/A</v>
      </c>
      <c r="S706" s="4" t="str">
        <f t="shared" si="57"/>
        <v>No</v>
      </c>
      <c r="T706" s="125">
        <f t="shared" si="58"/>
        <v>0</v>
      </c>
      <c r="U706" s="125">
        <f t="shared" si="59"/>
        <v>0</v>
      </c>
      <c r="V706" s="4" t="e">
        <f>IF($Q706&lt;&gt;3,VLOOKUP(F706,'Points Table A'!B$3:$F$33,5),VLOOKUP(F706,'Points Table A'!H$3:$L$33,5))</f>
        <v>#N/A</v>
      </c>
      <c r="W706" s="4" t="e">
        <f>IF($Q706&lt;&gt;3,VLOOKUP(G706,'Points Table A'!C$3:$F$33,4),VLOOKUP(G706,'Points Table A'!I$3:$L$33,4))</f>
        <v>#N/A</v>
      </c>
      <c r="X706" s="4" t="e">
        <f>IF($Q706&lt;&gt;3,VLOOKUP(H706,'Points Table A'!D$3:$F$28,3),VLOOKUP(H706,'Points Table A'!J$3:$L$33,3))</f>
        <v>#N/A</v>
      </c>
      <c r="Y706" s="4" t="e">
        <f>IF($Q706&lt;&gt;3,VLOOKUP(I706,'Points Table A'!E$3:$F$33,2),VLOOKUP(I706,'Points Table A'!K$3:$L$33,2))</f>
        <v>#N/A</v>
      </c>
      <c r="Z706" s="4" t="e">
        <f t="shared" si="60"/>
        <v>#N/A</v>
      </c>
      <c r="AA706" s="4">
        <f>IF($S706=Lookups!$B$113,VLOOKUP(L706,'Points Table C'!A$3:$E$11,5),VLOOKUP(U706,'Points Table C'!B$3:$E$11,4))</f>
        <v>0</v>
      </c>
      <c r="AB706" s="4" t="e">
        <f>IF($Q706=1,0,VLOOKUP($J706,'Points Table C'!$C$3:$E$18,3))</f>
        <v>#N/A</v>
      </c>
      <c r="AC706" s="4">
        <f>VLOOKUP($K706,'Points Table C'!$D$3:$E$18,2)</f>
        <v>0</v>
      </c>
      <c r="AD706" s="4" t="e">
        <f>IF($Z706&lt;Lookups!$C$106,($AA706+AB706+AC706),IF($AA706&gt;=Lookups!$C$120,($AA706+AB706+AC706),$AA706+$AB706))</f>
        <v>#N/A</v>
      </c>
      <c r="AF706" s="7"/>
      <c r="AG706" s="7"/>
      <c r="AH706" s="7"/>
      <c r="AI706" s="7"/>
      <c r="AJ706" s="7"/>
      <c r="AK706" s="7"/>
      <c r="AL706" s="7"/>
      <c r="AM706" s="7"/>
      <c r="AN706" s="7"/>
      <c r="AO706" s="7"/>
      <c r="AP706" s="7"/>
      <c r="AQ706" s="7"/>
      <c r="AR706" s="7"/>
      <c r="AS706" s="7"/>
      <c r="AT706" s="7"/>
      <c r="AU706" s="7"/>
      <c r="AV706" s="7"/>
      <c r="AW706" s="7"/>
      <c r="AY706" s="7"/>
      <c r="AZ706" s="7"/>
      <c r="BA706" s="7"/>
      <c r="BB706" s="7"/>
    </row>
    <row r="707" spans="2:54" x14ac:dyDescent="0.2">
      <c r="B707" s="174"/>
      <c r="C707" s="176"/>
      <c r="F707" s="5">
        <v>0</v>
      </c>
      <c r="G707" s="192">
        <v>0</v>
      </c>
      <c r="H707" s="192">
        <v>0</v>
      </c>
      <c r="I707" s="5">
        <v>0</v>
      </c>
      <c r="J707" s="192">
        <v>0</v>
      </c>
      <c r="K707" s="192">
        <v>0</v>
      </c>
      <c r="L707" s="5">
        <v>0</v>
      </c>
      <c r="M707" s="5">
        <v>0</v>
      </c>
      <c r="N707" s="4" t="e">
        <f t="shared" si="61"/>
        <v>#N/A</v>
      </c>
      <c r="O707" s="4" t="e">
        <f>IF(ROUND(10.499-(((N707-VLOOKUP($C707,Lookups!$A$55:$D$64,3))/(VLOOKUP($C707,Lookups!$A$55:$D$64,4))*VLOOKUP($C707,Lookups!$C$2:$D$11,2))),0)&lt;1,1,IF(ROUND(10.499-(((N707-VLOOKUP($C707,Lookups!$A$55:$D$64,3))/(VLOOKUP($C707,Lookups!$A$55:$D$64,4))*VLOOKUP($C707,Lookups!$C$2:$D$11,2))),0)&lt;11,ROUND(10.499-(((N707-VLOOKUP($C707,Lookups!$A$55:$D$64,3))/(VLOOKUP($C707,Lookups!$A$55:$D$64,4))*VLOOKUP($C707,Lookups!$C$2:$D$11,2))),0),10))</f>
        <v>#N/A</v>
      </c>
      <c r="P707" s="13" t="str">
        <f>IF((SUM(F707:M707)=0),"J",VLOOKUP(O707,Lookups!$A$1:$B$11,2))</f>
        <v>J</v>
      </c>
      <c r="Q707" s="8" t="e">
        <f>VLOOKUP(C707,Lookups!$A$136:$C$144,3)</f>
        <v>#N/A</v>
      </c>
      <c r="R707" s="8" t="e">
        <f>VLOOKUP(C707,Lookups!$A$136:$C$144,2)</f>
        <v>#N/A</v>
      </c>
      <c r="S707" s="4" t="str">
        <f t="shared" si="57"/>
        <v>No</v>
      </c>
      <c r="T707" s="125">
        <f t="shared" si="58"/>
        <v>0</v>
      </c>
      <c r="U707" s="125">
        <f t="shared" si="59"/>
        <v>0</v>
      </c>
      <c r="V707" s="4" t="e">
        <f>IF($Q707&lt;&gt;3,VLOOKUP(F707,'Points Table A'!B$3:$F$33,5),VLOOKUP(F707,'Points Table A'!H$3:$L$33,5))</f>
        <v>#N/A</v>
      </c>
      <c r="W707" s="4" t="e">
        <f>IF($Q707&lt;&gt;3,VLOOKUP(G707,'Points Table A'!C$3:$F$33,4),VLOOKUP(G707,'Points Table A'!I$3:$L$33,4))</f>
        <v>#N/A</v>
      </c>
      <c r="X707" s="4" t="e">
        <f>IF($Q707&lt;&gt;3,VLOOKUP(H707,'Points Table A'!D$3:$F$28,3),VLOOKUP(H707,'Points Table A'!J$3:$L$33,3))</f>
        <v>#N/A</v>
      </c>
      <c r="Y707" s="4" t="e">
        <f>IF($Q707&lt;&gt;3,VLOOKUP(I707,'Points Table A'!E$3:$F$33,2),VLOOKUP(I707,'Points Table A'!K$3:$L$33,2))</f>
        <v>#N/A</v>
      </c>
      <c r="Z707" s="4" t="e">
        <f t="shared" si="60"/>
        <v>#N/A</v>
      </c>
      <c r="AA707" s="4">
        <f>IF($S707=Lookups!$B$113,VLOOKUP(L707,'Points Table C'!A$3:$E$11,5),VLOOKUP(U707,'Points Table C'!B$3:$E$11,4))</f>
        <v>0</v>
      </c>
      <c r="AB707" s="4" t="e">
        <f>IF($Q707=1,0,VLOOKUP($J707,'Points Table C'!$C$3:$E$18,3))</f>
        <v>#N/A</v>
      </c>
      <c r="AC707" s="4">
        <f>VLOOKUP($K707,'Points Table C'!$D$3:$E$18,2)</f>
        <v>0</v>
      </c>
      <c r="AD707" s="4" t="e">
        <f>IF($Z707&lt;Lookups!$C$106,($AA707+AB707+AC707),IF($AA707&gt;=Lookups!$C$120,($AA707+AB707+AC707),$AA707+$AB707))</f>
        <v>#N/A</v>
      </c>
      <c r="AF707" s="7"/>
      <c r="AG707" s="7"/>
      <c r="AH707" s="7"/>
      <c r="AI707" s="7"/>
      <c r="AJ707" s="7"/>
      <c r="AK707" s="7"/>
      <c r="AL707" s="7"/>
      <c r="AM707" s="7"/>
      <c r="AN707" s="7"/>
      <c r="AO707" s="7"/>
      <c r="AP707" s="7"/>
      <c r="AQ707" s="7"/>
      <c r="AR707" s="7"/>
      <c r="AS707" s="7"/>
      <c r="AT707" s="7"/>
      <c r="AU707" s="7"/>
      <c r="AV707" s="7"/>
      <c r="AW707" s="7"/>
      <c r="AY707" s="7"/>
      <c r="AZ707" s="7"/>
      <c r="BA707" s="7"/>
      <c r="BB707" s="7"/>
    </row>
    <row r="708" spans="2:54" x14ac:dyDescent="0.2">
      <c r="B708" s="174"/>
      <c r="C708" s="176"/>
      <c r="F708" s="5">
        <v>0</v>
      </c>
      <c r="G708" s="192">
        <v>0</v>
      </c>
      <c r="H708" s="192">
        <v>0</v>
      </c>
      <c r="I708" s="5">
        <v>0</v>
      </c>
      <c r="J708" s="192">
        <v>0</v>
      </c>
      <c r="K708" s="192">
        <v>0</v>
      </c>
      <c r="L708" s="5">
        <v>0</v>
      </c>
      <c r="M708" s="5">
        <v>0</v>
      </c>
      <c r="N708" s="4" t="e">
        <f t="shared" si="61"/>
        <v>#N/A</v>
      </c>
      <c r="O708" s="4" t="e">
        <f>IF(ROUND(10.499-(((N708-VLOOKUP($C708,Lookups!$A$55:$D$64,3))/(VLOOKUP($C708,Lookups!$A$55:$D$64,4))*VLOOKUP($C708,Lookups!$C$2:$D$11,2))),0)&lt;1,1,IF(ROUND(10.499-(((N708-VLOOKUP($C708,Lookups!$A$55:$D$64,3))/(VLOOKUP($C708,Lookups!$A$55:$D$64,4))*VLOOKUP($C708,Lookups!$C$2:$D$11,2))),0)&lt;11,ROUND(10.499-(((N708-VLOOKUP($C708,Lookups!$A$55:$D$64,3))/(VLOOKUP($C708,Lookups!$A$55:$D$64,4))*VLOOKUP($C708,Lookups!$C$2:$D$11,2))),0),10))</f>
        <v>#N/A</v>
      </c>
      <c r="P708" s="13" t="str">
        <f>IF((SUM(F708:M708)=0),"J",VLOOKUP(O708,Lookups!$A$1:$B$11,2))</f>
        <v>J</v>
      </c>
      <c r="Q708" s="8" t="e">
        <f>VLOOKUP(C708,Lookups!$A$136:$C$144,3)</f>
        <v>#N/A</v>
      </c>
      <c r="R708" s="8" t="e">
        <f>VLOOKUP(C708,Lookups!$A$136:$C$144,2)</f>
        <v>#N/A</v>
      </c>
      <c r="S708" s="4" t="str">
        <f t="shared" si="57"/>
        <v>No</v>
      </c>
      <c r="T708" s="125">
        <f t="shared" si="58"/>
        <v>0</v>
      </c>
      <c r="U708" s="125">
        <f t="shared" si="59"/>
        <v>0</v>
      </c>
      <c r="V708" s="4" t="e">
        <f>IF($Q708&lt;&gt;3,VLOOKUP(F708,'Points Table A'!B$3:$F$33,5),VLOOKUP(F708,'Points Table A'!H$3:$L$33,5))</f>
        <v>#N/A</v>
      </c>
      <c r="W708" s="4" t="e">
        <f>IF($Q708&lt;&gt;3,VLOOKUP(G708,'Points Table A'!C$3:$F$33,4),VLOOKUP(G708,'Points Table A'!I$3:$L$33,4))</f>
        <v>#N/A</v>
      </c>
      <c r="X708" s="4" t="e">
        <f>IF($Q708&lt;&gt;3,VLOOKUP(H708,'Points Table A'!D$3:$F$28,3),VLOOKUP(H708,'Points Table A'!J$3:$L$33,3))</f>
        <v>#N/A</v>
      </c>
      <c r="Y708" s="4" t="e">
        <f>IF($Q708&lt;&gt;3,VLOOKUP(I708,'Points Table A'!E$3:$F$33,2),VLOOKUP(I708,'Points Table A'!K$3:$L$33,2))</f>
        <v>#N/A</v>
      </c>
      <c r="Z708" s="4" t="e">
        <f t="shared" si="60"/>
        <v>#N/A</v>
      </c>
      <c r="AA708" s="4">
        <f>IF($S708=Lookups!$B$113,VLOOKUP(L708,'Points Table C'!A$3:$E$11,5),VLOOKUP(U708,'Points Table C'!B$3:$E$11,4))</f>
        <v>0</v>
      </c>
      <c r="AB708" s="4" t="e">
        <f>IF($Q708=1,0,VLOOKUP($J708,'Points Table C'!$C$3:$E$18,3))</f>
        <v>#N/A</v>
      </c>
      <c r="AC708" s="4">
        <f>VLOOKUP($K708,'Points Table C'!$D$3:$E$18,2)</f>
        <v>0</v>
      </c>
      <c r="AD708" s="4" t="e">
        <f>IF($Z708&lt;Lookups!$C$106,($AA708+AB708+AC708),IF($AA708&gt;=Lookups!$C$120,($AA708+AB708+AC708),$AA708+$AB708))</f>
        <v>#N/A</v>
      </c>
      <c r="AF708" s="7"/>
      <c r="AG708" s="7"/>
      <c r="AH708" s="7"/>
      <c r="AI708" s="7"/>
      <c r="AJ708" s="7"/>
      <c r="AK708" s="7"/>
      <c r="AL708" s="7"/>
      <c r="AM708" s="7"/>
      <c r="AN708" s="7"/>
      <c r="AO708" s="7"/>
      <c r="AP708" s="7"/>
      <c r="AQ708" s="7"/>
      <c r="AR708" s="7"/>
      <c r="AS708" s="7"/>
      <c r="AT708" s="7"/>
      <c r="AU708" s="7"/>
      <c r="AV708" s="7"/>
      <c r="AW708" s="7"/>
      <c r="AY708" s="7"/>
      <c r="AZ708" s="7"/>
      <c r="BA708" s="7"/>
      <c r="BB708" s="7"/>
    </row>
    <row r="709" spans="2:54" x14ac:dyDescent="0.2">
      <c r="B709" s="174"/>
      <c r="C709" s="176"/>
      <c r="F709" s="5">
        <v>0</v>
      </c>
      <c r="G709" s="192">
        <v>0</v>
      </c>
      <c r="H709" s="192">
        <v>0</v>
      </c>
      <c r="I709" s="5">
        <v>0</v>
      </c>
      <c r="J709" s="192">
        <v>0</v>
      </c>
      <c r="K709" s="192">
        <v>0</v>
      </c>
      <c r="L709" s="5">
        <v>0</v>
      </c>
      <c r="M709" s="5">
        <v>0</v>
      </c>
      <c r="N709" s="4" t="e">
        <f t="shared" si="61"/>
        <v>#N/A</v>
      </c>
      <c r="O709" s="4" t="e">
        <f>IF(ROUND(10.499-(((N709-VLOOKUP($C709,Lookups!$A$55:$D$64,3))/(VLOOKUP($C709,Lookups!$A$55:$D$64,4))*VLOOKUP($C709,Lookups!$C$2:$D$11,2))),0)&lt;1,1,IF(ROUND(10.499-(((N709-VLOOKUP($C709,Lookups!$A$55:$D$64,3))/(VLOOKUP($C709,Lookups!$A$55:$D$64,4))*VLOOKUP($C709,Lookups!$C$2:$D$11,2))),0)&lt;11,ROUND(10.499-(((N709-VLOOKUP($C709,Lookups!$A$55:$D$64,3))/(VLOOKUP($C709,Lookups!$A$55:$D$64,4))*VLOOKUP($C709,Lookups!$C$2:$D$11,2))),0),10))</f>
        <v>#N/A</v>
      </c>
      <c r="P709" s="13" t="str">
        <f>IF((SUM(F709:M709)=0),"J",VLOOKUP(O709,Lookups!$A$1:$B$11,2))</f>
        <v>J</v>
      </c>
      <c r="Q709" s="8" t="e">
        <f>VLOOKUP(C709,Lookups!$A$136:$C$144,3)</f>
        <v>#N/A</v>
      </c>
      <c r="R709" s="8" t="e">
        <f>VLOOKUP(C709,Lookups!$A$136:$C$144,2)</f>
        <v>#N/A</v>
      </c>
      <c r="S709" s="4" t="str">
        <f t="shared" si="57"/>
        <v>No</v>
      </c>
      <c r="T709" s="125">
        <f t="shared" si="58"/>
        <v>0</v>
      </c>
      <c r="U709" s="125">
        <f t="shared" si="59"/>
        <v>0</v>
      </c>
      <c r="V709" s="4" t="e">
        <f>IF($Q709&lt;&gt;3,VLOOKUP(F709,'Points Table A'!B$3:$F$33,5),VLOOKUP(F709,'Points Table A'!H$3:$L$33,5))</f>
        <v>#N/A</v>
      </c>
      <c r="W709" s="4" t="e">
        <f>IF($Q709&lt;&gt;3,VLOOKUP(G709,'Points Table A'!C$3:$F$33,4),VLOOKUP(G709,'Points Table A'!I$3:$L$33,4))</f>
        <v>#N/A</v>
      </c>
      <c r="X709" s="4" t="e">
        <f>IF($Q709&lt;&gt;3,VLOOKUP(H709,'Points Table A'!D$3:$F$28,3),VLOOKUP(H709,'Points Table A'!J$3:$L$33,3))</f>
        <v>#N/A</v>
      </c>
      <c r="Y709" s="4" t="e">
        <f>IF($Q709&lt;&gt;3,VLOOKUP(I709,'Points Table A'!E$3:$F$33,2),VLOOKUP(I709,'Points Table A'!K$3:$L$33,2))</f>
        <v>#N/A</v>
      </c>
      <c r="Z709" s="4" t="e">
        <f t="shared" si="60"/>
        <v>#N/A</v>
      </c>
      <c r="AA709" s="4">
        <f>IF($S709=Lookups!$B$113,VLOOKUP(L709,'Points Table C'!A$3:$E$11,5),VLOOKUP(U709,'Points Table C'!B$3:$E$11,4))</f>
        <v>0</v>
      </c>
      <c r="AB709" s="4" t="e">
        <f>IF($Q709=1,0,VLOOKUP($J709,'Points Table C'!$C$3:$E$18,3))</f>
        <v>#N/A</v>
      </c>
      <c r="AC709" s="4">
        <f>VLOOKUP($K709,'Points Table C'!$D$3:$E$18,2)</f>
        <v>0</v>
      </c>
      <c r="AD709" s="4" t="e">
        <f>IF($Z709&lt;Lookups!$C$106,($AA709+AB709+AC709),IF($AA709&gt;=Lookups!$C$120,($AA709+AB709+AC709),$AA709+$AB709))</f>
        <v>#N/A</v>
      </c>
      <c r="AF709" s="7"/>
      <c r="AG709" s="7"/>
      <c r="AH709" s="7"/>
      <c r="AI709" s="7"/>
      <c r="AJ709" s="7"/>
      <c r="AK709" s="7"/>
      <c r="AL709" s="7"/>
      <c r="AM709" s="7"/>
      <c r="AN709" s="7"/>
      <c r="AO709" s="7"/>
      <c r="AP709" s="7"/>
      <c r="AQ709" s="7"/>
      <c r="AR709" s="7"/>
      <c r="AS709" s="7"/>
      <c r="AT709" s="7"/>
      <c r="AU709" s="7"/>
      <c r="AV709" s="7"/>
      <c r="AW709" s="7"/>
      <c r="AY709" s="7"/>
      <c r="AZ709" s="7"/>
      <c r="BA709" s="7"/>
      <c r="BB709" s="7"/>
    </row>
    <row r="710" spans="2:54" x14ac:dyDescent="0.2">
      <c r="B710" s="174"/>
      <c r="C710" s="176"/>
      <c r="F710" s="5">
        <v>0</v>
      </c>
      <c r="G710" s="192">
        <v>0</v>
      </c>
      <c r="H710" s="192">
        <v>0</v>
      </c>
      <c r="I710" s="5">
        <v>0</v>
      </c>
      <c r="J710" s="192">
        <v>0</v>
      </c>
      <c r="K710" s="192">
        <v>0</v>
      </c>
      <c r="L710" s="5">
        <v>0</v>
      </c>
      <c r="M710" s="5">
        <v>0</v>
      </c>
      <c r="N710" s="4" t="e">
        <f t="shared" si="61"/>
        <v>#N/A</v>
      </c>
      <c r="O710" s="4" t="e">
        <f>IF(ROUND(10.499-(((N710-VLOOKUP($C710,Lookups!$A$55:$D$64,3))/(VLOOKUP($C710,Lookups!$A$55:$D$64,4))*VLOOKUP($C710,Lookups!$C$2:$D$11,2))),0)&lt;1,1,IF(ROUND(10.499-(((N710-VLOOKUP($C710,Lookups!$A$55:$D$64,3))/(VLOOKUP($C710,Lookups!$A$55:$D$64,4))*VLOOKUP($C710,Lookups!$C$2:$D$11,2))),0)&lt;11,ROUND(10.499-(((N710-VLOOKUP($C710,Lookups!$A$55:$D$64,3))/(VLOOKUP($C710,Lookups!$A$55:$D$64,4))*VLOOKUP($C710,Lookups!$C$2:$D$11,2))),0),10))</f>
        <v>#N/A</v>
      </c>
      <c r="P710" s="13" t="str">
        <f>IF((SUM(F710:M710)=0),"J",VLOOKUP(O710,Lookups!$A$1:$B$11,2))</f>
        <v>J</v>
      </c>
      <c r="Q710" s="8" t="e">
        <f>VLOOKUP(C710,Lookups!$A$136:$C$144,3)</f>
        <v>#N/A</v>
      </c>
      <c r="R710" s="8" t="e">
        <f>VLOOKUP(C710,Lookups!$A$136:$C$144,2)</f>
        <v>#N/A</v>
      </c>
      <c r="S710" s="4" t="str">
        <f t="shared" si="57"/>
        <v>No</v>
      </c>
      <c r="T710" s="125">
        <f t="shared" si="58"/>
        <v>0</v>
      </c>
      <c r="U710" s="125">
        <f t="shared" si="59"/>
        <v>0</v>
      </c>
      <c r="V710" s="4" t="e">
        <f>IF($Q710&lt;&gt;3,VLOOKUP(F710,'Points Table A'!B$3:$F$33,5),VLOOKUP(F710,'Points Table A'!H$3:$L$33,5))</f>
        <v>#N/A</v>
      </c>
      <c r="W710" s="4" t="e">
        <f>IF($Q710&lt;&gt;3,VLOOKUP(G710,'Points Table A'!C$3:$F$33,4),VLOOKUP(G710,'Points Table A'!I$3:$L$33,4))</f>
        <v>#N/A</v>
      </c>
      <c r="X710" s="4" t="e">
        <f>IF($Q710&lt;&gt;3,VLOOKUP(H710,'Points Table A'!D$3:$F$28,3),VLOOKUP(H710,'Points Table A'!J$3:$L$33,3))</f>
        <v>#N/A</v>
      </c>
      <c r="Y710" s="4" t="e">
        <f>IF($Q710&lt;&gt;3,VLOOKUP(I710,'Points Table A'!E$3:$F$33,2),VLOOKUP(I710,'Points Table A'!K$3:$L$33,2))</f>
        <v>#N/A</v>
      </c>
      <c r="Z710" s="4" t="e">
        <f t="shared" si="60"/>
        <v>#N/A</v>
      </c>
      <c r="AA710" s="4">
        <f>IF($S710=Lookups!$B$113,VLOOKUP(L710,'Points Table C'!A$3:$E$11,5),VLOOKUP(U710,'Points Table C'!B$3:$E$11,4))</f>
        <v>0</v>
      </c>
      <c r="AB710" s="4" t="e">
        <f>IF($Q710=1,0,VLOOKUP($J710,'Points Table C'!$C$3:$E$18,3))</f>
        <v>#N/A</v>
      </c>
      <c r="AC710" s="4">
        <f>VLOOKUP($K710,'Points Table C'!$D$3:$E$18,2)</f>
        <v>0</v>
      </c>
      <c r="AD710" s="4" t="e">
        <f>IF($Z710&lt;Lookups!$C$106,($AA710+AB710+AC710),IF($AA710&gt;=Lookups!$C$120,($AA710+AB710+AC710),$AA710+$AB710))</f>
        <v>#N/A</v>
      </c>
      <c r="AF710" s="7"/>
      <c r="AG710" s="7"/>
      <c r="AH710" s="7"/>
      <c r="AI710" s="7"/>
      <c r="AJ710" s="7"/>
      <c r="AK710" s="7"/>
      <c r="AL710" s="7"/>
      <c r="AM710" s="7"/>
      <c r="AN710" s="7"/>
      <c r="AO710" s="7"/>
      <c r="AP710" s="7"/>
      <c r="AQ710" s="7"/>
      <c r="AR710" s="7"/>
      <c r="AS710" s="7"/>
      <c r="AT710" s="7"/>
      <c r="AU710" s="7"/>
      <c r="AV710" s="7"/>
      <c r="AW710" s="7"/>
      <c r="AY710" s="7"/>
      <c r="AZ710" s="7"/>
      <c r="BA710" s="7"/>
      <c r="BB710" s="7"/>
    </row>
    <row r="711" spans="2:54" x14ac:dyDescent="0.2">
      <c r="B711" s="174"/>
      <c r="C711" s="176"/>
      <c r="F711" s="5">
        <v>0</v>
      </c>
      <c r="G711" s="192">
        <v>0</v>
      </c>
      <c r="H711" s="192">
        <v>0</v>
      </c>
      <c r="I711" s="5">
        <v>0</v>
      </c>
      <c r="J711" s="192">
        <v>0</v>
      </c>
      <c r="K711" s="192">
        <v>0</v>
      </c>
      <c r="L711" s="5">
        <v>0</v>
      </c>
      <c r="M711" s="5">
        <v>0</v>
      </c>
      <c r="N711" s="4" t="e">
        <f t="shared" si="61"/>
        <v>#N/A</v>
      </c>
      <c r="O711" s="4" t="e">
        <f>IF(ROUND(10.499-(((N711-VLOOKUP($C711,Lookups!$A$55:$D$64,3))/(VLOOKUP($C711,Lookups!$A$55:$D$64,4))*VLOOKUP($C711,Lookups!$C$2:$D$11,2))),0)&lt;1,1,IF(ROUND(10.499-(((N711-VLOOKUP($C711,Lookups!$A$55:$D$64,3))/(VLOOKUP($C711,Lookups!$A$55:$D$64,4))*VLOOKUP($C711,Lookups!$C$2:$D$11,2))),0)&lt;11,ROUND(10.499-(((N711-VLOOKUP($C711,Lookups!$A$55:$D$64,3))/(VLOOKUP($C711,Lookups!$A$55:$D$64,4))*VLOOKUP($C711,Lookups!$C$2:$D$11,2))),0),10))</f>
        <v>#N/A</v>
      </c>
      <c r="P711" s="13" t="str">
        <f>IF((SUM(F711:M711)=0),"J",VLOOKUP(O711,Lookups!$A$1:$B$11,2))</f>
        <v>J</v>
      </c>
      <c r="Q711" s="8" t="e">
        <f>VLOOKUP(C711,Lookups!$A$136:$C$144,3)</f>
        <v>#N/A</v>
      </c>
      <c r="R711" s="8" t="e">
        <f>VLOOKUP(C711,Lookups!$A$136:$C$144,2)</f>
        <v>#N/A</v>
      </c>
      <c r="S711" s="4" t="str">
        <f t="shared" si="57"/>
        <v>No</v>
      </c>
      <c r="T711" s="125">
        <f t="shared" si="58"/>
        <v>0</v>
      </c>
      <c r="U711" s="125">
        <f t="shared" si="59"/>
        <v>0</v>
      </c>
      <c r="V711" s="4" t="e">
        <f>IF($Q711&lt;&gt;3,VLOOKUP(F711,'Points Table A'!B$3:$F$33,5),VLOOKUP(F711,'Points Table A'!H$3:$L$33,5))</f>
        <v>#N/A</v>
      </c>
      <c r="W711" s="4" t="e">
        <f>IF($Q711&lt;&gt;3,VLOOKUP(G711,'Points Table A'!C$3:$F$33,4),VLOOKUP(G711,'Points Table A'!I$3:$L$33,4))</f>
        <v>#N/A</v>
      </c>
      <c r="X711" s="4" t="e">
        <f>IF($Q711&lt;&gt;3,VLOOKUP(H711,'Points Table A'!D$3:$F$28,3),VLOOKUP(H711,'Points Table A'!J$3:$L$33,3))</f>
        <v>#N/A</v>
      </c>
      <c r="Y711" s="4" t="e">
        <f>IF($Q711&lt;&gt;3,VLOOKUP(I711,'Points Table A'!E$3:$F$33,2),VLOOKUP(I711,'Points Table A'!K$3:$L$33,2))</f>
        <v>#N/A</v>
      </c>
      <c r="Z711" s="4" t="e">
        <f t="shared" si="60"/>
        <v>#N/A</v>
      </c>
      <c r="AA711" s="4">
        <f>IF($S711=Lookups!$B$113,VLOOKUP(L711,'Points Table C'!A$3:$E$11,5),VLOOKUP(U711,'Points Table C'!B$3:$E$11,4))</f>
        <v>0</v>
      </c>
      <c r="AB711" s="4" t="e">
        <f>IF($Q711=1,0,VLOOKUP($J711,'Points Table C'!$C$3:$E$18,3))</f>
        <v>#N/A</v>
      </c>
      <c r="AC711" s="4">
        <f>VLOOKUP($K711,'Points Table C'!$D$3:$E$18,2)</f>
        <v>0</v>
      </c>
      <c r="AD711" s="4" t="e">
        <f>IF($Z711&lt;Lookups!$C$106,($AA711+AB711+AC711),IF($AA711&gt;=Lookups!$C$120,($AA711+AB711+AC711),$AA711+$AB711))</f>
        <v>#N/A</v>
      </c>
      <c r="AF711" s="7"/>
      <c r="AG711" s="7"/>
      <c r="AH711" s="7"/>
      <c r="AI711" s="7"/>
      <c r="AJ711" s="7"/>
      <c r="AK711" s="7"/>
      <c r="AL711" s="7"/>
      <c r="AM711" s="7"/>
      <c r="AN711" s="7"/>
      <c r="AO711" s="7"/>
      <c r="AP711" s="7"/>
      <c r="AQ711" s="7"/>
      <c r="AR711" s="7"/>
      <c r="AS711" s="7"/>
      <c r="AT711" s="7"/>
      <c r="AU711" s="7"/>
      <c r="AV711" s="7"/>
      <c r="AW711" s="7"/>
      <c r="AY711" s="7"/>
      <c r="AZ711" s="7"/>
      <c r="BA711" s="7"/>
      <c r="BB711" s="7"/>
    </row>
    <row r="712" spans="2:54" x14ac:dyDescent="0.2">
      <c r="B712" s="174"/>
      <c r="C712" s="176"/>
      <c r="F712" s="5">
        <v>0</v>
      </c>
      <c r="G712" s="192">
        <v>0</v>
      </c>
      <c r="H712" s="192">
        <v>0</v>
      </c>
      <c r="I712" s="5">
        <v>0</v>
      </c>
      <c r="J712" s="192">
        <v>0</v>
      </c>
      <c r="K712" s="192">
        <v>0</v>
      </c>
      <c r="L712" s="5">
        <v>0</v>
      </c>
      <c r="M712" s="5">
        <v>0</v>
      </c>
      <c r="N712" s="4" t="e">
        <f t="shared" si="61"/>
        <v>#N/A</v>
      </c>
      <c r="O712" s="4" t="e">
        <f>IF(ROUND(10.499-(((N712-VLOOKUP($C712,Lookups!$A$55:$D$64,3))/(VLOOKUP($C712,Lookups!$A$55:$D$64,4))*VLOOKUP($C712,Lookups!$C$2:$D$11,2))),0)&lt;1,1,IF(ROUND(10.499-(((N712-VLOOKUP($C712,Lookups!$A$55:$D$64,3))/(VLOOKUP($C712,Lookups!$A$55:$D$64,4))*VLOOKUP($C712,Lookups!$C$2:$D$11,2))),0)&lt;11,ROUND(10.499-(((N712-VLOOKUP($C712,Lookups!$A$55:$D$64,3))/(VLOOKUP($C712,Lookups!$A$55:$D$64,4))*VLOOKUP($C712,Lookups!$C$2:$D$11,2))),0),10))</f>
        <v>#N/A</v>
      </c>
      <c r="P712" s="13" t="str">
        <f>IF((SUM(F712:M712)=0),"J",VLOOKUP(O712,Lookups!$A$1:$B$11,2))</f>
        <v>J</v>
      </c>
      <c r="Q712" s="8" t="e">
        <f>VLOOKUP(C712,Lookups!$A$136:$C$144,3)</f>
        <v>#N/A</v>
      </c>
      <c r="R712" s="8" t="e">
        <f>VLOOKUP(C712,Lookups!$A$136:$C$144,2)</f>
        <v>#N/A</v>
      </c>
      <c r="S712" s="4" t="str">
        <f t="shared" si="57"/>
        <v>No</v>
      </c>
      <c r="T712" s="125">
        <f t="shared" si="58"/>
        <v>0</v>
      </c>
      <c r="U712" s="125">
        <f t="shared" si="59"/>
        <v>0</v>
      </c>
      <c r="V712" s="4" t="e">
        <f>IF($Q712&lt;&gt;3,VLOOKUP(F712,'Points Table A'!B$3:$F$33,5),VLOOKUP(F712,'Points Table A'!H$3:$L$33,5))</f>
        <v>#N/A</v>
      </c>
      <c r="W712" s="4" t="e">
        <f>IF($Q712&lt;&gt;3,VLOOKUP(G712,'Points Table A'!C$3:$F$33,4),VLOOKUP(G712,'Points Table A'!I$3:$L$33,4))</f>
        <v>#N/A</v>
      </c>
      <c r="X712" s="4" t="e">
        <f>IF($Q712&lt;&gt;3,VLOOKUP(H712,'Points Table A'!D$3:$F$28,3),VLOOKUP(H712,'Points Table A'!J$3:$L$33,3))</f>
        <v>#N/A</v>
      </c>
      <c r="Y712" s="4" t="e">
        <f>IF($Q712&lt;&gt;3,VLOOKUP(I712,'Points Table A'!E$3:$F$33,2),VLOOKUP(I712,'Points Table A'!K$3:$L$33,2))</f>
        <v>#N/A</v>
      </c>
      <c r="Z712" s="4" t="e">
        <f t="shared" si="60"/>
        <v>#N/A</v>
      </c>
      <c r="AA712" s="4">
        <f>IF($S712=Lookups!$B$113,VLOOKUP(L712,'Points Table C'!A$3:$E$11,5),VLOOKUP(U712,'Points Table C'!B$3:$E$11,4))</f>
        <v>0</v>
      </c>
      <c r="AB712" s="4" t="e">
        <f>IF($Q712=1,0,VLOOKUP($J712,'Points Table C'!$C$3:$E$18,3))</f>
        <v>#N/A</v>
      </c>
      <c r="AC712" s="4">
        <f>VLOOKUP($K712,'Points Table C'!$D$3:$E$18,2)</f>
        <v>0</v>
      </c>
      <c r="AD712" s="4" t="e">
        <f>IF($Z712&lt;Lookups!$C$106,($AA712+AB712+AC712),IF($AA712&gt;=Lookups!$C$120,($AA712+AB712+AC712),$AA712+$AB712))</f>
        <v>#N/A</v>
      </c>
      <c r="AF712" s="7"/>
      <c r="AG712" s="7"/>
      <c r="AH712" s="7"/>
      <c r="AI712" s="7"/>
      <c r="AJ712" s="7"/>
      <c r="AK712" s="7"/>
      <c r="AL712" s="7"/>
      <c r="AM712" s="7"/>
      <c r="AN712" s="7"/>
      <c r="AO712" s="7"/>
      <c r="AP712" s="7"/>
      <c r="AQ712" s="7"/>
      <c r="AR712" s="7"/>
      <c r="AS712" s="7"/>
      <c r="AT712" s="7"/>
      <c r="AU712" s="7"/>
      <c r="AV712" s="7"/>
      <c r="AW712" s="7"/>
      <c r="AY712" s="7"/>
      <c r="AZ712" s="7"/>
      <c r="BA712" s="7"/>
      <c r="BB712" s="7"/>
    </row>
    <row r="713" spans="2:54" x14ac:dyDescent="0.2">
      <c r="B713" s="174"/>
      <c r="C713" s="176"/>
      <c r="F713" s="5">
        <v>0</v>
      </c>
      <c r="G713" s="192">
        <v>0</v>
      </c>
      <c r="H713" s="192">
        <v>0</v>
      </c>
      <c r="I713" s="5">
        <v>0</v>
      </c>
      <c r="J713" s="192">
        <v>0</v>
      </c>
      <c r="K713" s="192">
        <v>0</v>
      </c>
      <c r="L713" s="5">
        <v>0</v>
      </c>
      <c r="M713" s="5">
        <v>0</v>
      </c>
      <c r="N713" s="4" t="e">
        <f t="shared" si="61"/>
        <v>#N/A</v>
      </c>
      <c r="O713" s="4" t="e">
        <f>IF(ROUND(10.499-(((N713-VLOOKUP($C713,Lookups!$A$55:$D$64,3))/(VLOOKUP($C713,Lookups!$A$55:$D$64,4))*VLOOKUP($C713,Lookups!$C$2:$D$11,2))),0)&lt;1,1,IF(ROUND(10.499-(((N713-VLOOKUP($C713,Lookups!$A$55:$D$64,3))/(VLOOKUP($C713,Lookups!$A$55:$D$64,4))*VLOOKUP($C713,Lookups!$C$2:$D$11,2))),0)&lt;11,ROUND(10.499-(((N713-VLOOKUP($C713,Lookups!$A$55:$D$64,3))/(VLOOKUP($C713,Lookups!$A$55:$D$64,4))*VLOOKUP($C713,Lookups!$C$2:$D$11,2))),0),10))</f>
        <v>#N/A</v>
      </c>
      <c r="P713" s="13" t="str">
        <f>IF((SUM(F713:M713)=0),"J",VLOOKUP(O713,Lookups!$A$1:$B$11,2))</f>
        <v>J</v>
      </c>
      <c r="Q713" s="8" t="e">
        <f>VLOOKUP(C713,Lookups!$A$136:$C$144,3)</f>
        <v>#N/A</v>
      </c>
      <c r="R713" s="8" t="e">
        <f>VLOOKUP(C713,Lookups!$A$136:$C$144,2)</f>
        <v>#N/A</v>
      </c>
      <c r="S713" s="4" t="str">
        <f t="shared" si="57"/>
        <v>No</v>
      </c>
      <c r="T713" s="125">
        <f t="shared" si="58"/>
        <v>0</v>
      </c>
      <c r="U713" s="125">
        <f t="shared" si="59"/>
        <v>0</v>
      </c>
      <c r="V713" s="4" t="e">
        <f>IF($Q713&lt;&gt;3,VLOOKUP(F713,'Points Table A'!B$3:$F$33,5),VLOOKUP(F713,'Points Table A'!H$3:$L$33,5))</f>
        <v>#N/A</v>
      </c>
      <c r="W713" s="4" t="e">
        <f>IF($Q713&lt;&gt;3,VLOOKUP(G713,'Points Table A'!C$3:$F$33,4),VLOOKUP(G713,'Points Table A'!I$3:$L$33,4))</f>
        <v>#N/A</v>
      </c>
      <c r="X713" s="4" t="e">
        <f>IF($Q713&lt;&gt;3,VLOOKUP(H713,'Points Table A'!D$3:$F$28,3),VLOOKUP(H713,'Points Table A'!J$3:$L$33,3))</f>
        <v>#N/A</v>
      </c>
      <c r="Y713" s="4" t="e">
        <f>IF($Q713&lt;&gt;3,VLOOKUP(I713,'Points Table A'!E$3:$F$33,2),VLOOKUP(I713,'Points Table A'!K$3:$L$33,2))</f>
        <v>#N/A</v>
      </c>
      <c r="Z713" s="4" t="e">
        <f t="shared" si="60"/>
        <v>#N/A</v>
      </c>
      <c r="AA713" s="4">
        <f>IF($S713=Lookups!$B$113,VLOOKUP(L713,'Points Table C'!A$3:$E$11,5),VLOOKUP(U713,'Points Table C'!B$3:$E$11,4))</f>
        <v>0</v>
      </c>
      <c r="AB713" s="4" t="e">
        <f>IF($Q713=1,0,VLOOKUP($J713,'Points Table C'!$C$3:$E$18,3))</f>
        <v>#N/A</v>
      </c>
      <c r="AC713" s="4">
        <f>VLOOKUP($K713,'Points Table C'!$D$3:$E$18,2)</f>
        <v>0</v>
      </c>
      <c r="AD713" s="4" t="e">
        <f>IF($Z713&lt;Lookups!$C$106,($AA713+AB713+AC713),IF($AA713&gt;=Lookups!$C$120,($AA713+AB713+AC713),$AA713+$AB713))</f>
        <v>#N/A</v>
      </c>
      <c r="AF713" s="7"/>
      <c r="AG713" s="7"/>
      <c r="AH713" s="7"/>
      <c r="AI713" s="7"/>
      <c r="AJ713" s="7"/>
      <c r="AK713" s="7"/>
      <c r="AL713" s="7"/>
      <c r="AM713" s="7"/>
      <c r="AN713" s="7"/>
      <c r="AO713" s="7"/>
      <c r="AP713" s="7"/>
      <c r="AQ713" s="7"/>
      <c r="AR713" s="7"/>
      <c r="AS713" s="7"/>
      <c r="AT713" s="7"/>
      <c r="AU713" s="7"/>
      <c r="AV713" s="7"/>
      <c r="AW713" s="7"/>
      <c r="AY713" s="7"/>
      <c r="AZ713" s="7"/>
      <c r="BA713" s="7"/>
      <c r="BB713" s="7"/>
    </row>
    <row r="714" spans="2:54" x14ac:dyDescent="0.2">
      <c r="B714" s="174"/>
      <c r="C714" s="176"/>
      <c r="F714" s="5">
        <v>0</v>
      </c>
      <c r="G714" s="192">
        <v>0</v>
      </c>
      <c r="H714" s="192">
        <v>0</v>
      </c>
      <c r="I714" s="5">
        <v>0</v>
      </c>
      <c r="J714" s="192">
        <v>0</v>
      </c>
      <c r="K714" s="192">
        <v>0</v>
      </c>
      <c r="L714" s="5">
        <v>0</v>
      </c>
      <c r="M714" s="5">
        <v>0</v>
      </c>
      <c r="N714" s="4" t="e">
        <f t="shared" si="61"/>
        <v>#N/A</v>
      </c>
      <c r="O714" s="4" t="e">
        <f>IF(ROUND(10.499-(((N714-VLOOKUP($C714,Lookups!$A$55:$D$64,3))/(VLOOKUP($C714,Lookups!$A$55:$D$64,4))*VLOOKUP($C714,Lookups!$C$2:$D$11,2))),0)&lt;1,1,IF(ROUND(10.499-(((N714-VLOOKUP($C714,Lookups!$A$55:$D$64,3))/(VLOOKUP($C714,Lookups!$A$55:$D$64,4))*VLOOKUP($C714,Lookups!$C$2:$D$11,2))),0)&lt;11,ROUND(10.499-(((N714-VLOOKUP($C714,Lookups!$A$55:$D$64,3))/(VLOOKUP($C714,Lookups!$A$55:$D$64,4))*VLOOKUP($C714,Lookups!$C$2:$D$11,2))),0),10))</f>
        <v>#N/A</v>
      </c>
      <c r="P714" s="13" t="str">
        <f>IF((SUM(F714:M714)=0),"J",VLOOKUP(O714,Lookups!$A$1:$B$11,2))</f>
        <v>J</v>
      </c>
      <c r="Q714" s="8" t="e">
        <f>VLOOKUP(C714,Lookups!$A$136:$C$144,3)</f>
        <v>#N/A</v>
      </c>
      <c r="R714" s="8" t="e">
        <f>VLOOKUP(C714,Lookups!$A$136:$C$144,2)</f>
        <v>#N/A</v>
      </c>
      <c r="S714" s="4" t="str">
        <f t="shared" si="57"/>
        <v>No</v>
      </c>
      <c r="T714" s="125">
        <f t="shared" si="58"/>
        <v>0</v>
      </c>
      <c r="U714" s="125">
        <f t="shared" si="59"/>
        <v>0</v>
      </c>
      <c r="V714" s="4" t="e">
        <f>IF($Q714&lt;&gt;3,VLOOKUP(F714,'Points Table A'!B$3:$F$33,5),VLOOKUP(F714,'Points Table A'!H$3:$L$33,5))</f>
        <v>#N/A</v>
      </c>
      <c r="W714" s="4" t="e">
        <f>IF($Q714&lt;&gt;3,VLOOKUP(G714,'Points Table A'!C$3:$F$33,4),VLOOKUP(G714,'Points Table A'!I$3:$L$33,4))</f>
        <v>#N/A</v>
      </c>
      <c r="X714" s="4" t="e">
        <f>IF($Q714&lt;&gt;3,VLOOKUP(H714,'Points Table A'!D$3:$F$28,3),VLOOKUP(H714,'Points Table A'!J$3:$L$33,3))</f>
        <v>#N/A</v>
      </c>
      <c r="Y714" s="4" t="e">
        <f>IF($Q714&lt;&gt;3,VLOOKUP(I714,'Points Table A'!E$3:$F$33,2),VLOOKUP(I714,'Points Table A'!K$3:$L$33,2))</f>
        <v>#N/A</v>
      </c>
      <c r="Z714" s="4" t="e">
        <f t="shared" si="60"/>
        <v>#N/A</v>
      </c>
      <c r="AA714" s="4">
        <f>IF($S714=Lookups!$B$113,VLOOKUP(L714,'Points Table C'!A$3:$E$11,5),VLOOKUP(U714,'Points Table C'!B$3:$E$11,4))</f>
        <v>0</v>
      </c>
      <c r="AB714" s="4" t="e">
        <f>IF($Q714=1,0,VLOOKUP($J714,'Points Table C'!$C$3:$E$18,3))</f>
        <v>#N/A</v>
      </c>
      <c r="AC714" s="4">
        <f>VLOOKUP($K714,'Points Table C'!$D$3:$E$18,2)</f>
        <v>0</v>
      </c>
      <c r="AD714" s="4" t="e">
        <f>IF($Z714&lt;Lookups!$C$106,($AA714+AB714+AC714),IF($AA714&gt;=Lookups!$C$120,($AA714+AB714+AC714),$AA714+$AB714))</f>
        <v>#N/A</v>
      </c>
      <c r="AF714" s="7"/>
      <c r="AG714" s="7"/>
      <c r="AH714" s="7"/>
      <c r="AI714" s="7"/>
      <c r="AJ714" s="7"/>
      <c r="AK714" s="7"/>
      <c r="AL714" s="7"/>
      <c r="AM714" s="7"/>
      <c r="AN714" s="7"/>
      <c r="AO714" s="7"/>
      <c r="AP714" s="7"/>
      <c r="AQ714" s="7"/>
      <c r="AR714" s="7"/>
      <c r="AS714" s="7"/>
      <c r="AT714" s="7"/>
      <c r="AU714" s="7"/>
      <c r="AV714" s="7"/>
      <c r="AW714" s="7"/>
      <c r="AY714" s="7"/>
      <c r="AZ714" s="7"/>
      <c r="BA714" s="7"/>
      <c r="BB714" s="7"/>
    </row>
    <row r="715" spans="2:54" x14ac:dyDescent="0.2">
      <c r="B715" s="174"/>
      <c r="C715" s="176"/>
      <c r="F715" s="5">
        <v>0</v>
      </c>
      <c r="G715" s="192">
        <v>0</v>
      </c>
      <c r="H715" s="192">
        <v>0</v>
      </c>
      <c r="I715" s="5">
        <v>0</v>
      </c>
      <c r="J715" s="192">
        <v>0</v>
      </c>
      <c r="K715" s="192">
        <v>0</v>
      </c>
      <c r="L715" s="5">
        <v>0</v>
      </c>
      <c r="M715" s="5">
        <v>0</v>
      </c>
      <c r="N715" s="4" t="e">
        <f t="shared" si="61"/>
        <v>#N/A</v>
      </c>
      <c r="O715" s="4" t="e">
        <f>IF(ROUND(10.499-(((N715-VLOOKUP($C715,Lookups!$A$55:$D$64,3))/(VLOOKUP($C715,Lookups!$A$55:$D$64,4))*VLOOKUP($C715,Lookups!$C$2:$D$11,2))),0)&lt;1,1,IF(ROUND(10.499-(((N715-VLOOKUP($C715,Lookups!$A$55:$D$64,3))/(VLOOKUP($C715,Lookups!$A$55:$D$64,4))*VLOOKUP($C715,Lookups!$C$2:$D$11,2))),0)&lt;11,ROUND(10.499-(((N715-VLOOKUP($C715,Lookups!$A$55:$D$64,3))/(VLOOKUP($C715,Lookups!$A$55:$D$64,4))*VLOOKUP($C715,Lookups!$C$2:$D$11,2))),0),10))</f>
        <v>#N/A</v>
      </c>
      <c r="P715" s="13" t="str">
        <f>IF((SUM(F715:M715)=0),"J",VLOOKUP(O715,Lookups!$A$1:$B$11,2))</f>
        <v>J</v>
      </c>
      <c r="Q715" s="8" t="e">
        <f>VLOOKUP(C715,Lookups!$A$136:$C$144,3)</f>
        <v>#N/A</v>
      </c>
      <c r="R715" s="8" t="e">
        <f>VLOOKUP(C715,Lookups!$A$136:$C$144,2)</f>
        <v>#N/A</v>
      </c>
      <c r="S715" s="4" t="str">
        <f t="shared" si="57"/>
        <v>No</v>
      </c>
      <c r="T715" s="125">
        <f t="shared" si="58"/>
        <v>0</v>
      </c>
      <c r="U715" s="125">
        <f t="shared" si="59"/>
        <v>0</v>
      </c>
      <c r="V715" s="4" t="e">
        <f>IF($Q715&lt;&gt;3,VLOOKUP(F715,'Points Table A'!B$3:$F$33,5),VLOOKUP(F715,'Points Table A'!H$3:$L$33,5))</f>
        <v>#N/A</v>
      </c>
      <c r="W715" s="4" t="e">
        <f>IF($Q715&lt;&gt;3,VLOOKUP(G715,'Points Table A'!C$3:$F$33,4),VLOOKUP(G715,'Points Table A'!I$3:$L$33,4))</f>
        <v>#N/A</v>
      </c>
      <c r="X715" s="4" t="e">
        <f>IF($Q715&lt;&gt;3,VLOOKUP(H715,'Points Table A'!D$3:$F$28,3),VLOOKUP(H715,'Points Table A'!J$3:$L$33,3))</f>
        <v>#N/A</v>
      </c>
      <c r="Y715" s="4" t="e">
        <f>IF($Q715&lt;&gt;3,VLOOKUP(I715,'Points Table A'!E$3:$F$33,2),VLOOKUP(I715,'Points Table A'!K$3:$L$33,2))</f>
        <v>#N/A</v>
      </c>
      <c r="Z715" s="4" t="e">
        <f t="shared" si="60"/>
        <v>#N/A</v>
      </c>
      <c r="AA715" s="4">
        <f>IF($S715=Lookups!$B$113,VLOOKUP(L715,'Points Table C'!A$3:$E$11,5),VLOOKUP(U715,'Points Table C'!B$3:$E$11,4))</f>
        <v>0</v>
      </c>
      <c r="AB715" s="4" t="e">
        <f>IF($Q715=1,0,VLOOKUP($J715,'Points Table C'!$C$3:$E$18,3))</f>
        <v>#N/A</v>
      </c>
      <c r="AC715" s="4">
        <f>VLOOKUP($K715,'Points Table C'!$D$3:$E$18,2)</f>
        <v>0</v>
      </c>
      <c r="AD715" s="4" t="e">
        <f>IF($Z715&lt;Lookups!$C$106,($AA715+AB715+AC715),IF($AA715&gt;=Lookups!$C$120,($AA715+AB715+AC715),$AA715+$AB715))</f>
        <v>#N/A</v>
      </c>
      <c r="AF715" s="7"/>
      <c r="AG715" s="7"/>
      <c r="AH715" s="7"/>
      <c r="AI715" s="7"/>
      <c r="AJ715" s="7"/>
      <c r="AK715" s="7"/>
      <c r="AL715" s="7"/>
      <c r="AM715" s="7"/>
      <c r="AN715" s="7"/>
      <c r="AO715" s="7"/>
      <c r="AP715" s="7"/>
      <c r="AQ715" s="7"/>
      <c r="AR715" s="7"/>
      <c r="AS715" s="7"/>
      <c r="AT715" s="7"/>
      <c r="AU715" s="7"/>
      <c r="AV715" s="7"/>
      <c r="AW715" s="7"/>
      <c r="AY715" s="7"/>
      <c r="AZ715" s="7"/>
      <c r="BA715" s="7"/>
      <c r="BB715" s="7"/>
    </row>
    <row r="716" spans="2:54" x14ac:dyDescent="0.2">
      <c r="B716" s="174"/>
      <c r="C716" s="176"/>
      <c r="F716" s="5">
        <v>0</v>
      </c>
      <c r="G716" s="192">
        <v>0</v>
      </c>
      <c r="H716" s="192">
        <v>0</v>
      </c>
      <c r="I716" s="5">
        <v>0</v>
      </c>
      <c r="J716" s="192">
        <v>0</v>
      </c>
      <c r="K716" s="192">
        <v>0</v>
      </c>
      <c r="L716" s="5">
        <v>0</v>
      </c>
      <c r="M716" s="5">
        <v>0</v>
      </c>
      <c r="N716" s="4" t="e">
        <f t="shared" si="61"/>
        <v>#N/A</v>
      </c>
      <c r="O716" s="4" t="e">
        <f>IF(ROUND(10.499-(((N716-VLOOKUP($C716,Lookups!$A$55:$D$64,3))/(VLOOKUP($C716,Lookups!$A$55:$D$64,4))*VLOOKUP($C716,Lookups!$C$2:$D$11,2))),0)&lt;1,1,IF(ROUND(10.499-(((N716-VLOOKUP($C716,Lookups!$A$55:$D$64,3))/(VLOOKUP($C716,Lookups!$A$55:$D$64,4))*VLOOKUP($C716,Lookups!$C$2:$D$11,2))),0)&lt;11,ROUND(10.499-(((N716-VLOOKUP($C716,Lookups!$A$55:$D$64,3))/(VLOOKUP($C716,Lookups!$A$55:$D$64,4))*VLOOKUP($C716,Lookups!$C$2:$D$11,2))),0),10))</f>
        <v>#N/A</v>
      </c>
      <c r="P716" s="13" t="str">
        <f>IF((SUM(F716:M716)=0),"J",VLOOKUP(O716,Lookups!$A$1:$B$11,2))</f>
        <v>J</v>
      </c>
      <c r="Q716" s="8" t="e">
        <f>VLOOKUP(C716,Lookups!$A$136:$C$144,3)</f>
        <v>#N/A</v>
      </c>
      <c r="R716" s="8" t="e">
        <f>VLOOKUP(C716,Lookups!$A$136:$C$144,2)</f>
        <v>#N/A</v>
      </c>
      <c r="S716" s="4" t="str">
        <f t="shared" si="57"/>
        <v>No</v>
      </c>
      <c r="T716" s="125">
        <f t="shared" si="58"/>
        <v>0</v>
      </c>
      <c r="U716" s="125">
        <f t="shared" si="59"/>
        <v>0</v>
      </c>
      <c r="V716" s="4" t="e">
        <f>IF($Q716&lt;&gt;3,VLOOKUP(F716,'Points Table A'!B$3:$F$33,5),VLOOKUP(F716,'Points Table A'!H$3:$L$33,5))</f>
        <v>#N/A</v>
      </c>
      <c r="W716" s="4" t="e">
        <f>IF($Q716&lt;&gt;3,VLOOKUP(G716,'Points Table A'!C$3:$F$33,4),VLOOKUP(G716,'Points Table A'!I$3:$L$33,4))</f>
        <v>#N/A</v>
      </c>
      <c r="X716" s="4" t="e">
        <f>IF($Q716&lt;&gt;3,VLOOKUP(H716,'Points Table A'!D$3:$F$28,3),VLOOKUP(H716,'Points Table A'!J$3:$L$33,3))</f>
        <v>#N/A</v>
      </c>
      <c r="Y716" s="4" t="e">
        <f>IF($Q716&lt;&gt;3,VLOOKUP(I716,'Points Table A'!E$3:$F$33,2),VLOOKUP(I716,'Points Table A'!K$3:$L$33,2))</f>
        <v>#N/A</v>
      </c>
      <c r="Z716" s="4" t="e">
        <f t="shared" si="60"/>
        <v>#N/A</v>
      </c>
      <c r="AA716" s="4">
        <f>IF($S716=Lookups!$B$113,VLOOKUP(L716,'Points Table C'!A$3:$E$11,5),VLOOKUP(U716,'Points Table C'!B$3:$E$11,4))</f>
        <v>0</v>
      </c>
      <c r="AB716" s="4" t="e">
        <f>IF($Q716=1,0,VLOOKUP($J716,'Points Table C'!$C$3:$E$18,3))</f>
        <v>#N/A</v>
      </c>
      <c r="AC716" s="4">
        <f>VLOOKUP($K716,'Points Table C'!$D$3:$E$18,2)</f>
        <v>0</v>
      </c>
      <c r="AD716" s="4" t="e">
        <f>IF($Z716&lt;Lookups!$C$106,($AA716+AB716+AC716),IF($AA716&gt;=Lookups!$C$120,($AA716+AB716+AC716),$AA716+$AB716))</f>
        <v>#N/A</v>
      </c>
      <c r="AF716" s="7"/>
      <c r="AG716" s="7"/>
      <c r="AH716" s="7"/>
      <c r="AI716" s="7"/>
      <c r="AJ716" s="7"/>
      <c r="AK716" s="7"/>
      <c r="AL716" s="7"/>
      <c r="AM716" s="7"/>
      <c r="AN716" s="7"/>
      <c r="AO716" s="7"/>
      <c r="AP716" s="7"/>
      <c r="AQ716" s="7"/>
      <c r="AR716" s="7"/>
      <c r="AS716" s="7"/>
      <c r="AT716" s="7"/>
      <c r="AU716" s="7"/>
      <c r="AV716" s="7"/>
      <c r="AW716" s="7"/>
      <c r="AY716" s="7"/>
      <c r="AZ716" s="7"/>
      <c r="BA716" s="7"/>
      <c r="BB716" s="7"/>
    </row>
    <row r="717" spans="2:54" x14ac:dyDescent="0.2">
      <c r="B717" s="174"/>
      <c r="C717" s="176"/>
      <c r="F717" s="5">
        <v>0</v>
      </c>
      <c r="G717" s="192">
        <v>0</v>
      </c>
      <c r="H717" s="192">
        <v>0</v>
      </c>
      <c r="I717" s="5">
        <v>0</v>
      </c>
      <c r="J717" s="192">
        <v>0</v>
      </c>
      <c r="K717" s="192">
        <v>0</v>
      </c>
      <c r="L717" s="5">
        <v>0</v>
      </c>
      <c r="M717" s="5">
        <v>0</v>
      </c>
      <c r="N717" s="4" t="e">
        <f t="shared" si="61"/>
        <v>#N/A</v>
      </c>
      <c r="O717" s="4" t="e">
        <f>IF(ROUND(10.499-(((N717-VLOOKUP($C717,Lookups!$A$55:$D$64,3))/(VLOOKUP($C717,Lookups!$A$55:$D$64,4))*VLOOKUP($C717,Lookups!$C$2:$D$11,2))),0)&lt;1,1,IF(ROUND(10.499-(((N717-VLOOKUP($C717,Lookups!$A$55:$D$64,3))/(VLOOKUP($C717,Lookups!$A$55:$D$64,4))*VLOOKUP($C717,Lookups!$C$2:$D$11,2))),0)&lt;11,ROUND(10.499-(((N717-VLOOKUP($C717,Lookups!$A$55:$D$64,3))/(VLOOKUP($C717,Lookups!$A$55:$D$64,4))*VLOOKUP($C717,Lookups!$C$2:$D$11,2))),0),10))</f>
        <v>#N/A</v>
      </c>
      <c r="P717" s="13" t="str">
        <f>IF((SUM(F717:M717)=0),"J",VLOOKUP(O717,Lookups!$A$1:$B$11,2))</f>
        <v>J</v>
      </c>
      <c r="Q717" s="8" t="e">
        <f>VLOOKUP(C717,Lookups!$A$136:$C$144,3)</f>
        <v>#N/A</v>
      </c>
      <c r="R717" s="8" t="e">
        <f>VLOOKUP(C717,Lookups!$A$136:$C$144,2)</f>
        <v>#N/A</v>
      </c>
      <c r="S717" s="4" t="str">
        <f t="shared" si="57"/>
        <v>No</v>
      </c>
      <c r="T717" s="125">
        <f t="shared" si="58"/>
        <v>0</v>
      </c>
      <c r="U717" s="125">
        <f t="shared" si="59"/>
        <v>0</v>
      </c>
      <c r="V717" s="4" t="e">
        <f>IF($Q717&lt;&gt;3,VLOOKUP(F717,'Points Table A'!B$3:$F$33,5),VLOOKUP(F717,'Points Table A'!H$3:$L$33,5))</f>
        <v>#N/A</v>
      </c>
      <c r="W717" s="4" t="e">
        <f>IF($Q717&lt;&gt;3,VLOOKUP(G717,'Points Table A'!C$3:$F$33,4),VLOOKUP(G717,'Points Table A'!I$3:$L$33,4))</f>
        <v>#N/A</v>
      </c>
      <c r="X717" s="4" t="e">
        <f>IF($Q717&lt;&gt;3,VLOOKUP(H717,'Points Table A'!D$3:$F$28,3),VLOOKUP(H717,'Points Table A'!J$3:$L$33,3))</f>
        <v>#N/A</v>
      </c>
      <c r="Y717" s="4" t="e">
        <f>IF($Q717&lt;&gt;3,VLOOKUP(I717,'Points Table A'!E$3:$F$33,2),VLOOKUP(I717,'Points Table A'!K$3:$L$33,2))</f>
        <v>#N/A</v>
      </c>
      <c r="Z717" s="4" t="e">
        <f t="shared" si="60"/>
        <v>#N/A</v>
      </c>
      <c r="AA717" s="4">
        <f>IF($S717=Lookups!$B$113,VLOOKUP(L717,'Points Table C'!A$3:$E$11,5),VLOOKUP(U717,'Points Table C'!B$3:$E$11,4))</f>
        <v>0</v>
      </c>
      <c r="AB717" s="4" t="e">
        <f>IF($Q717=1,0,VLOOKUP($J717,'Points Table C'!$C$3:$E$18,3))</f>
        <v>#N/A</v>
      </c>
      <c r="AC717" s="4">
        <f>VLOOKUP($K717,'Points Table C'!$D$3:$E$18,2)</f>
        <v>0</v>
      </c>
      <c r="AD717" s="4" t="e">
        <f>IF($Z717&lt;Lookups!$C$106,($AA717+AB717+AC717),IF($AA717&gt;=Lookups!$C$120,($AA717+AB717+AC717),$AA717+$AB717))</f>
        <v>#N/A</v>
      </c>
      <c r="AF717" s="7"/>
      <c r="AG717" s="7"/>
      <c r="AH717" s="7"/>
      <c r="AI717" s="7"/>
      <c r="AJ717" s="7"/>
      <c r="AK717" s="7"/>
      <c r="AL717" s="7"/>
      <c r="AM717" s="7"/>
      <c r="AN717" s="7"/>
      <c r="AO717" s="7"/>
      <c r="AP717" s="7"/>
      <c r="AQ717" s="7"/>
      <c r="AR717" s="7"/>
      <c r="AS717" s="7"/>
      <c r="AT717" s="7"/>
      <c r="AU717" s="7"/>
      <c r="AV717" s="7"/>
      <c r="AW717" s="7"/>
      <c r="AY717" s="7"/>
      <c r="AZ717" s="7"/>
      <c r="BA717" s="7"/>
      <c r="BB717" s="7"/>
    </row>
    <row r="718" spans="2:54" x14ac:dyDescent="0.2">
      <c r="B718" s="174"/>
      <c r="C718" s="176"/>
      <c r="F718" s="5">
        <v>0</v>
      </c>
      <c r="G718" s="192">
        <v>0</v>
      </c>
      <c r="H718" s="192">
        <v>0</v>
      </c>
      <c r="I718" s="5">
        <v>0</v>
      </c>
      <c r="J718" s="192">
        <v>0</v>
      </c>
      <c r="K718" s="192">
        <v>0</v>
      </c>
      <c r="L718" s="5">
        <v>0</v>
      </c>
      <c r="M718" s="5">
        <v>0</v>
      </c>
      <c r="N718" s="4" t="e">
        <f t="shared" si="61"/>
        <v>#N/A</v>
      </c>
      <c r="O718" s="4" t="e">
        <f>IF(ROUND(10.499-(((N718-VLOOKUP($C718,Lookups!$A$55:$D$64,3))/(VLOOKUP($C718,Lookups!$A$55:$D$64,4))*VLOOKUP($C718,Lookups!$C$2:$D$11,2))),0)&lt;1,1,IF(ROUND(10.499-(((N718-VLOOKUP($C718,Lookups!$A$55:$D$64,3))/(VLOOKUP($C718,Lookups!$A$55:$D$64,4))*VLOOKUP($C718,Lookups!$C$2:$D$11,2))),0)&lt;11,ROUND(10.499-(((N718-VLOOKUP($C718,Lookups!$A$55:$D$64,3))/(VLOOKUP($C718,Lookups!$A$55:$D$64,4))*VLOOKUP($C718,Lookups!$C$2:$D$11,2))),0),10))</f>
        <v>#N/A</v>
      </c>
      <c r="P718" s="13" t="str">
        <f>IF((SUM(F718:M718)=0),"J",VLOOKUP(O718,Lookups!$A$1:$B$11,2))</f>
        <v>J</v>
      </c>
      <c r="Q718" s="8" t="e">
        <f>VLOOKUP(C718,Lookups!$A$136:$C$144,3)</f>
        <v>#N/A</v>
      </c>
      <c r="R718" s="8" t="e">
        <f>VLOOKUP(C718,Lookups!$A$136:$C$144,2)</f>
        <v>#N/A</v>
      </c>
      <c r="S718" s="4" t="str">
        <f t="shared" si="57"/>
        <v>No</v>
      </c>
      <c r="T718" s="125">
        <f t="shared" si="58"/>
        <v>0</v>
      </c>
      <c r="U718" s="125">
        <f t="shared" si="59"/>
        <v>0</v>
      </c>
      <c r="V718" s="4" t="e">
        <f>IF($Q718&lt;&gt;3,VLOOKUP(F718,'Points Table A'!B$3:$F$33,5),VLOOKUP(F718,'Points Table A'!H$3:$L$33,5))</f>
        <v>#N/A</v>
      </c>
      <c r="W718" s="4" t="e">
        <f>IF($Q718&lt;&gt;3,VLOOKUP(G718,'Points Table A'!C$3:$F$33,4),VLOOKUP(G718,'Points Table A'!I$3:$L$33,4))</f>
        <v>#N/A</v>
      </c>
      <c r="X718" s="4" t="e">
        <f>IF($Q718&lt;&gt;3,VLOOKUP(H718,'Points Table A'!D$3:$F$28,3),VLOOKUP(H718,'Points Table A'!J$3:$L$33,3))</f>
        <v>#N/A</v>
      </c>
      <c r="Y718" s="4" t="e">
        <f>IF($Q718&lt;&gt;3,VLOOKUP(I718,'Points Table A'!E$3:$F$33,2),VLOOKUP(I718,'Points Table A'!K$3:$L$33,2))</f>
        <v>#N/A</v>
      </c>
      <c r="Z718" s="4" t="e">
        <f t="shared" si="60"/>
        <v>#N/A</v>
      </c>
      <c r="AA718" s="4">
        <f>IF($S718=Lookups!$B$113,VLOOKUP(L718,'Points Table C'!A$3:$E$11,5),VLOOKUP(U718,'Points Table C'!B$3:$E$11,4))</f>
        <v>0</v>
      </c>
      <c r="AB718" s="4" t="e">
        <f>IF($Q718=1,0,VLOOKUP($J718,'Points Table C'!$C$3:$E$18,3))</f>
        <v>#N/A</v>
      </c>
      <c r="AC718" s="4">
        <f>VLOOKUP($K718,'Points Table C'!$D$3:$E$18,2)</f>
        <v>0</v>
      </c>
      <c r="AD718" s="4" t="e">
        <f>IF($Z718&lt;Lookups!$C$106,($AA718+AB718+AC718),IF($AA718&gt;=Lookups!$C$120,($AA718+AB718+AC718),$AA718+$AB718))</f>
        <v>#N/A</v>
      </c>
      <c r="AF718" s="7"/>
      <c r="AG718" s="7"/>
      <c r="AH718" s="7"/>
      <c r="AI718" s="7"/>
      <c r="AJ718" s="7"/>
      <c r="AK718" s="7"/>
      <c r="AL718" s="7"/>
      <c r="AM718" s="7"/>
      <c r="AN718" s="7"/>
      <c r="AO718" s="7"/>
      <c r="AP718" s="7"/>
      <c r="AQ718" s="7"/>
      <c r="AR718" s="7"/>
      <c r="AS718" s="7"/>
      <c r="AT718" s="7"/>
      <c r="AU718" s="7"/>
      <c r="AV718" s="7"/>
      <c r="AW718" s="7"/>
      <c r="AY718" s="7"/>
      <c r="AZ718" s="7"/>
      <c r="BA718" s="7"/>
      <c r="BB718" s="7"/>
    </row>
    <row r="719" spans="2:54" x14ac:dyDescent="0.2">
      <c r="B719" s="174"/>
      <c r="C719" s="176"/>
      <c r="F719" s="5">
        <v>0</v>
      </c>
      <c r="G719" s="192">
        <v>0</v>
      </c>
      <c r="H719" s="192">
        <v>0</v>
      </c>
      <c r="I719" s="5">
        <v>0</v>
      </c>
      <c r="J719" s="192">
        <v>0</v>
      </c>
      <c r="K719" s="192">
        <v>0</v>
      </c>
      <c r="L719" s="5">
        <v>0</v>
      </c>
      <c r="M719" s="5">
        <v>0</v>
      </c>
      <c r="N719" s="4" t="e">
        <f t="shared" si="61"/>
        <v>#N/A</v>
      </c>
      <c r="O719" s="4" t="e">
        <f>IF(ROUND(10.499-(((N719-VLOOKUP($C719,Lookups!$A$55:$D$64,3))/(VLOOKUP($C719,Lookups!$A$55:$D$64,4))*VLOOKUP($C719,Lookups!$C$2:$D$11,2))),0)&lt;1,1,IF(ROUND(10.499-(((N719-VLOOKUP($C719,Lookups!$A$55:$D$64,3))/(VLOOKUP($C719,Lookups!$A$55:$D$64,4))*VLOOKUP($C719,Lookups!$C$2:$D$11,2))),0)&lt;11,ROUND(10.499-(((N719-VLOOKUP($C719,Lookups!$A$55:$D$64,3))/(VLOOKUP($C719,Lookups!$A$55:$D$64,4))*VLOOKUP($C719,Lookups!$C$2:$D$11,2))),0),10))</f>
        <v>#N/A</v>
      </c>
      <c r="P719" s="13" t="str">
        <f>IF((SUM(F719:M719)=0),"J",VLOOKUP(O719,Lookups!$A$1:$B$11,2))</f>
        <v>J</v>
      </c>
      <c r="Q719" s="8" t="e">
        <f>VLOOKUP(C719,Lookups!$A$136:$C$144,3)</f>
        <v>#N/A</v>
      </c>
      <c r="R719" s="8" t="e">
        <f>VLOOKUP(C719,Lookups!$A$136:$C$144,2)</f>
        <v>#N/A</v>
      </c>
      <c r="S719" s="4" t="str">
        <f t="shared" ref="S719:S782" si="62">IF(AND(L719&gt;0,M719=0),"Yes","No")</f>
        <v>No</v>
      </c>
      <c r="T719" s="125">
        <f t="shared" ref="T719:T782" si="63">L719+M719</f>
        <v>0</v>
      </c>
      <c r="U719" s="125">
        <f t="shared" ref="U719:U782" si="64">ROUND(100*(M719+2*L719)/(M719+2*L719+(100-L719-M719)),2)</f>
        <v>0</v>
      </c>
      <c r="V719" s="4" t="e">
        <f>IF($Q719&lt;&gt;3,VLOOKUP(F719,'Points Table A'!B$3:$F$33,5),VLOOKUP(F719,'Points Table A'!H$3:$L$33,5))</f>
        <v>#N/A</v>
      </c>
      <c r="W719" s="4" t="e">
        <f>IF($Q719&lt;&gt;3,VLOOKUP(G719,'Points Table A'!C$3:$F$33,4),VLOOKUP(G719,'Points Table A'!I$3:$L$33,4))</f>
        <v>#N/A</v>
      </c>
      <c r="X719" s="4" t="e">
        <f>IF($Q719&lt;&gt;3,VLOOKUP(H719,'Points Table A'!D$3:$F$28,3),VLOOKUP(H719,'Points Table A'!J$3:$L$33,3))</f>
        <v>#N/A</v>
      </c>
      <c r="Y719" s="4" t="e">
        <f>IF($Q719&lt;&gt;3,VLOOKUP(I719,'Points Table A'!E$3:$F$33,2),VLOOKUP(I719,'Points Table A'!K$3:$L$33,2))</f>
        <v>#N/A</v>
      </c>
      <c r="Z719" s="4" t="e">
        <f t="shared" ref="Z719:Z782" si="65">SUM(V719:Y719)</f>
        <v>#N/A</v>
      </c>
      <c r="AA719" s="4">
        <f>IF($S719=Lookups!$B$113,VLOOKUP(L719,'Points Table C'!A$3:$E$11,5),VLOOKUP(U719,'Points Table C'!B$3:$E$11,4))</f>
        <v>0</v>
      </c>
      <c r="AB719" s="4" t="e">
        <f>IF($Q719=1,0,VLOOKUP($J719,'Points Table C'!$C$3:$E$18,3))</f>
        <v>#N/A</v>
      </c>
      <c r="AC719" s="4">
        <f>VLOOKUP($K719,'Points Table C'!$D$3:$E$18,2)</f>
        <v>0</v>
      </c>
      <c r="AD719" s="4" t="e">
        <f>IF($Z719&lt;Lookups!$C$106,($AA719+AB719+AC719),IF($AA719&gt;=Lookups!$C$120,($AA719+AB719+AC719),$AA719+$AB719))</f>
        <v>#N/A</v>
      </c>
      <c r="AF719" s="7"/>
      <c r="AG719" s="7"/>
      <c r="AH719" s="7"/>
      <c r="AI719" s="7"/>
      <c r="AJ719" s="7"/>
      <c r="AK719" s="7"/>
      <c r="AL719" s="7"/>
      <c r="AM719" s="7"/>
      <c r="AN719" s="7"/>
      <c r="AO719" s="7"/>
      <c r="AP719" s="7"/>
      <c r="AQ719" s="7"/>
      <c r="AR719" s="7"/>
      <c r="AS719" s="7"/>
      <c r="AT719" s="7"/>
      <c r="AU719" s="7"/>
      <c r="AV719" s="7"/>
      <c r="AW719" s="7"/>
      <c r="AY719" s="7"/>
      <c r="AZ719" s="7"/>
      <c r="BA719" s="7"/>
      <c r="BB719" s="7"/>
    </row>
    <row r="720" spans="2:54" x14ac:dyDescent="0.2">
      <c r="B720" s="174"/>
      <c r="C720" s="176"/>
      <c r="F720" s="5">
        <v>0</v>
      </c>
      <c r="G720" s="192">
        <v>0</v>
      </c>
      <c r="H720" s="192">
        <v>0</v>
      </c>
      <c r="I720" s="5">
        <v>0</v>
      </c>
      <c r="J720" s="192">
        <v>0</v>
      </c>
      <c r="K720" s="192">
        <v>0</v>
      </c>
      <c r="L720" s="5">
        <v>0</v>
      </c>
      <c r="M720" s="5">
        <v>0</v>
      </c>
      <c r="N720" s="4" t="e">
        <f t="shared" si="61"/>
        <v>#N/A</v>
      </c>
      <c r="O720" s="4" t="e">
        <f>IF(ROUND(10.499-(((N720-VLOOKUP($C720,Lookups!$A$55:$D$64,3))/(VLOOKUP($C720,Lookups!$A$55:$D$64,4))*VLOOKUP($C720,Lookups!$C$2:$D$11,2))),0)&lt;1,1,IF(ROUND(10.499-(((N720-VLOOKUP($C720,Lookups!$A$55:$D$64,3))/(VLOOKUP($C720,Lookups!$A$55:$D$64,4))*VLOOKUP($C720,Lookups!$C$2:$D$11,2))),0)&lt;11,ROUND(10.499-(((N720-VLOOKUP($C720,Lookups!$A$55:$D$64,3))/(VLOOKUP($C720,Lookups!$A$55:$D$64,4))*VLOOKUP($C720,Lookups!$C$2:$D$11,2))),0),10))</f>
        <v>#N/A</v>
      </c>
      <c r="P720" s="13" t="str">
        <f>IF((SUM(F720:M720)=0),"J",VLOOKUP(O720,Lookups!$A$1:$B$11,2))</f>
        <v>J</v>
      </c>
      <c r="Q720" s="8" t="e">
        <f>VLOOKUP(C720,Lookups!$A$136:$C$144,3)</f>
        <v>#N/A</v>
      </c>
      <c r="R720" s="8" t="e">
        <f>VLOOKUP(C720,Lookups!$A$136:$C$144,2)</f>
        <v>#N/A</v>
      </c>
      <c r="S720" s="4" t="str">
        <f t="shared" si="62"/>
        <v>No</v>
      </c>
      <c r="T720" s="125">
        <f t="shared" si="63"/>
        <v>0</v>
      </c>
      <c r="U720" s="125">
        <f t="shared" si="64"/>
        <v>0</v>
      </c>
      <c r="V720" s="4" t="e">
        <f>IF($Q720&lt;&gt;3,VLOOKUP(F720,'Points Table A'!B$3:$F$33,5),VLOOKUP(F720,'Points Table A'!H$3:$L$33,5))</f>
        <v>#N/A</v>
      </c>
      <c r="W720" s="4" t="e">
        <f>IF($Q720&lt;&gt;3,VLOOKUP(G720,'Points Table A'!C$3:$F$33,4),VLOOKUP(G720,'Points Table A'!I$3:$L$33,4))</f>
        <v>#N/A</v>
      </c>
      <c r="X720" s="4" t="e">
        <f>IF($Q720&lt;&gt;3,VLOOKUP(H720,'Points Table A'!D$3:$F$28,3),VLOOKUP(H720,'Points Table A'!J$3:$L$33,3))</f>
        <v>#N/A</v>
      </c>
      <c r="Y720" s="4" t="e">
        <f>IF($Q720&lt;&gt;3,VLOOKUP(I720,'Points Table A'!E$3:$F$33,2),VLOOKUP(I720,'Points Table A'!K$3:$L$33,2))</f>
        <v>#N/A</v>
      </c>
      <c r="Z720" s="4" t="e">
        <f t="shared" si="65"/>
        <v>#N/A</v>
      </c>
      <c r="AA720" s="4">
        <f>IF($S720=Lookups!$B$113,VLOOKUP(L720,'Points Table C'!A$3:$E$11,5),VLOOKUP(U720,'Points Table C'!B$3:$E$11,4))</f>
        <v>0</v>
      </c>
      <c r="AB720" s="4" t="e">
        <f>IF($Q720=1,0,VLOOKUP($J720,'Points Table C'!$C$3:$E$18,3))</f>
        <v>#N/A</v>
      </c>
      <c r="AC720" s="4">
        <f>VLOOKUP($K720,'Points Table C'!$D$3:$E$18,2)</f>
        <v>0</v>
      </c>
      <c r="AD720" s="4" t="e">
        <f>IF($Z720&lt;Lookups!$C$106,($AA720+AB720+AC720),IF($AA720&gt;=Lookups!$C$120,($AA720+AB720+AC720),$AA720+$AB720))</f>
        <v>#N/A</v>
      </c>
      <c r="AF720" s="7"/>
      <c r="AG720" s="7"/>
      <c r="AH720" s="7"/>
      <c r="AI720" s="7"/>
      <c r="AJ720" s="7"/>
      <c r="AK720" s="7"/>
      <c r="AL720" s="7"/>
      <c r="AM720" s="7"/>
      <c r="AN720" s="7"/>
      <c r="AO720" s="7"/>
      <c r="AP720" s="7"/>
      <c r="AQ720" s="7"/>
      <c r="AR720" s="7"/>
      <c r="AS720" s="7"/>
      <c r="AT720" s="7"/>
      <c r="AU720" s="7"/>
      <c r="AV720" s="7"/>
      <c r="AW720" s="7"/>
      <c r="AY720" s="7"/>
      <c r="AZ720" s="7"/>
      <c r="BA720" s="7"/>
      <c r="BB720" s="7"/>
    </row>
    <row r="721" spans="2:54" x14ac:dyDescent="0.2">
      <c r="B721" s="174"/>
      <c r="C721" s="176"/>
      <c r="F721" s="5">
        <v>0</v>
      </c>
      <c r="G721" s="192">
        <v>0</v>
      </c>
      <c r="H721" s="192">
        <v>0</v>
      </c>
      <c r="I721" s="5">
        <v>0</v>
      </c>
      <c r="J721" s="192">
        <v>0</v>
      </c>
      <c r="K721" s="192">
        <v>0</v>
      </c>
      <c r="L721" s="5">
        <v>0</v>
      </c>
      <c r="M721" s="5">
        <v>0</v>
      </c>
      <c r="N721" s="4" t="e">
        <f t="shared" si="61"/>
        <v>#N/A</v>
      </c>
      <c r="O721" s="4" t="e">
        <f>IF(ROUND(10.499-(((N721-VLOOKUP($C721,Lookups!$A$55:$D$64,3))/(VLOOKUP($C721,Lookups!$A$55:$D$64,4))*VLOOKUP($C721,Lookups!$C$2:$D$11,2))),0)&lt;1,1,IF(ROUND(10.499-(((N721-VLOOKUP($C721,Lookups!$A$55:$D$64,3))/(VLOOKUP($C721,Lookups!$A$55:$D$64,4))*VLOOKUP($C721,Lookups!$C$2:$D$11,2))),0)&lt;11,ROUND(10.499-(((N721-VLOOKUP($C721,Lookups!$A$55:$D$64,3))/(VLOOKUP($C721,Lookups!$A$55:$D$64,4))*VLOOKUP($C721,Lookups!$C$2:$D$11,2))),0),10))</f>
        <v>#N/A</v>
      </c>
      <c r="P721" s="13" t="str">
        <f>IF((SUM(F721:M721)=0),"J",VLOOKUP(O721,Lookups!$A$1:$B$11,2))</f>
        <v>J</v>
      </c>
      <c r="Q721" s="8" t="e">
        <f>VLOOKUP(C721,Lookups!$A$136:$C$144,3)</f>
        <v>#N/A</v>
      </c>
      <c r="R721" s="8" t="e">
        <f>VLOOKUP(C721,Lookups!$A$136:$C$144,2)</f>
        <v>#N/A</v>
      </c>
      <c r="S721" s="4" t="str">
        <f t="shared" si="62"/>
        <v>No</v>
      </c>
      <c r="T721" s="125">
        <f t="shared" si="63"/>
        <v>0</v>
      </c>
      <c r="U721" s="125">
        <f t="shared" si="64"/>
        <v>0</v>
      </c>
      <c r="V721" s="4" t="e">
        <f>IF($Q721&lt;&gt;3,VLOOKUP(F721,'Points Table A'!B$3:$F$33,5),VLOOKUP(F721,'Points Table A'!H$3:$L$33,5))</f>
        <v>#N/A</v>
      </c>
      <c r="W721" s="4" t="e">
        <f>IF($Q721&lt;&gt;3,VLOOKUP(G721,'Points Table A'!C$3:$F$33,4),VLOOKUP(G721,'Points Table A'!I$3:$L$33,4))</f>
        <v>#N/A</v>
      </c>
      <c r="X721" s="4" t="e">
        <f>IF($Q721&lt;&gt;3,VLOOKUP(H721,'Points Table A'!D$3:$F$28,3),VLOOKUP(H721,'Points Table A'!J$3:$L$33,3))</f>
        <v>#N/A</v>
      </c>
      <c r="Y721" s="4" t="e">
        <f>IF($Q721&lt;&gt;3,VLOOKUP(I721,'Points Table A'!E$3:$F$33,2),VLOOKUP(I721,'Points Table A'!K$3:$L$33,2))</f>
        <v>#N/A</v>
      </c>
      <c r="Z721" s="4" t="e">
        <f t="shared" si="65"/>
        <v>#N/A</v>
      </c>
      <c r="AA721" s="4">
        <f>IF($S721=Lookups!$B$113,VLOOKUP(L721,'Points Table C'!A$3:$E$11,5),VLOOKUP(U721,'Points Table C'!B$3:$E$11,4))</f>
        <v>0</v>
      </c>
      <c r="AB721" s="4" t="e">
        <f>IF($Q721=1,0,VLOOKUP($J721,'Points Table C'!$C$3:$E$18,3))</f>
        <v>#N/A</v>
      </c>
      <c r="AC721" s="4">
        <f>VLOOKUP($K721,'Points Table C'!$D$3:$E$18,2)</f>
        <v>0</v>
      </c>
      <c r="AD721" s="4" t="e">
        <f>IF($Z721&lt;Lookups!$C$106,($AA721+AB721+AC721),IF($AA721&gt;=Lookups!$C$120,($AA721+AB721+AC721),$AA721+$AB721))</f>
        <v>#N/A</v>
      </c>
      <c r="AF721" s="7"/>
      <c r="AG721" s="7"/>
      <c r="AH721" s="7"/>
      <c r="AI721" s="7"/>
      <c r="AJ721" s="7"/>
      <c r="AK721" s="7"/>
      <c r="AL721" s="7"/>
      <c r="AM721" s="7"/>
      <c r="AN721" s="7"/>
      <c r="AO721" s="7"/>
      <c r="AP721" s="7"/>
      <c r="AQ721" s="7"/>
      <c r="AR721" s="7"/>
      <c r="AS721" s="7"/>
      <c r="AT721" s="7"/>
      <c r="AU721" s="7"/>
      <c r="AV721" s="7"/>
      <c r="AW721" s="7"/>
      <c r="AY721" s="7"/>
      <c r="AZ721" s="7"/>
      <c r="BA721" s="7"/>
      <c r="BB721" s="7"/>
    </row>
    <row r="722" spans="2:54" x14ac:dyDescent="0.2">
      <c r="B722" s="174"/>
      <c r="C722" s="176"/>
      <c r="F722" s="5">
        <v>0</v>
      </c>
      <c r="G722" s="192">
        <v>0</v>
      </c>
      <c r="H722" s="192">
        <v>0</v>
      </c>
      <c r="I722" s="5">
        <v>0</v>
      </c>
      <c r="J722" s="192">
        <v>0</v>
      </c>
      <c r="K722" s="192">
        <v>0</v>
      </c>
      <c r="L722" s="5">
        <v>0</v>
      </c>
      <c r="M722" s="5">
        <v>0</v>
      </c>
      <c r="N722" s="4" t="e">
        <f t="shared" si="61"/>
        <v>#N/A</v>
      </c>
      <c r="O722" s="4" t="e">
        <f>IF(ROUND(10.499-(((N722-VLOOKUP($C722,Lookups!$A$55:$D$64,3))/(VLOOKUP($C722,Lookups!$A$55:$D$64,4))*VLOOKUP($C722,Lookups!$C$2:$D$11,2))),0)&lt;1,1,IF(ROUND(10.499-(((N722-VLOOKUP($C722,Lookups!$A$55:$D$64,3))/(VLOOKUP($C722,Lookups!$A$55:$D$64,4))*VLOOKUP($C722,Lookups!$C$2:$D$11,2))),0)&lt;11,ROUND(10.499-(((N722-VLOOKUP($C722,Lookups!$A$55:$D$64,3))/(VLOOKUP($C722,Lookups!$A$55:$D$64,4))*VLOOKUP($C722,Lookups!$C$2:$D$11,2))),0),10))</f>
        <v>#N/A</v>
      </c>
      <c r="P722" s="13" t="str">
        <f>IF((SUM(F722:M722)=0),"J",VLOOKUP(O722,Lookups!$A$1:$B$11,2))</f>
        <v>J</v>
      </c>
      <c r="Q722" s="8" t="e">
        <f>VLOOKUP(C722,Lookups!$A$136:$C$144,3)</f>
        <v>#N/A</v>
      </c>
      <c r="R722" s="8" t="e">
        <f>VLOOKUP(C722,Lookups!$A$136:$C$144,2)</f>
        <v>#N/A</v>
      </c>
      <c r="S722" s="4" t="str">
        <f t="shared" si="62"/>
        <v>No</v>
      </c>
      <c r="T722" s="125">
        <f t="shared" si="63"/>
        <v>0</v>
      </c>
      <c r="U722" s="125">
        <f t="shared" si="64"/>
        <v>0</v>
      </c>
      <c r="V722" s="4" t="e">
        <f>IF($Q722&lt;&gt;3,VLOOKUP(F722,'Points Table A'!B$3:$F$33,5),VLOOKUP(F722,'Points Table A'!H$3:$L$33,5))</f>
        <v>#N/A</v>
      </c>
      <c r="W722" s="4" t="e">
        <f>IF($Q722&lt;&gt;3,VLOOKUP(G722,'Points Table A'!C$3:$F$33,4),VLOOKUP(G722,'Points Table A'!I$3:$L$33,4))</f>
        <v>#N/A</v>
      </c>
      <c r="X722" s="4" t="e">
        <f>IF($Q722&lt;&gt;3,VLOOKUP(H722,'Points Table A'!D$3:$F$28,3),VLOOKUP(H722,'Points Table A'!J$3:$L$33,3))</f>
        <v>#N/A</v>
      </c>
      <c r="Y722" s="4" t="e">
        <f>IF($Q722&lt;&gt;3,VLOOKUP(I722,'Points Table A'!E$3:$F$33,2),VLOOKUP(I722,'Points Table A'!K$3:$L$33,2))</f>
        <v>#N/A</v>
      </c>
      <c r="Z722" s="4" t="e">
        <f t="shared" si="65"/>
        <v>#N/A</v>
      </c>
      <c r="AA722" s="4">
        <f>IF($S722=Lookups!$B$113,VLOOKUP(L722,'Points Table C'!A$3:$E$11,5),VLOOKUP(U722,'Points Table C'!B$3:$E$11,4))</f>
        <v>0</v>
      </c>
      <c r="AB722" s="4" t="e">
        <f>IF($Q722=1,0,VLOOKUP($J722,'Points Table C'!$C$3:$E$18,3))</f>
        <v>#N/A</v>
      </c>
      <c r="AC722" s="4">
        <f>VLOOKUP($K722,'Points Table C'!$D$3:$E$18,2)</f>
        <v>0</v>
      </c>
      <c r="AD722" s="4" t="e">
        <f>IF($Z722&lt;Lookups!$C$106,($AA722+AB722+AC722),IF($AA722&gt;=Lookups!$C$120,($AA722+AB722+AC722),$AA722+$AB722))</f>
        <v>#N/A</v>
      </c>
      <c r="AF722" s="7"/>
      <c r="AG722" s="7"/>
      <c r="AH722" s="7"/>
      <c r="AI722" s="7"/>
      <c r="AJ722" s="7"/>
      <c r="AK722" s="7"/>
      <c r="AL722" s="7"/>
      <c r="AM722" s="7"/>
      <c r="AN722" s="7"/>
      <c r="AO722" s="7"/>
      <c r="AP722" s="7"/>
      <c r="AQ722" s="7"/>
      <c r="AR722" s="7"/>
      <c r="AS722" s="7"/>
      <c r="AT722" s="7"/>
      <c r="AU722" s="7"/>
      <c r="AV722" s="7"/>
      <c r="AW722" s="7"/>
      <c r="AY722" s="7"/>
      <c r="AZ722" s="7"/>
      <c r="BA722" s="7"/>
      <c r="BB722" s="7"/>
    </row>
    <row r="723" spans="2:54" x14ac:dyDescent="0.2">
      <c r="B723" s="174"/>
      <c r="C723" s="176"/>
      <c r="F723" s="5">
        <v>0</v>
      </c>
      <c r="G723" s="192">
        <v>0</v>
      </c>
      <c r="H723" s="192">
        <v>0</v>
      </c>
      <c r="I723" s="5">
        <v>0</v>
      </c>
      <c r="J723" s="192">
        <v>0</v>
      </c>
      <c r="K723" s="192">
        <v>0</v>
      </c>
      <c r="L723" s="5">
        <v>0</v>
      </c>
      <c r="M723" s="5">
        <v>0</v>
      </c>
      <c r="N723" s="4" t="e">
        <f t="shared" si="61"/>
        <v>#N/A</v>
      </c>
      <c r="O723" s="4" t="e">
        <f>IF(ROUND(10.499-(((N723-VLOOKUP($C723,Lookups!$A$55:$D$64,3))/(VLOOKUP($C723,Lookups!$A$55:$D$64,4))*VLOOKUP($C723,Lookups!$C$2:$D$11,2))),0)&lt;1,1,IF(ROUND(10.499-(((N723-VLOOKUP($C723,Lookups!$A$55:$D$64,3))/(VLOOKUP($C723,Lookups!$A$55:$D$64,4))*VLOOKUP($C723,Lookups!$C$2:$D$11,2))),0)&lt;11,ROUND(10.499-(((N723-VLOOKUP($C723,Lookups!$A$55:$D$64,3))/(VLOOKUP($C723,Lookups!$A$55:$D$64,4))*VLOOKUP($C723,Lookups!$C$2:$D$11,2))),0),10))</f>
        <v>#N/A</v>
      </c>
      <c r="P723" s="13" t="str">
        <f>IF((SUM(F723:M723)=0),"J",VLOOKUP(O723,Lookups!$A$1:$B$11,2))</f>
        <v>J</v>
      </c>
      <c r="Q723" s="8" t="e">
        <f>VLOOKUP(C723,Lookups!$A$136:$C$144,3)</f>
        <v>#N/A</v>
      </c>
      <c r="R723" s="8" t="e">
        <f>VLOOKUP(C723,Lookups!$A$136:$C$144,2)</f>
        <v>#N/A</v>
      </c>
      <c r="S723" s="4" t="str">
        <f t="shared" si="62"/>
        <v>No</v>
      </c>
      <c r="T723" s="125">
        <f t="shared" si="63"/>
        <v>0</v>
      </c>
      <c r="U723" s="125">
        <f t="shared" si="64"/>
        <v>0</v>
      </c>
      <c r="V723" s="4" t="e">
        <f>IF($Q723&lt;&gt;3,VLOOKUP(F723,'Points Table A'!B$3:$F$33,5),VLOOKUP(F723,'Points Table A'!H$3:$L$33,5))</f>
        <v>#N/A</v>
      </c>
      <c r="W723" s="4" t="e">
        <f>IF($Q723&lt;&gt;3,VLOOKUP(G723,'Points Table A'!C$3:$F$33,4),VLOOKUP(G723,'Points Table A'!I$3:$L$33,4))</f>
        <v>#N/A</v>
      </c>
      <c r="X723" s="4" t="e">
        <f>IF($Q723&lt;&gt;3,VLOOKUP(H723,'Points Table A'!D$3:$F$28,3),VLOOKUP(H723,'Points Table A'!J$3:$L$33,3))</f>
        <v>#N/A</v>
      </c>
      <c r="Y723" s="4" t="e">
        <f>IF($Q723&lt;&gt;3,VLOOKUP(I723,'Points Table A'!E$3:$F$33,2),VLOOKUP(I723,'Points Table A'!K$3:$L$33,2))</f>
        <v>#N/A</v>
      </c>
      <c r="Z723" s="4" t="e">
        <f t="shared" si="65"/>
        <v>#N/A</v>
      </c>
      <c r="AA723" s="4">
        <f>IF($S723=Lookups!$B$113,VLOOKUP(L723,'Points Table C'!A$3:$E$11,5),VLOOKUP(U723,'Points Table C'!B$3:$E$11,4))</f>
        <v>0</v>
      </c>
      <c r="AB723" s="4" t="e">
        <f>IF($Q723=1,0,VLOOKUP($J723,'Points Table C'!$C$3:$E$18,3))</f>
        <v>#N/A</v>
      </c>
      <c r="AC723" s="4">
        <f>VLOOKUP($K723,'Points Table C'!$D$3:$E$18,2)</f>
        <v>0</v>
      </c>
      <c r="AD723" s="4" t="e">
        <f>IF($Z723&lt;Lookups!$C$106,($AA723+AB723+AC723),IF($AA723&gt;=Lookups!$C$120,($AA723+AB723+AC723),$AA723+$AB723))</f>
        <v>#N/A</v>
      </c>
      <c r="AF723" s="7"/>
      <c r="AG723" s="7"/>
      <c r="AH723" s="7"/>
      <c r="AI723" s="7"/>
      <c r="AJ723" s="7"/>
      <c r="AK723" s="7"/>
      <c r="AL723" s="7"/>
      <c r="AM723" s="7"/>
      <c r="AN723" s="7"/>
      <c r="AO723" s="7"/>
      <c r="AP723" s="7"/>
      <c r="AQ723" s="7"/>
      <c r="AR723" s="7"/>
      <c r="AS723" s="7"/>
      <c r="AT723" s="7"/>
      <c r="AU723" s="7"/>
      <c r="AV723" s="7"/>
      <c r="AW723" s="7"/>
      <c r="AY723" s="7"/>
      <c r="AZ723" s="7"/>
      <c r="BA723" s="7"/>
      <c r="BB723" s="7"/>
    </row>
    <row r="724" spans="2:54" x14ac:dyDescent="0.2">
      <c r="B724" s="174"/>
      <c r="C724" s="176"/>
      <c r="F724" s="5">
        <v>0</v>
      </c>
      <c r="G724" s="192">
        <v>0</v>
      </c>
      <c r="H724" s="192">
        <v>0</v>
      </c>
      <c r="I724" s="5">
        <v>0</v>
      </c>
      <c r="J724" s="192">
        <v>0</v>
      </c>
      <c r="K724" s="192">
        <v>0</v>
      </c>
      <c r="L724" s="5">
        <v>0</v>
      </c>
      <c r="M724" s="5">
        <v>0</v>
      </c>
      <c r="N724" s="4" t="e">
        <f t="shared" si="61"/>
        <v>#N/A</v>
      </c>
      <c r="O724" s="4" t="e">
        <f>IF(ROUND(10.499-(((N724-VLOOKUP($C724,Lookups!$A$55:$D$64,3))/(VLOOKUP($C724,Lookups!$A$55:$D$64,4))*VLOOKUP($C724,Lookups!$C$2:$D$11,2))),0)&lt;1,1,IF(ROUND(10.499-(((N724-VLOOKUP($C724,Lookups!$A$55:$D$64,3))/(VLOOKUP($C724,Lookups!$A$55:$D$64,4))*VLOOKUP($C724,Lookups!$C$2:$D$11,2))),0)&lt;11,ROUND(10.499-(((N724-VLOOKUP($C724,Lookups!$A$55:$D$64,3))/(VLOOKUP($C724,Lookups!$A$55:$D$64,4))*VLOOKUP($C724,Lookups!$C$2:$D$11,2))),0),10))</f>
        <v>#N/A</v>
      </c>
      <c r="P724" s="13" t="str">
        <f>IF((SUM(F724:M724)=0),"J",VLOOKUP(O724,Lookups!$A$1:$B$11,2))</f>
        <v>J</v>
      </c>
      <c r="Q724" s="8" t="e">
        <f>VLOOKUP(C724,Lookups!$A$136:$C$144,3)</f>
        <v>#N/A</v>
      </c>
      <c r="R724" s="8" t="e">
        <f>VLOOKUP(C724,Lookups!$A$136:$C$144,2)</f>
        <v>#N/A</v>
      </c>
      <c r="S724" s="4" t="str">
        <f t="shared" si="62"/>
        <v>No</v>
      </c>
      <c r="T724" s="125">
        <f t="shared" si="63"/>
        <v>0</v>
      </c>
      <c r="U724" s="125">
        <f t="shared" si="64"/>
        <v>0</v>
      </c>
      <c r="V724" s="4" t="e">
        <f>IF($Q724&lt;&gt;3,VLOOKUP(F724,'Points Table A'!B$3:$F$33,5),VLOOKUP(F724,'Points Table A'!H$3:$L$33,5))</f>
        <v>#N/A</v>
      </c>
      <c r="W724" s="4" t="e">
        <f>IF($Q724&lt;&gt;3,VLOOKUP(G724,'Points Table A'!C$3:$F$33,4),VLOOKUP(G724,'Points Table A'!I$3:$L$33,4))</f>
        <v>#N/A</v>
      </c>
      <c r="X724" s="4" t="e">
        <f>IF($Q724&lt;&gt;3,VLOOKUP(H724,'Points Table A'!D$3:$F$28,3),VLOOKUP(H724,'Points Table A'!J$3:$L$33,3))</f>
        <v>#N/A</v>
      </c>
      <c r="Y724" s="4" t="e">
        <f>IF($Q724&lt;&gt;3,VLOOKUP(I724,'Points Table A'!E$3:$F$33,2),VLOOKUP(I724,'Points Table A'!K$3:$L$33,2))</f>
        <v>#N/A</v>
      </c>
      <c r="Z724" s="4" t="e">
        <f t="shared" si="65"/>
        <v>#N/A</v>
      </c>
      <c r="AA724" s="4">
        <f>IF($S724=Lookups!$B$113,VLOOKUP(L724,'Points Table C'!A$3:$E$11,5),VLOOKUP(U724,'Points Table C'!B$3:$E$11,4))</f>
        <v>0</v>
      </c>
      <c r="AB724" s="4" t="e">
        <f>IF($Q724=1,0,VLOOKUP($J724,'Points Table C'!$C$3:$E$18,3))</f>
        <v>#N/A</v>
      </c>
      <c r="AC724" s="4">
        <f>VLOOKUP($K724,'Points Table C'!$D$3:$E$18,2)</f>
        <v>0</v>
      </c>
      <c r="AD724" s="4" t="e">
        <f>IF($Z724&lt;Lookups!$C$106,($AA724+AB724+AC724),IF($AA724&gt;=Lookups!$C$120,($AA724+AB724+AC724),$AA724+$AB724))</f>
        <v>#N/A</v>
      </c>
      <c r="AF724" s="7"/>
      <c r="AG724" s="7"/>
      <c r="AH724" s="7"/>
      <c r="AI724" s="7"/>
      <c r="AJ724" s="7"/>
      <c r="AK724" s="7"/>
      <c r="AL724" s="7"/>
      <c r="AM724" s="7"/>
      <c r="AN724" s="7"/>
      <c r="AO724" s="7"/>
      <c r="AP724" s="7"/>
      <c r="AQ724" s="7"/>
      <c r="AR724" s="7"/>
      <c r="AS724" s="7"/>
      <c r="AT724" s="7"/>
      <c r="AU724" s="7"/>
      <c r="AV724" s="7"/>
      <c r="AW724" s="7"/>
      <c r="AY724" s="7"/>
      <c r="AZ724" s="7"/>
      <c r="BA724" s="7"/>
      <c r="BB724" s="7"/>
    </row>
    <row r="725" spans="2:54" x14ac:dyDescent="0.2">
      <c r="B725" s="174"/>
      <c r="C725" s="176"/>
      <c r="F725" s="5">
        <v>0</v>
      </c>
      <c r="G725" s="192">
        <v>0</v>
      </c>
      <c r="H725" s="192">
        <v>0</v>
      </c>
      <c r="I725" s="5">
        <v>0</v>
      </c>
      <c r="J725" s="192">
        <v>0</v>
      </c>
      <c r="K725" s="192">
        <v>0</v>
      </c>
      <c r="L725" s="5">
        <v>0</v>
      </c>
      <c r="M725" s="5">
        <v>0</v>
      </c>
      <c r="N725" s="4" t="e">
        <f t="shared" si="61"/>
        <v>#N/A</v>
      </c>
      <c r="O725" s="4" t="e">
        <f>IF(ROUND(10.499-(((N725-VLOOKUP($C725,Lookups!$A$55:$D$64,3))/(VLOOKUP($C725,Lookups!$A$55:$D$64,4))*VLOOKUP($C725,Lookups!$C$2:$D$11,2))),0)&lt;1,1,IF(ROUND(10.499-(((N725-VLOOKUP($C725,Lookups!$A$55:$D$64,3))/(VLOOKUP($C725,Lookups!$A$55:$D$64,4))*VLOOKUP($C725,Lookups!$C$2:$D$11,2))),0)&lt;11,ROUND(10.499-(((N725-VLOOKUP($C725,Lookups!$A$55:$D$64,3))/(VLOOKUP($C725,Lookups!$A$55:$D$64,4))*VLOOKUP($C725,Lookups!$C$2:$D$11,2))),0),10))</f>
        <v>#N/A</v>
      </c>
      <c r="P725" s="13" t="str">
        <f>IF((SUM(F725:M725)=0),"J",VLOOKUP(O725,Lookups!$A$1:$B$11,2))</f>
        <v>J</v>
      </c>
      <c r="Q725" s="8" t="e">
        <f>VLOOKUP(C725,Lookups!$A$136:$C$144,3)</f>
        <v>#N/A</v>
      </c>
      <c r="R725" s="8" t="e">
        <f>VLOOKUP(C725,Lookups!$A$136:$C$144,2)</f>
        <v>#N/A</v>
      </c>
      <c r="S725" s="4" t="str">
        <f t="shared" si="62"/>
        <v>No</v>
      </c>
      <c r="T725" s="125">
        <f t="shared" si="63"/>
        <v>0</v>
      </c>
      <c r="U725" s="125">
        <f t="shared" si="64"/>
        <v>0</v>
      </c>
      <c r="V725" s="4" t="e">
        <f>IF($Q725&lt;&gt;3,VLOOKUP(F725,'Points Table A'!B$3:$F$33,5),VLOOKUP(F725,'Points Table A'!H$3:$L$33,5))</f>
        <v>#N/A</v>
      </c>
      <c r="W725" s="4" t="e">
        <f>IF($Q725&lt;&gt;3,VLOOKUP(G725,'Points Table A'!C$3:$F$33,4),VLOOKUP(G725,'Points Table A'!I$3:$L$33,4))</f>
        <v>#N/A</v>
      </c>
      <c r="X725" s="4" t="e">
        <f>IF($Q725&lt;&gt;3,VLOOKUP(H725,'Points Table A'!D$3:$F$28,3),VLOOKUP(H725,'Points Table A'!J$3:$L$33,3))</f>
        <v>#N/A</v>
      </c>
      <c r="Y725" s="4" t="e">
        <f>IF($Q725&lt;&gt;3,VLOOKUP(I725,'Points Table A'!E$3:$F$33,2),VLOOKUP(I725,'Points Table A'!K$3:$L$33,2))</f>
        <v>#N/A</v>
      </c>
      <c r="Z725" s="4" t="e">
        <f t="shared" si="65"/>
        <v>#N/A</v>
      </c>
      <c r="AA725" s="4">
        <f>IF($S725=Lookups!$B$113,VLOOKUP(L725,'Points Table C'!A$3:$E$11,5),VLOOKUP(U725,'Points Table C'!B$3:$E$11,4))</f>
        <v>0</v>
      </c>
      <c r="AB725" s="4" t="e">
        <f>IF($Q725=1,0,VLOOKUP($J725,'Points Table C'!$C$3:$E$18,3))</f>
        <v>#N/A</v>
      </c>
      <c r="AC725" s="4">
        <f>VLOOKUP($K725,'Points Table C'!$D$3:$E$18,2)</f>
        <v>0</v>
      </c>
      <c r="AD725" s="4" t="e">
        <f>IF($Z725&lt;Lookups!$C$106,($AA725+AB725+AC725),IF($AA725&gt;=Lookups!$C$120,($AA725+AB725+AC725),$AA725+$AB725))</f>
        <v>#N/A</v>
      </c>
      <c r="AF725" s="7"/>
      <c r="AG725" s="7"/>
      <c r="AH725" s="7"/>
      <c r="AI725" s="7"/>
      <c r="AJ725" s="7"/>
      <c r="AK725" s="7"/>
      <c r="AL725" s="7"/>
      <c r="AM725" s="7"/>
      <c r="AN725" s="7"/>
      <c r="AO725" s="7"/>
      <c r="AP725" s="7"/>
      <c r="AQ725" s="7"/>
      <c r="AR725" s="7"/>
      <c r="AS725" s="7"/>
      <c r="AT725" s="7"/>
      <c r="AU725" s="7"/>
      <c r="AV725" s="7"/>
      <c r="AW725" s="7"/>
      <c r="AY725" s="7"/>
      <c r="AZ725" s="7"/>
      <c r="BA725" s="7"/>
      <c r="BB725" s="7"/>
    </row>
    <row r="726" spans="2:54" x14ac:dyDescent="0.2">
      <c r="B726" s="174"/>
      <c r="C726" s="176"/>
      <c r="F726" s="5">
        <v>0</v>
      </c>
      <c r="G726" s="192">
        <v>0</v>
      </c>
      <c r="H726" s="192">
        <v>0</v>
      </c>
      <c r="I726" s="5">
        <v>0</v>
      </c>
      <c r="J726" s="192">
        <v>0</v>
      </c>
      <c r="K726" s="192">
        <v>0</v>
      </c>
      <c r="L726" s="5">
        <v>0</v>
      </c>
      <c r="M726" s="5">
        <v>0</v>
      </c>
      <c r="N726" s="4" t="e">
        <f t="shared" si="61"/>
        <v>#N/A</v>
      </c>
      <c r="O726" s="4" t="e">
        <f>IF(ROUND(10.499-(((N726-VLOOKUP($C726,Lookups!$A$55:$D$64,3))/(VLOOKUP($C726,Lookups!$A$55:$D$64,4))*VLOOKUP($C726,Lookups!$C$2:$D$11,2))),0)&lt;1,1,IF(ROUND(10.499-(((N726-VLOOKUP($C726,Lookups!$A$55:$D$64,3))/(VLOOKUP($C726,Lookups!$A$55:$D$64,4))*VLOOKUP($C726,Lookups!$C$2:$D$11,2))),0)&lt;11,ROUND(10.499-(((N726-VLOOKUP($C726,Lookups!$A$55:$D$64,3))/(VLOOKUP($C726,Lookups!$A$55:$D$64,4))*VLOOKUP($C726,Lookups!$C$2:$D$11,2))),0),10))</f>
        <v>#N/A</v>
      </c>
      <c r="P726" s="13" t="str">
        <f>IF((SUM(F726:M726)=0),"J",VLOOKUP(O726,Lookups!$A$1:$B$11,2))</f>
        <v>J</v>
      </c>
      <c r="Q726" s="8" t="e">
        <f>VLOOKUP(C726,Lookups!$A$136:$C$144,3)</f>
        <v>#N/A</v>
      </c>
      <c r="R726" s="8" t="e">
        <f>VLOOKUP(C726,Lookups!$A$136:$C$144,2)</f>
        <v>#N/A</v>
      </c>
      <c r="S726" s="4" t="str">
        <f t="shared" si="62"/>
        <v>No</v>
      </c>
      <c r="T726" s="125">
        <f t="shared" si="63"/>
        <v>0</v>
      </c>
      <c r="U726" s="125">
        <f t="shared" si="64"/>
        <v>0</v>
      </c>
      <c r="V726" s="4" t="e">
        <f>IF($Q726&lt;&gt;3,VLOOKUP(F726,'Points Table A'!B$3:$F$33,5),VLOOKUP(F726,'Points Table A'!H$3:$L$33,5))</f>
        <v>#N/A</v>
      </c>
      <c r="W726" s="4" t="e">
        <f>IF($Q726&lt;&gt;3,VLOOKUP(G726,'Points Table A'!C$3:$F$33,4),VLOOKUP(G726,'Points Table A'!I$3:$L$33,4))</f>
        <v>#N/A</v>
      </c>
      <c r="X726" s="4" t="e">
        <f>IF($Q726&lt;&gt;3,VLOOKUP(H726,'Points Table A'!D$3:$F$28,3),VLOOKUP(H726,'Points Table A'!J$3:$L$33,3))</f>
        <v>#N/A</v>
      </c>
      <c r="Y726" s="4" t="e">
        <f>IF($Q726&lt;&gt;3,VLOOKUP(I726,'Points Table A'!E$3:$F$33,2),VLOOKUP(I726,'Points Table A'!K$3:$L$33,2))</f>
        <v>#N/A</v>
      </c>
      <c r="Z726" s="4" t="e">
        <f t="shared" si="65"/>
        <v>#N/A</v>
      </c>
      <c r="AA726" s="4">
        <f>IF($S726=Lookups!$B$113,VLOOKUP(L726,'Points Table C'!A$3:$E$11,5),VLOOKUP(U726,'Points Table C'!B$3:$E$11,4))</f>
        <v>0</v>
      </c>
      <c r="AB726" s="4" t="e">
        <f>IF($Q726=1,0,VLOOKUP($J726,'Points Table C'!$C$3:$E$18,3))</f>
        <v>#N/A</v>
      </c>
      <c r="AC726" s="4">
        <f>VLOOKUP($K726,'Points Table C'!$D$3:$E$18,2)</f>
        <v>0</v>
      </c>
      <c r="AD726" s="4" t="e">
        <f>IF($Z726&lt;Lookups!$C$106,($AA726+AB726+AC726),IF($AA726&gt;=Lookups!$C$120,($AA726+AB726+AC726),$AA726+$AB726))</f>
        <v>#N/A</v>
      </c>
      <c r="AF726" s="7"/>
      <c r="AG726" s="7"/>
      <c r="AH726" s="7"/>
      <c r="AI726" s="7"/>
      <c r="AJ726" s="7"/>
      <c r="AK726" s="7"/>
      <c r="AL726" s="7"/>
      <c r="AM726" s="7"/>
      <c r="AN726" s="7"/>
      <c r="AO726" s="7"/>
      <c r="AP726" s="7"/>
      <c r="AQ726" s="7"/>
      <c r="AR726" s="7"/>
      <c r="AS726" s="7"/>
      <c r="AT726" s="7"/>
      <c r="AU726" s="7"/>
      <c r="AV726" s="7"/>
      <c r="AW726" s="7"/>
      <c r="AY726" s="7"/>
      <c r="AZ726" s="7"/>
      <c r="BA726" s="7"/>
      <c r="BB726" s="7"/>
    </row>
    <row r="727" spans="2:54" x14ac:dyDescent="0.2">
      <c r="B727" s="174"/>
      <c r="C727" s="176"/>
      <c r="F727" s="5">
        <v>0</v>
      </c>
      <c r="G727" s="192">
        <v>0</v>
      </c>
      <c r="H727" s="192">
        <v>0</v>
      </c>
      <c r="I727" s="5">
        <v>0</v>
      </c>
      <c r="J727" s="192">
        <v>0</v>
      </c>
      <c r="K727" s="192">
        <v>0</v>
      </c>
      <c r="L727" s="5">
        <v>0</v>
      </c>
      <c r="M727" s="5">
        <v>0</v>
      </c>
      <c r="N727" s="4" t="e">
        <f t="shared" si="61"/>
        <v>#N/A</v>
      </c>
      <c r="O727" s="4" t="e">
        <f>IF(ROUND(10.499-(((N727-VLOOKUP($C727,Lookups!$A$55:$D$64,3))/(VLOOKUP($C727,Lookups!$A$55:$D$64,4))*VLOOKUP($C727,Lookups!$C$2:$D$11,2))),0)&lt;1,1,IF(ROUND(10.499-(((N727-VLOOKUP($C727,Lookups!$A$55:$D$64,3))/(VLOOKUP($C727,Lookups!$A$55:$D$64,4))*VLOOKUP($C727,Lookups!$C$2:$D$11,2))),0)&lt;11,ROUND(10.499-(((N727-VLOOKUP($C727,Lookups!$A$55:$D$64,3))/(VLOOKUP($C727,Lookups!$A$55:$D$64,4))*VLOOKUP($C727,Lookups!$C$2:$D$11,2))),0),10))</f>
        <v>#N/A</v>
      </c>
      <c r="P727" s="13" t="str">
        <f>IF((SUM(F727:M727)=0),"J",VLOOKUP(O727,Lookups!$A$1:$B$11,2))</f>
        <v>J</v>
      </c>
      <c r="Q727" s="8" t="e">
        <f>VLOOKUP(C727,Lookups!$A$136:$C$144,3)</f>
        <v>#N/A</v>
      </c>
      <c r="R727" s="8" t="e">
        <f>VLOOKUP(C727,Lookups!$A$136:$C$144,2)</f>
        <v>#N/A</v>
      </c>
      <c r="S727" s="4" t="str">
        <f t="shared" si="62"/>
        <v>No</v>
      </c>
      <c r="T727" s="125">
        <f t="shared" si="63"/>
        <v>0</v>
      </c>
      <c r="U727" s="125">
        <f t="shared" si="64"/>
        <v>0</v>
      </c>
      <c r="V727" s="4" t="e">
        <f>IF($Q727&lt;&gt;3,VLOOKUP(F727,'Points Table A'!B$3:$F$33,5),VLOOKUP(F727,'Points Table A'!H$3:$L$33,5))</f>
        <v>#N/A</v>
      </c>
      <c r="W727" s="4" t="e">
        <f>IF($Q727&lt;&gt;3,VLOOKUP(G727,'Points Table A'!C$3:$F$33,4),VLOOKUP(G727,'Points Table A'!I$3:$L$33,4))</f>
        <v>#N/A</v>
      </c>
      <c r="X727" s="4" t="e">
        <f>IF($Q727&lt;&gt;3,VLOOKUP(H727,'Points Table A'!D$3:$F$28,3),VLOOKUP(H727,'Points Table A'!J$3:$L$33,3))</f>
        <v>#N/A</v>
      </c>
      <c r="Y727" s="4" t="e">
        <f>IF($Q727&lt;&gt;3,VLOOKUP(I727,'Points Table A'!E$3:$F$33,2),VLOOKUP(I727,'Points Table A'!K$3:$L$33,2))</f>
        <v>#N/A</v>
      </c>
      <c r="Z727" s="4" t="e">
        <f t="shared" si="65"/>
        <v>#N/A</v>
      </c>
      <c r="AA727" s="4">
        <f>IF($S727=Lookups!$B$113,VLOOKUP(L727,'Points Table C'!A$3:$E$11,5),VLOOKUP(U727,'Points Table C'!B$3:$E$11,4))</f>
        <v>0</v>
      </c>
      <c r="AB727" s="4" t="e">
        <f>IF($Q727=1,0,VLOOKUP($J727,'Points Table C'!$C$3:$E$18,3))</f>
        <v>#N/A</v>
      </c>
      <c r="AC727" s="4">
        <f>VLOOKUP($K727,'Points Table C'!$D$3:$E$18,2)</f>
        <v>0</v>
      </c>
      <c r="AD727" s="4" t="e">
        <f>IF($Z727&lt;Lookups!$C$106,($AA727+AB727+AC727),IF($AA727&gt;=Lookups!$C$120,($AA727+AB727+AC727),$AA727+$AB727))</f>
        <v>#N/A</v>
      </c>
      <c r="AF727" s="7"/>
      <c r="AG727" s="7"/>
      <c r="AH727" s="7"/>
      <c r="AI727" s="7"/>
      <c r="AJ727" s="7"/>
      <c r="AK727" s="7"/>
      <c r="AL727" s="7"/>
      <c r="AM727" s="7"/>
      <c r="AN727" s="7"/>
      <c r="AO727" s="7"/>
      <c r="AP727" s="7"/>
      <c r="AQ727" s="7"/>
      <c r="AR727" s="7"/>
      <c r="AS727" s="7"/>
      <c r="AT727" s="7"/>
      <c r="AU727" s="7"/>
      <c r="AV727" s="7"/>
      <c r="AW727" s="7"/>
      <c r="AY727" s="7"/>
      <c r="AZ727" s="7"/>
      <c r="BA727" s="7"/>
      <c r="BB727" s="7"/>
    </row>
    <row r="728" spans="2:54" x14ac:dyDescent="0.2">
      <c r="B728" s="174"/>
      <c r="C728" s="176"/>
      <c r="F728" s="5">
        <v>0</v>
      </c>
      <c r="G728" s="192">
        <v>0</v>
      </c>
      <c r="H728" s="192">
        <v>0</v>
      </c>
      <c r="I728" s="5">
        <v>0</v>
      </c>
      <c r="J728" s="192">
        <v>0</v>
      </c>
      <c r="K728" s="192">
        <v>0</v>
      </c>
      <c r="L728" s="5">
        <v>0</v>
      </c>
      <c r="M728" s="5">
        <v>0</v>
      </c>
      <c r="N728" s="4" t="e">
        <f t="shared" si="61"/>
        <v>#N/A</v>
      </c>
      <c r="O728" s="4" t="e">
        <f>IF(ROUND(10.499-(((N728-VLOOKUP($C728,Lookups!$A$55:$D$64,3))/(VLOOKUP($C728,Lookups!$A$55:$D$64,4))*VLOOKUP($C728,Lookups!$C$2:$D$11,2))),0)&lt;1,1,IF(ROUND(10.499-(((N728-VLOOKUP($C728,Lookups!$A$55:$D$64,3))/(VLOOKUP($C728,Lookups!$A$55:$D$64,4))*VLOOKUP($C728,Lookups!$C$2:$D$11,2))),0)&lt;11,ROUND(10.499-(((N728-VLOOKUP($C728,Lookups!$A$55:$D$64,3))/(VLOOKUP($C728,Lookups!$A$55:$D$64,4))*VLOOKUP($C728,Lookups!$C$2:$D$11,2))),0),10))</f>
        <v>#N/A</v>
      </c>
      <c r="P728" s="13" t="str">
        <f>IF((SUM(F728:M728)=0),"J",VLOOKUP(O728,Lookups!$A$1:$B$11,2))</f>
        <v>J</v>
      </c>
      <c r="Q728" s="8" t="e">
        <f>VLOOKUP(C728,Lookups!$A$136:$C$144,3)</f>
        <v>#N/A</v>
      </c>
      <c r="R728" s="8" t="e">
        <f>VLOOKUP(C728,Lookups!$A$136:$C$144,2)</f>
        <v>#N/A</v>
      </c>
      <c r="S728" s="4" t="str">
        <f t="shared" si="62"/>
        <v>No</v>
      </c>
      <c r="T728" s="125">
        <f t="shared" si="63"/>
        <v>0</v>
      </c>
      <c r="U728" s="125">
        <f t="shared" si="64"/>
        <v>0</v>
      </c>
      <c r="V728" s="4" t="e">
        <f>IF($Q728&lt;&gt;3,VLOOKUP(F728,'Points Table A'!B$3:$F$33,5),VLOOKUP(F728,'Points Table A'!H$3:$L$33,5))</f>
        <v>#N/A</v>
      </c>
      <c r="W728" s="4" t="e">
        <f>IF($Q728&lt;&gt;3,VLOOKUP(G728,'Points Table A'!C$3:$F$33,4),VLOOKUP(G728,'Points Table A'!I$3:$L$33,4))</f>
        <v>#N/A</v>
      </c>
      <c r="X728" s="4" t="e">
        <f>IF($Q728&lt;&gt;3,VLOOKUP(H728,'Points Table A'!D$3:$F$28,3),VLOOKUP(H728,'Points Table A'!J$3:$L$33,3))</f>
        <v>#N/A</v>
      </c>
      <c r="Y728" s="4" t="e">
        <f>IF($Q728&lt;&gt;3,VLOOKUP(I728,'Points Table A'!E$3:$F$33,2),VLOOKUP(I728,'Points Table A'!K$3:$L$33,2))</f>
        <v>#N/A</v>
      </c>
      <c r="Z728" s="4" t="e">
        <f t="shared" si="65"/>
        <v>#N/A</v>
      </c>
      <c r="AA728" s="4">
        <f>IF($S728=Lookups!$B$113,VLOOKUP(L728,'Points Table C'!A$3:$E$11,5),VLOOKUP(U728,'Points Table C'!B$3:$E$11,4))</f>
        <v>0</v>
      </c>
      <c r="AB728" s="4" t="e">
        <f>IF($Q728=1,0,VLOOKUP($J728,'Points Table C'!$C$3:$E$18,3))</f>
        <v>#N/A</v>
      </c>
      <c r="AC728" s="4">
        <f>VLOOKUP($K728,'Points Table C'!$D$3:$E$18,2)</f>
        <v>0</v>
      </c>
      <c r="AD728" s="4" t="e">
        <f>IF($Z728&lt;Lookups!$C$106,($AA728+AB728+AC728),IF($AA728&gt;=Lookups!$C$120,($AA728+AB728+AC728),$AA728+$AB728))</f>
        <v>#N/A</v>
      </c>
      <c r="AF728" s="7"/>
      <c r="AG728" s="7"/>
      <c r="AH728" s="7"/>
      <c r="AI728" s="7"/>
      <c r="AJ728" s="7"/>
      <c r="AK728" s="7"/>
      <c r="AL728" s="7"/>
      <c r="AM728" s="7"/>
      <c r="AN728" s="7"/>
      <c r="AO728" s="7"/>
      <c r="AP728" s="7"/>
      <c r="AQ728" s="7"/>
      <c r="AR728" s="7"/>
      <c r="AS728" s="7"/>
      <c r="AT728" s="7"/>
      <c r="AU728" s="7"/>
      <c r="AV728" s="7"/>
      <c r="AW728" s="7"/>
      <c r="AY728" s="7"/>
      <c r="AZ728" s="7"/>
      <c r="BA728" s="7"/>
      <c r="BB728" s="7"/>
    </row>
    <row r="729" spans="2:54" x14ac:dyDescent="0.2">
      <c r="B729" s="174"/>
      <c r="C729" s="176"/>
      <c r="F729" s="5">
        <v>0</v>
      </c>
      <c r="G729" s="192">
        <v>0</v>
      </c>
      <c r="H729" s="192">
        <v>0</v>
      </c>
      <c r="I729" s="5">
        <v>0</v>
      </c>
      <c r="J729" s="192">
        <v>0</v>
      </c>
      <c r="K729" s="192">
        <v>0</v>
      </c>
      <c r="L729" s="5">
        <v>0</v>
      </c>
      <c r="M729" s="5">
        <v>0</v>
      </c>
      <c r="N729" s="4" t="e">
        <f t="shared" si="61"/>
        <v>#N/A</v>
      </c>
      <c r="O729" s="4" t="e">
        <f>IF(ROUND(10.499-(((N729-VLOOKUP($C729,Lookups!$A$55:$D$64,3))/(VLOOKUP($C729,Lookups!$A$55:$D$64,4))*VLOOKUP($C729,Lookups!$C$2:$D$11,2))),0)&lt;1,1,IF(ROUND(10.499-(((N729-VLOOKUP($C729,Lookups!$A$55:$D$64,3))/(VLOOKUP($C729,Lookups!$A$55:$D$64,4))*VLOOKUP($C729,Lookups!$C$2:$D$11,2))),0)&lt;11,ROUND(10.499-(((N729-VLOOKUP($C729,Lookups!$A$55:$D$64,3))/(VLOOKUP($C729,Lookups!$A$55:$D$64,4))*VLOOKUP($C729,Lookups!$C$2:$D$11,2))),0),10))</f>
        <v>#N/A</v>
      </c>
      <c r="P729" s="13" t="str">
        <f>IF((SUM(F729:M729)=0),"J",VLOOKUP(O729,Lookups!$A$1:$B$11,2))</f>
        <v>J</v>
      </c>
      <c r="Q729" s="8" t="e">
        <f>VLOOKUP(C729,Lookups!$A$136:$C$144,3)</f>
        <v>#N/A</v>
      </c>
      <c r="R729" s="8" t="e">
        <f>VLOOKUP(C729,Lookups!$A$136:$C$144,2)</f>
        <v>#N/A</v>
      </c>
      <c r="S729" s="4" t="str">
        <f t="shared" si="62"/>
        <v>No</v>
      </c>
      <c r="T729" s="125">
        <f t="shared" si="63"/>
        <v>0</v>
      </c>
      <c r="U729" s="125">
        <f t="shared" si="64"/>
        <v>0</v>
      </c>
      <c r="V729" s="4" t="e">
        <f>IF($Q729&lt;&gt;3,VLOOKUP(F729,'Points Table A'!B$3:$F$33,5),VLOOKUP(F729,'Points Table A'!H$3:$L$33,5))</f>
        <v>#N/A</v>
      </c>
      <c r="W729" s="4" t="e">
        <f>IF($Q729&lt;&gt;3,VLOOKUP(G729,'Points Table A'!C$3:$F$33,4),VLOOKUP(G729,'Points Table A'!I$3:$L$33,4))</f>
        <v>#N/A</v>
      </c>
      <c r="X729" s="4" t="e">
        <f>IF($Q729&lt;&gt;3,VLOOKUP(H729,'Points Table A'!D$3:$F$28,3),VLOOKUP(H729,'Points Table A'!J$3:$L$33,3))</f>
        <v>#N/A</v>
      </c>
      <c r="Y729" s="4" t="e">
        <f>IF($Q729&lt;&gt;3,VLOOKUP(I729,'Points Table A'!E$3:$F$33,2),VLOOKUP(I729,'Points Table A'!K$3:$L$33,2))</f>
        <v>#N/A</v>
      </c>
      <c r="Z729" s="4" t="e">
        <f t="shared" si="65"/>
        <v>#N/A</v>
      </c>
      <c r="AA729" s="4">
        <f>IF($S729=Lookups!$B$113,VLOOKUP(L729,'Points Table C'!A$3:$E$11,5),VLOOKUP(U729,'Points Table C'!B$3:$E$11,4))</f>
        <v>0</v>
      </c>
      <c r="AB729" s="4" t="e">
        <f>IF($Q729=1,0,VLOOKUP($J729,'Points Table C'!$C$3:$E$18,3))</f>
        <v>#N/A</v>
      </c>
      <c r="AC729" s="4">
        <f>VLOOKUP($K729,'Points Table C'!$D$3:$E$18,2)</f>
        <v>0</v>
      </c>
      <c r="AD729" s="4" t="e">
        <f>IF($Z729&lt;Lookups!$C$106,($AA729+AB729+AC729),IF($AA729&gt;=Lookups!$C$120,($AA729+AB729+AC729),$AA729+$AB729))</f>
        <v>#N/A</v>
      </c>
      <c r="AF729" s="7"/>
      <c r="AG729" s="7"/>
      <c r="AH729" s="7"/>
      <c r="AI729" s="7"/>
      <c r="AJ729" s="7"/>
      <c r="AK729" s="7"/>
      <c r="AL729" s="7"/>
      <c r="AM729" s="7"/>
      <c r="AN729" s="7"/>
      <c r="AO729" s="7"/>
      <c r="AP729" s="7"/>
      <c r="AQ729" s="7"/>
      <c r="AR729" s="7"/>
      <c r="AS729" s="7"/>
      <c r="AT729" s="7"/>
      <c r="AU729" s="7"/>
      <c r="AV729" s="7"/>
      <c r="AW729" s="7"/>
      <c r="AY729" s="7"/>
      <c r="AZ729" s="7"/>
      <c r="BA729" s="7"/>
      <c r="BB729" s="7"/>
    </row>
    <row r="730" spans="2:54" x14ac:dyDescent="0.2">
      <c r="B730" s="174"/>
      <c r="C730" s="176"/>
      <c r="F730" s="5">
        <v>0</v>
      </c>
      <c r="G730" s="192">
        <v>0</v>
      </c>
      <c r="H730" s="192">
        <v>0</v>
      </c>
      <c r="I730" s="5">
        <v>0</v>
      </c>
      <c r="J730" s="192">
        <v>0</v>
      </c>
      <c r="K730" s="192">
        <v>0</v>
      </c>
      <c r="L730" s="5">
        <v>0</v>
      </c>
      <c r="M730" s="5">
        <v>0</v>
      </c>
      <c r="N730" s="4" t="e">
        <f t="shared" si="61"/>
        <v>#N/A</v>
      </c>
      <c r="O730" s="4" t="e">
        <f>IF(ROUND(10.499-(((N730-VLOOKUP($C730,Lookups!$A$55:$D$64,3))/(VLOOKUP($C730,Lookups!$A$55:$D$64,4))*VLOOKUP($C730,Lookups!$C$2:$D$11,2))),0)&lt;1,1,IF(ROUND(10.499-(((N730-VLOOKUP($C730,Lookups!$A$55:$D$64,3))/(VLOOKUP($C730,Lookups!$A$55:$D$64,4))*VLOOKUP($C730,Lookups!$C$2:$D$11,2))),0)&lt;11,ROUND(10.499-(((N730-VLOOKUP($C730,Lookups!$A$55:$D$64,3))/(VLOOKUP($C730,Lookups!$A$55:$D$64,4))*VLOOKUP($C730,Lookups!$C$2:$D$11,2))),0),10))</f>
        <v>#N/A</v>
      </c>
      <c r="P730" s="13" t="str">
        <f>IF((SUM(F730:M730)=0),"J",VLOOKUP(O730,Lookups!$A$1:$B$11,2))</f>
        <v>J</v>
      </c>
      <c r="Q730" s="8" t="e">
        <f>VLOOKUP(C730,Lookups!$A$136:$C$144,3)</f>
        <v>#N/A</v>
      </c>
      <c r="R730" s="8" t="e">
        <f>VLOOKUP(C730,Lookups!$A$136:$C$144,2)</f>
        <v>#N/A</v>
      </c>
      <c r="S730" s="4" t="str">
        <f t="shared" si="62"/>
        <v>No</v>
      </c>
      <c r="T730" s="125">
        <f t="shared" si="63"/>
        <v>0</v>
      </c>
      <c r="U730" s="125">
        <f t="shared" si="64"/>
        <v>0</v>
      </c>
      <c r="V730" s="4" t="e">
        <f>IF($Q730&lt;&gt;3,VLOOKUP(F730,'Points Table A'!B$3:$F$33,5),VLOOKUP(F730,'Points Table A'!H$3:$L$33,5))</f>
        <v>#N/A</v>
      </c>
      <c r="W730" s="4" t="e">
        <f>IF($Q730&lt;&gt;3,VLOOKUP(G730,'Points Table A'!C$3:$F$33,4),VLOOKUP(G730,'Points Table A'!I$3:$L$33,4))</f>
        <v>#N/A</v>
      </c>
      <c r="X730" s="4" t="e">
        <f>IF($Q730&lt;&gt;3,VLOOKUP(H730,'Points Table A'!D$3:$F$28,3),VLOOKUP(H730,'Points Table A'!J$3:$L$33,3))</f>
        <v>#N/A</v>
      </c>
      <c r="Y730" s="4" t="e">
        <f>IF($Q730&lt;&gt;3,VLOOKUP(I730,'Points Table A'!E$3:$F$33,2),VLOOKUP(I730,'Points Table A'!K$3:$L$33,2))</f>
        <v>#N/A</v>
      </c>
      <c r="Z730" s="4" t="e">
        <f t="shared" si="65"/>
        <v>#N/A</v>
      </c>
      <c r="AA730" s="4">
        <f>IF($S730=Lookups!$B$113,VLOOKUP(L730,'Points Table C'!A$3:$E$11,5),VLOOKUP(U730,'Points Table C'!B$3:$E$11,4))</f>
        <v>0</v>
      </c>
      <c r="AB730" s="4" t="e">
        <f>IF($Q730=1,0,VLOOKUP($J730,'Points Table C'!$C$3:$E$18,3))</f>
        <v>#N/A</v>
      </c>
      <c r="AC730" s="4">
        <f>VLOOKUP($K730,'Points Table C'!$D$3:$E$18,2)</f>
        <v>0</v>
      </c>
      <c r="AD730" s="4" t="e">
        <f>IF($Z730&lt;Lookups!$C$106,($AA730+AB730+AC730),IF($AA730&gt;=Lookups!$C$120,($AA730+AB730+AC730),$AA730+$AB730))</f>
        <v>#N/A</v>
      </c>
      <c r="AF730" s="7"/>
      <c r="AG730" s="7"/>
      <c r="AH730" s="7"/>
      <c r="AI730" s="7"/>
      <c r="AJ730" s="7"/>
      <c r="AK730" s="7"/>
      <c r="AL730" s="7"/>
      <c r="AM730" s="7"/>
      <c r="AN730" s="7"/>
      <c r="AO730" s="7"/>
      <c r="AP730" s="7"/>
      <c r="AQ730" s="7"/>
      <c r="AR730" s="7"/>
      <c r="AS730" s="7"/>
      <c r="AT730" s="7"/>
      <c r="AU730" s="7"/>
      <c r="AV730" s="7"/>
      <c r="AW730" s="7"/>
      <c r="AY730" s="7"/>
      <c r="AZ730" s="7"/>
      <c r="BA730" s="7"/>
      <c r="BB730" s="7"/>
    </row>
    <row r="731" spans="2:54" x14ac:dyDescent="0.2">
      <c r="B731" s="174"/>
      <c r="C731" s="176"/>
      <c r="F731" s="5">
        <v>0</v>
      </c>
      <c r="G731" s="192">
        <v>0</v>
      </c>
      <c r="H731" s="192">
        <v>0</v>
      </c>
      <c r="I731" s="5">
        <v>0</v>
      </c>
      <c r="J731" s="192">
        <v>0</v>
      </c>
      <c r="K731" s="192">
        <v>0</v>
      </c>
      <c r="L731" s="5">
        <v>0</v>
      </c>
      <c r="M731" s="5">
        <v>0</v>
      </c>
      <c r="N731" s="4" t="e">
        <f t="shared" si="61"/>
        <v>#N/A</v>
      </c>
      <c r="O731" s="4" t="e">
        <f>IF(ROUND(10.499-(((N731-VLOOKUP($C731,Lookups!$A$55:$D$64,3))/(VLOOKUP($C731,Lookups!$A$55:$D$64,4))*VLOOKUP($C731,Lookups!$C$2:$D$11,2))),0)&lt;1,1,IF(ROUND(10.499-(((N731-VLOOKUP($C731,Lookups!$A$55:$D$64,3))/(VLOOKUP($C731,Lookups!$A$55:$D$64,4))*VLOOKUP($C731,Lookups!$C$2:$D$11,2))),0)&lt;11,ROUND(10.499-(((N731-VLOOKUP($C731,Lookups!$A$55:$D$64,3))/(VLOOKUP($C731,Lookups!$A$55:$D$64,4))*VLOOKUP($C731,Lookups!$C$2:$D$11,2))),0),10))</f>
        <v>#N/A</v>
      </c>
      <c r="P731" s="13" t="str">
        <f>IF((SUM(F731:M731)=0),"J",VLOOKUP(O731,Lookups!$A$1:$B$11,2))</f>
        <v>J</v>
      </c>
      <c r="Q731" s="8" t="e">
        <f>VLOOKUP(C731,Lookups!$A$136:$C$144,3)</f>
        <v>#N/A</v>
      </c>
      <c r="R731" s="8" t="e">
        <f>VLOOKUP(C731,Lookups!$A$136:$C$144,2)</f>
        <v>#N/A</v>
      </c>
      <c r="S731" s="4" t="str">
        <f t="shared" si="62"/>
        <v>No</v>
      </c>
      <c r="T731" s="125">
        <f t="shared" si="63"/>
        <v>0</v>
      </c>
      <c r="U731" s="125">
        <f t="shared" si="64"/>
        <v>0</v>
      </c>
      <c r="V731" s="4" t="e">
        <f>IF($Q731&lt;&gt;3,VLOOKUP(F731,'Points Table A'!B$3:$F$33,5),VLOOKUP(F731,'Points Table A'!H$3:$L$33,5))</f>
        <v>#N/A</v>
      </c>
      <c r="W731" s="4" t="e">
        <f>IF($Q731&lt;&gt;3,VLOOKUP(G731,'Points Table A'!C$3:$F$33,4),VLOOKUP(G731,'Points Table A'!I$3:$L$33,4))</f>
        <v>#N/A</v>
      </c>
      <c r="X731" s="4" t="e">
        <f>IF($Q731&lt;&gt;3,VLOOKUP(H731,'Points Table A'!D$3:$F$28,3),VLOOKUP(H731,'Points Table A'!J$3:$L$33,3))</f>
        <v>#N/A</v>
      </c>
      <c r="Y731" s="4" t="e">
        <f>IF($Q731&lt;&gt;3,VLOOKUP(I731,'Points Table A'!E$3:$F$33,2),VLOOKUP(I731,'Points Table A'!K$3:$L$33,2))</f>
        <v>#N/A</v>
      </c>
      <c r="Z731" s="4" t="e">
        <f t="shared" si="65"/>
        <v>#N/A</v>
      </c>
      <c r="AA731" s="4">
        <f>IF($S731=Lookups!$B$113,VLOOKUP(L731,'Points Table C'!A$3:$E$11,5),VLOOKUP(U731,'Points Table C'!B$3:$E$11,4))</f>
        <v>0</v>
      </c>
      <c r="AB731" s="4" t="e">
        <f>IF($Q731=1,0,VLOOKUP($J731,'Points Table C'!$C$3:$E$18,3))</f>
        <v>#N/A</v>
      </c>
      <c r="AC731" s="4">
        <f>VLOOKUP($K731,'Points Table C'!$D$3:$E$18,2)</f>
        <v>0</v>
      </c>
      <c r="AD731" s="4" t="e">
        <f>IF($Z731&lt;Lookups!$C$106,($AA731+AB731+AC731),IF($AA731&gt;=Lookups!$C$120,($AA731+AB731+AC731),$AA731+$AB731))</f>
        <v>#N/A</v>
      </c>
      <c r="AF731" s="7"/>
      <c r="AG731" s="7"/>
      <c r="AH731" s="7"/>
      <c r="AI731" s="7"/>
      <c r="AJ731" s="7"/>
      <c r="AK731" s="7"/>
      <c r="AL731" s="7"/>
      <c r="AM731" s="7"/>
      <c r="AN731" s="7"/>
      <c r="AO731" s="7"/>
      <c r="AP731" s="7"/>
      <c r="AQ731" s="7"/>
      <c r="AR731" s="7"/>
      <c r="AS731" s="7"/>
      <c r="AT731" s="7"/>
      <c r="AU731" s="7"/>
      <c r="AV731" s="7"/>
      <c r="AW731" s="7"/>
      <c r="AY731" s="7"/>
      <c r="AZ731" s="7"/>
      <c r="BA731" s="7"/>
      <c r="BB731" s="7"/>
    </row>
    <row r="732" spans="2:54" x14ac:dyDescent="0.2">
      <c r="B732" s="174"/>
      <c r="C732" s="176"/>
      <c r="F732" s="5">
        <v>0</v>
      </c>
      <c r="G732" s="192">
        <v>0</v>
      </c>
      <c r="H732" s="192">
        <v>0</v>
      </c>
      <c r="I732" s="5">
        <v>0</v>
      </c>
      <c r="J732" s="192">
        <v>0</v>
      </c>
      <c r="K732" s="192">
        <v>0</v>
      </c>
      <c r="L732" s="5">
        <v>0</v>
      </c>
      <c r="M732" s="5">
        <v>0</v>
      </c>
      <c r="N732" s="4" t="e">
        <f t="shared" si="61"/>
        <v>#N/A</v>
      </c>
      <c r="O732" s="4" t="e">
        <f>IF(ROUND(10.499-(((N732-VLOOKUP($C732,Lookups!$A$55:$D$64,3))/(VLOOKUP($C732,Lookups!$A$55:$D$64,4))*VLOOKUP($C732,Lookups!$C$2:$D$11,2))),0)&lt;1,1,IF(ROUND(10.499-(((N732-VLOOKUP($C732,Lookups!$A$55:$D$64,3))/(VLOOKUP($C732,Lookups!$A$55:$D$64,4))*VLOOKUP($C732,Lookups!$C$2:$D$11,2))),0)&lt;11,ROUND(10.499-(((N732-VLOOKUP($C732,Lookups!$A$55:$D$64,3))/(VLOOKUP($C732,Lookups!$A$55:$D$64,4))*VLOOKUP($C732,Lookups!$C$2:$D$11,2))),0),10))</f>
        <v>#N/A</v>
      </c>
      <c r="P732" s="13" t="str">
        <f>IF((SUM(F732:M732)=0),"J",VLOOKUP(O732,Lookups!$A$1:$B$11,2))</f>
        <v>J</v>
      </c>
      <c r="Q732" s="8" t="e">
        <f>VLOOKUP(C732,Lookups!$A$136:$C$144,3)</f>
        <v>#N/A</v>
      </c>
      <c r="R732" s="8" t="e">
        <f>VLOOKUP(C732,Lookups!$A$136:$C$144,2)</f>
        <v>#N/A</v>
      </c>
      <c r="S732" s="4" t="str">
        <f t="shared" si="62"/>
        <v>No</v>
      </c>
      <c r="T732" s="125">
        <f t="shared" si="63"/>
        <v>0</v>
      </c>
      <c r="U732" s="125">
        <f t="shared" si="64"/>
        <v>0</v>
      </c>
      <c r="V732" s="4" t="e">
        <f>IF($Q732&lt;&gt;3,VLOOKUP(F732,'Points Table A'!B$3:$F$33,5),VLOOKUP(F732,'Points Table A'!H$3:$L$33,5))</f>
        <v>#N/A</v>
      </c>
      <c r="W732" s="4" t="e">
        <f>IF($Q732&lt;&gt;3,VLOOKUP(G732,'Points Table A'!C$3:$F$33,4),VLOOKUP(G732,'Points Table A'!I$3:$L$33,4))</f>
        <v>#N/A</v>
      </c>
      <c r="X732" s="4" t="e">
        <f>IF($Q732&lt;&gt;3,VLOOKUP(H732,'Points Table A'!D$3:$F$28,3),VLOOKUP(H732,'Points Table A'!J$3:$L$33,3))</f>
        <v>#N/A</v>
      </c>
      <c r="Y732" s="4" t="e">
        <f>IF($Q732&lt;&gt;3,VLOOKUP(I732,'Points Table A'!E$3:$F$33,2),VLOOKUP(I732,'Points Table A'!K$3:$L$33,2))</f>
        <v>#N/A</v>
      </c>
      <c r="Z732" s="4" t="e">
        <f t="shared" si="65"/>
        <v>#N/A</v>
      </c>
      <c r="AA732" s="4">
        <f>IF($S732=Lookups!$B$113,VLOOKUP(L732,'Points Table C'!A$3:$E$11,5),VLOOKUP(U732,'Points Table C'!B$3:$E$11,4))</f>
        <v>0</v>
      </c>
      <c r="AB732" s="4" t="e">
        <f>IF($Q732=1,0,VLOOKUP($J732,'Points Table C'!$C$3:$E$18,3))</f>
        <v>#N/A</v>
      </c>
      <c r="AC732" s="4">
        <f>VLOOKUP($K732,'Points Table C'!$D$3:$E$18,2)</f>
        <v>0</v>
      </c>
      <c r="AD732" s="4" t="e">
        <f>IF($Z732&lt;Lookups!$C$106,($AA732+AB732+AC732),IF($AA732&gt;=Lookups!$C$120,($AA732+AB732+AC732),$AA732+$AB732))</f>
        <v>#N/A</v>
      </c>
      <c r="AF732" s="7"/>
      <c r="AG732" s="7"/>
      <c r="AH732" s="7"/>
      <c r="AI732" s="7"/>
      <c r="AJ732" s="7"/>
      <c r="AK732" s="7"/>
      <c r="AL732" s="7"/>
      <c r="AM732" s="7"/>
      <c r="AN732" s="7"/>
      <c r="AO732" s="7"/>
      <c r="AP732" s="7"/>
      <c r="AQ732" s="7"/>
      <c r="AR732" s="7"/>
      <c r="AS732" s="7"/>
      <c r="AT732" s="7"/>
      <c r="AU732" s="7"/>
      <c r="AV732" s="7"/>
      <c r="AW732" s="7"/>
      <c r="AY732" s="7"/>
      <c r="AZ732" s="7"/>
      <c r="BA732" s="7"/>
      <c r="BB732" s="7"/>
    </row>
    <row r="733" spans="2:54" x14ac:dyDescent="0.2">
      <c r="B733" s="174"/>
      <c r="C733" s="176"/>
      <c r="F733" s="5">
        <v>0</v>
      </c>
      <c r="G733" s="192">
        <v>0</v>
      </c>
      <c r="H733" s="192">
        <v>0</v>
      </c>
      <c r="I733" s="5">
        <v>0</v>
      </c>
      <c r="J733" s="192">
        <v>0</v>
      </c>
      <c r="K733" s="192">
        <v>0</v>
      </c>
      <c r="L733" s="5">
        <v>0</v>
      </c>
      <c r="M733" s="5">
        <v>0</v>
      </c>
      <c r="N733" s="4" t="e">
        <f t="shared" si="61"/>
        <v>#N/A</v>
      </c>
      <c r="O733" s="4" t="e">
        <f>IF(ROUND(10.499-(((N733-VLOOKUP($C733,Lookups!$A$55:$D$64,3))/(VLOOKUP($C733,Lookups!$A$55:$D$64,4))*VLOOKUP($C733,Lookups!$C$2:$D$11,2))),0)&lt;1,1,IF(ROUND(10.499-(((N733-VLOOKUP($C733,Lookups!$A$55:$D$64,3))/(VLOOKUP($C733,Lookups!$A$55:$D$64,4))*VLOOKUP($C733,Lookups!$C$2:$D$11,2))),0)&lt;11,ROUND(10.499-(((N733-VLOOKUP($C733,Lookups!$A$55:$D$64,3))/(VLOOKUP($C733,Lookups!$A$55:$D$64,4))*VLOOKUP($C733,Lookups!$C$2:$D$11,2))),0),10))</f>
        <v>#N/A</v>
      </c>
      <c r="P733" s="13" t="str">
        <f>IF((SUM(F733:M733)=0),"J",VLOOKUP(O733,Lookups!$A$1:$B$11,2))</f>
        <v>J</v>
      </c>
      <c r="Q733" s="8" t="e">
        <f>VLOOKUP(C733,Lookups!$A$136:$C$144,3)</f>
        <v>#N/A</v>
      </c>
      <c r="R733" s="8" t="e">
        <f>VLOOKUP(C733,Lookups!$A$136:$C$144,2)</f>
        <v>#N/A</v>
      </c>
      <c r="S733" s="4" t="str">
        <f t="shared" si="62"/>
        <v>No</v>
      </c>
      <c r="T733" s="125">
        <f t="shared" si="63"/>
        <v>0</v>
      </c>
      <c r="U733" s="125">
        <f t="shared" si="64"/>
        <v>0</v>
      </c>
      <c r="V733" s="4" t="e">
        <f>IF($Q733&lt;&gt;3,VLOOKUP(F733,'Points Table A'!B$3:$F$33,5),VLOOKUP(F733,'Points Table A'!H$3:$L$33,5))</f>
        <v>#N/A</v>
      </c>
      <c r="W733" s="4" t="e">
        <f>IF($Q733&lt;&gt;3,VLOOKUP(G733,'Points Table A'!C$3:$F$33,4),VLOOKUP(G733,'Points Table A'!I$3:$L$33,4))</f>
        <v>#N/A</v>
      </c>
      <c r="X733" s="4" t="e">
        <f>IF($Q733&lt;&gt;3,VLOOKUP(H733,'Points Table A'!D$3:$F$28,3),VLOOKUP(H733,'Points Table A'!J$3:$L$33,3))</f>
        <v>#N/A</v>
      </c>
      <c r="Y733" s="4" t="e">
        <f>IF($Q733&lt;&gt;3,VLOOKUP(I733,'Points Table A'!E$3:$F$33,2),VLOOKUP(I733,'Points Table A'!K$3:$L$33,2))</f>
        <v>#N/A</v>
      </c>
      <c r="Z733" s="4" t="e">
        <f t="shared" si="65"/>
        <v>#N/A</v>
      </c>
      <c r="AA733" s="4">
        <f>IF($S733=Lookups!$B$113,VLOOKUP(L733,'Points Table C'!A$3:$E$11,5),VLOOKUP(U733,'Points Table C'!B$3:$E$11,4))</f>
        <v>0</v>
      </c>
      <c r="AB733" s="4" t="e">
        <f>IF($Q733=1,0,VLOOKUP($J733,'Points Table C'!$C$3:$E$18,3))</f>
        <v>#N/A</v>
      </c>
      <c r="AC733" s="4">
        <f>VLOOKUP($K733,'Points Table C'!$D$3:$E$18,2)</f>
        <v>0</v>
      </c>
      <c r="AD733" s="4" t="e">
        <f>IF($Z733&lt;Lookups!$C$106,($AA733+AB733+AC733),IF($AA733&gt;=Lookups!$C$120,($AA733+AB733+AC733),$AA733+$AB733))</f>
        <v>#N/A</v>
      </c>
      <c r="AF733" s="7"/>
      <c r="AG733" s="7"/>
      <c r="AH733" s="7"/>
      <c r="AI733" s="7"/>
      <c r="AJ733" s="7"/>
      <c r="AK733" s="7"/>
      <c r="AL733" s="7"/>
      <c r="AM733" s="7"/>
      <c r="AN733" s="7"/>
      <c r="AO733" s="7"/>
      <c r="AP733" s="7"/>
      <c r="AQ733" s="7"/>
      <c r="AR733" s="7"/>
      <c r="AS733" s="7"/>
      <c r="AT733" s="7"/>
      <c r="AU733" s="7"/>
      <c r="AV733" s="7"/>
      <c r="AW733" s="7"/>
      <c r="AY733" s="7"/>
      <c r="AZ733" s="7"/>
      <c r="BA733" s="7"/>
      <c r="BB733" s="7"/>
    </row>
    <row r="734" spans="2:54" x14ac:dyDescent="0.2">
      <c r="B734" s="174"/>
      <c r="C734" s="176"/>
      <c r="F734" s="5">
        <v>0</v>
      </c>
      <c r="G734" s="192">
        <v>0</v>
      </c>
      <c r="H734" s="192">
        <v>0</v>
      </c>
      <c r="I734" s="5">
        <v>0</v>
      </c>
      <c r="J734" s="192">
        <v>0</v>
      </c>
      <c r="K734" s="192">
        <v>0</v>
      </c>
      <c r="L734" s="5">
        <v>0</v>
      </c>
      <c r="M734" s="5">
        <v>0</v>
      </c>
      <c r="N734" s="4" t="e">
        <f t="shared" si="61"/>
        <v>#N/A</v>
      </c>
      <c r="O734" s="4" t="e">
        <f>IF(ROUND(10.499-(((N734-VLOOKUP($C734,Lookups!$A$55:$D$64,3))/(VLOOKUP($C734,Lookups!$A$55:$D$64,4))*VLOOKUP($C734,Lookups!$C$2:$D$11,2))),0)&lt;1,1,IF(ROUND(10.499-(((N734-VLOOKUP($C734,Lookups!$A$55:$D$64,3))/(VLOOKUP($C734,Lookups!$A$55:$D$64,4))*VLOOKUP($C734,Lookups!$C$2:$D$11,2))),0)&lt;11,ROUND(10.499-(((N734-VLOOKUP($C734,Lookups!$A$55:$D$64,3))/(VLOOKUP($C734,Lookups!$A$55:$D$64,4))*VLOOKUP($C734,Lookups!$C$2:$D$11,2))),0),10))</f>
        <v>#N/A</v>
      </c>
      <c r="P734" s="13" t="str">
        <f>IF((SUM(F734:M734)=0),"J",VLOOKUP(O734,Lookups!$A$1:$B$11,2))</f>
        <v>J</v>
      </c>
      <c r="Q734" s="8" t="e">
        <f>VLOOKUP(C734,Lookups!$A$136:$C$144,3)</f>
        <v>#N/A</v>
      </c>
      <c r="R734" s="8" t="e">
        <f>VLOOKUP(C734,Lookups!$A$136:$C$144,2)</f>
        <v>#N/A</v>
      </c>
      <c r="S734" s="4" t="str">
        <f t="shared" si="62"/>
        <v>No</v>
      </c>
      <c r="T734" s="125">
        <f t="shared" si="63"/>
        <v>0</v>
      </c>
      <c r="U734" s="125">
        <f t="shared" si="64"/>
        <v>0</v>
      </c>
      <c r="V734" s="4" t="e">
        <f>IF($Q734&lt;&gt;3,VLOOKUP(F734,'Points Table A'!B$3:$F$33,5),VLOOKUP(F734,'Points Table A'!H$3:$L$33,5))</f>
        <v>#N/A</v>
      </c>
      <c r="W734" s="4" t="e">
        <f>IF($Q734&lt;&gt;3,VLOOKUP(G734,'Points Table A'!C$3:$F$33,4),VLOOKUP(G734,'Points Table A'!I$3:$L$33,4))</f>
        <v>#N/A</v>
      </c>
      <c r="X734" s="4" t="e">
        <f>IF($Q734&lt;&gt;3,VLOOKUP(H734,'Points Table A'!D$3:$F$28,3),VLOOKUP(H734,'Points Table A'!J$3:$L$33,3))</f>
        <v>#N/A</v>
      </c>
      <c r="Y734" s="4" t="e">
        <f>IF($Q734&lt;&gt;3,VLOOKUP(I734,'Points Table A'!E$3:$F$33,2),VLOOKUP(I734,'Points Table A'!K$3:$L$33,2))</f>
        <v>#N/A</v>
      </c>
      <c r="Z734" s="4" t="e">
        <f t="shared" si="65"/>
        <v>#N/A</v>
      </c>
      <c r="AA734" s="4">
        <f>IF($S734=Lookups!$B$113,VLOOKUP(L734,'Points Table C'!A$3:$E$11,5),VLOOKUP(U734,'Points Table C'!B$3:$E$11,4))</f>
        <v>0</v>
      </c>
      <c r="AB734" s="4" t="e">
        <f>IF($Q734=1,0,VLOOKUP($J734,'Points Table C'!$C$3:$E$18,3))</f>
        <v>#N/A</v>
      </c>
      <c r="AC734" s="4">
        <f>VLOOKUP($K734,'Points Table C'!$D$3:$E$18,2)</f>
        <v>0</v>
      </c>
      <c r="AD734" s="4" t="e">
        <f>IF($Z734&lt;Lookups!$C$106,($AA734+AB734+AC734),IF($AA734&gt;=Lookups!$C$120,($AA734+AB734+AC734),$AA734+$AB734))</f>
        <v>#N/A</v>
      </c>
      <c r="AF734" s="7"/>
      <c r="AG734" s="7"/>
      <c r="AH734" s="7"/>
      <c r="AI734" s="7"/>
      <c r="AJ734" s="7"/>
      <c r="AK734" s="7"/>
      <c r="AL734" s="7"/>
      <c r="AM734" s="7"/>
      <c r="AN734" s="7"/>
      <c r="AO734" s="7"/>
      <c r="AP734" s="7"/>
      <c r="AQ734" s="7"/>
      <c r="AR734" s="7"/>
      <c r="AS734" s="7"/>
      <c r="AT734" s="7"/>
      <c r="AU734" s="7"/>
      <c r="AV734" s="7"/>
      <c r="AW734" s="7"/>
      <c r="AY734" s="7"/>
      <c r="AZ734" s="7"/>
      <c r="BA734" s="7"/>
      <c r="BB734" s="7"/>
    </row>
    <row r="735" spans="2:54" x14ac:dyDescent="0.2">
      <c r="B735" s="174"/>
      <c r="C735" s="176"/>
      <c r="F735" s="5">
        <v>0</v>
      </c>
      <c r="G735" s="192">
        <v>0</v>
      </c>
      <c r="H735" s="192">
        <v>0</v>
      </c>
      <c r="I735" s="5">
        <v>0</v>
      </c>
      <c r="J735" s="192">
        <v>0</v>
      </c>
      <c r="K735" s="192">
        <v>0</v>
      </c>
      <c r="L735" s="5">
        <v>0</v>
      </c>
      <c r="M735" s="5">
        <v>0</v>
      </c>
      <c r="N735" s="4" t="e">
        <f t="shared" si="61"/>
        <v>#N/A</v>
      </c>
      <c r="O735" s="4" t="e">
        <f>IF(ROUND(10.499-(((N735-VLOOKUP($C735,Lookups!$A$55:$D$64,3))/(VLOOKUP($C735,Lookups!$A$55:$D$64,4))*VLOOKUP($C735,Lookups!$C$2:$D$11,2))),0)&lt;1,1,IF(ROUND(10.499-(((N735-VLOOKUP($C735,Lookups!$A$55:$D$64,3))/(VLOOKUP($C735,Lookups!$A$55:$D$64,4))*VLOOKUP($C735,Lookups!$C$2:$D$11,2))),0)&lt;11,ROUND(10.499-(((N735-VLOOKUP($C735,Lookups!$A$55:$D$64,3))/(VLOOKUP($C735,Lookups!$A$55:$D$64,4))*VLOOKUP($C735,Lookups!$C$2:$D$11,2))),0),10))</f>
        <v>#N/A</v>
      </c>
      <c r="P735" s="13" t="str">
        <f>IF((SUM(F735:M735)=0),"J",VLOOKUP(O735,Lookups!$A$1:$B$11,2))</f>
        <v>J</v>
      </c>
      <c r="Q735" s="8" t="e">
        <f>VLOOKUP(C735,Lookups!$A$136:$C$144,3)</f>
        <v>#N/A</v>
      </c>
      <c r="R735" s="8" t="e">
        <f>VLOOKUP(C735,Lookups!$A$136:$C$144,2)</f>
        <v>#N/A</v>
      </c>
      <c r="S735" s="4" t="str">
        <f t="shared" si="62"/>
        <v>No</v>
      </c>
      <c r="T735" s="125">
        <f t="shared" si="63"/>
        <v>0</v>
      </c>
      <c r="U735" s="125">
        <f t="shared" si="64"/>
        <v>0</v>
      </c>
      <c r="V735" s="4" t="e">
        <f>IF($Q735&lt;&gt;3,VLOOKUP(F735,'Points Table A'!B$3:$F$33,5),VLOOKUP(F735,'Points Table A'!H$3:$L$33,5))</f>
        <v>#N/A</v>
      </c>
      <c r="W735" s="4" t="e">
        <f>IF($Q735&lt;&gt;3,VLOOKUP(G735,'Points Table A'!C$3:$F$33,4),VLOOKUP(G735,'Points Table A'!I$3:$L$33,4))</f>
        <v>#N/A</v>
      </c>
      <c r="X735" s="4" t="e">
        <f>IF($Q735&lt;&gt;3,VLOOKUP(H735,'Points Table A'!D$3:$F$28,3),VLOOKUP(H735,'Points Table A'!J$3:$L$33,3))</f>
        <v>#N/A</v>
      </c>
      <c r="Y735" s="4" t="e">
        <f>IF($Q735&lt;&gt;3,VLOOKUP(I735,'Points Table A'!E$3:$F$33,2),VLOOKUP(I735,'Points Table A'!K$3:$L$33,2))</f>
        <v>#N/A</v>
      </c>
      <c r="Z735" s="4" t="e">
        <f t="shared" si="65"/>
        <v>#N/A</v>
      </c>
      <c r="AA735" s="4">
        <f>IF($S735=Lookups!$B$113,VLOOKUP(L735,'Points Table C'!A$3:$E$11,5),VLOOKUP(U735,'Points Table C'!B$3:$E$11,4))</f>
        <v>0</v>
      </c>
      <c r="AB735" s="4" t="e">
        <f>IF($Q735=1,0,VLOOKUP($J735,'Points Table C'!$C$3:$E$18,3))</f>
        <v>#N/A</v>
      </c>
      <c r="AC735" s="4">
        <f>VLOOKUP($K735,'Points Table C'!$D$3:$E$18,2)</f>
        <v>0</v>
      </c>
      <c r="AD735" s="4" t="e">
        <f>IF($Z735&lt;Lookups!$C$106,($AA735+AB735+AC735),IF($AA735&gt;=Lookups!$C$120,($AA735+AB735+AC735),$AA735+$AB735))</f>
        <v>#N/A</v>
      </c>
      <c r="AF735" s="7"/>
      <c r="AG735" s="7"/>
      <c r="AH735" s="7"/>
      <c r="AI735" s="7"/>
      <c r="AJ735" s="7"/>
      <c r="AK735" s="7"/>
      <c r="AL735" s="7"/>
      <c r="AM735" s="7"/>
      <c r="AN735" s="7"/>
      <c r="AO735" s="7"/>
      <c r="AP735" s="7"/>
      <c r="AQ735" s="7"/>
      <c r="AR735" s="7"/>
      <c r="AS735" s="7"/>
      <c r="AT735" s="7"/>
      <c r="AU735" s="7"/>
      <c r="AV735" s="7"/>
      <c r="AW735" s="7"/>
      <c r="AY735" s="7"/>
      <c r="AZ735" s="7"/>
      <c r="BA735" s="7"/>
      <c r="BB735" s="7"/>
    </row>
    <row r="736" spans="2:54" x14ac:dyDescent="0.2">
      <c r="B736" s="174"/>
      <c r="C736" s="176"/>
      <c r="F736" s="5">
        <v>0</v>
      </c>
      <c r="G736" s="192">
        <v>0</v>
      </c>
      <c r="H736" s="192">
        <v>0</v>
      </c>
      <c r="I736" s="5">
        <v>0</v>
      </c>
      <c r="J736" s="192">
        <v>0</v>
      </c>
      <c r="K736" s="192">
        <v>0</v>
      </c>
      <c r="L736" s="5">
        <v>0</v>
      </c>
      <c r="M736" s="5">
        <v>0</v>
      </c>
      <c r="N736" s="4" t="e">
        <f t="shared" si="61"/>
        <v>#N/A</v>
      </c>
      <c r="O736" s="4" t="e">
        <f>IF(ROUND(10.499-(((N736-VLOOKUP($C736,Lookups!$A$55:$D$64,3))/(VLOOKUP($C736,Lookups!$A$55:$D$64,4))*VLOOKUP($C736,Lookups!$C$2:$D$11,2))),0)&lt;1,1,IF(ROUND(10.499-(((N736-VLOOKUP($C736,Lookups!$A$55:$D$64,3))/(VLOOKUP($C736,Lookups!$A$55:$D$64,4))*VLOOKUP($C736,Lookups!$C$2:$D$11,2))),0)&lt;11,ROUND(10.499-(((N736-VLOOKUP($C736,Lookups!$A$55:$D$64,3))/(VLOOKUP($C736,Lookups!$A$55:$D$64,4))*VLOOKUP($C736,Lookups!$C$2:$D$11,2))),0),10))</f>
        <v>#N/A</v>
      </c>
      <c r="P736" s="13" t="str">
        <f>IF((SUM(F736:M736)=0),"J",VLOOKUP(O736,Lookups!$A$1:$B$11,2))</f>
        <v>J</v>
      </c>
      <c r="Q736" s="8" t="e">
        <f>VLOOKUP(C736,Lookups!$A$136:$C$144,3)</f>
        <v>#N/A</v>
      </c>
      <c r="R736" s="8" t="e">
        <f>VLOOKUP(C736,Lookups!$A$136:$C$144,2)</f>
        <v>#N/A</v>
      </c>
      <c r="S736" s="4" t="str">
        <f t="shared" si="62"/>
        <v>No</v>
      </c>
      <c r="T736" s="125">
        <f t="shared" si="63"/>
        <v>0</v>
      </c>
      <c r="U736" s="125">
        <f t="shared" si="64"/>
        <v>0</v>
      </c>
      <c r="V736" s="4" t="e">
        <f>IF($Q736&lt;&gt;3,VLOOKUP(F736,'Points Table A'!B$3:$F$33,5),VLOOKUP(F736,'Points Table A'!H$3:$L$33,5))</f>
        <v>#N/A</v>
      </c>
      <c r="W736" s="4" t="e">
        <f>IF($Q736&lt;&gt;3,VLOOKUP(G736,'Points Table A'!C$3:$F$33,4),VLOOKUP(G736,'Points Table A'!I$3:$L$33,4))</f>
        <v>#N/A</v>
      </c>
      <c r="X736" s="4" t="e">
        <f>IF($Q736&lt;&gt;3,VLOOKUP(H736,'Points Table A'!D$3:$F$28,3),VLOOKUP(H736,'Points Table A'!J$3:$L$33,3))</f>
        <v>#N/A</v>
      </c>
      <c r="Y736" s="4" t="e">
        <f>IF($Q736&lt;&gt;3,VLOOKUP(I736,'Points Table A'!E$3:$F$33,2),VLOOKUP(I736,'Points Table A'!K$3:$L$33,2))</f>
        <v>#N/A</v>
      </c>
      <c r="Z736" s="4" t="e">
        <f t="shared" si="65"/>
        <v>#N/A</v>
      </c>
      <c r="AA736" s="4">
        <f>IF($S736=Lookups!$B$113,VLOOKUP(L736,'Points Table C'!A$3:$E$11,5),VLOOKUP(U736,'Points Table C'!B$3:$E$11,4))</f>
        <v>0</v>
      </c>
      <c r="AB736" s="4" t="e">
        <f>IF($Q736=1,0,VLOOKUP($J736,'Points Table C'!$C$3:$E$18,3))</f>
        <v>#N/A</v>
      </c>
      <c r="AC736" s="4">
        <f>VLOOKUP($K736,'Points Table C'!$D$3:$E$18,2)</f>
        <v>0</v>
      </c>
      <c r="AD736" s="4" t="e">
        <f>IF($Z736&lt;Lookups!$C$106,($AA736+AB736+AC736),IF($AA736&gt;=Lookups!$C$120,($AA736+AB736+AC736),$AA736+$AB736))</f>
        <v>#N/A</v>
      </c>
      <c r="AF736" s="7"/>
      <c r="AG736" s="7"/>
      <c r="AH736" s="7"/>
      <c r="AI736" s="7"/>
      <c r="AJ736" s="7"/>
      <c r="AK736" s="7"/>
      <c r="AL736" s="7"/>
      <c r="AM736" s="7"/>
      <c r="AN736" s="7"/>
      <c r="AO736" s="7"/>
      <c r="AP736" s="7"/>
      <c r="AQ736" s="7"/>
      <c r="AR736" s="7"/>
      <c r="AS736" s="7"/>
      <c r="AT736" s="7"/>
      <c r="AU736" s="7"/>
      <c r="AV736" s="7"/>
      <c r="AW736" s="7"/>
      <c r="AY736" s="7"/>
      <c r="AZ736" s="7"/>
      <c r="BA736" s="7"/>
      <c r="BB736" s="7"/>
    </row>
    <row r="737" spans="2:54" x14ac:dyDescent="0.2">
      <c r="B737" s="174"/>
      <c r="C737" s="176"/>
      <c r="F737" s="5">
        <v>0</v>
      </c>
      <c r="G737" s="192">
        <v>0</v>
      </c>
      <c r="H737" s="192">
        <v>0</v>
      </c>
      <c r="I737" s="5">
        <v>0</v>
      </c>
      <c r="J737" s="192">
        <v>0</v>
      </c>
      <c r="K737" s="192">
        <v>0</v>
      </c>
      <c r="L737" s="5">
        <v>0</v>
      </c>
      <c r="M737" s="5">
        <v>0</v>
      </c>
      <c r="N737" s="4" t="e">
        <f t="shared" si="61"/>
        <v>#N/A</v>
      </c>
      <c r="O737" s="4" t="e">
        <f>IF(ROUND(10.499-(((N737-VLOOKUP($C737,Lookups!$A$55:$D$64,3))/(VLOOKUP($C737,Lookups!$A$55:$D$64,4))*VLOOKUP($C737,Lookups!$C$2:$D$11,2))),0)&lt;1,1,IF(ROUND(10.499-(((N737-VLOOKUP($C737,Lookups!$A$55:$D$64,3))/(VLOOKUP($C737,Lookups!$A$55:$D$64,4))*VLOOKUP($C737,Lookups!$C$2:$D$11,2))),0)&lt;11,ROUND(10.499-(((N737-VLOOKUP($C737,Lookups!$A$55:$D$64,3))/(VLOOKUP($C737,Lookups!$A$55:$D$64,4))*VLOOKUP($C737,Lookups!$C$2:$D$11,2))),0),10))</f>
        <v>#N/A</v>
      </c>
      <c r="P737" s="13" t="str">
        <f>IF((SUM(F737:M737)=0),"J",VLOOKUP(O737,Lookups!$A$1:$B$11,2))</f>
        <v>J</v>
      </c>
      <c r="Q737" s="8" t="e">
        <f>VLOOKUP(C737,Lookups!$A$136:$C$144,3)</f>
        <v>#N/A</v>
      </c>
      <c r="R737" s="8" t="e">
        <f>VLOOKUP(C737,Lookups!$A$136:$C$144,2)</f>
        <v>#N/A</v>
      </c>
      <c r="S737" s="4" t="str">
        <f t="shared" si="62"/>
        <v>No</v>
      </c>
      <c r="T737" s="125">
        <f t="shared" si="63"/>
        <v>0</v>
      </c>
      <c r="U737" s="125">
        <f t="shared" si="64"/>
        <v>0</v>
      </c>
      <c r="V737" s="4" t="e">
        <f>IF($Q737&lt;&gt;3,VLOOKUP(F737,'Points Table A'!B$3:$F$33,5),VLOOKUP(F737,'Points Table A'!H$3:$L$33,5))</f>
        <v>#N/A</v>
      </c>
      <c r="W737" s="4" t="e">
        <f>IF($Q737&lt;&gt;3,VLOOKUP(G737,'Points Table A'!C$3:$F$33,4),VLOOKUP(G737,'Points Table A'!I$3:$L$33,4))</f>
        <v>#N/A</v>
      </c>
      <c r="X737" s="4" t="e">
        <f>IF($Q737&lt;&gt;3,VLOOKUP(H737,'Points Table A'!D$3:$F$28,3),VLOOKUP(H737,'Points Table A'!J$3:$L$33,3))</f>
        <v>#N/A</v>
      </c>
      <c r="Y737" s="4" t="e">
        <f>IF($Q737&lt;&gt;3,VLOOKUP(I737,'Points Table A'!E$3:$F$33,2),VLOOKUP(I737,'Points Table A'!K$3:$L$33,2))</f>
        <v>#N/A</v>
      </c>
      <c r="Z737" s="4" t="e">
        <f t="shared" si="65"/>
        <v>#N/A</v>
      </c>
      <c r="AA737" s="4">
        <f>IF($S737=Lookups!$B$113,VLOOKUP(L737,'Points Table C'!A$3:$E$11,5),VLOOKUP(U737,'Points Table C'!B$3:$E$11,4))</f>
        <v>0</v>
      </c>
      <c r="AB737" s="4" t="e">
        <f>IF($Q737=1,0,VLOOKUP($J737,'Points Table C'!$C$3:$E$18,3))</f>
        <v>#N/A</v>
      </c>
      <c r="AC737" s="4">
        <f>VLOOKUP($K737,'Points Table C'!$D$3:$E$18,2)</f>
        <v>0</v>
      </c>
      <c r="AD737" s="4" t="e">
        <f>IF($Z737&lt;Lookups!$C$106,($AA737+AB737+AC737),IF($AA737&gt;=Lookups!$C$120,($AA737+AB737+AC737),$AA737+$AB737))</f>
        <v>#N/A</v>
      </c>
      <c r="AF737" s="7"/>
      <c r="AG737" s="7"/>
      <c r="AH737" s="7"/>
      <c r="AI737" s="7"/>
      <c r="AJ737" s="7"/>
      <c r="AK737" s="7"/>
      <c r="AL737" s="7"/>
      <c r="AM737" s="7"/>
      <c r="AN737" s="7"/>
      <c r="AO737" s="7"/>
      <c r="AP737" s="7"/>
      <c r="AQ737" s="7"/>
      <c r="AR737" s="7"/>
      <c r="AS737" s="7"/>
      <c r="AT737" s="7"/>
      <c r="AU737" s="7"/>
      <c r="AV737" s="7"/>
      <c r="AW737" s="7"/>
      <c r="AY737" s="7"/>
      <c r="AZ737" s="7"/>
      <c r="BA737" s="7"/>
      <c r="BB737" s="7"/>
    </row>
    <row r="738" spans="2:54" x14ac:dyDescent="0.2">
      <c r="B738" s="174"/>
      <c r="C738" s="176"/>
      <c r="F738" s="5">
        <v>0</v>
      </c>
      <c r="G738" s="192">
        <v>0</v>
      </c>
      <c r="H738" s="192">
        <v>0</v>
      </c>
      <c r="I738" s="5">
        <v>0</v>
      </c>
      <c r="J738" s="192">
        <v>0</v>
      </c>
      <c r="K738" s="192">
        <v>0</v>
      </c>
      <c r="L738" s="5">
        <v>0</v>
      </c>
      <c r="M738" s="5">
        <v>0</v>
      </c>
      <c r="N738" s="4" t="e">
        <f t="shared" si="61"/>
        <v>#N/A</v>
      </c>
      <c r="O738" s="4" t="e">
        <f>IF(ROUND(10.499-(((N738-VLOOKUP($C738,Lookups!$A$55:$D$64,3))/(VLOOKUP($C738,Lookups!$A$55:$D$64,4))*VLOOKUP($C738,Lookups!$C$2:$D$11,2))),0)&lt;1,1,IF(ROUND(10.499-(((N738-VLOOKUP($C738,Lookups!$A$55:$D$64,3))/(VLOOKUP($C738,Lookups!$A$55:$D$64,4))*VLOOKUP($C738,Lookups!$C$2:$D$11,2))),0)&lt;11,ROUND(10.499-(((N738-VLOOKUP($C738,Lookups!$A$55:$D$64,3))/(VLOOKUP($C738,Lookups!$A$55:$D$64,4))*VLOOKUP($C738,Lookups!$C$2:$D$11,2))),0),10))</f>
        <v>#N/A</v>
      </c>
      <c r="P738" s="13" t="str">
        <f>IF((SUM(F738:M738)=0),"J",VLOOKUP(O738,Lookups!$A$1:$B$11,2))</f>
        <v>J</v>
      </c>
      <c r="Q738" s="8" t="e">
        <f>VLOOKUP(C738,Lookups!$A$136:$C$144,3)</f>
        <v>#N/A</v>
      </c>
      <c r="R738" s="8" t="e">
        <f>VLOOKUP(C738,Lookups!$A$136:$C$144,2)</f>
        <v>#N/A</v>
      </c>
      <c r="S738" s="4" t="str">
        <f t="shared" si="62"/>
        <v>No</v>
      </c>
      <c r="T738" s="125">
        <f t="shared" si="63"/>
        <v>0</v>
      </c>
      <c r="U738" s="125">
        <f t="shared" si="64"/>
        <v>0</v>
      </c>
      <c r="V738" s="4" t="e">
        <f>IF($Q738&lt;&gt;3,VLOOKUP(F738,'Points Table A'!B$3:$F$33,5),VLOOKUP(F738,'Points Table A'!H$3:$L$33,5))</f>
        <v>#N/A</v>
      </c>
      <c r="W738" s="4" t="e">
        <f>IF($Q738&lt;&gt;3,VLOOKUP(G738,'Points Table A'!C$3:$F$33,4),VLOOKUP(G738,'Points Table A'!I$3:$L$33,4))</f>
        <v>#N/A</v>
      </c>
      <c r="X738" s="4" t="e">
        <f>IF($Q738&lt;&gt;3,VLOOKUP(H738,'Points Table A'!D$3:$F$28,3),VLOOKUP(H738,'Points Table A'!J$3:$L$33,3))</f>
        <v>#N/A</v>
      </c>
      <c r="Y738" s="4" t="e">
        <f>IF($Q738&lt;&gt;3,VLOOKUP(I738,'Points Table A'!E$3:$F$33,2),VLOOKUP(I738,'Points Table A'!K$3:$L$33,2))</f>
        <v>#N/A</v>
      </c>
      <c r="Z738" s="4" t="e">
        <f t="shared" si="65"/>
        <v>#N/A</v>
      </c>
      <c r="AA738" s="4">
        <f>IF($S738=Lookups!$B$113,VLOOKUP(L738,'Points Table C'!A$3:$E$11,5),VLOOKUP(U738,'Points Table C'!B$3:$E$11,4))</f>
        <v>0</v>
      </c>
      <c r="AB738" s="4" t="e">
        <f>IF($Q738=1,0,VLOOKUP($J738,'Points Table C'!$C$3:$E$18,3))</f>
        <v>#N/A</v>
      </c>
      <c r="AC738" s="4">
        <f>VLOOKUP($K738,'Points Table C'!$D$3:$E$18,2)</f>
        <v>0</v>
      </c>
      <c r="AD738" s="4" t="e">
        <f>IF($Z738&lt;Lookups!$C$106,($AA738+AB738+AC738),IF($AA738&gt;=Lookups!$C$120,($AA738+AB738+AC738),$AA738+$AB738))</f>
        <v>#N/A</v>
      </c>
      <c r="AF738" s="7"/>
      <c r="AG738" s="7"/>
      <c r="AH738" s="7"/>
      <c r="AI738" s="7"/>
      <c r="AJ738" s="7"/>
      <c r="AK738" s="7"/>
      <c r="AL738" s="7"/>
      <c r="AM738" s="7"/>
      <c r="AN738" s="7"/>
      <c r="AO738" s="7"/>
      <c r="AP738" s="7"/>
      <c r="AQ738" s="7"/>
      <c r="AR738" s="7"/>
      <c r="AS738" s="7"/>
      <c r="AT738" s="7"/>
      <c r="AU738" s="7"/>
      <c r="AV738" s="7"/>
      <c r="AW738" s="7"/>
      <c r="AY738" s="7"/>
      <c r="AZ738" s="7"/>
      <c r="BA738" s="7"/>
      <c r="BB738" s="7"/>
    </row>
    <row r="739" spans="2:54" x14ac:dyDescent="0.2">
      <c r="B739" s="174"/>
      <c r="C739" s="176"/>
      <c r="F739" s="5">
        <v>0</v>
      </c>
      <c r="G739" s="192">
        <v>0</v>
      </c>
      <c r="H739" s="192">
        <v>0</v>
      </c>
      <c r="I739" s="5">
        <v>0</v>
      </c>
      <c r="J739" s="192">
        <v>0</v>
      </c>
      <c r="K739" s="192">
        <v>0</v>
      </c>
      <c r="L739" s="5">
        <v>0</v>
      </c>
      <c r="M739" s="5">
        <v>0</v>
      </c>
      <c r="N739" s="4" t="e">
        <f t="shared" si="61"/>
        <v>#N/A</v>
      </c>
      <c r="O739" s="4" t="e">
        <f>IF(ROUND(10.499-(((N739-VLOOKUP($C739,Lookups!$A$55:$D$64,3))/(VLOOKUP($C739,Lookups!$A$55:$D$64,4))*VLOOKUP($C739,Lookups!$C$2:$D$11,2))),0)&lt;1,1,IF(ROUND(10.499-(((N739-VLOOKUP($C739,Lookups!$A$55:$D$64,3))/(VLOOKUP($C739,Lookups!$A$55:$D$64,4))*VLOOKUP($C739,Lookups!$C$2:$D$11,2))),0)&lt;11,ROUND(10.499-(((N739-VLOOKUP($C739,Lookups!$A$55:$D$64,3))/(VLOOKUP($C739,Lookups!$A$55:$D$64,4))*VLOOKUP($C739,Lookups!$C$2:$D$11,2))),0),10))</f>
        <v>#N/A</v>
      </c>
      <c r="P739" s="13" t="str">
        <f>IF((SUM(F739:M739)=0),"J",VLOOKUP(O739,Lookups!$A$1:$B$11,2))</f>
        <v>J</v>
      </c>
      <c r="Q739" s="8" t="e">
        <f>VLOOKUP(C739,Lookups!$A$136:$C$144,3)</f>
        <v>#N/A</v>
      </c>
      <c r="R739" s="8" t="e">
        <f>VLOOKUP(C739,Lookups!$A$136:$C$144,2)</f>
        <v>#N/A</v>
      </c>
      <c r="S739" s="4" t="str">
        <f t="shared" si="62"/>
        <v>No</v>
      </c>
      <c r="T739" s="125">
        <f t="shared" si="63"/>
        <v>0</v>
      </c>
      <c r="U739" s="125">
        <f t="shared" si="64"/>
        <v>0</v>
      </c>
      <c r="V739" s="4" t="e">
        <f>IF($Q739&lt;&gt;3,VLOOKUP(F739,'Points Table A'!B$3:$F$33,5),VLOOKUP(F739,'Points Table A'!H$3:$L$33,5))</f>
        <v>#N/A</v>
      </c>
      <c r="W739" s="4" t="e">
        <f>IF($Q739&lt;&gt;3,VLOOKUP(G739,'Points Table A'!C$3:$F$33,4),VLOOKUP(G739,'Points Table A'!I$3:$L$33,4))</f>
        <v>#N/A</v>
      </c>
      <c r="X739" s="4" t="e">
        <f>IF($Q739&lt;&gt;3,VLOOKUP(H739,'Points Table A'!D$3:$F$28,3),VLOOKUP(H739,'Points Table A'!J$3:$L$33,3))</f>
        <v>#N/A</v>
      </c>
      <c r="Y739" s="4" t="e">
        <f>IF($Q739&lt;&gt;3,VLOOKUP(I739,'Points Table A'!E$3:$F$33,2),VLOOKUP(I739,'Points Table A'!K$3:$L$33,2))</f>
        <v>#N/A</v>
      </c>
      <c r="Z739" s="4" t="e">
        <f t="shared" si="65"/>
        <v>#N/A</v>
      </c>
      <c r="AA739" s="4">
        <f>IF($S739=Lookups!$B$113,VLOOKUP(L739,'Points Table C'!A$3:$E$11,5),VLOOKUP(U739,'Points Table C'!B$3:$E$11,4))</f>
        <v>0</v>
      </c>
      <c r="AB739" s="4" t="e">
        <f>IF($Q739=1,0,VLOOKUP($J739,'Points Table C'!$C$3:$E$18,3))</f>
        <v>#N/A</v>
      </c>
      <c r="AC739" s="4">
        <f>VLOOKUP($K739,'Points Table C'!$D$3:$E$18,2)</f>
        <v>0</v>
      </c>
      <c r="AD739" s="4" t="e">
        <f>IF($Z739&lt;Lookups!$C$106,($AA739+AB739+AC739),IF($AA739&gt;=Lookups!$C$120,($AA739+AB739+AC739),$AA739+$AB739))</f>
        <v>#N/A</v>
      </c>
      <c r="AF739" s="7"/>
      <c r="AG739" s="7"/>
      <c r="AH739" s="7"/>
      <c r="AI739" s="7"/>
      <c r="AJ739" s="7"/>
      <c r="AK739" s="7"/>
      <c r="AL739" s="7"/>
      <c r="AM739" s="7"/>
      <c r="AN739" s="7"/>
      <c r="AO739" s="7"/>
      <c r="AP739" s="7"/>
      <c r="AQ739" s="7"/>
      <c r="AR739" s="7"/>
      <c r="AS739" s="7"/>
      <c r="AT739" s="7"/>
      <c r="AU739" s="7"/>
      <c r="AV739" s="7"/>
      <c r="AW739" s="7"/>
      <c r="AY739" s="7"/>
      <c r="AZ739" s="7"/>
      <c r="BA739" s="7"/>
      <c r="BB739" s="7"/>
    </row>
    <row r="740" spans="2:54" x14ac:dyDescent="0.2">
      <c r="B740" s="174"/>
      <c r="C740" s="176"/>
      <c r="F740" s="5">
        <v>0</v>
      </c>
      <c r="G740" s="192">
        <v>0</v>
      </c>
      <c r="H740" s="192">
        <v>0</v>
      </c>
      <c r="I740" s="5">
        <v>0</v>
      </c>
      <c r="J740" s="192">
        <v>0</v>
      </c>
      <c r="K740" s="192">
        <v>0</v>
      </c>
      <c r="L740" s="5">
        <v>0</v>
      </c>
      <c r="M740" s="5">
        <v>0</v>
      </c>
      <c r="N740" s="4" t="e">
        <f t="shared" si="61"/>
        <v>#N/A</v>
      </c>
      <c r="O740" s="4" t="e">
        <f>IF(ROUND(10.499-(((N740-VLOOKUP($C740,Lookups!$A$55:$D$64,3))/(VLOOKUP($C740,Lookups!$A$55:$D$64,4))*VLOOKUP($C740,Lookups!$C$2:$D$11,2))),0)&lt;1,1,IF(ROUND(10.499-(((N740-VLOOKUP($C740,Lookups!$A$55:$D$64,3))/(VLOOKUP($C740,Lookups!$A$55:$D$64,4))*VLOOKUP($C740,Lookups!$C$2:$D$11,2))),0)&lt;11,ROUND(10.499-(((N740-VLOOKUP($C740,Lookups!$A$55:$D$64,3))/(VLOOKUP($C740,Lookups!$A$55:$D$64,4))*VLOOKUP($C740,Lookups!$C$2:$D$11,2))),0),10))</f>
        <v>#N/A</v>
      </c>
      <c r="P740" s="13" t="str">
        <f>IF((SUM(F740:M740)=0),"J",VLOOKUP(O740,Lookups!$A$1:$B$11,2))</f>
        <v>J</v>
      </c>
      <c r="Q740" s="8" t="e">
        <f>VLOOKUP(C740,Lookups!$A$136:$C$144,3)</f>
        <v>#N/A</v>
      </c>
      <c r="R740" s="8" t="e">
        <f>VLOOKUP(C740,Lookups!$A$136:$C$144,2)</f>
        <v>#N/A</v>
      </c>
      <c r="S740" s="4" t="str">
        <f t="shared" si="62"/>
        <v>No</v>
      </c>
      <c r="T740" s="125">
        <f t="shared" si="63"/>
        <v>0</v>
      </c>
      <c r="U740" s="125">
        <f t="shared" si="64"/>
        <v>0</v>
      </c>
      <c r="V740" s="4" t="e">
        <f>IF($Q740&lt;&gt;3,VLOOKUP(F740,'Points Table A'!B$3:$F$33,5),VLOOKUP(F740,'Points Table A'!H$3:$L$33,5))</f>
        <v>#N/A</v>
      </c>
      <c r="W740" s="4" t="e">
        <f>IF($Q740&lt;&gt;3,VLOOKUP(G740,'Points Table A'!C$3:$F$33,4),VLOOKUP(G740,'Points Table A'!I$3:$L$33,4))</f>
        <v>#N/A</v>
      </c>
      <c r="X740" s="4" t="e">
        <f>IF($Q740&lt;&gt;3,VLOOKUP(H740,'Points Table A'!D$3:$F$28,3),VLOOKUP(H740,'Points Table A'!J$3:$L$33,3))</f>
        <v>#N/A</v>
      </c>
      <c r="Y740" s="4" t="e">
        <f>IF($Q740&lt;&gt;3,VLOOKUP(I740,'Points Table A'!E$3:$F$33,2),VLOOKUP(I740,'Points Table A'!K$3:$L$33,2))</f>
        <v>#N/A</v>
      </c>
      <c r="Z740" s="4" t="e">
        <f t="shared" si="65"/>
        <v>#N/A</v>
      </c>
      <c r="AA740" s="4">
        <f>IF($S740=Lookups!$B$113,VLOOKUP(L740,'Points Table C'!A$3:$E$11,5),VLOOKUP(U740,'Points Table C'!B$3:$E$11,4))</f>
        <v>0</v>
      </c>
      <c r="AB740" s="4" t="e">
        <f>IF($Q740=1,0,VLOOKUP($J740,'Points Table C'!$C$3:$E$18,3))</f>
        <v>#N/A</v>
      </c>
      <c r="AC740" s="4">
        <f>VLOOKUP($K740,'Points Table C'!$D$3:$E$18,2)</f>
        <v>0</v>
      </c>
      <c r="AD740" s="4" t="e">
        <f>IF($Z740&lt;Lookups!$C$106,($AA740+AB740+AC740),IF($AA740&gt;=Lookups!$C$120,($AA740+AB740+AC740),$AA740+$AB740))</f>
        <v>#N/A</v>
      </c>
      <c r="AF740" s="7"/>
      <c r="AG740" s="7"/>
      <c r="AH740" s="7"/>
      <c r="AI740" s="7"/>
      <c r="AJ740" s="7"/>
      <c r="AK740" s="7"/>
      <c r="AL740" s="7"/>
      <c r="AM740" s="7"/>
      <c r="AN740" s="7"/>
      <c r="AO740" s="7"/>
      <c r="AP740" s="7"/>
      <c r="AQ740" s="7"/>
      <c r="AR740" s="7"/>
      <c r="AS740" s="7"/>
      <c r="AT740" s="7"/>
      <c r="AU740" s="7"/>
      <c r="AV740" s="7"/>
      <c r="AW740" s="7"/>
      <c r="AY740" s="7"/>
      <c r="AZ740" s="7"/>
      <c r="BA740" s="7"/>
      <c r="BB740" s="7"/>
    </row>
    <row r="741" spans="2:54" x14ac:dyDescent="0.2">
      <c r="B741" s="174"/>
      <c r="C741" s="176"/>
      <c r="F741" s="5">
        <v>0</v>
      </c>
      <c r="G741" s="192">
        <v>0</v>
      </c>
      <c r="H741" s="192">
        <v>0</v>
      </c>
      <c r="I741" s="5">
        <v>0</v>
      </c>
      <c r="J741" s="192">
        <v>0</v>
      </c>
      <c r="K741" s="192">
        <v>0</v>
      </c>
      <c r="L741" s="5">
        <v>0</v>
      </c>
      <c r="M741" s="5">
        <v>0</v>
      </c>
      <c r="N741" s="4" t="e">
        <f t="shared" si="61"/>
        <v>#N/A</v>
      </c>
      <c r="O741" s="4" t="e">
        <f>IF(ROUND(10.499-(((N741-VLOOKUP($C741,Lookups!$A$55:$D$64,3))/(VLOOKUP($C741,Lookups!$A$55:$D$64,4))*VLOOKUP($C741,Lookups!$C$2:$D$11,2))),0)&lt;1,1,IF(ROUND(10.499-(((N741-VLOOKUP($C741,Lookups!$A$55:$D$64,3))/(VLOOKUP($C741,Lookups!$A$55:$D$64,4))*VLOOKUP($C741,Lookups!$C$2:$D$11,2))),0)&lt;11,ROUND(10.499-(((N741-VLOOKUP($C741,Lookups!$A$55:$D$64,3))/(VLOOKUP($C741,Lookups!$A$55:$D$64,4))*VLOOKUP($C741,Lookups!$C$2:$D$11,2))),0),10))</f>
        <v>#N/A</v>
      </c>
      <c r="P741" s="13" t="str">
        <f>IF((SUM(F741:M741)=0),"J",VLOOKUP(O741,Lookups!$A$1:$B$11,2))</f>
        <v>J</v>
      </c>
      <c r="Q741" s="8" t="e">
        <f>VLOOKUP(C741,Lookups!$A$136:$C$144,3)</f>
        <v>#N/A</v>
      </c>
      <c r="R741" s="8" t="e">
        <f>VLOOKUP(C741,Lookups!$A$136:$C$144,2)</f>
        <v>#N/A</v>
      </c>
      <c r="S741" s="4" t="str">
        <f t="shared" si="62"/>
        <v>No</v>
      </c>
      <c r="T741" s="125">
        <f t="shared" si="63"/>
        <v>0</v>
      </c>
      <c r="U741" s="125">
        <f t="shared" si="64"/>
        <v>0</v>
      </c>
      <c r="V741" s="4" t="e">
        <f>IF($Q741&lt;&gt;3,VLOOKUP(F741,'Points Table A'!B$3:$F$33,5),VLOOKUP(F741,'Points Table A'!H$3:$L$33,5))</f>
        <v>#N/A</v>
      </c>
      <c r="W741" s="4" t="e">
        <f>IF($Q741&lt;&gt;3,VLOOKUP(G741,'Points Table A'!C$3:$F$33,4),VLOOKUP(G741,'Points Table A'!I$3:$L$33,4))</f>
        <v>#N/A</v>
      </c>
      <c r="X741" s="4" t="e">
        <f>IF($Q741&lt;&gt;3,VLOOKUP(H741,'Points Table A'!D$3:$F$28,3),VLOOKUP(H741,'Points Table A'!J$3:$L$33,3))</f>
        <v>#N/A</v>
      </c>
      <c r="Y741" s="4" t="e">
        <f>IF($Q741&lt;&gt;3,VLOOKUP(I741,'Points Table A'!E$3:$F$33,2),VLOOKUP(I741,'Points Table A'!K$3:$L$33,2))</f>
        <v>#N/A</v>
      </c>
      <c r="Z741" s="4" t="e">
        <f t="shared" si="65"/>
        <v>#N/A</v>
      </c>
      <c r="AA741" s="4">
        <f>IF($S741=Lookups!$B$113,VLOOKUP(L741,'Points Table C'!A$3:$E$11,5),VLOOKUP(U741,'Points Table C'!B$3:$E$11,4))</f>
        <v>0</v>
      </c>
      <c r="AB741" s="4" t="e">
        <f>IF($Q741=1,0,VLOOKUP($J741,'Points Table C'!$C$3:$E$18,3))</f>
        <v>#N/A</v>
      </c>
      <c r="AC741" s="4">
        <f>VLOOKUP($K741,'Points Table C'!$D$3:$E$18,2)</f>
        <v>0</v>
      </c>
      <c r="AD741" s="4" t="e">
        <f>IF($Z741&lt;Lookups!$C$106,($AA741+AB741+AC741),IF($AA741&gt;=Lookups!$C$120,($AA741+AB741+AC741),$AA741+$AB741))</f>
        <v>#N/A</v>
      </c>
      <c r="AF741" s="7"/>
      <c r="AG741" s="7"/>
      <c r="AH741" s="7"/>
      <c r="AI741" s="7"/>
      <c r="AJ741" s="7"/>
      <c r="AK741" s="7"/>
      <c r="AL741" s="7"/>
      <c r="AM741" s="7"/>
      <c r="AN741" s="7"/>
      <c r="AO741" s="7"/>
      <c r="AP741" s="7"/>
      <c r="AQ741" s="7"/>
      <c r="AR741" s="7"/>
      <c r="AS741" s="7"/>
      <c r="AT741" s="7"/>
      <c r="AU741" s="7"/>
      <c r="AV741" s="7"/>
      <c r="AW741" s="7"/>
      <c r="AY741" s="7"/>
      <c r="AZ741" s="7"/>
      <c r="BA741" s="7"/>
      <c r="BB741" s="7"/>
    </row>
    <row r="742" spans="2:54" x14ac:dyDescent="0.2">
      <c r="B742" s="174"/>
      <c r="C742" s="176"/>
      <c r="F742" s="5">
        <v>0</v>
      </c>
      <c r="G742" s="192">
        <v>0</v>
      </c>
      <c r="H742" s="192">
        <v>0</v>
      </c>
      <c r="I742" s="5">
        <v>0</v>
      </c>
      <c r="J742" s="192">
        <v>0</v>
      </c>
      <c r="K742" s="192">
        <v>0</v>
      </c>
      <c r="L742" s="5">
        <v>0</v>
      </c>
      <c r="M742" s="5">
        <v>0</v>
      </c>
      <c r="N742" s="4" t="e">
        <f t="shared" si="61"/>
        <v>#N/A</v>
      </c>
      <c r="O742" s="4" t="e">
        <f>IF(ROUND(10.499-(((N742-VLOOKUP($C742,Lookups!$A$55:$D$64,3))/(VLOOKUP($C742,Lookups!$A$55:$D$64,4))*VLOOKUP($C742,Lookups!$C$2:$D$11,2))),0)&lt;1,1,IF(ROUND(10.499-(((N742-VLOOKUP($C742,Lookups!$A$55:$D$64,3))/(VLOOKUP($C742,Lookups!$A$55:$D$64,4))*VLOOKUP($C742,Lookups!$C$2:$D$11,2))),0)&lt;11,ROUND(10.499-(((N742-VLOOKUP($C742,Lookups!$A$55:$D$64,3))/(VLOOKUP($C742,Lookups!$A$55:$D$64,4))*VLOOKUP($C742,Lookups!$C$2:$D$11,2))),0),10))</f>
        <v>#N/A</v>
      </c>
      <c r="P742" s="13" t="str">
        <f>IF((SUM(F742:M742)=0),"J",VLOOKUP(O742,Lookups!$A$1:$B$11,2))</f>
        <v>J</v>
      </c>
      <c r="Q742" s="8" t="e">
        <f>VLOOKUP(C742,Lookups!$A$136:$C$144,3)</f>
        <v>#N/A</v>
      </c>
      <c r="R742" s="8" t="e">
        <f>VLOOKUP(C742,Lookups!$A$136:$C$144,2)</f>
        <v>#N/A</v>
      </c>
      <c r="S742" s="4" t="str">
        <f t="shared" si="62"/>
        <v>No</v>
      </c>
      <c r="T742" s="125">
        <f t="shared" si="63"/>
        <v>0</v>
      </c>
      <c r="U742" s="125">
        <f t="shared" si="64"/>
        <v>0</v>
      </c>
      <c r="V742" s="4" t="e">
        <f>IF($Q742&lt;&gt;3,VLOOKUP(F742,'Points Table A'!B$3:$F$33,5),VLOOKUP(F742,'Points Table A'!H$3:$L$33,5))</f>
        <v>#N/A</v>
      </c>
      <c r="W742" s="4" t="e">
        <f>IF($Q742&lt;&gt;3,VLOOKUP(G742,'Points Table A'!C$3:$F$33,4),VLOOKUP(G742,'Points Table A'!I$3:$L$33,4))</f>
        <v>#N/A</v>
      </c>
      <c r="X742" s="4" t="e">
        <f>IF($Q742&lt;&gt;3,VLOOKUP(H742,'Points Table A'!D$3:$F$28,3),VLOOKUP(H742,'Points Table A'!J$3:$L$33,3))</f>
        <v>#N/A</v>
      </c>
      <c r="Y742" s="4" t="e">
        <f>IF($Q742&lt;&gt;3,VLOOKUP(I742,'Points Table A'!E$3:$F$33,2),VLOOKUP(I742,'Points Table A'!K$3:$L$33,2))</f>
        <v>#N/A</v>
      </c>
      <c r="Z742" s="4" t="e">
        <f t="shared" si="65"/>
        <v>#N/A</v>
      </c>
      <c r="AA742" s="4">
        <f>IF($S742=Lookups!$B$113,VLOOKUP(L742,'Points Table C'!A$3:$E$11,5),VLOOKUP(U742,'Points Table C'!B$3:$E$11,4))</f>
        <v>0</v>
      </c>
      <c r="AB742" s="4" t="e">
        <f>IF($Q742=1,0,VLOOKUP($J742,'Points Table C'!$C$3:$E$18,3))</f>
        <v>#N/A</v>
      </c>
      <c r="AC742" s="4">
        <f>VLOOKUP($K742,'Points Table C'!$D$3:$E$18,2)</f>
        <v>0</v>
      </c>
      <c r="AD742" s="4" t="e">
        <f>IF($Z742&lt;Lookups!$C$106,($AA742+AB742+AC742),IF($AA742&gt;=Lookups!$C$120,($AA742+AB742+AC742),$AA742+$AB742))</f>
        <v>#N/A</v>
      </c>
      <c r="AF742" s="7"/>
      <c r="AG742" s="7"/>
      <c r="AH742" s="7"/>
      <c r="AI742" s="7"/>
      <c r="AJ742" s="7"/>
      <c r="AK742" s="7"/>
      <c r="AL742" s="7"/>
      <c r="AM742" s="7"/>
      <c r="AN742" s="7"/>
      <c r="AO742" s="7"/>
      <c r="AP742" s="7"/>
      <c r="AQ742" s="7"/>
      <c r="AR742" s="7"/>
      <c r="AS742" s="7"/>
      <c r="AT742" s="7"/>
      <c r="AU742" s="7"/>
      <c r="AV742" s="7"/>
      <c r="AW742" s="7"/>
      <c r="AY742" s="7"/>
      <c r="AZ742" s="7"/>
      <c r="BA742" s="7"/>
      <c r="BB742" s="7"/>
    </row>
    <row r="743" spans="2:54" x14ac:dyDescent="0.2">
      <c r="B743" s="174"/>
      <c r="C743" s="176"/>
      <c r="F743" s="5">
        <v>0</v>
      </c>
      <c r="G743" s="192">
        <v>0</v>
      </c>
      <c r="H743" s="192">
        <v>0</v>
      </c>
      <c r="I743" s="5">
        <v>0</v>
      </c>
      <c r="J743" s="192">
        <v>0</v>
      </c>
      <c r="K743" s="192">
        <v>0</v>
      </c>
      <c r="L743" s="5">
        <v>0</v>
      </c>
      <c r="M743" s="5">
        <v>0</v>
      </c>
      <c r="N743" s="4" t="e">
        <f t="shared" si="61"/>
        <v>#N/A</v>
      </c>
      <c r="O743" s="4" t="e">
        <f>IF(ROUND(10.499-(((N743-VLOOKUP($C743,Lookups!$A$55:$D$64,3))/(VLOOKUP($C743,Lookups!$A$55:$D$64,4))*VLOOKUP($C743,Lookups!$C$2:$D$11,2))),0)&lt;1,1,IF(ROUND(10.499-(((N743-VLOOKUP($C743,Lookups!$A$55:$D$64,3))/(VLOOKUP($C743,Lookups!$A$55:$D$64,4))*VLOOKUP($C743,Lookups!$C$2:$D$11,2))),0)&lt;11,ROUND(10.499-(((N743-VLOOKUP($C743,Lookups!$A$55:$D$64,3))/(VLOOKUP($C743,Lookups!$A$55:$D$64,4))*VLOOKUP($C743,Lookups!$C$2:$D$11,2))),0),10))</f>
        <v>#N/A</v>
      </c>
      <c r="P743" s="13" t="str">
        <f>IF((SUM(F743:M743)=0),"J",VLOOKUP(O743,Lookups!$A$1:$B$11,2))</f>
        <v>J</v>
      </c>
      <c r="Q743" s="8" t="e">
        <f>VLOOKUP(C743,Lookups!$A$136:$C$144,3)</f>
        <v>#N/A</v>
      </c>
      <c r="R743" s="8" t="e">
        <f>VLOOKUP(C743,Lookups!$A$136:$C$144,2)</f>
        <v>#N/A</v>
      </c>
      <c r="S743" s="4" t="str">
        <f t="shared" si="62"/>
        <v>No</v>
      </c>
      <c r="T743" s="125">
        <f t="shared" si="63"/>
        <v>0</v>
      </c>
      <c r="U743" s="125">
        <f t="shared" si="64"/>
        <v>0</v>
      </c>
      <c r="V743" s="4" t="e">
        <f>IF($Q743&lt;&gt;3,VLOOKUP(F743,'Points Table A'!B$3:$F$33,5),VLOOKUP(F743,'Points Table A'!H$3:$L$33,5))</f>
        <v>#N/A</v>
      </c>
      <c r="W743" s="4" t="e">
        <f>IF($Q743&lt;&gt;3,VLOOKUP(G743,'Points Table A'!C$3:$F$33,4),VLOOKUP(G743,'Points Table A'!I$3:$L$33,4))</f>
        <v>#N/A</v>
      </c>
      <c r="X743" s="4" t="e">
        <f>IF($Q743&lt;&gt;3,VLOOKUP(H743,'Points Table A'!D$3:$F$28,3),VLOOKUP(H743,'Points Table A'!J$3:$L$33,3))</f>
        <v>#N/A</v>
      </c>
      <c r="Y743" s="4" t="e">
        <f>IF($Q743&lt;&gt;3,VLOOKUP(I743,'Points Table A'!E$3:$F$33,2),VLOOKUP(I743,'Points Table A'!K$3:$L$33,2))</f>
        <v>#N/A</v>
      </c>
      <c r="Z743" s="4" t="e">
        <f t="shared" si="65"/>
        <v>#N/A</v>
      </c>
      <c r="AA743" s="4">
        <f>IF($S743=Lookups!$B$113,VLOOKUP(L743,'Points Table C'!A$3:$E$11,5),VLOOKUP(U743,'Points Table C'!B$3:$E$11,4))</f>
        <v>0</v>
      </c>
      <c r="AB743" s="4" t="e">
        <f>IF($Q743=1,0,VLOOKUP($J743,'Points Table C'!$C$3:$E$18,3))</f>
        <v>#N/A</v>
      </c>
      <c r="AC743" s="4">
        <f>VLOOKUP($K743,'Points Table C'!$D$3:$E$18,2)</f>
        <v>0</v>
      </c>
      <c r="AD743" s="4" t="e">
        <f>IF($Z743&lt;Lookups!$C$106,($AA743+AB743+AC743),IF($AA743&gt;=Lookups!$C$120,($AA743+AB743+AC743),$AA743+$AB743))</f>
        <v>#N/A</v>
      </c>
      <c r="AF743" s="7"/>
      <c r="AG743" s="7"/>
      <c r="AH743" s="7"/>
      <c r="AI743" s="7"/>
      <c r="AJ743" s="7"/>
      <c r="AK743" s="7"/>
      <c r="AL743" s="7"/>
      <c r="AM743" s="7"/>
      <c r="AN743" s="7"/>
      <c r="AO743" s="7"/>
      <c r="AP743" s="7"/>
      <c r="AQ743" s="7"/>
      <c r="AR743" s="7"/>
      <c r="AS743" s="7"/>
      <c r="AT743" s="7"/>
      <c r="AU743" s="7"/>
      <c r="AV743" s="7"/>
      <c r="AW743" s="7"/>
      <c r="AY743" s="7"/>
      <c r="AZ743" s="7"/>
      <c r="BA743" s="7"/>
      <c r="BB743" s="7"/>
    </row>
    <row r="744" spans="2:54" x14ac:dyDescent="0.2">
      <c r="B744" s="174"/>
      <c r="C744" s="176"/>
      <c r="F744" s="5">
        <v>0</v>
      </c>
      <c r="G744" s="192">
        <v>0</v>
      </c>
      <c r="H744" s="192">
        <v>0</v>
      </c>
      <c r="I744" s="5">
        <v>0</v>
      </c>
      <c r="J744" s="192">
        <v>0</v>
      </c>
      <c r="K744" s="192">
        <v>0</v>
      </c>
      <c r="L744" s="5">
        <v>0</v>
      </c>
      <c r="M744" s="5">
        <v>0</v>
      </c>
      <c r="N744" s="4" t="e">
        <f t="shared" si="61"/>
        <v>#N/A</v>
      </c>
      <c r="O744" s="4" t="e">
        <f>IF(ROUND(10.499-(((N744-VLOOKUP($C744,Lookups!$A$55:$D$64,3))/(VLOOKUP($C744,Lookups!$A$55:$D$64,4))*VLOOKUP($C744,Lookups!$C$2:$D$11,2))),0)&lt;1,1,IF(ROUND(10.499-(((N744-VLOOKUP($C744,Lookups!$A$55:$D$64,3))/(VLOOKUP($C744,Lookups!$A$55:$D$64,4))*VLOOKUP($C744,Lookups!$C$2:$D$11,2))),0)&lt;11,ROUND(10.499-(((N744-VLOOKUP($C744,Lookups!$A$55:$D$64,3))/(VLOOKUP($C744,Lookups!$A$55:$D$64,4))*VLOOKUP($C744,Lookups!$C$2:$D$11,2))),0),10))</f>
        <v>#N/A</v>
      </c>
      <c r="P744" s="13" t="str">
        <f>IF((SUM(F744:M744)=0),"J",VLOOKUP(O744,Lookups!$A$1:$B$11,2))</f>
        <v>J</v>
      </c>
      <c r="Q744" s="8" t="e">
        <f>VLOOKUP(C744,Lookups!$A$136:$C$144,3)</f>
        <v>#N/A</v>
      </c>
      <c r="R744" s="8" t="e">
        <f>VLOOKUP(C744,Lookups!$A$136:$C$144,2)</f>
        <v>#N/A</v>
      </c>
      <c r="S744" s="4" t="str">
        <f t="shared" si="62"/>
        <v>No</v>
      </c>
      <c r="T744" s="125">
        <f t="shared" si="63"/>
        <v>0</v>
      </c>
      <c r="U744" s="125">
        <f t="shared" si="64"/>
        <v>0</v>
      </c>
      <c r="V744" s="4" t="e">
        <f>IF($Q744&lt;&gt;3,VLOOKUP(F744,'Points Table A'!B$3:$F$33,5),VLOOKUP(F744,'Points Table A'!H$3:$L$33,5))</f>
        <v>#N/A</v>
      </c>
      <c r="W744" s="4" t="e">
        <f>IF($Q744&lt;&gt;3,VLOOKUP(G744,'Points Table A'!C$3:$F$33,4),VLOOKUP(G744,'Points Table A'!I$3:$L$33,4))</f>
        <v>#N/A</v>
      </c>
      <c r="X744" s="4" t="e">
        <f>IF($Q744&lt;&gt;3,VLOOKUP(H744,'Points Table A'!D$3:$F$28,3),VLOOKUP(H744,'Points Table A'!J$3:$L$33,3))</f>
        <v>#N/A</v>
      </c>
      <c r="Y744" s="4" t="e">
        <f>IF($Q744&lt;&gt;3,VLOOKUP(I744,'Points Table A'!E$3:$F$33,2),VLOOKUP(I744,'Points Table A'!K$3:$L$33,2))</f>
        <v>#N/A</v>
      </c>
      <c r="Z744" s="4" t="e">
        <f t="shared" si="65"/>
        <v>#N/A</v>
      </c>
      <c r="AA744" s="4">
        <f>IF($S744=Lookups!$B$113,VLOOKUP(L744,'Points Table C'!A$3:$E$11,5),VLOOKUP(U744,'Points Table C'!B$3:$E$11,4))</f>
        <v>0</v>
      </c>
      <c r="AB744" s="4" t="e">
        <f>IF($Q744=1,0,VLOOKUP($J744,'Points Table C'!$C$3:$E$18,3))</f>
        <v>#N/A</v>
      </c>
      <c r="AC744" s="4">
        <f>VLOOKUP($K744,'Points Table C'!$D$3:$E$18,2)</f>
        <v>0</v>
      </c>
      <c r="AD744" s="4" t="e">
        <f>IF($Z744&lt;Lookups!$C$106,($AA744+AB744+AC744),IF($AA744&gt;=Lookups!$C$120,($AA744+AB744+AC744),$AA744+$AB744))</f>
        <v>#N/A</v>
      </c>
      <c r="AF744" s="7"/>
      <c r="AG744" s="7"/>
      <c r="AH744" s="7"/>
      <c r="AI744" s="7"/>
      <c r="AJ744" s="7"/>
      <c r="AK744" s="7"/>
      <c r="AL744" s="7"/>
      <c r="AM744" s="7"/>
      <c r="AN744" s="7"/>
      <c r="AO744" s="7"/>
      <c r="AP744" s="7"/>
      <c r="AQ744" s="7"/>
      <c r="AR744" s="7"/>
      <c r="AS744" s="7"/>
      <c r="AT744" s="7"/>
      <c r="AU744" s="7"/>
      <c r="AV744" s="7"/>
      <c r="AW744" s="7"/>
      <c r="AY744" s="7"/>
      <c r="AZ744" s="7"/>
      <c r="BA744" s="7"/>
      <c r="BB744" s="7"/>
    </row>
    <row r="745" spans="2:54" x14ac:dyDescent="0.2">
      <c r="B745" s="174"/>
      <c r="C745" s="176"/>
      <c r="F745" s="5">
        <v>0</v>
      </c>
      <c r="G745" s="192">
        <v>0</v>
      </c>
      <c r="H745" s="192">
        <v>0</v>
      </c>
      <c r="I745" s="5">
        <v>0</v>
      </c>
      <c r="J745" s="192">
        <v>0</v>
      </c>
      <c r="K745" s="192">
        <v>0</v>
      </c>
      <c r="L745" s="5">
        <v>0</v>
      </c>
      <c r="M745" s="5">
        <v>0</v>
      </c>
      <c r="N745" s="4" t="e">
        <f t="shared" si="61"/>
        <v>#N/A</v>
      </c>
      <c r="O745" s="4" t="e">
        <f>IF(ROUND(10.499-(((N745-VLOOKUP($C745,Lookups!$A$55:$D$64,3))/(VLOOKUP($C745,Lookups!$A$55:$D$64,4))*VLOOKUP($C745,Lookups!$C$2:$D$11,2))),0)&lt;1,1,IF(ROUND(10.499-(((N745-VLOOKUP($C745,Lookups!$A$55:$D$64,3))/(VLOOKUP($C745,Lookups!$A$55:$D$64,4))*VLOOKUP($C745,Lookups!$C$2:$D$11,2))),0)&lt;11,ROUND(10.499-(((N745-VLOOKUP($C745,Lookups!$A$55:$D$64,3))/(VLOOKUP($C745,Lookups!$A$55:$D$64,4))*VLOOKUP($C745,Lookups!$C$2:$D$11,2))),0),10))</f>
        <v>#N/A</v>
      </c>
      <c r="P745" s="13" t="str">
        <f>IF((SUM(F745:M745)=0),"J",VLOOKUP(O745,Lookups!$A$1:$B$11,2))</f>
        <v>J</v>
      </c>
      <c r="Q745" s="8" t="e">
        <f>VLOOKUP(C745,Lookups!$A$136:$C$144,3)</f>
        <v>#N/A</v>
      </c>
      <c r="R745" s="8" t="e">
        <f>VLOOKUP(C745,Lookups!$A$136:$C$144,2)</f>
        <v>#N/A</v>
      </c>
      <c r="S745" s="4" t="str">
        <f t="shared" si="62"/>
        <v>No</v>
      </c>
      <c r="T745" s="125">
        <f t="shared" si="63"/>
        <v>0</v>
      </c>
      <c r="U745" s="125">
        <f t="shared" si="64"/>
        <v>0</v>
      </c>
      <c r="V745" s="4" t="e">
        <f>IF($Q745&lt;&gt;3,VLOOKUP(F745,'Points Table A'!B$3:$F$33,5),VLOOKUP(F745,'Points Table A'!H$3:$L$33,5))</f>
        <v>#N/A</v>
      </c>
      <c r="W745" s="4" t="e">
        <f>IF($Q745&lt;&gt;3,VLOOKUP(G745,'Points Table A'!C$3:$F$33,4),VLOOKUP(G745,'Points Table A'!I$3:$L$33,4))</f>
        <v>#N/A</v>
      </c>
      <c r="X745" s="4" t="e">
        <f>IF($Q745&lt;&gt;3,VLOOKUP(H745,'Points Table A'!D$3:$F$28,3),VLOOKUP(H745,'Points Table A'!J$3:$L$33,3))</f>
        <v>#N/A</v>
      </c>
      <c r="Y745" s="4" t="e">
        <f>IF($Q745&lt;&gt;3,VLOOKUP(I745,'Points Table A'!E$3:$F$33,2),VLOOKUP(I745,'Points Table A'!K$3:$L$33,2))</f>
        <v>#N/A</v>
      </c>
      <c r="Z745" s="4" t="e">
        <f t="shared" si="65"/>
        <v>#N/A</v>
      </c>
      <c r="AA745" s="4">
        <f>IF($S745=Lookups!$B$113,VLOOKUP(L745,'Points Table C'!A$3:$E$11,5),VLOOKUP(U745,'Points Table C'!B$3:$E$11,4))</f>
        <v>0</v>
      </c>
      <c r="AB745" s="4" t="e">
        <f>IF($Q745=1,0,VLOOKUP($J745,'Points Table C'!$C$3:$E$18,3))</f>
        <v>#N/A</v>
      </c>
      <c r="AC745" s="4">
        <f>VLOOKUP($K745,'Points Table C'!$D$3:$E$18,2)</f>
        <v>0</v>
      </c>
      <c r="AD745" s="4" t="e">
        <f>IF($Z745&lt;Lookups!$C$106,($AA745+AB745+AC745),IF($AA745&gt;=Lookups!$C$120,($AA745+AB745+AC745),$AA745+$AB745))</f>
        <v>#N/A</v>
      </c>
      <c r="AF745" s="7"/>
      <c r="AG745" s="7"/>
      <c r="AH745" s="7"/>
      <c r="AI745" s="7"/>
      <c r="AJ745" s="7"/>
      <c r="AK745" s="7"/>
      <c r="AL745" s="7"/>
      <c r="AM745" s="7"/>
      <c r="AN745" s="7"/>
      <c r="AO745" s="7"/>
      <c r="AP745" s="7"/>
      <c r="AQ745" s="7"/>
      <c r="AR745" s="7"/>
      <c r="AS745" s="7"/>
      <c r="AT745" s="7"/>
      <c r="AU745" s="7"/>
      <c r="AV745" s="7"/>
      <c r="AW745" s="7"/>
      <c r="AY745" s="7"/>
      <c r="AZ745" s="7"/>
      <c r="BA745" s="7"/>
      <c r="BB745" s="7"/>
    </row>
    <row r="746" spans="2:54" x14ac:dyDescent="0.2">
      <c r="B746" s="174"/>
      <c r="C746" s="176"/>
      <c r="F746" s="5">
        <v>0</v>
      </c>
      <c r="G746" s="192">
        <v>0</v>
      </c>
      <c r="H746" s="192">
        <v>0</v>
      </c>
      <c r="I746" s="5">
        <v>0</v>
      </c>
      <c r="J746" s="192">
        <v>0</v>
      </c>
      <c r="K746" s="192">
        <v>0</v>
      </c>
      <c r="L746" s="5">
        <v>0</v>
      </c>
      <c r="M746" s="5">
        <v>0</v>
      </c>
      <c r="N746" s="4" t="e">
        <f t="shared" si="61"/>
        <v>#N/A</v>
      </c>
      <c r="O746" s="4" t="e">
        <f>IF(ROUND(10.499-(((N746-VLOOKUP($C746,Lookups!$A$55:$D$64,3))/(VLOOKUP($C746,Lookups!$A$55:$D$64,4))*VLOOKUP($C746,Lookups!$C$2:$D$11,2))),0)&lt;1,1,IF(ROUND(10.499-(((N746-VLOOKUP($C746,Lookups!$A$55:$D$64,3))/(VLOOKUP($C746,Lookups!$A$55:$D$64,4))*VLOOKUP($C746,Lookups!$C$2:$D$11,2))),0)&lt;11,ROUND(10.499-(((N746-VLOOKUP($C746,Lookups!$A$55:$D$64,3))/(VLOOKUP($C746,Lookups!$A$55:$D$64,4))*VLOOKUP($C746,Lookups!$C$2:$D$11,2))),0),10))</f>
        <v>#N/A</v>
      </c>
      <c r="P746" s="13" t="str">
        <f>IF((SUM(F746:M746)=0),"J",VLOOKUP(O746,Lookups!$A$1:$B$11,2))</f>
        <v>J</v>
      </c>
      <c r="Q746" s="8" t="e">
        <f>VLOOKUP(C746,Lookups!$A$136:$C$144,3)</f>
        <v>#N/A</v>
      </c>
      <c r="R746" s="8" t="e">
        <f>VLOOKUP(C746,Lookups!$A$136:$C$144,2)</f>
        <v>#N/A</v>
      </c>
      <c r="S746" s="4" t="str">
        <f t="shared" si="62"/>
        <v>No</v>
      </c>
      <c r="T746" s="125">
        <f t="shared" si="63"/>
        <v>0</v>
      </c>
      <c r="U746" s="125">
        <f t="shared" si="64"/>
        <v>0</v>
      </c>
      <c r="V746" s="4" t="e">
        <f>IF($Q746&lt;&gt;3,VLOOKUP(F746,'Points Table A'!B$3:$F$33,5),VLOOKUP(F746,'Points Table A'!H$3:$L$33,5))</f>
        <v>#N/A</v>
      </c>
      <c r="W746" s="4" t="e">
        <f>IF($Q746&lt;&gt;3,VLOOKUP(G746,'Points Table A'!C$3:$F$33,4),VLOOKUP(G746,'Points Table A'!I$3:$L$33,4))</f>
        <v>#N/A</v>
      </c>
      <c r="X746" s="4" t="e">
        <f>IF($Q746&lt;&gt;3,VLOOKUP(H746,'Points Table A'!D$3:$F$28,3),VLOOKUP(H746,'Points Table A'!J$3:$L$33,3))</f>
        <v>#N/A</v>
      </c>
      <c r="Y746" s="4" t="e">
        <f>IF($Q746&lt;&gt;3,VLOOKUP(I746,'Points Table A'!E$3:$F$33,2),VLOOKUP(I746,'Points Table A'!K$3:$L$33,2))</f>
        <v>#N/A</v>
      </c>
      <c r="Z746" s="4" t="e">
        <f t="shared" si="65"/>
        <v>#N/A</v>
      </c>
      <c r="AA746" s="4">
        <f>IF($S746=Lookups!$B$113,VLOOKUP(L746,'Points Table C'!A$3:$E$11,5),VLOOKUP(U746,'Points Table C'!B$3:$E$11,4))</f>
        <v>0</v>
      </c>
      <c r="AB746" s="4" t="e">
        <f>IF($Q746=1,0,VLOOKUP($J746,'Points Table C'!$C$3:$E$18,3))</f>
        <v>#N/A</v>
      </c>
      <c r="AC746" s="4">
        <f>VLOOKUP($K746,'Points Table C'!$D$3:$E$18,2)</f>
        <v>0</v>
      </c>
      <c r="AD746" s="4" t="e">
        <f>IF($Z746&lt;Lookups!$C$106,($AA746+AB746+AC746),IF($AA746&gt;=Lookups!$C$120,($AA746+AB746+AC746),$AA746+$AB746))</f>
        <v>#N/A</v>
      </c>
      <c r="AF746" s="7"/>
      <c r="AG746" s="7"/>
      <c r="AH746" s="7"/>
      <c r="AI746" s="7"/>
      <c r="AJ746" s="7"/>
      <c r="AK746" s="7"/>
      <c r="AL746" s="7"/>
      <c r="AM746" s="7"/>
      <c r="AN746" s="7"/>
      <c r="AO746" s="7"/>
      <c r="AP746" s="7"/>
      <c r="AQ746" s="7"/>
      <c r="AR746" s="7"/>
      <c r="AS746" s="7"/>
      <c r="AT746" s="7"/>
      <c r="AU746" s="7"/>
      <c r="AV746" s="7"/>
      <c r="AW746" s="7"/>
      <c r="AY746" s="7"/>
      <c r="AZ746" s="7"/>
      <c r="BA746" s="7"/>
      <c r="BB746" s="7"/>
    </row>
    <row r="747" spans="2:54" x14ac:dyDescent="0.2">
      <c r="B747" s="174"/>
      <c r="C747" s="176"/>
      <c r="F747" s="5">
        <v>0</v>
      </c>
      <c r="G747" s="192">
        <v>0</v>
      </c>
      <c r="H747" s="192">
        <v>0</v>
      </c>
      <c r="I747" s="5">
        <v>0</v>
      </c>
      <c r="J747" s="192">
        <v>0</v>
      </c>
      <c r="K747" s="192">
        <v>0</v>
      </c>
      <c r="L747" s="5">
        <v>0</v>
      </c>
      <c r="M747" s="5">
        <v>0</v>
      </c>
      <c r="N747" s="4" t="e">
        <f t="shared" si="61"/>
        <v>#N/A</v>
      </c>
      <c r="O747" s="4" t="e">
        <f>IF(ROUND(10.499-(((N747-VLOOKUP($C747,Lookups!$A$55:$D$64,3))/(VLOOKUP($C747,Lookups!$A$55:$D$64,4))*VLOOKUP($C747,Lookups!$C$2:$D$11,2))),0)&lt;1,1,IF(ROUND(10.499-(((N747-VLOOKUP($C747,Lookups!$A$55:$D$64,3))/(VLOOKUP($C747,Lookups!$A$55:$D$64,4))*VLOOKUP($C747,Lookups!$C$2:$D$11,2))),0)&lt;11,ROUND(10.499-(((N747-VLOOKUP($C747,Lookups!$A$55:$D$64,3))/(VLOOKUP($C747,Lookups!$A$55:$D$64,4))*VLOOKUP($C747,Lookups!$C$2:$D$11,2))),0),10))</f>
        <v>#N/A</v>
      </c>
      <c r="P747" s="13" t="str">
        <f>IF((SUM(F747:M747)=0),"J",VLOOKUP(O747,Lookups!$A$1:$B$11,2))</f>
        <v>J</v>
      </c>
      <c r="Q747" s="8" t="e">
        <f>VLOOKUP(C747,Lookups!$A$136:$C$144,3)</f>
        <v>#N/A</v>
      </c>
      <c r="R747" s="8" t="e">
        <f>VLOOKUP(C747,Lookups!$A$136:$C$144,2)</f>
        <v>#N/A</v>
      </c>
      <c r="S747" s="4" t="str">
        <f t="shared" si="62"/>
        <v>No</v>
      </c>
      <c r="T747" s="125">
        <f t="shared" si="63"/>
        <v>0</v>
      </c>
      <c r="U747" s="125">
        <f t="shared" si="64"/>
        <v>0</v>
      </c>
      <c r="V747" s="4" t="e">
        <f>IF($Q747&lt;&gt;3,VLOOKUP(F747,'Points Table A'!B$3:$F$33,5),VLOOKUP(F747,'Points Table A'!H$3:$L$33,5))</f>
        <v>#N/A</v>
      </c>
      <c r="W747" s="4" t="e">
        <f>IF($Q747&lt;&gt;3,VLOOKUP(G747,'Points Table A'!C$3:$F$33,4),VLOOKUP(G747,'Points Table A'!I$3:$L$33,4))</f>
        <v>#N/A</v>
      </c>
      <c r="X747" s="4" t="e">
        <f>IF($Q747&lt;&gt;3,VLOOKUP(H747,'Points Table A'!D$3:$F$28,3),VLOOKUP(H747,'Points Table A'!J$3:$L$33,3))</f>
        <v>#N/A</v>
      </c>
      <c r="Y747" s="4" t="e">
        <f>IF($Q747&lt;&gt;3,VLOOKUP(I747,'Points Table A'!E$3:$F$33,2),VLOOKUP(I747,'Points Table A'!K$3:$L$33,2))</f>
        <v>#N/A</v>
      </c>
      <c r="Z747" s="4" t="e">
        <f t="shared" si="65"/>
        <v>#N/A</v>
      </c>
      <c r="AA747" s="4">
        <f>IF($S747=Lookups!$B$113,VLOOKUP(L747,'Points Table C'!A$3:$E$11,5),VLOOKUP(U747,'Points Table C'!B$3:$E$11,4))</f>
        <v>0</v>
      </c>
      <c r="AB747" s="4" t="e">
        <f>IF($Q747=1,0,VLOOKUP($J747,'Points Table C'!$C$3:$E$18,3))</f>
        <v>#N/A</v>
      </c>
      <c r="AC747" s="4">
        <f>VLOOKUP($K747,'Points Table C'!$D$3:$E$18,2)</f>
        <v>0</v>
      </c>
      <c r="AD747" s="4" t="e">
        <f>IF($Z747&lt;Lookups!$C$106,($AA747+AB747+AC747),IF($AA747&gt;=Lookups!$C$120,($AA747+AB747+AC747),$AA747+$AB747))</f>
        <v>#N/A</v>
      </c>
      <c r="AF747" s="7"/>
      <c r="AG747" s="7"/>
      <c r="AH747" s="7"/>
      <c r="AI747" s="7"/>
      <c r="AJ747" s="7"/>
      <c r="AK747" s="7"/>
      <c r="AL747" s="7"/>
      <c r="AM747" s="7"/>
      <c r="AN747" s="7"/>
      <c r="AO747" s="7"/>
      <c r="AP747" s="7"/>
      <c r="AQ747" s="7"/>
      <c r="AR747" s="7"/>
      <c r="AS747" s="7"/>
      <c r="AT747" s="7"/>
      <c r="AU747" s="7"/>
      <c r="AV747" s="7"/>
      <c r="AW747" s="7"/>
      <c r="AY747" s="7"/>
      <c r="AZ747" s="7"/>
      <c r="BA747" s="7"/>
      <c r="BB747" s="7"/>
    </row>
    <row r="748" spans="2:54" x14ac:dyDescent="0.2">
      <c r="B748" s="174"/>
      <c r="C748" s="176"/>
      <c r="F748" s="5">
        <v>0</v>
      </c>
      <c r="G748" s="192">
        <v>0</v>
      </c>
      <c r="H748" s="192">
        <v>0</v>
      </c>
      <c r="I748" s="5">
        <v>0</v>
      </c>
      <c r="J748" s="192">
        <v>0</v>
      </c>
      <c r="K748" s="192">
        <v>0</v>
      </c>
      <c r="L748" s="5">
        <v>0</v>
      </c>
      <c r="M748" s="5">
        <v>0</v>
      </c>
      <c r="N748" s="4" t="e">
        <f t="shared" si="61"/>
        <v>#N/A</v>
      </c>
      <c r="O748" s="4" t="e">
        <f>IF(ROUND(10.499-(((N748-VLOOKUP($C748,Lookups!$A$55:$D$64,3))/(VLOOKUP($C748,Lookups!$A$55:$D$64,4))*VLOOKUP($C748,Lookups!$C$2:$D$11,2))),0)&lt;1,1,IF(ROUND(10.499-(((N748-VLOOKUP($C748,Lookups!$A$55:$D$64,3))/(VLOOKUP($C748,Lookups!$A$55:$D$64,4))*VLOOKUP($C748,Lookups!$C$2:$D$11,2))),0)&lt;11,ROUND(10.499-(((N748-VLOOKUP($C748,Lookups!$A$55:$D$64,3))/(VLOOKUP($C748,Lookups!$A$55:$D$64,4))*VLOOKUP($C748,Lookups!$C$2:$D$11,2))),0),10))</f>
        <v>#N/A</v>
      </c>
      <c r="P748" s="13" t="str">
        <f>IF((SUM(F748:M748)=0),"J",VLOOKUP(O748,Lookups!$A$1:$B$11,2))</f>
        <v>J</v>
      </c>
      <c r="Q748" s="8" t="e">
        <f>VLOOKUP(C748,Lookups!$A$136:$C$144,3)</f>
        <v>#N/A</v>
      </c>
      <c r="R748" s="8" t="e">
        <f>VLOOKUP(C748,Lookups!$A$136:$C$144,2)</f>
        <v>#N/A</v>
      </c>
      <c r="S748" s="4" t="str">
        <f t="shared" si="62"/>
        <v>No</v>
      </c>
      <c r="T748" s="125">
        <f t="shared" si="63"/>
        <v>0</v>
      </c>
      <c r="U748" s="125">
        <f t="shared" si="64"/>
        <v>0</v>
      </c>
      <c r="V748" s="4" t="e">
        <f>IF($Q748&lt;&gt;3,VLOOKUP(F748,'Points Table A'!B$3:$F$33,5),VLOOKUP(F748,'Points Table A'!H$3:$L$33,5))</f>
        <v>#N/A</v>
      </c>
      <c r="W748" s="4" t="e">
        <f>IF($Q748&lt;&gt;3,VLOOKUP(G748,'Points Table A'!C$3:$F$33,4),VLOOKUP(G748,'Points Table A'!I$3:$L$33,4))</f>
        <v>#N/A</v>
      </c>
      <c r="X748" s="4" t="e">
        <f>IF($Q748&lt;&gt;3,VLOOKUP(H748,'Points Table A'!D$3:$F$28,3),VLOOKUP(H748,'Points Table A'!J$3:$L$33,3))</f>
        <v>#N/A</v>
      </c>
      <c r="Y748" s="4" t="e">
        <f>IF($Q748&lt;&gt;3,VLOOKUP(I748,'Points Table A'!E$3:$F$33,2),VLOOKUP(I748,'Points Table A'!K$3:$L$33,2))</f>
        <v>#N/A</v>
      </c>
      <c r="Z748" s="4" t="e">
        <f t="shared" si="65"/>
        <v>#N/A</v>
      </c>
      <c r="AA748" s="4">
        <f>IF($S748=Lookups!$B$113,VLOOKUP(L748,'Points Table C'!A$3:$E$11,5),VLOOKUP(U748,'Points Table C'!B$3:$E$11,4))</f>
        <v>0</v>
      </c>
      <c r="AB748" s="4" t="e">
        <f>IF($Q748=1,0,VLOOKUP($J748,'Points Table C'!$C$3:$E$18,3))</f>
        <v>#N/A</v>
      </c>
      <c r="AC748" s="4">
        <f>VLOOKUP($K748,'Points Table C'!$D$3:$E$18,2)</f>
        <v>0</v>
      </c>
      <c r="AD748" s="4" t="e">
        <f>IF($Z748&lt;Lookups!$C$106,($AA748+AB748+AC748),IF($AA748&gt;=Lookups!$C$120,($AA748+AB748+AC748),$AA748+$AB748))</f>
        <v>#N/A</v>
      </c>
      <c r="AF748" s="7"/>
      <c r="AG748" s="7"/>
      <c r="AH748" s="7"/>
      <c r="AI748" s="7"/>
      <c r="AJ748" s="7"/>
      <c r="AK748" s="7"/>
      <c r="AL748" s="7"/>
      <c r="AM748" s="7"/>
      <c r="AN748" s="7"/>
      <c r="AO748" s="7"/>
      <c r="AP748" s="7"/>
      <c r="AQ748" s="7"/>
      <c r="AR748" s="7"/>
      <c r="AS748" s="7"/>
      <c r="AT748" s="7"/>
      <c r="AU748" s="7"/>
      <c r="AV748" s="7"/>
      <c r="AW748" s="7"/>
      <c r="AY748" s="7"/>
      <c r="AZ748" s="7"/>
      <c r="BA748" s="7"/>
      <c r="BB748" s="7"/>
    </row>
    <row r="749" spans="2:54" x14ac:dyDescent="0.2">
      <c r="B749" s="174"/>
      <c r="C749" s="176"/>
      <c r="F749" s="5">
        <v>0</v>
      </c>
      <c r="G749" s="192">
        <v>0</v>
      </c>
      <c r="H749" s="192">
        <v>0</v>
      </c>
      <c r="I749" s="5">
        <v>0</v>
      </c>
      <c r="J749" s="192">
        <v>0</v>
      </c>
      <c r="K749" s="192">
        <v>0</v>
      </c>
      <c r="L749" s="5">
        <v>0</v>
      </c>
      <c r="M749" s="5">
        <v>0</v>
      </c>
      <c r="N749" s="4" t="e">
        <f t="shared" si="61"/>
        <v>#N/A</v>
      </c>
      <c r="O749" s="4" t="e">
        <f>IF(ROUND(10.499-(((N749-VLOOKUP($C749,Lookups!$A$55:$D$64,3))/(VLOOKUP($C749,Lookups!$A$55:$D$64,4))*VLOOKUP($C749,Lookups!$C$2:$D$11,2))),0)&lt;1,1,IF(ROUND(10.499-(((N749-VLOOKUP($C749,Lookups!$A$55:$D$64,3))/(VLOOKUP($C749,Lookups!$A$55:$D$64,4))*VLOOKUP($C749,Lookups!$C$2:$D$11,2))),0)&lt;11,ROUND(10.499-(((N749-VLOOKUP($C749,Lookups!$A$55:$D$64,3))/(VLOOKUP($C749,Lookups!$A$55:$D$64,4))*VLOOKUP($C749,Lookups!$C$2:$D$11,2))),0),10))</f>
        <v>#N/A</v>
      </c>
      <c r="P749" s="13" t="str">
        <f>IF((SUM(F749:M749)=0),"J",VLOOKUP(O749,Lookups!$A$1:$B$11,2))</f>
        <v>J</v>
      </c>
      <c r="Q749" s="8" t="e">
        <f>VLOOKUP(C749,Lookups!$A$136:$C$144,3)</f>
        <v>#N/A</v>
      </c>
      <c r="R749" s="8" t="e">
        <f>VLOOKUP(C749,Lookups!$A$136:$C$144,2)</f>
        <v>#N/A</v>
      </c>
      <c r="S749" s="4" t="str">
        <f t="shared" si="62"/>
        <v>No</v>
      </c>
      <c r="T749" s="125">
        <f t="shared" si="63"/>
        <v>0</v>
      </c>
      <c r="U749" s="125">
        <f t="shared" si="64"/>
        <v>0</v>
      </c>
      <c r="V749" s="4" t="e">
        <f>IF($Q749&lt;&gt;3,VLOOKUP(F749,'Points Table A'!B$3:$F$33,5),VLOOKUP(F749,'Points Table A'!H$3:$L$33,5))</f>
        <v>#N/A</v>
      </c>
      <c r="W749" s="4" t="e">
        <f>IF($Q749&lt;&gt;3,VLOOKUP(G749,'Points Table A'!C$3:$F$33,4),VLOOKUP(G749,'Points Table A'!I$3:$L$33,4))</f>
        <v>#N/A</v>
      </c>
      <c r="X749" s="4" t="e">
        <f>IF($Q749&lt;&gt;3,VLOOKUP(H749,'Points Table A'!D$3:$F$28,3),VLOOKUP(H749,'Points Table A'!J$3:$L$33,3))</f>
        <v>#N/A</v>
      </c>
      <c r="Y749" s="4" t="e">
        <f>IF($Q749&lt;&gt;3,VLOOKUP(I749,'Points Table A'!E$3:$F$33,2),VLOOKUP(I749,'Points Table A'!K$3:$L$33,2))</f>
        <v>#N/A</v>
      </c>
      <c r="Z749" s="4" t="e">
        <f t="shared" si="65"/>
        <v>#N/A</v>
      </c>
      <c r="AA749" s="4">
        <f>IF($S749=Lookups!$B$113,VLOOKUP(L749,'Points Table C'!A$3:$E$11,5),VLOOKUP(U749,'Points Table C'!B$3:$E$11,4))</f>
        <v>0</v>
      </c>
      <c r="AB749" s="4" t="e">
        <f>IF($Q749=1,0,VLOOKUP($J749,'Points Table C'!$C$3:$E$18,3))</f>
        <v>#N/A</v>
      </c>
      <c r="AC749" s="4">
        <f>VLOOKUP($K749,'Points Table C'!$D$3:$E$18,2)</f>
        <v>0</v>
      </c>
      <c r="AD749" s="4" t="e">
        <f>IF($Z749&lt;Lookups!$C$106,($AA749+AB749+AC749),IF($AA749&gt;=Lookups!$C$120,($AA749+AB749+AC749),$AA749+$AB749))</f>
        <v>#N/A</v>
      </c>
      <c r="AF749" s="7"/>
      <c r="AG749" s="7"/>
      <c r="AH749" s="7"/>
      <c r="AI749" s="7"/>
      <c r="AJ749" s="7"/>
      <c r="AK749" s="7"/>
      <c r="AL749" s="7"/>
      <c r="AM749" s="7"/>
      <c r="AN749" s="7"/>
      <c r="AO749" s="7"/>
      <c r="AP749" s="7"/>
      <c r="AQ749" s="7"/>
      <c r="AR749" s="7"/>
      <c r="AS749" s="7"/>
      <c r="AT749" s="7"/>
      <c r="AU749" s="7"/>
      <c r="AV749" s="7"/>
      <c r="AW749" s="7"/>
      <c r="AY749" s="7"/>
      <c r="AZ749" s="7"/>
      <c r="BA749" s="7"/>
      <c r="BB749" s="7"/>
    </row>
    <row r="750" spans="2:54" x14ac:dyDescent="0.2">
      <c r="B750" s="174"/>
      <c r="C750" s="176"/>
      <c r="F750" s="5">
        <v>0</v>
      </c>
      <c r="G750" s="192">
        <v>0</v>
      </c>
      <c r="H750" s="192">
        <v>0</v>
      </c>
      <c r="I750" s="5">
        <v>0</v>
      </c>
      <c r="J750" s="192">
        <v>0</v>
      </c>
      <c r="K750" s="192">
        <v>0</v>
      </c>
      <c r="L750" s="5">
        <v>0</v>
      </c>
      <c r="M750" s="5">
        <v>0</v>
      </c>
      <c r="N750" s="4" t="e">
        <f t="shared" si="61"/>
        <v>#N/A</v>
      </c>
      <c r="O750" s="4" t="e">
        <f>IF(ROUND(10.499-(((N750-VLOOKUP($C750,Lookups!$A$55:$D$64,3))/(VLOOKUP($C750,Lookups!$A$55:$D$64,4))*VLOOKUP($C750,Lookups!$C$2:$D$11,2))),0)&lt;1,1,IF(ROUND(10.499-(((N750-VLOOKUP($C750,Lookups!$A$55:$D$64,3))/(VLOOKUP($C750,Lookups!$A$55:$D$64,4))*VLOOKUP($C750,Lookups!$C$2:$D$11,2))),0)&lt;11,ROUND(10.499-(((N750-VLOOKUP($C750,Lookups!$A$55:$D$64,3))/(VLOOKUP($C750,Lookups!$A$55:$D$64,4))*VLOOKUP($C750,Lookups!$C$2:$D$11,2))),0),10))</f>
        <v>#N/A</v>
      </c>
      <c r="P750" s="13" t="str">
        <f>IF((SUM(F750:M750)=0),"J",VLOOKUP(O750,Lookups!$A$1:$B$11,2))</f>
        <v>J</v>
      </c>
      <c r="Q750" s="8" t="e">
        <f>VLOOKUP(C750,Lookups!$A$136:$C$144,3)</f>
        <v>#N/A</v>
      </c>
      <c r="R750" s="8" t="e">
        <f>VLOOKUP(C750,Lookups!$A$136:$C$144,2)</f>
        <v>#N/A</v>
      </c>
      <c r="S750" s="4" t="str">
        <f t="shared" si="62"/>
        <v>No</v>
      </c>
      <c r="T750" s="125">
        <f t="shared" si="63"/>
        <v>0</v>
      </c>
      <c r="U750" s="125">
        <f t="shared" si="64"/>
        <v>0</v>
      </c>
      <c r="V750" s="4" t="e">
        <f>IF($Q750&lt;&gt;3,VLOOKUP(F750,'Points Table A'!B$3:$F$33,5),VLOOKUP(F750,'Points Table A'!H$3:$L$33,5))</f>
        <v>#N/A</v>
      </c>
      <c r="W750" s="4" t="e">
        <f>IF($Q750&lt;&gt;3,VLOOKUP(G750,'Points Table A'!C$3:$F$33,4),VLOOKUP(G750,'Points Table A'!I$3:$L$33,4))</f>
        <v>#N/A</v>
      </c>
      <c r="X750" s="4" t="e">
        <f>IF($Q750&lt;&gt;3,VLOOKUP(H750,'Points Table A'!D$3:$F$28,3),VLOOKUP(H750,'Points Table A'!J$3:$L$33,3))</f>
        <v>#N/A</v>
      </c>
      <c r="Y750" s="4" t="e">
        <f>IF($Q750&lt;&gt;3,VLOOKUP(I750,'Points Table A'!E$3:$F$33,2),VLOOKUP(I750,'Points Table A'!K$3:$L$33,2))</f>
        <v>#N/A</v>
      </c>
      <c r="Z750" s="4" t="e">
        <f t="shared" si="65"/>
        <v>#N/A</v>
      </c>
      <c r="AA750" s="4">
        <f>IF($S750=Lookups!$B$113,VLOOKUP(L750,'Points Table C'!A$3:$E$11,5),VLOOKUP(U750,'Points Table C'!B$3:$E$11,4))</f>
        <v>0</v>
      </c>
      <c r="AB750" s="4" t="e">
        <f>IF($Q750=1,0,VLOOKUP($J750,'Points Table C'!$C$3:$E$18,3))</f>
        <v>#N/A</v>
      </c>
      <c r="AC750" s="4">
        <f>VLOOKUP($K750,'Points Table C'!$D$3:$E$18,2)</f>
        <v>0</v>
      </c>
      <c r="AD750" s="4" t="e">
        <f>IF($Z750&lt;Lookups!$C$106,($AA750+AB750+AC750),IF($AA750&gt;=Lookups!$C$120,($AA750+AB750+AC750),$AA750+$AB750))</f>
        <v>#N/A</v>
      </c>
      <c r="AF750" s="7"/>
      <c r="AG750" s="7"/>
      <c r="AH750" s="7"/>
      <c r="AI750" s="7"/>
      <c r="AJ750" s="7"/>
      <c r="AK750" s="7"/>
      <c r="AL750" s="7"/>
      <c r="AM750" s="7"/>
      <c r="AN750" s="7"/>
      <c r="AO750" s="7"/>
      <c r="AP750" s="7"/>
      <c r="AQ750" s="7"/>
      <c r="AR750" s="7"/>
      <c r="AS750" s="7"/>
      <c r="AT750" s="7"/>
      <c r="AU750" s="7"/>
      <c r="AV750" s="7"/>
      <c r="AW750" s="7"/>
      <c r="AY750" s="7"/>
      <c r="AZ750" s="7"/>
      <c r="BA750" s="7"/>
      <c r="BB750" s="7"/>
    </row>
    <row r="751" spans="2:54" x14ac:dyDescent="0.2">
      <c r="B751" s="174"/>
      <c r="C751" s="176"/>
      <c r="F751" s="5">
        <v>0</v>
      </c>
      <c r="G751" s="192">
        <v>0</v>
      </c>
      <c r="H751" s="192">
        <v>0</v>
      </c>
      <c r="I751" s="5">
        <v>0</v>
      </c>
      <c r="J751" s="192">
        <v>0</v>
      </c>
      <c r="K751" s="192">
        <v>0</v>
      </c>
      <c r="L751" s="5">
        <v>0</v>
      </c>
      <c r="M751" s="5">
        <v>0</v>
      </c>
      <c r="N751" s="4" t="e">
        <f t="shared" si="61"/>
        <v>#N/A</v>
      </c>
      <c r="O751" s="4" t="e">
        <f>IF(ROUND(10.499-(((N751-VLOOKUP($C751,Lookups!$A$55:$D$64,3))/(VLOOKUP($C751,Lookups!$A$55:$D$64,4))*VLOOKUP($C751,Lookups!$C$2:$D$11,2))),0)&lt;1,1,IF(ROUND(10.499-(((N751-VLOOKUP($C751,Lookups!$A$55:$D$64,3))/(VLOOKUP($C751,Lookups!$A$55:$D$64,4))*VLOOKUP($C751,Lookups!$C$2:$D$11,2))),0)&lt;11,ROUND(10.499-(((N751-VLOOKUP($C751,Lookups!$A$55:$D$64,3))/(VLOOKUP($C751,Lookups!$A$55:$D$64,4))*VLOOKUP($C751,Lookups!$C$2:$D$11,2))),0),10))</f>
        <v>#N/A</v>
      </c>
      <c r="P751" s="13" t="str">
        <f>IF((SUM(F751:M751)=0),"J",VLOOKUP(O751,Lookups!$A$1:$B$11,2))</f>
        <v>J</v>
      </c>
      <c r="Q751" s="8" t="e">
        <f>VLOOKUP(C751,Lookups!$A$136:$C$144,3)</f>
        <v>#N/A</v>
      </c>
      <c r="R751" s="8" t="e">
        <f>VLOOKUP(C751,Lookups!$A$136:$C$144,2)</f>
        <v>#N/A</v>
      </c>
      <c r="S751" s="4" t="str">
        <f t="shared" si="62"/>
        <v>No</v>
      </c>
      <c r="T751" s="125">
        <f t="shared" si="63"/>
        <v>0</v>
      </c>
      <c r="U751" s="125">
        <f t="shared" si="64"/>
        <v>0</v>
      </c>
      <c r="V751" s="4" t="e">
        <f>IF($Q751&lt;&gt;3,VLOOKUP(F751,'Points Table A'!B$3:$F$33,5),VLOOKUP(F751,'Points Table A'!H$3:$L$33,5))</f>
        <v>#N/A</v>
      </c>
      <c r="W751" s="4" t="e">
        <f>IF($Q751&lt;&gt;3,VLOOKUP(G751,'Points Table A'!C$3:$F$33,4),VLOOKUP(G751,'Points Table A'!I$3:$L$33,4))</f>
        <v>#N/A</v>
      </c>
      <c r="X751" s="4" t="e">
        <f>IF($Q751&lt;&gt;3,VLOOKUP(H751,'Points Table A'!D$3:$F$28,3),VLOOKUP(H751,'Points Table A'!J$3:$L$33,3))</f>
        <v>#N/A</v>
      </c>
      <c r="Y751" s="4" t="e">
        <f>IF($Q751&lt;&gt;3,VLOOKUP(I751,'Points Table A'!E$3:$F$33,2),VLOOKUP(I751,'Points Table A'!K$3:$L$33,2))</f>
        <v>#N/A</v>
      </c>
      <c r="Z751" s="4" t="e">
        <f t="shared" si="65"/>
        <v>#N/A</v>
      </c>
      <c r="AA751" s="4">
        <f>IF($S751=Lookups!$B$113,VLOOKUP(L751,'Points Table C'!A$3:$E$11,5),VLOOKUP(U751,'Points Table C'!B$3:$E$11,4))</f>
        <v>0</v>
      </c>
      <c r="AB751" s="4" t="e">
        <f>IF($Q751=1,0,VLOOKUP($J751,'Points Table C'!$C$3:$E$18,3))</f>
        <v>#N/A</v>
      </c>
      <c r="AC751" s="4">
        <f>VLOOKUP($K751,'Points Table C'!$D$3:$E$18,2)</f>
        <v>0</v>
      </c>
      <c r="AD751" s="4" t="e">
        <f>IF($Z751&lt;Lookups!$C$106,($AA751+AB751+AC751),IF($AA751&gt;=Lookups!$C$120,($AA751+AB751+AC751),$AA751+$AB751))</f>
        <v>#N/A</v>
      </c>
      <c r="AF751" s="7"/>
      <c r="AG751" s="7"/>
      <c r="AH751" s="7"/>
      <c r="AI751" s="7"/>
      <c r="AJ751" s="7"/>
      <c r="AK751" s="7"/>
      <c r="AL751" s="7"/>
      <c r="AM751" s="7"/>
      <c r="AN751" s="7"/>
      <c r="AO751" s="7"/>
      <c r="AP751" s="7"/>
      <c r="AQ751" s="7"/>
      <c r="AR751" s="7"/>
      <c r="AS751" s="7"/>
      <c r="AT751" s="7"/>
      <c r="AU751" s="7"/>
      <c r="AV751" s="7"/>
      <c r="AW751" s="7"/>
      <c r="AY751" s="7"/>
      <c r="AZ751" s="7"/>
      <c r="BA751" s="7"/>
      <c r="BB751" s="7"/>
    </row>
    <row r="752" spans="2:54" x14ac:dyDescent="0.2">
      <c r="B752" s="174"/>
      <c r="C752" s="176"/>
      <c r="F752" s="5">
        <v>0</v>
      </c>
      <c r="G752" s="192">
        <v>0</v>
      </c>
      <c r="H752" s="192">
        <v>0</v>
      </c>
      <c r="I752" s="5">
        <v>0</v>
      </c>
      <c r="J752" s="192">
        <v>0</v>
      </c>
      <c r="K752" s="192">
        <v>0</v>
      </c>
      <c r="L752" s="5">
        <v>0</v>
      </c>
      <c r="M752" s="5">
        <v>0</v>
      </c>
      <c r="N752" s="4" t="e">
        <f t="shared" si="61"/>
        <v>#N/A</v>
      </c>
      <c r="O752" s="4" t="e">
        <f>IF(ROUND(10.499-(((N752-VLOOKUP($C752,Lookups!$A$55:$D$64,3))/(VLOOKUP($C752,Lookups!$A$55:$D$64,4))*VLOOKUP($C752,Lookups!$C$2:$D$11,2))),0)&lt;1,1,IF(ROUND(10.499-(((N752-VLOOKUP($C752,Lookups!$A$55:$D$64,3))/(VLOOKUP($C752,Lookups!$A$55:$D$64,4))*VLOOKUP($C752,Lookups!$C$2:$D$11,2))),0)&lt;11,ROUND(10.499-(((N752-VLOOKUP($C752,Lookups!$A$55:$D$64,3))/(VLOOKUP($C752,Lookups!$A$55:$D$64,4))*VLOOKUP($C752,Lookups!$C$2:$D$11,2))),0),10))</f>
        <v>#N/A</v>
      </c>
      <c r="P752" s="13" t="str">
        <f>IF((SUM(F752:M752)=0),"J",VLOOKUP(O752,Lookups!$A$1:$B$11,2))</f>
        <v>J</v>
      </c>
      <c r="Q752" s="8" t="e">
        <f>VLOOKUP(C752,Lookups!$A$136:$C$144,3)</f>
        <v>#N/A</v>
      </c>
      <c r="R752" s="8" t="e">
        <f>VLOOKUP(C752,Lookups!$A$136:$C$144,2)</f>
        <v>#N/A</v>
      </c>
      <c r="S752" s="4" t="str">
        <f t="shared" si="62"/>
        <v>No</v>
      </c>
      <c r="T752" s="125">
        <f t="shared" si="63"/>
        <v>0</v>
      </c>
      <c r="U752" s="125">
        <f t="shared" si="64"/>
        <v>0</v>
      </c>
      <c r="V752" s="4" t="e">
        <f>IF($Q752&lt;&gt;3,VLOOKUP(F752,'Points Table A'!B$3:$F$33,5),VLOOKUP(F752,'Points Table A'!H$3:$L$33,5))</f>
        <v>#N/A</v>
      </c>
      <c r="W752" s="4" t="e">
        <f>IF($Q752&lt;&gt;3,VLOOKUP(G752,'Points Table A'!C$3:$F$33,4),VLOOKUP(G752,'Points Table A'!I$3:$L$33,4))</f>
        <v>#N/A</v>
      </c>
      <c r="X752" s="4" t="e">
        <f>IF($Q752&lt;&gt;3,VLOOKUP(H752,'Points Table A'!D$3:$F$28,3),VLOOKUP(H752,'Points Table A'!J$3:$L$33,3))</f>
        <v>#N/A</v>
      </c>
      <c r="Y752" s="4" t="e">
        <f>IF($Q752&lt;&gt;3,VLOOKUP(I752,'Points Table A'!E$3:$F$33,2),VLOOKUP(I752,'Points Table A'!K$3:$L$33,2))</f>
        <v>#N/A</v>
      </c>
      <c r="Z752" s="4" t="e">
        <f t="shared" si="65"/>
        <v>#N/A</v>
      </c>
      <c r="AA752" s="4">
        <f>IF($S752=Lookups!$B$113,VLOOKUP(L752,'Points Table C'!A$3:$E$11,5),VLOOKUP(U752,'Points Table C'!B$3:$E$11,4))</f>
        <v>0</v>
      </c>
      <c r="AB752" s="4" t="e">
        <f>IF($Q752=1,0,VLOOKUP($J752,'Points Table C'!$C$3:$E$18,3))</f>
        <v>#N/A</v>
      </c>
      <c r="AC752" s="4">
        <f>VLOOKUP($K752,'Points Table C'!$D$3:$E$18,2)</f>
        <v>0</v>
      </c>
      <c r="AD752" s="4" t="e">
        <f>IF($Z752&lt;Lookups!$C$106,($AA752+AB752+AC752),IF($AA752&gt;=Lookups!$C$120,($AA752+AB752+AC752),$AA752+$AB752))</f>
        <v>#N/A</v>
      </c>
      <c r="AF752" s="7"/>
      <c r="AG752" s="7"/>
      <c r="AH752" s="7"/>
      <c r="AI752" s="7"/>
      <c r="AJ752" s="7"/>
      <c r="AK752" s="7"/>
      <c r="AL752" s="7"/>
      <c r="AM752" s="7"/>
      <c r="AN752" s="7"/>
      <c r="AO752" s="7"/>
      <c r="AP752" s="7"/>
      <c r="AQ752" s="7"/>
      <c r="AR752" s="7"/>
      <c r="AS752" s="7"/>
      <c r="AT752" s="7"/>
      <c r="AU752" s="7"/>
      <c r="AV752" s="7"/>
      <c r="AW752" s="7"/>
      <c r="AY752" s="7"/>
      <c r="AZ752" s="7"/>
      <c r="BA752" s="7"/>
      <c r="BB752" s="7"/>
    </row>
    <row r="753" spans="2:54" x14ac:dyDescent="0.2">
      <c r="B753" s="174"/>
      <c r="C753" s="176"/>
      <c r="F753" s="5">
        <v>0</v>
      </c>
      <c r="G753" s="192">
        <v>0</v>
      </c>
      <c r="H753" s="192">
        <v>0</v>
      </c>
      <c r="I753" s="5">
        <v>0</v>
      </c>
      <c r="J753" s="192">
        <v>0</v>
      </c>
      <c r="K753" s="192">
        <v>0</v>
      </c>
      <c r="L753" s="5">
        <v>0</v>
      </c>
      <c r="M753" s="5">
        <v>0</v>
      </c>
      <c r="N753" s="4" t="e">
        <f t="shared" si="61"/>
        <v>#N/A</v>
      </c>
      <c r="O753" s="4" t="e">
        <f>IF(ROUND(10.499-(((N753-VLOOKUP($C753,Lookups!$A$55:$D$64,3))/(VLOOKUP($C753,Lookups!$A$55:$D$64,4))*VLOOKUP($C753,Lookups!$C$2:$D$11,2))),0)&lt;1,1,IF(ROUND(10.499-(((N753-VLOOKUP($C753,Lookups!$A$55:$D$64,3))/(VLOOKUP($C753,Lookups!$A$55:$D$64,4))*VLOOKUP($C753,Lookups!$C$2:$D$11,2))),0)&lt;11,ROUND(10.499-(((N753-VLOOKUP($C753,Lookups!$A$55:$D$64,3))/(VLOOKUP($C753,Lookups!$A$55:$D$64,4))*VLOOKUP($C753,Lookups!$C$2:$D$11,2))),0),10))</f>
        <v>#N/A</v>
      </c>
      <c r="P753" s="13" t="str">
        <f>IF((SUM(F753:M753)=0),"J",VLOOKUP(O753,Lookups!$A$1:$B$11,2))</f>
        <v>J</v>
      </c>
      <c r="Q753" s="8" t="e">
        <f>VLOOKUP(C753,Lookups!$A$136:$C$144,3)</f>
        <v>#N/A</v>
      </c>
      <c r="R753" s="8" t="e">
        <f>VLOOKUP(C753,Lookups!$A$136:$C$144,2)</f>
        <v>#N/A</v>
      </c>
      <c r="S753" s="4" t="str">
        <f t="shared" si="62"/>
        <v>No</v>
      </c>
      <c r="T753" s="125">
        <f t="shared" si="63"/>
        <v>0</v>
      </c>
      <c r="U753" s="125">
        <f t="shared" si="64"/>
        <v>0</v>
      </c>
      <c r="V753" s="4" t="e">
        <f>IF($Q753&lt;&gt;3,VLOOKUP(F753,'Points Table A'!B$3:$F$33,5),VLOOKUP(F753,'Points Table A'!H$3:$L$33,5))</f>
        <v>#N/A</v>
      </c>
      <c r="W753" s="4" t="e">
        <f>IF($Q753&lt;&gt;3,VLOOKUP(G753,'Points Table A'!C$3:$F$33,4),VLOOKUP(G753,'Points Table A'!I$3:$L$33,4))</f>
        <v>#N/A</v>
      </c>
      <c r="X753" s="4" t="e">
        <f>IF($Q753&lt;&gt;3,VLOOKUP(H753,'Points Table A'!D$3:$F$28,3),VLOOKUP(H753,'Points Table A'!J$3:$L$33,3))</f>
        <v>#N/A</v>
      </c>
      <c r="Y753" s="4" t="e">
        <f>IF($Q753&lt;&gt;3,VLOOKUP(I753,'Points Table A'!E$3:$F$33,2),VLOOKUP(I753,'Points Table A'!K$3:$L$33,2))</f>
        <v>#N/A</v>
      </c>
      <c r="Z753" s="4" t="e">
        <f t="shared" si="65"/>
        <v>#N/A</v>
      </c>
      <c r="AA753" s="4">
        <f>IF($S753=Lookups!$B$113,VLOOKUP(L753,'Points Table C'!A$3:$E$11,5),VLOOKUP(U753,'Points Table C'!B$3:$E$11,4))</f>
        <v>0</v>
      </c>
      <c r="AB753" s="4" t="e">
        <f>IF($Q753=1,0,VLOOKUP($J753,'Points Table C'!$C$3:$E$18,3))</f>
        <v>#N/A</v>
      </c>
      <c r="AC753" s="4">
        <f>VLOOKUP($K753,'Points Table C'!$D$3:$E$18,2)</f>
        <v>0</v>
      </c>
      <c r="AD753" s="4" t="e">
        <f>IF($Z753&lt;Lookups!$C$106,($AA753+AB753+AC753),IF($AA753&gt;=Lookups!$C$120,($AA753+AB753+AC753),$AA753+$AB753))</f>
        <v>#N/A</v>
      </c>
      <c r="AF753" s="7"/>
      <c r="AG753" s="7"/>
      <c r="AH753" s="7"/>
      <c r="AI753" s="7"/>
      <c r="AJ753" s="7"/>
      <c r="AK753" s="7"/>
      <c r="AL753" s="7"/>
      <c r="AM753" s="7"/>
      <c r="AN753" s="7"/>
      <c r="AO753" s="7"/>
      <c r="AP753" s="7"/>
      <c r="AQ753" s="7"/>
      <c r="AR753" s="7"/>
      <c r="AS753" s="7"/>
      <c r="AT753" s="7"/>
      <c r="AU753" s="7"/>
      <c r="AV753" s="7"/>
      <c r="AW753" s="7"/>
      <c r="AY753" s="7"/>
      <c r="AZ753" s="7"/>
      <c r="BA753" s="7"/>
      <c r="BB753" s="7"/>
    </row>
    <row r="754" spans="2:54" x14ac:dyDescent="0.2">
      <c r="B754" s="174"/>
      <c r="C754" s="176"/>
      <c r="F754" s="5">
        <v>0</v>
      </c>
      <c r="G754" s="192">
        <v>0</v>
      </c>
      <c r="H754" s="192">
        <v>0</v>
      </c>
      <c r="I754" s="5">
        <v>0</v>
      </c>
      <c r="J754" s="192">
        <v>0</v>
      </c>
      <c r="K754" s="192">
        <v>0</v>
      </c>
      <c r="L754" s="5">
        <v>0</v>
      </c>
      <c r="M754" s="5">
        <v>0</v>
      </c>
      <c r="N754" s="4" t="e">
        <f t="shared" si="61"/>
        <v>#N/A</v>
      </c>
      <c r="O754" s="4" t="e">
        <f>IF(ROUND(10.499-(((N754-VLOOKUP($C754,Lookups!$A$55:$D$64,3))/(VLOOKUP($C754,Lookups!$A$55:$D$64,4))*VLOOKUP($C754,Lookups!$C$2:$D$11,2))),0)&lt;1,1,IF(ROUND(10.499-(((N754-VLOOKUP($C754,Lookups!$A$55:$D$64,3))/(VLOOKUP($C754,Lookups!$A$55:$D$64,4))*VLOOKUP($C754,Lookups!$C$2:$D$11,2))),0)&lt;11,ROUND(10.499-(((N754-VLOOKUP($C754,Lookups!$A$55:$D$64,3))/(VLOOKUP($C754,Lookups!$A$55:$D$64,4))*VLOOKUP($C754,Lookups!$C$2:$D$11,2))),0),10))</f>
        <v>#N/A</v>
      </c>
      <c r="P754" s="13" t="str">
        <f>IF((SUM(F754:M754)=0),"J",VLOOKUP(O754,Lookups!$A$1:$B$11,2))</f>
        <v>J</v>
      </c>
      <c r="Q754" s="8" t="e">
        <f>VLOOKUP(C754,Lookups!$A$136:$C$144,3)</f>
        <v>#N/A</v>
      </c>
      <c r="R754" s="8" t="e">
        <f>VLOOKUP(C754,Lookups!$A$136:$C$144,2)</f>
        <v>#N/A</v>
      </c>
      <c r="S754" s="4" t="str">
        <f t="shared" si="62"/>
        <v>No</v>
      </c>
      <c r="T754" s="125">
        <f t="shared" si="63"/>
        <v>0</v>
      </c>
      <c r="U754" s="125">
        <f t="shared" si="64"/>
        <v>0</v>
      </c>
      <c r="V754" s="4" t="e">
        <f>IF($Q754&lt;&gt;3,VLOOKUP(F754,'Points Table A'!B$3:$F$33,5),VLOOKUP(F754,'Points Table A'!H$3:$L$33,5))</f>
        <v>#N/A</v>
      </c>
      <c r="W754" s="4" t="e">
        <f>IF($Q754&lt;&gt;3,VLOOKUP(G754,'Points Table A'!C$3:$F$33,4),VLOOKUP(G754,'Points Table A'!I$3:$L$33,4))</f>
        <v>#N/A</v>
      </c>
      <c r="X754" s="4" t="e">
        <f>IF($Q754&lt;&gt;3,VLOOKUP(H754,'Points Table A'!D$3:$F$28,3),VLOOKUP(H754,'Points Table A'!J$3:$L$33,3))</f>
        <v>#N/A</v>
      </c>
      <c r="Y754" s="4" t="e">
        <f>IF($Q754&lt;&gt;3,VLOOKUP(I754,'Points Table A'!E$3:$F$33,2),VLOOKUP(I754,'Points Table A'!K$3:$L$33,2))</f>
        <v>#N/A</v>
      </c>
      <c r="Z754" s="4" t="e">
        <f t="shared" si="65"/>
        <v>#N/A</v>
      </c>
      <c r="AA754" s="4">
        <f>IF($S754=Lookups!$B$113,VLOOKUP(L754,'Points Table C'!A$3:$E$11,5),VLOOKUP(U754,'Points Table C'!B$3:$E$11,4))</f>
        <v>0</v>
      </c>
      <c r="AB754" s="4" t="e">
        <f>IF($Q754=1,0,VLOOKUP($J754,'Points Table C'!$C$3:$E$18,3))</f>
        <v>#N/A</v>
      </c>
      <c r="AC754" s="4">
        <f>VLOOKUP($K754,'Points Table C'!$D$3:$E$18,2)</f>
        <v>0</v>
      </c>
      <c r="AD754" s="4" t="e">
        <f>IF($Z754&lt;Lookups!$C$106,($AA754+AB754+AC754),IF($AA754&gt;=Lookups!$C$120,($AA754+AB754+AC754),$AA754+$AB754))</f>
        <v>#N/A</v>
      </c>
      <c r="AF754" s="7"/>
      <c r="AG754" s="7"/>
      <c r="AH754" s="7"/>
      <c r="AI754" s="7"/>
      <c r="AJ754" s="7"/>
      <c r="AK754" s="7"/>
      <c r="AL754" s="7"/>
      <c r="AM754" s="7"/>
      <c r="AN754" s="7"/>
      <c r="AO754" s="7"/>
      <c r="AP754" s="7"/>
      <c r="AQ754" s="7"/>
      <c r="AR754" s="7"/>
      <c r="AS754" s="7"/>
      <c r="AT754" s="7"/>
      <c r="AU754" s="7"/>
      <c r="AV754" s="7"/>
      <c r="AW754" s="7"/>
      <c r="AY754" s="7"/>
      <c r="AZ754" s="7"/>
      <c r="BA754" s="7"/>
      <c r="BB754" s="7"/>
    </row>
    <row r="755" spans="2:54" x14ac:dyDescent="0.2">
      <c r="B755" s="174"/>
      <c r="C755" s="176"/>
      <c r="F755" s="5">
        <v>0</v>
      </c>
      <c r="G755" s="192">
        <v>0</v>
      </c>
      <c r="H755" s="192">
        <v>0</v>
      </c>
      <c r="I755" s="5">
        <v>0</v>
      </c>
      <c r="J755" s="192">
        <v>0</v>
      </c>
      <c r="K755" s="192">
        <v>0</v>
      </c>
      <c r="L755" s="5">
        <v>0</v>
      </c>
      <c r="M755" s="5">
        <v>0</v>
      </c>
      <c r="N755" s="4" t="e">
        <f t="shared" si="61"/>
        <v>#N/A</v>
      </c>
      <c r="O755" s="4" t="e">
        <f>IF(ROUND(10.499-(((N755-VLOOKUP($C755,Lookups!$A$55:$D$64,3))/(VLOOKUP($C755,Lookups!$A$55:$D$64,4))*VLOOKUP($C755,Lookups!$C$2:$D$11,2))),0)&lt;1,1,IF(ROUND(10.499-(((N755-VLOOKUP($C755,Lookups!$A$55:$D$64,3))/(VLOOKUP($C755,Lookups!$A$55:$D$64,4))*VLOOKUP($C755,Lookups!$C$2:$D$11,2))),0)&lt;11,ROUND(10.499-(((N755-VLOOKUP($C755,Lookups!$A$55:$D$64,3))/(VLOOKUP($C755,Lookups!$A$55:$D$64,4))*VLOOKUP($C755,Lookups!$C$2:$D$11,2))),0),10))</f>
        <v>#N/A</v>
      </c>
      <c r="P755" s="13" t="str">
        <f>IF((SUM(F755:M755)=0),"J",VLOOKUP(O755,Lookups!$A$1:$B$11,2))</f>
        <v>J</v>
      </c>
      <c r="Q755" s="8" t="e">
        <f>VLOOKUP(C755,Lookups!$A$136:$C$144,3)</f>
        <v>#N/A</v>
      </c>
      <c r="R755" s="8" t="e">
        <f>VLOOKUP(C755,Lookups!$A$136:$C$144,2)</f>
        <v>#N/A</v>
      </c>
      <c r="S755" s="4" t="str">
        <f t="shared" si="62"/>
        <v>No</v>
      </c>
      <c r="T755" s="125">
        <f t="shared" si="63"/>
        <v>0</v>
      </c>
      <c r="U755" s="125">
        <f t="shared" si="64"/>
        <v>0</v>
      </c>
      <c r="V755" s="4" t="e">
        <f>IF($Q755&lt;&gt;3,VLOOKUP(F755,'Points Table A'!B$3:$F$33,5),VLOOKUP(F755,'Points Table A'!H$3:$L$33,5))</f>
        <v>#N/A</v>
      </c>
      <c r="W755" s="4" t="e">
        <f>IF($Q755&lt;&gt;3,VLOOKUP(G755,'Points Table A'!C$3:$F$33,4),VLOOKUP(G755,'Points Table A'!I$3:$L$33,4))</f>
        <v>#N/A</v>
      </c>
      <c r="X755" s="4" t="e">
        <f>IF($Q755&lt;&gt;3,VLOOKUP(H755,'Points Table A'!D$3:$F$28,3),VLOOKUP(H755,'Points Table A'!J$3:$L$33,3))</f>
        <v>#N/A</v>
      </c>
      <c r="Y755" s="4" t="e">
        <f>IF($Q755&lt;&gt;3,VLOOKUP(I755,'Points Table A'!E$3:$F$33,2),VLOOKUP(I755,'Points Table A'!K$3:$L$33,2))</f>
        <v>#N/A</v>
      </c>
      <c r="Z755" s="4" t="e">
        <f t="shared" si="65"/>
        <v>#N/A</v>
      </c>
      <c r="AA755" s="4">
        <f>IF($S755=Lookups!$B$113,VLOOKUP(L755,'Points Table C'!A$3:$E$11,5),VLOOKUP(U755,'Points Table C'!B$3:$E$11,4))</f>
        <v>0</v>
      </c>
      <c r="AB755" s="4" t="e">
        <f>IF($Q755=1,0,VLOOKUP($J755,'Points Table C'!$C$3:$E$18,3))</f>
        <v>#N/A</v>
      </c>
      <c r="AC755" s="4">
        <f>VLOOKUP($K755,'Points Table C'!$D$3:$E$18,2)</f>
        <v>0</v>
      </c>
      <c r="AD755" s="4" t="e">
        <f>IF($Z755&lt;Lookups!$C$106,($AA755+AB755+AC755),IF($AA755&gt;=Lookups!$C$120,($AA755+AB755+AC755),$AA755+$AB755))</f>
        <v>#N/A</v>
      </c>
      <c r="AF755" s="7"/>
      <c r="AG755" s="7"/>
      <c r="AH755" s="7"/>
      <c r="AI755" s="7"/>
      <c r="AJ755" s="7"/>
      <c r="AK755" s="7"/>
      <c r="AL755" s="7"/>
      <c r="AM755" s="7"/>
      <c r="AN755" s="7"/>
      <c r="AO755" s="7"/>
      <c r="AP755" s="7"/>
      <c r="AQ755" s="7"/>
      <c r="AR755" s="7"/>
      <c r="AS755" s="7"/>
      <c r="AT755" s="7"/>
      <c r="AU755" s="7"/>
      <c r="AV755" s="7"/>
      <c r="AW755" s="7"/>
      <c r="AY755" s="7"/>
      <c r="AZ755" s="7"/>
      <c r="BA755" s="7"/>
      <c r="BB755" s="7"/>
    </row>
    <row r="756" spans="2:54" x14ac:dyDescent="0.2">
      <c r="B756" s="174"/>
      <c r="C756" s="176"/>
      <c r="F756" s="5">
        <v>0</v>
      </c>
      <c r="G756" s="192">
        <v>0</v>
      </c>
      <c r="H756" s="192">
        <v>0</v>
      </c>
      <c r="I756" s="5">
        <v>0</v>
      </c>
      <c r="J756" s="192">
        <v>0</v>
      </c>
      <c r="K756" s="192">
        <v>0</v>
      </c>
      <c r="L756" s="5">
        <v>0</v>
      </c>
      <c r="M756" s="5">
        <v>0</v>
      </c>
      <c r="N756" s="4" t="e">
        <f t="shared" si="61"/>
        <v>#N/A</v>
      </c>
      <c r="O756" s="4" t="e">
        <f>IF(ROUND(10.499-(((N756-VLOOKUP($C756,Lookups!$A$55:$D$64,3))/(VLOOKUP($C756,Lookups!$A$55:$D$64,4))*VLOOKUP($C756,Lookups!$C$2:$D$11,2))),0)&lt;1,1,IF(ROUND(10.499-(((N756-VLOOKUP($C756,Lookups!$A$55:$D$64,3))/(VLOOKUP($C756,Lookups!$A$55:$D$64,4))*VLOOKUP($C756,Lookups!$C$2:$D$11,2))),0)&lt;11,ROUND(10.499-(((N756-VLOOKUP($C756,Lookups!$A$55:$D$64,3))/(VLOOKUP($C756,Lookups!$A$55:$D$64,4))*VLOOKUP($C756,Lookups!$C$2:$D$11,2))),0),10))</f>
        <v>#N/A</v>
      </c>
      <c r="P756" s="13" t="str">
        <f>IF((SUM(F756:M756)=0),"J",VLOOKUP(O756,Lookups!$A$1:$B$11,2))</f>
        <v>J</v>
      </c>
      <c r="Q756" s="8" t="e">
        <f>VLOOKUP(C756,Lookups!$A$136:$C$144,3)</f>
        <v>#N/A</v>
      </c>
      <c r="R756" s="8" t="e">
        <f>VLOOKUP(C756,Lookups!$A$136:$C$144,2)</f>
        <v>#N/A</v>
      </c>
      <c r="S756" s="4" t="str">
        <f t="shared" si="62"/>
        <v>No</v>
      </c>
      <c r="T756" s="125">
        <f t="shared" si="63"/>
        <v>0</v>
      </c>
      <c r="U756" s="125">
        <f t="shared" si="64"/>
        <v>0</v>
      </c>
      <c r="V756" s="4" t="e">
        <f>IF($Q756&lt;&gt;3,VLOOKUP(F756,'Points Table A'!B$3:$F$33,5),VLOOKUP(F756,'Points Table A'!H$3:$L$33,5))</f>
        <v>#N/A</v>
      </c>
      <c r="W756" s="4" t="e">
        <f>IF($Q756&lt;&gt;3,VLOOKUP(G756,'Points Table A'!C$3:$F$33,4),VLOOKUP(G756,'Points Table A'!I$3:$L$33,4))</f>
        <v>#N/A</v>
      </c>
      <c r="X756" s="4" t="e">
        <f>IF($Q756&lt;&gt;3,VLOOKUP(H756,'Points Table A'!D$3:$F$28,3),VLOOKUP(H756,'Points Table A'!J$3:$L$33,3))</f>
        <v>#N/A</v>
      </c>
      <c r="Y756" s="4" t="e">
        <f>IF($Q756&lt;&gt;3,VLOOKUP(I756,'Points Table A'!E$3:$F$33,2),VLOOKUP(I756,'Points Table A'!K$3:$L$33,2))</f>
        <v>#N/A</v>
      </c>
      <c r="Z756" s="4" t="e">
        <f t="shared" si="65"/>
        <v>#N/A</v>
      </c>
      <c r="AA756" s="4">
        <f>IF($S756=Lookups!$B$113,VLOOKUP(L756,'Points Table C'!A$3:$E$11,5),VLOOKUP(U756,'Points Table C'!B$3:$E$11,4))</f>
        <v>0</v>
      </c>
      <c r="AB756" s="4" t="e">
        <f>IF($Q756=1,0,VLOOKUP($J756,'Points Table C'!$C$3:$E$18,3))</f>
        <v>#N/A</v>
      </c>
      <c r="AC756" s="4">
        <f>VLOOKUP($K756,'Points Table C'!$D$3:$E$18,2)</f>
        <v>0</v>
      </c>
      <c r="AD756" s="4" t="e">
        <f>IF($Z756&lt;Lookups!$C$106,($AA756+AB756+AC756),IF($AA756&gt;=Lookups!$C$120,($AA756+AB756+AC756),$AA756+$AB756))</f>
        <v>#N/A</v>
      </c>
      <c r="AF756" s="7"/>
      <c r="AG756" s="7"/>
      <c r="AH756" s="7"/>
      <c r="AI756" s="7"/>
      <c r="AJ756" s="7"/>
      <c r="AK756" s="7"/>
      <c r="AL756" s="7"/>
      <c r="AM756" s="7"/>
      <c r="AN756" s="7"/>
      <c r="AO756" s="7"/>
      <c r="AP756" s="7"/>
      <c r="AQ756" s="7"/>
      <c r="AR756" s="7"/>
      <c r="AS756" s="7"/>
      <c r="AT756" s="7"/>
      <c r="AU756" s="7"/>
      <c r="AV756" s="7"/>
      <c r="AW756" s="7"/>
      <c r="AY756" s="7"/>
      <c r="AZ756" s="7"/>
      <c r="BA756" s="7"/>
      <c r="BB756" s="7"/>
    </row>
    <row r="757" spans="2:54" x14ac:dyDescent="0.2">
      <c r="B757" s="174"/>
      <c r="C757" s="176"/>
      <c r="F757" s="5">
        <v>0</v>
      </c>
      <c r="G757" s="192">
        <v>0</v>
      </c>
      <c r="H757" s="192">
        <v>0</v>
      </c>
      <c r="I757" s="5">
        <v>0</v>
      </c>
      <c r="J757" s="192">
        <v>0</v>
      </c>
      <c r="K757" s="192">
        <v>0</v>
      </c>
      <c r="L757" s="5">
        <v>0</v>
      </c>
      <c r="M757" s="5">
        <v>0</v>
      </c>
      <c r="N757" s="4" t="e">
        <f t="shared" si="61"/>
        <v>#N/A</v>
      </c>
      <c r="O757" s="4" t="e">
        <f>IF(ROUND(10.499-(((N757-VLOOKUP($C757,Lookups!$A$55:$D$64,3))/(VLOOKUP($C757,Lookups!$A$55:$D$64,4))*VLOOKUP($C757,Lookups!$C$2:$D$11,2))),0)&lt;1,1,IF(ROUND(10.499-(((N757-VLOOKUP($C757,Lookups!$A$55:$D$64,3))/(VLOOKUP($C757,Lookups!$A$55:$D$64,4))*VLOOKUP($C757,Lookups!$C$2:$D$11,2))),0)&lt;11,ROUND(10.499-(((N757-VLOOKUP($C757,Lookups!$A$55:$D$64,3))/(VLOOKUP($C757,Lookups!$A$55:$D$64,4))*VLOOKUP($C757,Lookups!$C$2:$D$11,2))),0),10))</f>
        <v>#N/A</v>
      </c>
      <c r="P757" s="13" t="str">
        <f>IF((SUM(F757:M757)=0),"J",VLOOKUP(O757,Lookups!$A$1:$B$11,2))</f>
        <v>J</v>
      </c>
      <c r="Q757" s="8" t="e">
        <f>VLOOKUP(C757,Lookups!$A$136:$C$144,3)</f>
        <v>#N/A</v>
      </c>
      <c r="R757" s="8" t="e">
        <f>VLOOKUP(C757,Lookups!$A$136:$C$144,2)</f>
        <v>#N/A</v>
      </c>
      <c r="S757" s="4" t="str">
        <f t="shared" si="62"/>
        <v>No</v>
      </c>
      <c r="T757" s="125">
        <f t="shared" si="63"/>
        <v>0</v>
      </c>
      <c r="U757" s="125">
        <f t="shared" si="64"/>
        <v>0</v>
      </c>
      <c r="V757" s="4" t="e">
        <f>IF($Q757&lt;&gt;3,VLOOKUP(F757,'Points Table A'!B$3:$F$33,5),VLOOKUP(F757,'Points Table A'!H$3:$L$33,5))</f>
        <v>#N/A</v>
      </c>
      <c r="W757" s="4" t="e">
        <f>IF($Q757&lt;&gt;3,VLOOKUP(G757,'Points Table A'!C$3:$F$33,4),VLOOKUP(G757,'Points Table A'!I$3:$L$33,4))</f>
        <v>#N/A</v>
      </c>
      <c r="X757" s="4" t="e">
        <f>IF($Q757&lt;&gt;3,VLOOKUP(H757,'Points Table A'!D$3:$F$28,3),VLOOKUP(H757,'Points Table A'!J$3:$L$33,3))</f>
        <v>#N/A</v>
      </c>
      <c r="Y757" s="4" t="e">
        <f>IF($Q757&lt;&gt;3,VLOOKUP(I757,'Points Table A'!E$3:$F$33,2),VLOOKUP(I757,'Points Table A'!K$3:$L$33,2))</f>
        <v>#N/A</v>
      </c>
      <c r="Z757" s="4" t="e">
        <f t="shared" si="65"/>
        <v>#N/A</v>
      </c>
      <c r="AA757" s="4">
        <f>IF($S757=Lookups!$B$113,VLOOKUP(L757,'Points Table C'!A$3:$E$11,5),VLOOKUP(U757,'Points Table C'!B$3:$E$11,4))</f>
        <v>0</v>
      </c>
      <c r="AB757" s="4" t="e">
        <f>IF($Q757=1,0,VLOOKUP($J757,'Points Table C'!$C$3:$E$18,3))</f>
        <v>#N/A</v>
      </c>
      <c r="AC757" s="4">
        <f>VLOOKUP($K757,'Points Table C'!$D$3:$E$18,2)</f>
        <v>0</v>
      </c>
      <c r="AD757" s="4" t="e">
        <f>IF($Z757&lt;Lookups!$C$106,($AA757+AB757+AC757),IF($AA757&gt;=Lookups!$C$120,($AA757+AB757+AC757),$AA757+$AB757))</f>
        <v>#N/A</v>
      </c>
      <c r="AF757" s="7"/>
      <c r="AG757" s="7"/>
      <c r="AH757" s="7"/>
      <c r="AI757" s="7"/>
      <c r="AJ757" s="7"/>
      <c r="AK757" s="7"/>
      <c r="AL757" s="7"/>
      <c r="AM757" s="7"/>
      <c r="AN757" s="7"/>
      <c r="AO757" s="7"/>
      <c r="AP757" s="7"/>
      <c r="AQ757" s="7"/>
      <c r="AR757" s="7"/>
      <c r="AS757" s="7"/>
      <c r="AT757" s="7"/>
      <c r="AU757" s="7"/>
      <c r="AV757" s="7"/>
      <c r="AW757" s="7"/>
      <c r="AY757" s="7"/>
      <c r="AZ757" s="7"/>
      <c r="BA757" s="7"/>
      <c r="BB757" s="7"/>
    </row>
    <row r="758" spans="2:54" x14ac:dyDescent="0.2">
      <c r="B758" s="174"/>
      <c r="C758" s="176"/>
      <c r="F758" s="5">
        <v>0</v>
      </c>
      <c r="G758" s="192">
        <v>0</v>
      </c>
      <c r="H758" s="192">
        <v>0</v>
      </c>
      <c r="I758" s="5">
        <v>0</v>
      </c>
      <c r="J758" s="192">
        <v>0</v>
      </c>
      <c r="K758" s="192">
        <v>0</v>
      </c>
      <c r="L758" s="5">
        <v>0</v>
      </c>
      <c r="M758" s="5">
        <v>0</v>
      </c>
      <c r="N758" s="4" t="e">
        <f t="shared" si="61"/>
        <v>#N/A</v>
      </c>
      <c r="O758" s="4" t="e">
        <f>IF(ROUND(10.499-(((N758-VLOOKUP($C758,Lookups!$A$55:$D$64,3))/(VLOOKUP($C758,Lookups!$A$55:$D$64,4))*VLOOKUP($C758,Lookups!$C$2:$D$11,2))),0)&lt;1,1,IF(ROUND(10.499-(((N758-VLOOKUP($C758,Lookups!$A$55:$D$64,3))/(VLOOKUP($C758,Lookups!$A$55:$D$64,4))*VLOOKUP($C758,Lookups!$C$2:$D$11,2))),0)&lt;11,ROUND(10.499-(((N758-VLOOKUP($C758,Lookups!$A$55:$D$64,3))/(VLOOKUP($C758,Lookups!$A$55:$D$64,4))*VLOOKUP($C758,Lookups!$C$2:$D$11,2))),0),10))</f>
        <v>#N/A</v>
      </c>
      <c r="P758" s="13" t="str">
        <f>IF((SUM(F758:M758)=0),"J",VLOOKUP(O758,Lookups!$A$1:$B$11,2))</f>
        <v>J</v>
      </c>
      <c r="Q758" s="8" t="e">
        <f>VLOOKUP(C758,Lookups!$A$136:$C$144,3)</f>
        <v>#N/A</v>
      </c>
      <c r="R758" s="8" t="e">
        <f>VLOOKUP(C758,Lookups!$A$136:$C$144,2)</f>
        <v>#N/A</v>
      </c>
      <c r="S758" s="4" t="str">
        <f t="shared" si="62"/>
        <v>No</v>
      </c>
      <c r="T758" s="125">
        <f t="shared" si="63"/>
        <v>0</v>
      </c>
      <c r="U758" s="125">
        <f t="shared" si="64"/>
        <v>0</v>
      </c>
      <c r="V758" s="4" t="e">
        <f>IF($Q758&lt;&gt;3,VLOOKUP(F758,'Points Table A'!B$3:$F$33,5),VLOOKUP(F758,'Points Table A'!H$3:$L$33,5))</f>
        <v>#N/A</v>
      </c>
      <c r="W758" s="4" t="e">
        <f>IF($Q758&lt;&gt;3,VLOOKUP(G758,'Points Table A'!C$3:$F$33,4),VLOOKUP(G758,'Points Table A'!I$3:$L$33,4))</f>
        <v>#N/A</v>
      </c>
      <c r="X758" s="4" t="e">
        <f>IF($Q758&lt;&gt;3,VLOOKUP(H758,'Points Table A'!D$3:$F$28,3),VLOOKUP(H758,'Points Table A'!J$3:$L$33,3))</f>
        <v>#N/A</v>
      </c>
      <c r="Y758" s="4" t="e">
        <f>IF($Q758&lt;&gt;3,VLOOKUP(I758,'Points Table A'!E$3:$F$33,2),VLOOKUP(I758,'Points Table A'!K$3:$L$33,2))</f>
        <v>#N/A</v>
      </c>
      <c r="Z758" s="4" t="e">
        <f t="shared" si="65"/>
        <v>#N/A</v>
      </c>
      <c r="AA758" s="4">
        <f>IF($S758=Lookups!$B$113,VLOOKUP(L758,'Points Table C'!A$3:$E$11,5),VLOOKUP(U758,'Points Table C'!B$3:$E$11,4))</f>
        <v>0</v>
      </c>
      <c r="AB758" s="4" t="e">
        <f>IF($Q758=1,0,VLOOKUP($J758,'Points Table C'!$C$3:$E$18,3))</f>
        <v>#N/A</v>
      </c>
      <c r="AC758" s="4">
        <f>VLOOKUP($K758,'Points Table C'!$D$3:$E$18,2)</f>
        <v>0</v>
      </c>
      <c r="AD758" s="4" t="e">
        <f>IF($Z758&lt;Lookups!$C$106,($AA758+AB758+AC758),IF($AA758&gt;=Lookups!$C$120,($AA758+AB758+AC758),$AA758+$AB758))</f>
        <v>#N/A</v>
      </c>
      <c r="AF758" s="7"/>
      <c r="AG758" s="7"/>
      <c r="AH758" s="7"/>
      <c r="AI758" s="7"/>
      <c r="AJ758" s="7"/>
      <c r="AK758" s="7"/>
      <c r="AL758" s="7"/>
      <c r="AM758" s="7"/>
      <c r="AN758" s="7"/>
      <c r="AO758" s="7"/>
      <c r="AP758" s="7"/>
      <c r="AQ758" s="7"/>
      <c r="AR758" s="7"/>
      <c r="AS758" s="7"/>
      <c r="AT758" s="7"/>
      <c r="AU758" s="7"/>
      <c r="AV758" s="7"/>
      <c r="AW758" s="7"/>
      <c r="AY758" s="7"/>
      <c r="AZ758" s="7"/>
      <c r="BA758" s="7"/>
      <c r="BB758" s="7"/>
    </row>
    <row r="759" spans="2:54" x14ac:dyDescent="0.2">
      <c r="B759" s="174"/>
      <c r="C759" s="176"/>
      <c r="F759" s="5">
        <v>0</v>
      </c>
      <c r="G759" s="192">
        <v>0</v>
      </c>
      <c r="H759" s="192">
        <v>0</v>
      </c>
      <c r="I759" s="5">
        <v>0</v>
      </c>
      <c r="J759" s="192">
        <v>0</v>
      </c>
      <c r="K759" s="192">
        <v>0</v>
      </c>
      <c r="L759" s="5">
        <v>0</v>
      </c>
      <c r="M759" s="5">
        <v>0</v>
      </c>
      <c r="N759" s="4" t="e">
        <f t="shared" si="61"/>
        <v>#N/A</v>
      </c>
      <c r="O759" s="4" t="e">
        <f>IF(ROUND(10.499-(((N759-VLOOKUP($C759,Lookups!$A$55:$D$64,3))/(VLOOKUP($C759,Lookups!$A$55:$D$64,4))*VLOOKUP($C759,Lookups!$C$2:$D$11,2))),0)&lt;1,1,IF(ROUND(10.499-(((N759-VLOOKUP($C759,Lookups!$A$55:$D$64,3))/(VLOOKUP($C759,Lookups!$A$55:$D$64,4))*VLOOKUP($C759,Lookups!$C$2:$D$11,2))),0)&lt;11,ROUND(10.499-(((N759-VLOOKUP($C759,Lookups!$A$55:$D$64,3))/(VLOOKUP($C759,Lookups!$A$55:$D$64,4))*VLOOKUP($C759,Lookups!$C$2:$D$11,2))),0),10))</f>
        <v>#N/A</v>
      </c>
      <c r="P759" s="13" t="str">
        <f>IF((SUM(F759:M759)=0),"J",VLOOKUP(O759,Lookups!$A$1:$B$11,2))</f>
        <v>J</v>
      </c>
      <c r="Q759" s="8" t="e">
        <f>VLOOKUP(C759,Lookups!$A$136:$C$144,3)</f>
        <v>#N/A</v>
      </c>
      <c r="R759" s="8" t="e">
        <f>VLOOKUP(C759,Lookups!$A$136:$C$144,2)</f>
        <v>#N/A</v>
      </c>
      <c r="S759" s="4" t="str">
        <f t="shared" si="62"/>
        <v>No</v>
      </c>
      <c r="T759" s="125">
        <f t="shared" si="63"/>
        <v>0</v>
      </c>
      <c r="U759" s="125">
        <f t="shared" si="64"/>
        <v>0</v>
      </c>
      <c r="V759" s="4" t="e">
        <f>IF($Q759&lt;&gt;3,VLOOKUP(F759,'Points Table A'!B$3:$F$33,5),VLOOKUP(F759,'Points Table A'!H$3:$L$33,5))</f>
        <v>#N/A</v>
      </c>
      <c r="W759" s="4" t="e">
        <f>IF($Q759&lt;&gt;3,VLOOKUP(G759,'Points Table A'!C$3:$F$33,4),VLOOKUP(G759,'Points Table A'!I$3:$L$33,4))</f>
        <v>#N/A</v>
      </c>
      <c r="X759" s="4" t="e">
        <f>IF($Q759&lt;&gt;3,VLOOKUP(H759,'Points Table A'!D$3:$F$28,3),VLOOKUP(H759,'Points Table A'!J$3:$L$33,3))</f>
        <v>#N/A</v>
      </c>
      <c r="Y759" s="4" t="e">
        <f>IF($Q759&lt;&gt;3,VLOOKUP(I759,'Points Table A'!E$3:$F$33,2),VLOOKUP(I759,'Points Table A'!K$3:$L$33,2))</f>
        <v>#N/A</v>
      </c>
      <c r="Z759" s="4" t="e">
        <f t="shared" si="65"/>
        <v>#N/A</v>
      </c>
      <c r="AA759" s="4">
        <f>IF($S759=Lookups!$B$113,VLOOKUP(L759,'Points Table C'!A$3:$E$11,5),VLOOKUP(U759,'Points Table C'!B$3:$E$11,4))</f>
        <v>0</v>
      </c>
      <c r="AB759" s="4" t="e">
        <f>IF($Q759=1,0,VLOOKUP($J759,'Points Table C'!$C$3:$E$18,3))</f>
        <v>#N/A</v>
      </c>
      <c r="AC759" s="4">
        <f>VLOOKUP($K759,'Points Table C'!$D$3:$E$18,2)</f>
        <v>0</v>
      </c>
      <c r="AD759" s="4" t="e">
        <f>IF($Z759&lt;Lookups!$C$106,($AA759+AB759+AC759),IF($AA759&gt;=Lookups!$C$120,($AA759+AB759+AC759),$AA759+$AB759))</f>
        <v>#N/A</v>
      </c>
      <c r="AF759" s="7"/>
      <c r="AG759" s="7"/>
      <c r="AH759" s="7"/>
      <c r="AI759" s="7"/>
      <c r="AJ759" s="7"/>
      <c r="AK759" s="7"/>
      <c r="AL759" s="7"/>
      <c r="AM759" s="7"/>
      <c r="AN759" s="7"/>
      <c r="AO759" s="7"/>
      <c r="AP759" s="7"/>
      <c r="AQ759" s="7"/>
      <c r="AR759" s="7"/>
      <c r="AS759" s="7"/>
      <c r="AT759" s="7"/>
      <c r="AU759" s="7"/>
      <c r="AV759" s="7"/>
      <c r="AW759" s="7"/>
      <c r="AY759" s="7"/>
      <c r="AZ759" s="7"/>
      <c r="BA759" s="7"/>
      <c r="BB759" s="7"/>
    </row>
    <row r="760" spans="2:54" x14ac:dyDescent="0.2">
      <c r="B760" s="174"/>
      <c r="C760" s="176"/>
      <c r="F760" s="5">
        <v>0</v>
      </c>
      <c r="G760" s="192">
        <v>0</v>
      </c>
      <c r="H760" s="192">
        <v>0</v>
      </c>
      <c r="I760" s="5">
        <v>0</v>
      </c>
      <c r="J760" s="192">
        <v>0</v>
      </c>
      <c r="K760" s="192">
        <v>0</v>
      </c>
      <c r="L760" s="5">
        <v>0</v>
      </c>
      <c r="M760" s="5">
        <v>0</v>
      </c>
      <c r="N760" s="4" t="e">
        <f t="shared" si="61"/>
        <v>#N/A</v>
      </c>
      <c r="O760" s="4" t="e">
        <f>IF(ROUND(10.499-(((N760-VLOOKUP($C760,Lookups!$A$55:$D$64,3))/(VLOOKUP($C760,Lookups!$A$55:$D$64,4))*VLOOKUP($C760,Lookups!$C$2:$D$11,2))),0)&lt;1,1,IF(ROUND(10.499-(((N760-VLOOKUP($C760,Lookups!$A$55:$D$64,3))/(VLOOKUP($C760,Lookups!$A$55:$D$64,4))*VLOOKUP($C760,Lookups!$C$2:$D$11,2))),0)&lt;11,ROUND(10.499-(((N760-VLOOKUP($C760,Lookups!$A$55:$D$64,3))/(VLOOKUP($C760,Lookups!$A$55:$D$64,4))*VLOOKUP($C760,Lookups!$C$2:$D$11,2))),0),10))</f>
        <v>#N/A</v>
      </c>
      <c r="P760" s="13" t="str">
        <f>IF((SUM(F760:M760)=0),"J",VLOOKUP(O760,Lookups!$A$1:$B$11,2))</f>
        <v>J</v>
      </c>
      <c r="Q760" s="8" t="e">
        <f>VLOOKUP(C760,Lookups!$A$136:$C$144,3)</f>
        <v>#N/A</v>
      </c>
      <c r="R760" s="8" t="e">
        <f>VLOOKUP(C760,Lookups!$A$136:$C$144,2)</f>
        <v>#N/A</v>
      </c>
      <c r="S760" s="4" t="str">
        <f t="shared" si="62"/>
        <v>No</v>
      </c>
      <c r="T760" s="125">
        <f t="shared" si="63"/>
        <v>0</v>
      </c>
      <c r="U760" s="125">
        <f t="shared" si="64"/>
        <v>0</v>
      </c>
      <c r="V760" s="4" t="e">
        <f>IF($Q760&lt;&gt;3,VLOOKUP(F760,'Points Table A'!B$3:$F$33,5),VLOOKUP(F760,'Points Table A'!H$3:$L$33,5))</f>
        <v>#N/A</v>
      </c>
      <c r="W760" s="4" t="e">
        <f>IF($Q760&lt;&gt;3,VLOOKUP(G760,'Points Table A'!C$3:$F$33,4),VLOOKUP(G760,'Points Table A'!I$3:$L$33,4))</f>
        <v>#N/A</v>
      </c>
      <c r="X760" s="4" t="e">
        <f>IF($Q760&lt;&gt;3,VLOOKUP(H760,'Points Table A'!D$3:$F$28,3),VLOOKUP(H760,'Points Table A'!J$3:$L$33,3))</f>
        <v>#N/A</v>
      </c>
      <c r="Y760" s="4" t="e">
        <f>IF($Q760&lt;&gt;3,VLOOKUP(I760,'Points Table A'!E$3:$F$33,2),VLOOKUP(I760,'Points Table A'!K$3:$L$33,2))</f>
        <v>#N/A</v>
      </c>
      <c r="Z760" s="4" t="e">
        <f t="shared" si="65"/>
        <v>#N/A</v>
      </c>
      <c r="AA760" s="4">
        <f>IF($S760=Lookups!$B$113,VLOOKUP(L760,'Points Table C'!A$3:$E$11,5),VLOOKUP(U760,'Points Table C'!B$3:$E$11,4))</f>
        <v>0</v>
      </c>
      <c r="AB760" s="4" t="e">
        <f>IF($Q760=1,0,VLOOKUP($J760,'Points Table C'!$C$3:$E$18,3))</f>
        <v>#N/A</v>
      </c>
      <c r="AC760" s="4">
        <f>VLOOKUP($K760,'Points Table C'!$D$3:$E$18,2)</f>
        <v>0</v>
      </c>
      <c r="AD760" s="4" t="e">
        <f>IF($Z760&lt;Lookups!$C$106,($AA760+AB760+AC760),IF($AA760&gt;=Lookups!$C$120,($AA760+AB760+AC760),$AA760+$AB760))</f>
        <v>#N/A</v>
      </c>
      <c r="AF760" s="7"/>
      <c r="AG760" s="7"/>
      <c r="AH760" s="7"/>
      <c r="AI760" s="7"/>
      <c r="AJ760" s="7"/>
      <c r="AK760" s="7"/>
      <c r="AL760" s="7"/>
      <c r="AM760" s="7"/>
      <c r="AN760" s="7"/>
      <c r="AO760" s="7"/>
      <c r="AP760" s="7"/>
      <c r="AQ760" s="7"/>
      <c r="AR760" s="7"/>
      <c r="AS760" s="7"/>
      <c r="AT760" s="7"/>
      <c r="AU760" s="7"/>
      <c r="AV760" s="7"/>
      <c r="AW760" s="7"/>
      <c r="AY760" s="7"/>
      <c r="AZ760" s="7"/>
      <c r="BA760" s="7"/>
      <c r="BB760" s="7"/>
    </row>
    <row r="761" spans="2:54" x14ac:dyDescent="0.2">
      <c r="B761" s="174"/>
      <c r="C761" s="176"/>
      <c r="F761" s="5">
        <v>0</v>
      </c>
      <c r="G761" s="192">
        <v>0</v>
      </c>
      <c r="H761" s="192">
        <v>0</v>
      </c>
      <c r="I761" s="5">
        <v>0</v>
      </c>
      <c r="J761" s="192">
        <v>0</v>
      </c>
      <c r="K761" s="192">
        <v>0</v>
      </c>
      <c r="L761" s="5">
        <v>0</v>
      </c>
      <c r="M761" s="5">
        <v>0</v>
      </c>
      <c r="N761" s="4" t="e">
        <f t="shared" ref="N761:N824" si="66">$Z761-$AD761</f>
        <v>#N/A</v>
      </c>
      <c r="O761" s="4" t="e">
        <f>IF(ROUND(10.499-(((N761-VLOOKUP($C761,Lookups!$A$55:$D$64,3))/(VLOOKUP($C761,Lookups!$A$55:$D$64,4))*VLOOKUP($C761,Lookups!$C$2:$D$11,2))),0)&lt;1,1,IF(ROUND(10.499-(((N761-VLOOKUP($C761,Lookups!$A$55:$D$64,3))/(VLOOKUP($C761,Lookups!$A$55:$D$64,4))*VLOOKUP($C761,Lookups!$C$2:$D$11,2))),0)&lt;11,ROUND(10.499-(((N761-VLOOKUP($C761,Lookups!$A$55:$D$64,3))/(VLOOKUP($C761,Lookups!$A$55:$D$64,4))*VLOOKUP($C761,Lookups!$C$2:$D$11,2))),0),10))</f>
        <v>#N/A</v>
      </c>
      <c r="P761" s="13" t="str">
        <f>IF((SUM(F761:M761)=0),"J",VLOOKUP(O761,Lookups!$A$1:$B$11,2))</f>
        <v>J</v>
      </c>
      <c r="Q761" s="8" t="e">
        <f>VLOOKUP(C761,Lookups!$A$136:$C$144,3)</f>
        <v>#N/A</v>
      </c>
      <c r="R761" s="8" t="e">
        <f>VLOOKUP(C761,Lookups!$A$136:$C$144,2)</f>
        <v>#N/A</v>
      </c>
      <c r="S761" s="4" t="str">
        <f t="shared" si="62"/>
        <v>No</v>
      </c>
      <c r="T761" s="125">
        <f t="shared" si="63"/>
        <v>0</v>
      </c>
      <c r="U761" s="125">
        <f t="shared" si="64"/>
        <v>0</v>
      </c>
      <c r="V761" s="4" t="e">
        <f>IF($Q761&lt;&gt;3,VLOOKUP(F761,'Points Table A'!B$3:$F$33,5),VLOOKUP(F761,'Points Table A'!H$3:$L$33,5))</f>
        <v>#N/A</v>
      </c>
      <c r="W761" s="4" t="e">
        <f>IF($Q761&lt;&gt;3,VLOOKUP(G761,'Points Table A'!C$3:$F$33,4),VLOOKUP(G761,'Points Table A'!I$3:$L$33,4))</f>
        <v>#N/A</v>
      </c>
      <c r="X761" s="4" t="e">
        <f>IF($Q761&lt;&gt;3,VLOOKUP(H761,'Points Table A'!D$3:$F$28,3),VLOOKUP(H761,'Points Table A'!J$3:$L$33,3))</f>
        <v>#N/A</v>
      </c>
      <c r="Y761" s="4" t="e">
        <f>IF($Q761&lt;&gt;3,VLOOKUP(I761,'Points Table A'!E$3:$F$33,2),VLOOKUP(I761,'Points Table A'!K$3:$L$33,2))</f>
        <v>#N/A</v>
      </c>
      <c r="Z761" s="4" t="e">
        <f t="shared" si="65"/>
        <v>#N/A</v>
      </c>
      <c r="AA761" s="4">
        <f>IF($S761=Lookups!$B$113,VLOOKUP(L761,'Points Table C'!A$3:$E$11,5),VLOOKUP(U761,'Points Table C'!B$3:$E$11,4))</f>
        <v>0</v>
      </c>
      <c r="AB761" s="4" t="e">
        <f>IF($Q761=1,0,VLOOKUP($J761,'Points Table C'!$C$3:$E$18,3))</f>
        <v>#N/A</v>
      </c>
      <c r="AC761" s="4">
        <f>VLOOKUP($K761,'Points Table C'!$D$3:$E$18,2)</f>
        <v>0</v>
      </c>
      <c r="AD761" s="4" t="e">
        <f>IF($Z761&lt;Lookups!$C$106,($AA761+AB761+AC761),IF($AA761&gt;=Lookups!$C$120,($AA761+AB761+AC761),$AA761+$AB761))</f>
        <v>#N/A</v>
      </c>
      <c r="AF761" s="7"/>
      <c r="AG761" s="7"/>
      <c r="AH761" s="7"/>
      <c r="AI761" s="7"/>
      <c r="AJ761" s="7"/>
      <c r="AK761" s="7"/>
      <c r="AL761" s="7"/>
      <c r="AM761" s="7"/>
      <c r="AN761" s="7"/>
      <c r="AO761" s="7"/>
      <c r="AP761" s="7"/>
      <c r="AQ761" s="7"/>
      <c r="AR761" s="7"/>
      <c r="AS761" s="7"/>
      <c r="AT761" s="7"/>
      <c r="AU761" s="7"/>
      <c r="AV761" s="7"/>
      <c r="AW761" s="7"/>
      <c r="AY761" s="7"/>
      <c r="AZ761" s="7"/>
      <c r="BA761" s="7"/>
      <c r="BB761" s="7"/>
    </row>
    <row r="762" spans="2:54" x14ac:dyDescent="0.2">
      <c r="B762" s="174"/>
      <c r="C762" s="176"/>
      <c r="F762" s="5">
        <v>0</v>
      </c>
      <c r="G762" s="192">
        <v>0</v>
      </c>
      <c r="H762" s="192">
        <v>0</v>
      </c>
      <c r="I762" s="5">
        <v>0</v>
      </c>
      <c r="J762" s="192">
        <v>0</v>
      </c>
      <c r="K762" s="192">
        <v>0</v>
      </c>
      <c r="L762" s="5">
        <v>0</v>
      </c>
      <c r="M762" s="5">
        <v>0</v>
      </c>
      <c r="N762" s="4" t="e">
        <f t="shared" si="66"/>
        <v>#N/A</v>
      </c>
      <c r="O762" s="4" t="e">
        <f>IF(ROUND(10.499-(((N762-VLOOKUP($C762,Lookups!$A$55:$D$64,3))/(VLOOKUP($C762,Lookups!$A$55:$D$64,4))*VLOOKUP($C762,Lookups!$C$2:$D$11,2))),0)&lt;1,1,IF(ROUND(10.499-(((N762-VLOOKUP($C762,Lookups!$A$55:$D$64,3))/(VLOOKUP($C762,Lookups!$A$55:$D$64,4))*VLOOKUP($C762,Lookups!$C$2:$D$11,2))),0)&lt;11,ROUND(10.499-(((N762-VLOOKUP($C762,Lookups!$A$55:$D$64,3))/(VLOOKUP($C762,Lookups!$A$55:$D$64,4))*VLOOKUP($C762,Lookups!$C$2:$D$11,2))),0),10))</f>
        <v>#N/A</v>
      </c>
      <c r="P762" s="13" t="str">
        <f>IF((SUM(F762:M762)=0),"J",VLOOKUP(O762,Lookups!$A$1:$B$11,2))</f>
        <v>J</v>
      </c>
      <c r="Q762" s="8" t="e">
        <f>VLOOKUP(C762,Lookups!$A$136:$C$144,3)</f>
        <v>#N/A</v>
      </c>
      <c r="R762" s="8" t="e">
        <f>VLOOKUP(C762,Lookups!$A$136:$C$144,2)</f>
        <v>#N/A</v>
      </c>
      <c r="S762" s="4" t="str">
        <f t="shared" si="62"/>
        <v>No</v>
      </c>
      <c r="T762" s="125">
        <f t="shared" si="63"/>
        <v>0</v>
      </c>
      <c r="U762" s="125">
        <f t="shared" si="64"/>
        <v>0</v>
      </c>
      <c r="V762" s="4" t="e">
        <f>IF($Q762&lt;&gt;3,VLOOKUP(F762,'Points Table A'!B$3:$F$33,5),VLOOKUP(F762,'Points Table A'!H$3:$L$33,5))</f>
        <v>#N/A</v>
      </c>
      <c r="W762" s="4" t="e">
        <f>IF($Q762&lt;&gt;3,VLOOKUP(G762,'Points Table A'!C$3:$F$33,4),VLOOKUP(G762,'Points Table A'!I$3:$L$33,4))</f>
        <v>#N/A</v>
      </c>
      <c r="X762" s="4" t="e">
        <f>IF($Q762&lt;&gt;3,VLOOKUP(H762,'Points Table A'!D$3:$F$28,3),VLOOKUP(H762,'Points Table A'!J$3:$L$33,3))</f>
        <v>#N/A</v>
      </c>
      <c r="Y762" s="4" t="e">
        <f>IF($Q762&lt;&gt;3,VLOOKUP(I762,'Points Table A'!E$3:$F$33,2),VLOOKUP(I762,'Points Table A'!K$3:$L$33,2))</f>
        <v>#N/A</v>
      </c>
      <c r="Z762" s="4" t="e">
        <f t="shared" si="65"/>
        <v>#N/A</v>
      </c>
      <c r="AA762" s="4">
        <f>IF($S762=Lookups!$B$113,VLOOKUP(L762,'Points Table C'!A$3:$E$11,5),VLOOKUP(U762,'Points Table C'!B$3:$E$11,4))</f>
        <v>0</v>
      </c>
      <c r="AB762" s="4" t="e">
        <f>IF($Q762=1,0,VLOOKUP($J762,'Points Table C'!$C$3:$E$18,3))</f>
        <v>#N/A</v>
      </c>
      <c r="AC762" s="4">
        <f>VLOOKUP($K762,'Points Table C'!$D$3:$E$18,2)</f>
        <v>0</v>
      </c>
      <c r="AD762" s="4" t="e">
        <f>IF($Z762&lt;Lookups!$C$106,($AA762+AB762+AC762),IF($AA762&gt;=Lookups!$C$120,($AA762+AB762+AC762),$AA762+$AB762))</f>
        <v>#N/A</v>
      </c>
      <c r="AF762" s="7"/>
      <c r="AG762" s="7"/>
      <c r="AH762" s="7"/>
      <c r="AI762" s="7"/>
      <c r="AJ762" s="7"/>
      <c r="AK762" s="7"/>
      <c r="AL762" s="7"/>
      <c r="AM762" s="7"/>
      <c r="AN762" s="7"/>
      <c r="AO762" s="7"/>
      <c r="AP762" s="7"/>
      <c r="AQ762" s="7"/>
      <c r="AR762" s="7"/>
      <c r="AS762" s="7"/>
      <c r="AT762" s="7"/>
      <c r="AU762" s="7"/>
      <c r="AV762" s="7"/>
      <c r="AW762" s="7"/>
      <c r="AY762" s="7"/>
      <c r="AZ762" s="7"/>
      <c r="BA762" s="7"/>
      <c r="BB762" s="7"/>
    </row>
    <row r="763" spans="2:54" x14ac:dyDescent="0.2">
      <c r="B763" s="174"/>
      <c r="C763" s="176"/>
      <c r="F763" s="5">
        <v>0</v>
      </c>
      <c r="G763" s="192">
        <v>0</v>
      </c>
      <c r="H763" s="192">
        <v>0</v>
      </c>
      <c r="I763" s="5">
        <v>0</v>
      </c>
      <c r="J763" s="192">
        <v>0</v>
      </c>
      <c r="K763" s="192">
        <v>0</v>
      </c>
      <c r="L763" s="5">
        <v>0</v>
      </c>
      <c r="M763" s="5">
        <v>0</v>
      </c>
      <c r="N763" s="4" t="e">
        <f t="shared" si="66"/>
        <v>#N/A</v>
      </c>
      <c r="O763" s="4" t="e">
        <f>IF(ROUND(10.499-(((N763-VLOOKUP($C763,Lookups!$A$55:$D$64,3))/(VLOOKUP($C763,Lookups!$A$55:$D$64,4))*VLOOKUP($C763,Lookups!$C$2:$D$11,2))),0)&lt;1,1,IF(ROUND(10.499-(((N763-VLOOKUP($C763,Lookups!$A$55:$D$64,3))/(VLOOKUP($C763,Lookups!$A$55:$D$64,4))*VLOOKUP($C763,Lookups!$C$2:$D$11,2))),0)&lt;11,ROUND(10.499-(((N763-VLOOKUP($C763,Lookups!$A$55:$D$64,3))/(VLOOKUP($C763,Lookups!$A$55:$D$64,4))*VLOOKUP($C763,Lookups!$C$2:$D$11,2))),0),10))</f>
        <v>#N/A</v>
      </c>
      <c r="P763" s="13" t="str">
        <f>IF((SUM(F763:M763)=0),"J",VLOOKUP(O763,Lookups!$A$1:$B$11,2))</f>
        <v>J</v>
      </c>
      <c r="Q763" s="8" t="e">
        <f>VLOOKUP(C763,Lookups!$A$136:$C$144,3)</f>
        <v>#N/A</v>
      </c>
      <c r="R763" s="8" t="e">
        <f>VLOOKUP(C763,Lookups!$A$136:$C$144,2)</f>
        <v>#N/A</v>
      </c>
      <c r="S763" s="4" t="str">
        <f t="shared" si="62"/>
        <v>No</v>
      </c>
      <c r="T763" s="125">
        <f t="shared" si="63"/>
        <v>0</v>
      </c>
      <c r="U763" s="125">
        <f t="shared" si="64"/>
        <v>0</v>
      </c>
      <c r="V763" s="4" t="e">
        <f>IF($Q763&lt;&gt;3,VLOOKUP(F763,'Points Table A'!B$3:$F$33,5),VLOOKUP(F763,'Points Table A'!H$3:$L$33,5))</f>
        <v>#N/A</v>
      </c>
      <c r="W763" s="4" t="e">
        <f>IF($Q763&lt;&gt;3,VLOOKUP(G763,'Points Table A'!C$3:$F$33,4),VLOOKUP(G763,'Points Table A'!I$3:$L$33,4))</f>
        <v>#N/A</v>
      </c>
      <c r="X763" s="4" t="e">
        <f>IF($Q763&lt;&gt;3,VLOOKUP(H763,'Points Table A'!D$3:$F$28,3),VLOOKUP(H763,'Points Table A'!J$3:$L$33,3))</f>
        <v>#N/A</v>
      </c>
      <c r="Y763" s="4" t="e">
        <f>IF($Q763&lt;&gt;3,VLOOKUP(I763,'Points Table A'!E$3:$F$33,2),VLOOKUP(I763,'Points Table A'!K$3:$L$33,2))</f>
        <v>#N/A</v>
      </c>
      <c r="Z763" s="4" t="e">
        <f t="shared" si="65"/>
        <v>#N/A</v>
      </c>
      <c r="AA763" s="4">
        <f>IF($S763=Lookups!$B$113,VLOOKUP(L763,'Points Table C'!A$3:$E$11,5),VLOOKUP(U763,'Points Table C'!B$3:$E$11,4))</f>
        <v>0</v>
      </c>
      <c r="AB763" s="4" t="e">
        <f>IF($Q763=1,0,VLOOKUP($J763,'Points Table C'!$C$3:$E$18,3))</f>
        <v>#N/A</v>
      </c>
      <c r="AC763" s="4">
        <f>VLOOKUP($K763,'Points Table C'!$D$3:$E$18,2)</f>
        <v>0</v>
      </c>
      <c r="AD763" s="4" t="e">
        <f>IF($Z763&lt;Lookups!$C$106,($AA763+AB763+AC763),IF($AA763&gt;=Lookups!$C$120,($AA763+AB763+AC763),$AA763+$AB763))</f>
        <v>#N/A</v>
      </c>
      <c r="AF763" s="7"/>
      <c r="AG763" s="7"/>
      <c r="AH763" s="7"/>
      <c r="AI763" s="7"/>
      <c r="AJ763" s="7"/>
      <c r="AK763" s="7"/>
      <c r="AL763" s="7"/>
      <c r="AM763" s="7"/>
      <c r="AN763" s="7"/>
      <c r="AO763" s="7"/>
      <c r="AP763" s="7"/>
      <c r="AQ763" s="7"/>
      <c r="AR763" s="7"/>
      <c r="AS763" s="7"/>
      <c r="AT763" s="7"/>
      <c r="AU763" s="7"/>
      <c r="AV763" s="7"/>
      <c r="AW763" s="7"/>
      <c r="AY763" s="7"/>
      <c r="AZ763" s="7"/>
      <c r="BA763" s="7"/>
      <c r="BB763" s="7"/>
    </row>
    <row r="764" spans="2:54" x14ac:dyDescent="0.2">
      <c r="B764" s="174"/>
      <c r="C764" s="176"/>
      <c r="F764" s="5">
        <v>0</v>
      </c>
      <c r="G764" s="192">
        <v>0</v>
      </c>
      <c r="H764" s="192">
        <v>0</v>
      </c>
      <c r="I764" s="5">
        <v>0</v>
      </c>
      <c r="J764" s="192">
        <v>0</v>
      </c>
      <c r="K764" s="192">
        <v>0</v>
      </c>
      <c r="L764" s="5">
        <v>0</v>
      </c>
      <c r="M764" s="5">
        <v>0</v>
      </c>
      <c r="N764" s="4" t="e">
        <f t="shared" si="66"/>
        <v>#N/A</v>
      </c>
      <c r="O764" s="4" t="e">
        <f>IF(ROUND(10.499-(((N764-VLOOKUP($C764,Lookups!$A$55:$D$64,3))/(VLOOKUP($C764,Lookups!$A$55:$D$64,4))*VLOOKUP($C764,Lookups!$C$2:$D$11,2))),0)&lt;1,1,IF(ROUND(10.499-(((N764-VLOOKUP($C764,Lookups!$A$55:$D$64,3))/(VLOOKUP($C764,Lookups!$A$55:$D$64,4))*VLOOKUP($C764,Lookups!$C$2:$D$11,2))),0)&lt;11,ROUND(10.499-(((N764-VLOOKUP($C764,Lookups!$A$55:$D$64,3))/(VLOOKUP($C764,Lookups!$A$55:$D$64,4))*VLOOKUP($C764,Lookups!$C$2:$D$11,2))),0),10))</f>
        <v>#N/A</v>
      </c>
      <c r="P764" s="13" t="str">
        <f>IF((SUM(F764:M764)=0),"J",VLOOKUP(O764,Lookups!$A$1:$B$11,2))</f>
        <v>J</v>
      </c>
      <c r="Q764" s="8" t="e">
        <f>VLOOKUP(C764,Lookups!$A$136:$C$144,3)</f>
        <v>#N/A</v>
      </c>
      <c r="R764" s="8" t="e">
        <f>VLOOKUP(C764,Lookups!$A$136:$C$144,2)</f>
        <v>#N/A</v>
      </c>
      <c r="S764" s="4" t="str">
        <f t="shared" si="62"/>
        <v>No</v>
      </c>
      <c r="T764" s="125">
        <f t="shared" si="63"/>
        <v>0</v>
      </c>
      <c r="U764" s="125">
        <f t="shared" si="64"/>
        <v>0</v>
      </c>
      <c r="V764" s="4" t="e">
        <f>IF($Q764&lt;&gt;3,VLOOKUP(F764,'Points Table A'!B$3:$F$33,5),VLOOKUP(F764,'Points Table A'!H$3:$L$33,5))</f>
        <v>#N/A</v>
      </c>
      <c r="W764" s="4" t="e">
        <f>IF($Q764&lt;&gt;3,VLOOKUP(G764,'Points Table A'!C$3:$F$33,4),VLOOKUP(G764,'Points Table A'!I$3:$L$33,4))</f>
        <v>#N/A</v>
      </c>
      <c r="X764" s="4" t="e">
        <f>IF($Q764&lt;&gt;3,VLOOKUP(H764,'Points Table A'!D$3:$F$28,3),VLOOKUP(H764,'Points Table A'!J$3:$L$33,3))</f>
        <v>#N/A</v>
      </c>
      <c r="Y764" s="4" t="e">
        <f>IF($Q764&lt;&gt;3,VLOOKUP(I764,'Points Table A'!E$3:$F$33,2),VLOOKUP(I764,'Points Table A'!K$3:$L$33,2))</f>
        <v>#N/A</v>
      </c>
      <c r="Z764" s="4" t="e">
        <f t="shared" si="65"/>
        <v>#N/A</v>
      </c>
      <c r="AA764" s="4">
        <f>IF($S764=Lookups!$B$113,VLOOKUP(L764,'Points Table C'!A$3:$E$11,5),VLOOKUP(U764,'Points Table C'!B$3:$E$11,4))</f>
        <v>0</v>
      </c>
      <c r="AB764" s="4" t="e">
        <f>IF($Q764=1,0,VLOOKUP($J764,'Points Table C'!$C$3:$E$18,3))</f>
        <v>#N/A</v>
      </c>
      <c r="AC764" s="4">
        <f>VLOOKUP($K764,'Points Table C'!$D$3:$E$18,2)</f>
        <v>0</v>
      </c>
      <c r="AD764" s="4" t="e">
        <f>IF($Z764&lt;Lookups!$C$106,($AA764+AB764+AC764),IF($AA764&gt;=Lookups!$C$120,($AA764+AB764+AC764),$AA764+$AB764))</f>
        <v>#N/A</v>
      </c>
      <c r="AF764" s="7"/>
      <c r="AG764" s="7"/>
      <c r="AH764" s="7"/>
      <c r="AI764" s="7"/>
      <c r="AJ764" s="7"/>
      <c r="AK764" s="7"/>
      <c r="AL764" s="7"/>
      <c r="AM764" s="7"/>
      <c r="AN764" s="7"/>
      <c r="AO764" s="7"/>
      <c r="AP764" s="7"/>
      <c r="AQ764" s="7"/>
      <c r="AR764" s="7"/>
      <c r="AS764" s="7"/>
      <c r="AT764" s="7"/>
      <c r="AU764" s="7"/>
      <c r="AV764" s="7"/>
      <c r="AW764" s="7"/>
      <c r="AY764" s="7"/>
      <c r="AZ764" s="7"/>
      <c r="BA764" s="7"/>
      <c r="BB764" s="7"/>
    </row>
    <row r="765" spans="2:54" x14ac:dyDescent="0.2">
      <c r="B765" s="174"/>
      <c r="C765" s="176"/>
      <c r="F765" s="5">
        <v>0</v>
      </c>
      <c r="G765" s="192">
        <v>0</v>
      </c>
      <c r="H765" s="192">
        <v>0</v>
      </c>
      <c r="I765" s="5">
        <v>0</v>
      </c>
      <c r="J765" s="192">
        <v>0</v>
      </c>
      <c r="K765" s="192">
        <v>0</v>
      </c>
      <c r="L765" s="5">
        <v>0</v>
      </c>
      <c r="M765" s="5">
        <v>0</v>
      </c>
      <c r="N765" s="4" t="e">
        <f t="shared" si="66"/>
        <v>#N/A</v>
      </c>
      <c r="O765" s="4" t="e">
        <f>IF(ROUND(10.499-(((N765-VLOOKUP($C765,Lookups!$A$55:$D$64,3))/(VLOOKUP($C765,Lookups!$A$55:$D$64,4))*VLOOKUP($C765,Lookups!$C$2:$D$11,2))),0)&lt;1,1,IF(ROUND(10.499-(((N765-VLOOKUP($C765,Lookups!$A$55:$D$64,3))/(VLOOKUP($C765,Lookups!$A$55:$D$64,4))*VLOOKUP($C765,Lookups!$C$2:$D$11,2))),0)&lt;11,ROUND(10.499-(((N765-VLOOKUP($C765,Lookups!$A$55:$D$64,3))/(VLOOKUP($C765,Lookups!$A$55:$D$64,4))*VLOOKUP($C765,Lookups!$C$2:$D$11,2))),0),10))</f>
        <v>#N/A</v>
      </c>
      <c r="P765" s="13" t="str">
        <f>IF((SUM(F765:M765)=0),"J",VLOOKUP(O765,Lookups!$A$1:$B$11,2))</f>
        <v>J</v>
      </c>
      <c r="Q765" s="8" t="e">
        <f>VLOOKUP(C765,Lookups!$A$136:$C$144,3)</f>
        <v>#N/A</v>
      </c>
      <c r="R765" s="8" t="e">
        <f>VLOOKUP(C765,Lookups!$A$136:$C$144,2)</f>
        <v>#N/A</v>
      </c>
      <c r="S765" s="4" t="str">
        <f t="shared" si="62"/>
        <v>No</v>
      </c>
      <c r="T765" s="125">
        <f t="shared" si="63"/>
        <v>0</v>
      </c>
      <c r="U765" s="125">
        <f t="shared" si="64"/>
        <v>0</v>
      </c>
      <c r="V765" s="4" t="e">
        <f>IF($Q765&lt;&gt;3,VLOOKUP(F765,'Points Table A'!B$3:$F$33,5),VLOOKUP(F765,'Points Table A'!H$3:$L$33,5))</f>
        <v>#N/A</v>
      </c>
      <c r="W765" s="4" t="e">
        <f>IF($Q765&lt;&gt;3,VLOOKUP(G765,'Points Table A'!C$3:$F$33,4),VLOOKUP(G765,'Points Table A'!I$3:$L$33,4))</f>
        <v>#N/A</v>
      </c>
      <c r="X765" s="4" t="e">
        <f>IF($Q765&lt;&gt;3,VLOOKUP(H765,'Points Table A'!D$3:$F$28,3),VLOOKUP(H765,'Points Table A'!J$3:$L$33,3))</f>
        <v>#N/A</v>
      </c>
      <c r="Y765" s="4" t="e">
        <f>IF($Q765&lt;&gt;3,VLOOKUP(I765,'Points Table A'!E$3:$F$33,2),VLOOKUP(I765,'Points Table A'!K$3:$L$33,2))</f>
        <v>#N/A</v>
      </c>
      <c r="Z765" s="4" t="e">
        <f t="shared" si="65"/>
        <v>#N/A</v>
      </c>
      <c r="AA765" s="4">
        <f>IF($S765=Lookups!$B$113,VLOOKUP(L765,'Points Table C'!A$3:$E$11,5),VLOOKUP(U765,'Points Table C'!B$3:$E$11,4))</f>
        <v>0</v>
      </c>
      <c r="AB765" s="4" t="e">
        <f>IF($Q765=1,0,VLOOKUP($J765,'Points Table C'!$C$3:$E$18,3))</f>
        <v>#N/A</v>
      </c>
      <c r="AC765" s="4">
        <f>VLOOKUP($K765,'Points Table C'!$D$3:$E$18,2)</f>
        <v>0</v>
      </c>
      <c r="AD765" s="4" t="e">
        <f>IF($Z765&lt;Lookups!$C$106,($AA765+AB765+AC765),IF($AA765&gt;=Lookups!$C$120,($AA765+AB765+AC765),$AA765+$AB765))</f>
        <v>#N/A</v>
      </c>
      <c r="AF765" s="7"/>
      <c r="AG765" s="7"/>
      <c r="AH765" s="7"/>
      <c r="AI765" s="7"/>
      <c r="AJ765" s="7"/>
      <c r="AK765" s="7"/>
      <c r="AL765" s="7"/>
      <c r="AM765" s="7"/>
      <c r="AN765" s="7"/>
      <c r="AO765" s="7"/>
      <c r="AP765" s="7"/>
      <c r="AQ765" s="7"/>
      <c r="AR765" s="7"/>
      <c r="AS765" s="7"/>
      <c r="AT765" s="7"/>
      <c r="AU765" s="7"/>
      <c r="AV765" s="7"/>
      <c r="AW765" s="7"/>
      <c r="AY765" s="7"/>
      <c r="AZ765" s="7"/>
      <c r="BA765" s="7"/>
      <c r="BB765" s="7"/>
    </row>
    <row r="766" spans="2:54" x14ac:dyDescent="0.2">
      <c r="B766" s="174"/>
      <c r="C766" s="176"/>
      <c r="F766" s="5">
        <v>0</v>
      </c>
      <c r="G766" s="192">
        <v>0</v>
      </c>
      <c r="H766" s="192">
        <v>0</v>
      </c>
      <c r="I766" s="5">
        <v>0</v>
      </c>
      <c r="J766" s="192">
        <v>0</v>
      </c>
      <c r="K766" s="192">
        <v>0</v>
      </c>
      <c r="L766" s="5">
        <v>0</v>
      </c>
      <c r="M766" s="5">
        <v>0</v>
      </c>
      <c r="N766" s="4" t="e">
        <f t="shared" si="66"/>
        <v>#N/A</v>
      </c>
      <c r="O766" s="4" t="e">
        <f>IF(ROUND(10.499-(((N766-VLOOKUP($C766,Lookups!$A$55:$D$64,3))/(VLOOKUP($C766,Lookups!$A$55:$D$64,4))*VLOOKUP($C766,Lookups!$C$2:$D$11,2))),0)&lt;1,1,IF(ROUND(10.499-(((N766-VLOOKUP($C766,Lookups!$A$55:$D$64,3))/(VLOOKUP($C766,Lookups!$A$55:$D$64,4))*VLOOKUP($C766,Lookups!$C$2:$D$11,2))),0)&lt;11,ROUND(10.499-(((N766-VLOOKUP($C766,Lookups!$A$55:$D$64,3))/(VLOOKUP($C766,Lookups!$A$55:$D$64,4))*VLOOKUP($C766,Lookups!$C$2:$D$11,2))),0),10))</f>
        <v>#N/A</v>
      </c>
      <c r="P766" s="13" t="str">
        <f>IF((SUM(F766:M766)=0),"J",VLOOKUP(O766,Lookups!$A$1:$B$11,2))</f>
        <v>J</v>
      </c>
      <c r="Q766" s="8" t="e">
        <f>VLOOKUP(C766,Lookups!$A$136:$C$144,3)</f>
        <v>#N/A</v>
      </c>
      <c r="R766" s="8" t="e">
        <f>VLOOKUP(C766,Lookups!$A$136:$C$144,2)</f>
        <v>#N/A</v>
      </c>
      <c r="S766" s="4" t="str">
        <f t="shared" si="62"/>
        <v>No</v>
      </c>
      <c r="T766" s="125">
        <f t="shared" si="63"/>
        <v>0</v>
      </c>
      <c r="U766" s="125">
        <f t="shared" si="64"/>
        <v>0</v>
      </c>
      <c r="V766" s="4" t="e">
        <f>IF($Q766&lt;&gt;3,VLOOKUP(F766,'Points Table A'!B$3:$F$33,5),VLOOKUP(F766,'Points Table A'!H$3:$L$33,5))</f>
        <v>#N/A</v>
      </c>
      <c r="W766" s="4" t="e">
        <f>IF($Q766&lt;&gt;3,VLOOKUP(G766,'Points Table A'!C$3:$F$33,4),VLOOKUP(G766,'Points Table A'!I$3:$L$33,4))</f>
        <v>#N/A</v>
      </c>
      <c r="X766" s="4" t="e">
        <f>IF($Q766&lt;&gt;3,VLOOKUP(H766,'Points Table A'!D$3:$F$28,3),VLOOKUP(H766,'Points Table A'!J$3:$L$33,3))</f>
        <v>#N/A</v>
      </c>
      <c r="Y766" s="4" t="e">
        <f>IF($Q766&lt;&gt;3,VLOOKUP(I766,'Points Table A'!E$3:$F$33,2),VLOOKUP(I766,'Points Table A'!K$3:$L$33,2))</f>
        <v>#N/A</v>
      </c>
      <c r="Z766" s="4" t="e">
        <f t="shared" si="65"/>
        <v>#N/A</v>
      </c>
      <c r="AA766" s="4">
        <f>IF($S766=Lookups!$B$113,VLOOKUP(L766,'Points Table C'!A$3:$E$11,5),VLOOKUP(U766,'Points Table C'!B$3:$E$11,4))</f>
        <v>0</v>
      </c>
      <c r="AB766" s="4" t="e">
        <f>IF($Q766=1,0,VLOOKUP($J766,'Points Table C'!$C$3:$E$18,3))</f>
        <v>#N/A</v>
      </c>
      <c r="AC766" s="4">
        <f>VLOOKUP($K766,'Points Table C'!$D$3:$E$18,2)</f>
        <v>0</v>
      </c>
      <c r="AD766" s="4" t="e">
        <f>IF($Z766&lt;Lookups!$C$106,($AA766+AB766+AC766),IF($AA766&gt;=Lookups!$C$120,($AA766+AB766+AC766),$AA766+$AB766))</f>
        <v>#N/A</v>
      </c>
      <c r="AF766" s="7"/>
      <c r="AG766" s="7"/>
      <c r="AH766" s="7"/>
      <c r="AI766" s="7"/>
      <c r="AJ766" s="7"/>
      <c r="AK766" s="7"/>
      <c r="AL766" s="7"/>
      <c r="AM766" s="7"/>
      <c r="AN766" s="7"/>
      <c r="AO766" s="7"/>
      <c r="AP766" s="7"/>
      <c r="AQ766" s="7"/>
      <c r="AR766" s="7"/>
      <c r="AS766" s="7"/>
      <c r="AT766" s="7"/>
      <c r="AU766" s="7"/>
      <c r="AV766" s="7"/>
      <c r="AW766" s="7"/>
      <c r="AY766" s="7"/>
      <c r="AZ766" s="7"/>
      <c r="BA766" s="7"/>
      <c r="BB766" s="7"/>
    </row>
    <row r="767" spans="2:54" x14ac:dyDescent="0.2">
      <c r="B767" s="174"/>
      <c r="C767" s="176"/>
      <c r="F767" s="5">
        <v>0</v>
      </c>
      <c r="G767" s="192">
        <v>0</v>
      </c>
      <c r="H767" s="192">
        <v>0</v>
      </c>
      <c r="I767" s="5">
        <v>0</v>
      </c>
      <c r="J767" s="192">
        <v>0</v>
      </c>
      <c r="K767" s="192">
        <v>0</v>
      </c>
      <c r="L767" s="5">
        <v>0</v>
      </c>
      <c r="M767" s="5">
        <v>0</v>
      </c>
      <c r="N767" s="4" t="e">
        <f t="shared" si="66"/>
        <v>#N/A</v>
      </c>
      <c r="O767" s="4" t="e">
        <f>IF(ROUND(10.499-(((N767-VLOOKUP($C767,Lookups!$A$55:$D$64,3))/(VLOOKUP($C767,Lookups!$A$55:$D$64,4))*VLOOKUP($C767,Lookups!$C$2:$D$11,2))),0)&lt;1,1,IF(ROUND(10.499-(((N767-VLOOKUP($C767,Lookups!$A$55:$D$64,3))/(VLOOKUP($C767,Lookups!$A$55:$D$64,4))*VLOOKUP($C767,Lookups!$C$2:$D$11,2))),0)&lt;11,ROUND(10.499-(((N767-VLOOKUP($C767,Lookups!$A$55:$D$64,3))/(VLOOKUP($C767,Lookups!$A$55:$D$64,4))*VLOOKUP($C767,Lookups!$C$2:$D$11,2))),0),10))</f>
        <v>#N/A</v>
      </c>
      <c r="P767" s="13" t="str">
        <f>IF((SUM(F767:M767)=0),"J",VLOOKUP(O767,Lookups!$A$1:$B$11,2))</f>
        <v>J</v>
      </c>
      <c r="Q767" s="8" t="e">
        <f>VLOOKUP(C767,Lookups!$A$136:$C$144,3)</f>
        <v>#N/A</v>
      </c>
      <c r="R767" s="8" t="e">
        <f>VLOOKUP(C767,Lookups!$A$136:$C$144,2)</f>
        <v>#N/A</v>
      </c>
      <c r="S767" s="4" t="str">
        <f t="shared" si="62"/>
        <v>No</v>
      </c>
      <c r="T767" s="125">
        <f t="shared" si="63"/>
        <v>0</v>
      </c>
      <c r="U767" s="125">
        <f t="shared" si="64"/>
        <v>0</v>
      </c>
      <c r="V767" s="4" t="e">
        <f>IF($Q767&lt;&gt;3,VLOOKUP(F767,'Points Table A'!B$3:$F$33,5),VLOOKUP(F767,'Points Table A'!H$3:$L$33,5))</f>
        <v>#N/A</v>
      </c>
      <c r="W767" s="4" t="e">
        <f>IF($Q767&lt;&gt;3,VLOOKUP(G767,'Points Table A'!C$3:$F$33,4),VLOOKUP(G767,'Points Table A'!I$3:$L$33,4))</f>
        <v>#N/A</v>
      </c>
      <c r="X767" s="4" t="e">
        <f>IF($Q767&lt;&gt;3,VLOOKUP(H767,'Points Table A'!D$3:$F$28,3),VLOOKUP(H767,'Points Table A'!J$3:$L$33,3))</f>
        <v>#N/A</v>
      </c>
      <c r="Y767" s="4" t="e">
        <f>IF($Q767&lt;&gt;3,VLOOKUP(I767,'Points Table A'!E$3:$F$33,2),VLOOKUP(I767,'Points Table A'!K$3:$L$33,2))</f>
        <v>#N/A</v>
      </c>
      <c r="Z767" s="4" t="e">
        <f t="shared" si="65"/>
        <v>#N/A</v>
      </c>
      <c r="AA767" s="4">
        <f>IF($S767=Lookups!$B$113,VLOOKUP(L767,'Points Table C'!A$3:$E$11,5),VLOOKUP(U767,'Points Table C'!B$3:$E$11,4))</f>
        <v>0</v>
      </c>
      <c r="AB767" s="4" t="e">
        <f>IF($Q767=1,0,VLOOKUP($J767,'Points Table C'!$C$3:$E$18,3))</f>
        <v>#N/A</v>
      </c>
      <c r="AC767" s="4">
        <f>VLOOKUP($K767,'Points Table C'!$D$3:$E$18,2)</f>
        <v>0</v>
      </c>
      <c r="AD767" s="4" t="e">
        <f>IF($Z767&lt;Lookups!$C$106,($AA767+AB767+AC767),IF($AA767&gt;=Lookups!$C$120,($AA767+AB767+AC767),$AA767+$AB767))</f>
        <v>#N/A</v>
      </c>
      <c r="AF767" s="7"/>
      <c r="AG767" s="7"/>
      <c r="AH767" s="7"/>
      <c r="AI767" s="7"/>
      <c r="AJ767" s="7"/>
      <c r="AK767" s="7"/>
      <c r="AL767" s="7"/>
      <c r="AM767" s="7"/>
      <c r="AN767" s="7"/>
      <c r="AO767" s="7"/>
      <c r="AP767" s="7"/>
      <c r="AQ767" s="7"/>
      <c r="AR767" s="7"/>
      <c r="AS767" s="7"/>
      <c r="AT767" s="7"/>
      <c r="AU767" s="7"/>
      <c r="AV767" s="7"/>
      <c r="AW767" s="7"/>
      <c r="AY767" s="7"/>
      <c r="AZ767" s="7"/>
      <c r="BA767" s="7"/>
      <c r="BB767" s="7"/>
    </row>
    <row r="768" spans="2:54" x14ac:dyDescent="0.2">
      <c r="B768" s="174"/>
      <c r="C768" s="176"/>
      <c r="F768" s="5">
        <v>0</v>
      </c>
      <c r="G768" s="192">
        <v>0</v>
      </c>
      <c r="H768" s="192">
        <v>0</v>
      </c>
      <c r="I768" s="5">
        <v>0</v>
      </c>
      <c r="J768" s="192">
        <v>0</v>
      </c>
      <c r="K768" s="192">
        <v>0</v>
      </c>
      <c r="L768" s="5">
        <v>0</v>
      </c>
      <c r="M768" s="5">
        <v>0</v>
      </c>
      <c r="N768" s="4" t="e">
        <f t="shared" si="66"/>
        <v>#N/A</v>
      </c>
      <c r="O768" s="4" t="e">
        <f>IF(ROUND(10.499-(((N768-VLOOKUP($C768,Lookups!$A$55:$D$64,3))/(VLOOKUP($C768,Lookups!$A$55:$D$64,4))*VLOOKUP($C768,Lookups!$C$2:$D$11,2))),0)&lt;1,1,IF(ROUND(10.499-(((N768-VLOOKUP($C768,Lookups!$A$55:$D$64,3))/(VLOOKUP($C768,Lookups!$A$55:$D$64,4))*VLOOKUP($C768,Lookups!$C$2:$D$11,2))),0)&lt;11,ROUND(10.499-(((N768-VLOOKUP($C768,Lookups!$A$55:$D$64,3))/(VLOOKUP($C768,Lookups!$A$55:$D$64,4))*VLOOKUP($C768,Lookups!$C$2:$D$11,2))),0),10))</f>
        <v>#N/A</v>
      </c>
      <c r="P768" s="13" t="str">
        <f>IF((SUM(F768:M768)=0),"J",VLOOKUP(O768,Lookups!$A$1:$B$11,2))</f>
        <v>J</v>
      </c>
      <c r="Q768" s="8" t="e">
        <f>VLOOKUP(C768,Lookups!$A$136:$C$144,3)</f>
        <v>#N/A</v>
      </c>
      <c r="R768" s="8" t="e">
        <f>VLOOKUP(C768,Lookups!$A$136:$C$144,2)</f>
        <v>#N/A</v>
      </c>
      <c r="S768" s="4" t="str">
        <f t="shared" si="62"/>
        <v>No</v>
      </c>
      <c r="T768" s="125">
        <f t="shared" si="63"/>
        <v>0</v>
      </c>
      <c r="U768" s="125">
        <f t="shared" si="64"/>
        <v>0</v>
      </c>
      <c r="V768" s="4" t="e">
        <f>IF($Q768&lt;&gt;3,VLOOKUP(F768,'Points Table A'!B$3:$F$33,5),VLOOKUP(F768,'Points Table A'!H$3:$L$33,5))</f>
        <v>#N/A</v>
      </c>
      <c r="W768" s="4" t="e">
        <f>IF($Q768&lt;&gt;3,VLOOKUP(G768,'Points Table A'!C$3:$F$33,4),VLOOKUP(G768,'Points Table A'!I$3:$L$33,4))</f>
        <v>#N/A</v>
      </c>
      <c r="X768" s="4" t="e">
        <f>IF($Q768&lt;&gt;3,VLOOKUP(H768,'Points Table A'!D$3:$F$28,3),VLOOKUP(H768,'Points Table A'!J$3:$L$33,3))</f>
        <v>#N/A</v>
      </c>
      <c r="Y768" s="4" t="e">
        <f>IF($Q768&lt;&gt;3,VLOOKUP(I768,'Points Table A'!E$3:$F$33,2),VLOOKUP(I768,'Points Table A'!K$3:$L$33,2))</f>
        <v>#N/A</v>
      </c>
      <c r="Z768" s="4" t="e">
        <f t="shared" si="65"/>
        <v>#N/A</v>
      </c>
      <c r="AA768" s="4">
        <f>IF($S768=Lookups!$B$113,VLOOKUP(L768,'Points Table C'!A$3:$E$11,5),VLOOKUP(U768,'Points Table C'!B$3:$E$11,4))</f>
        <v>0</v>
      </c>
      <c r="AB768" s="4" t="e">
        <f>IF($Q768=1,0,VLOOKUP($J768,'Points Table C'!$C$3:$E$18,3))</f>
        <v>#N/A</v>
      </c>
      <c r="AC768" s="4">
        <f>VLOOKUP($K768,'Points Table C'!$D$3:$E$18,2)</f>
        <v>0</v>
      </c>
      <c r="AD768" s="4" t="e">
        <f>IF($Z768&lt;Lookups!$C$106,($AA768+AB768+AC768),IF($AA768&gt;=Lookups!$C$120,($AA768+AB768+AC768),$AA768+$AB768))</f>
        <v>#N/A</v>
      </c>
      <c r="AF768" s="7"/>
      <c r="AG768" s="7"/>
      <c r="AH768" s="7"/>
      <c r="AI768" s="7"/>
      <c r="AJ768" s="7"/>
      <c r="AK768" s="7"/>
      <c r="AL768" s="7"/>
      <c r="AM768" s="7"/>
      <c r="AN768" s="7"/>
      <c r="AO768" s="7"/>
      <c r="AP768" s="7"/>
      <c r="AQ768" s="7"/>
      <c r="AR768" s="7"/>
      <c r="AS768" s="7"/>
      <c r="AT768" s="7"/>
      <c r="AU768" s="7"/>
      <c r="AV768" s="7"/>
      <c r="AW768" s="7"/>
      <c r="AY768" s="7"/>
      <c r="AZ768" s="7"/>
      <c r="BA768" s="7"/>
      <c r="BB768" s="7"/>
    </row>
    <row r="769" spans="2:54" x14ac:dyDescent="0.2">
      <c r="B769" s="174"/>
      <c r="C769" s="176"/>
      <c r="F769" s="5">
        <v>0</v>
      </c>
      <c r="G769" s="192">
        <v>0</v>
      </c>
      <c r="H769" s="192">
        <v>0</v>
      </c>
      <c r="I769" s="5">
        <v>0</v>
      </c>
      <c r="J769" s="192">
        <v>0</v>
      </c>
      <c r="K769" s="192">
        <v>0</v>
      </c>
      <c r="L769" s="5">
        <v>0</v>
      </c>
      <c r="M769" s="5">
        <v>0</v>
      </c>
      <c r="N769" s="4" t="e">
        <f t="shared" si="66"/>
        <v>#N/A</v>
      </c>
      <c r="O769" s="4" t="e">
        <f>IF(ROUND(10.499-(((N769-VLOOKUP($C769,Lookups!$A$55:$D$64,3))/(VLOOKUP($C769,Lookups!$A$55:$D$64,4))*VLOOKUP($C769,Lookups!$C$2:$D$11,2))),0)&lt;1,1,IF(ROUND(10.499-(((N769-VLOOKUP($C769,Lookups!$A$55:$D$64,3))/(VLOOKUP($C769,Lookups!$A$55:$D$64,4))*VLOOKUP($C769,Lookups!$C$2:$D$11,2))),0)&lt;11,ROUND(10.499-(((N769-VLOOKUP($C769,Lookups!$A$55:$D$64,3))/(VLOOKUP($C769,Lookups!$A$55:$D$64,4))*VLOOKUP($C769,Lookups!$C$2:$D$11,2))),0),10))</f>
        <v>#N/A</v>
      </c>
      <c r="P769" s="13" t="str">
        <f>IF((SUM(F769:M769)=0),"J",VLOOKUP(O769,Lookups!$A$1:$B$11,2))</f>
        <v>J</v>
      </c>
      <c r="Q769" s="8" t="e">
        <f>VLOOKUP(C769,Lookups!$A$136:$C$144,3)</f>
        <v>#N/A</v>
      </c>
      <c r="R769" s="8" t="e">
        <f>VLOOKUP(C769,Lookups!$A$136:$C$144,2)</f>
        <v>#N/A</v>
      </c>
      <c r="S769" s="4" t="str">
        <f t="shared" si="62"/>
        <v>No</v>
      </c>
      <c r="T769" s="125">
        <f t="shared" si="63"/>
        <v>0</v>
      </c>
      <c r="U769" s="125">
        <f t="shared" si="64"/>
        <v>0</v>
      </c>
      <c r="V769" s="4" t="e">
        <f>IF($Q769&lt;&gt;3,VLOOKUP(F769,'Points Table A'!B$3:$F$33,5),VLOOKUP(F769,'Points Table A'!H$3:$L$33,5))</f>
        <v>#N/A</v>
      </c>
      <c r="W769" s="4" t="e">
        <f>IF($Q769&lt;&gt;3,VLOOKUP(G769,'Points Table A'!C$3:$F$33,4),VLOOKUP(G769,'Points Table A'!I$3:$L$33,4))</f>
        <v>#N/A</v>
      </c>
      <c r="X769" s="4" t="e">
        <f>IF($Q769&lt;&gt;3,VLOOKUP(H769,'Points Table A'!D$3:$F$28,3),VLOOKUP(H769,'Points Table A'!J$3:$L$33,3))</f>
        <v>#N/A</v>
      </c>
      <c r="Y769" s="4" t="e">
        <f>IF($Q769&lt;&gt;3,VLOOKUP(I769,'Points Table A'!E$3:$F$33,2),VLOOKUP(I769,'Points Table A'!K$3:$L$33,2))</f>
        <v>#N/A</v>
      </c>
      <c r="Z769" s="4" t="e">
        <f t="shared" si="65"/>
        <v>#N/A</v>
      </c>
      <c r="AA769" s="4">
        <f>IF($S769=Lookups!$B$113,VLOOKUP(L769,'Points Table C'!A$3:$E$11,5),VLOOKUP(U769,'Points Table C'!B$3:$E$11,4))</f>
        <v>0</v>
      </c>
      <c r="AB769" s="4" t="e">
        <f>IF($Q769=1,0,VLOOKUP($J769,'Points Table C'!$C$3:$E$18,3))</f>
        <v>#N/A</v>
      </c>
      <c r="AC769" s="4">
        <f>VLOOKUP($K769,'Points Table C'!$D$3:$E$18,2)</f>
        <v>0</v>
      </c>
      <c r="AD769" s="4" t="e">
        <f>IF($Z769&lt;Lookups!$C$106,($AA769+AB769+AC769),IF($AA769&gt;=Lookups!$C$120,($AA769+AB769+AC769),$AA769+$AB769))</f>
        <v>#N/A</v>
      </c>
      <c r="AF769" s="7"/>
      <c r="AG769" s="7"/>
      <c r="AH769" s="7"/>
      <c r="AI769" s="7"/>
      <c r="AJ769" s="7"/>
      <c r="AK769" s="7"/>
      <c r="AL769" s="7"/>
      <c r="AM769" s="7"/>
      <c r="AN769" s="7"/>
      <c r="AO769" s="7"/>
      <c r="AP769" s="7"/>
      <c r="AQ769" s="7"/>
      <c r="AR769" s="7"/>
      <c r="AS769" s="7"/>
      <c r="AT769" s="7"/>
      <c r="AU769" s="7"/>
      <c r="AV769" s="7"/>
      <c r="AW769" s="7"/>
      <c r="AY769" s="7"/>
      <c r="AZ769" s="7"/>
      <c r="BA769" s="7"/>
      <c r="BB769" s="7"/>
    </row>
    <row r="770" spans="2:54" x14ac:dyDescent="0.2">
      <c r="B770" s="174"/>
      <c r="C770" s="176"/>
      <c r="F770" s="5">
        <v>0</v>
      </c>
      <c r="G770" s="192">
        <v>0</v>
      </c>
      <c r="H770" s="192">
        <v>0</v>
      </c>
      <c r="I770" s="5">
        <v>0</v>
      </c>
      <c r="J770" s="192">
        <v>0</v>
      </c>
      <c r="K770" s="192">
        <v>0</v>
      </c>
      <c r="L770" s="5">
        <v>0</v>
      </c>
      <c r="M770" s="5">
        <v>0</v>
      </c>
      <c r="N770" s="4" t="e">
        <f t="shared" si="66"/>
        <v>#N/A</v>
      </c>
      <c r="O770" s="4" t="e">
        <f>IF(ROUND(10.499-(((N770-VLOOKUP($C770,Lookups!$A$55:$D$64,3))/(VLOOKUP($C770,Lookups!$A$55:$D$64,4))*VLOOKUP($C770,Lookups!$C$2:$D$11,2))),0)&lt;1,1,IF(ROUND(10.499-(((N770-VLOOKUP($C770,Lookups!$A$55:$D$64,3))/(VLOOKUP($C770,Lookups!$A$55:$D$64,4))*VLOOKUP($C770,Lookups!$C$2:$D$11,2))),0)&lt;11,ROUND(10.499-(((N770-VLOOKUP($C770,Lookups!$A$55:$D$64,3))/(VLOOKUP($C770,Lookups!$A$55:$D$64,4))*VLOOKUP($C770,Lookups!$C$2:$D$11,2))),0),10))</f>
        <v>#N/A</v>
      </c>
      <c r="P770" s="13" t="str">
        <f>IF((SUM(F770:M770)=0),"J",VLOOKUP(O770,Lookups!$A$1:$B$11,2))</f>
        <v>J</v>
      </c>
      <c r="Q770" s="8" t="e">
        <f>VLOOKUP(C770,Lookups!$A$136:$C$144,3)</f>
        <v>#N/A</v>
      </c>
      <c r="R770" s="8" t="e">
        <f>VLOOKUP(C770,Lookups!$A$136:$C$144,2)</f>
        <v>#N/A</v>
      </c>
      <c r="S770" s="4" t="str">
        <f t="shared" si="62"/>
        <v>No</v>
      </c>
      <c r="T770" s="125">
        <f t="shared" si="63"/>
        <v>0</v>
      </c>
      <c r="U770" s="125">
        <f t="shared" si="64"/>
        <v>0</v>
      </c>
      <c r="V770" s="4" t="e">
        <f>IF($Q770&lt;&gt;3,VLOOKUP(F770,'Points Table A'!B$3:$F$33,5),VLOOKUP(F770,'Points Table A'!H$3:$L$33,5))</f>
        <v>#N/A</v>
      </c>
      <c r="W770" s="4" t="e">
        <f>IF($Q770&lt;&gt;3,VLOOKUP(G770,'Points Table A'!C$3:$F$33,4),VLOOKUP(G770,'Points Table A'!I$3:$L$33,4))</f>
        <v>#N/A</v>
      </c>
      <c r="X770" s="4" t="e">
        <f>IF($Q770&lt;&gt;3,VLOOKUP(H770,'Points Table A'!D$3:$F$28,3),VLOOKUP(H770,'Points Table A'!J$3:$L$33,3))</f>
        <v>#N/A</v>
      </c>
      <c r="Y770" s="4" t="e">
        <f>IF($Q770&lt;&gt;3,VLOOKUP(I770,'Points Table A'!E$3:$F$33,2),VLOOKUP(I770,'Points Table A'!K$3:$L$33,2))</f>
        <v>#N/A</v>
      </c>
      <c r="Z770" s="4" t="e">
        <f t="shared" si="65"/>
        <v>#N/A</v>
      </c>
      <c r="AA770" s="4">
        <f>IF($S770=Lookups!$B$113,VLOOKUP(L770,'Points Table C'!A$3:$E$11,5),VLOOKUP(U770,'Points Table C'!B$3:$E$11,4))</f>
        <v>0</v>
      </c>
      <c r="AB770" s="4" t="e">
        <f>IF($Q770=1,0,VLOOKUP($J770,'Points Table C'!$C$3:$E$18,3))</f>
        <v>#N/A</v>
      </c>
      <c r="AC770" s="4">
        <f>VLOOKUP($K770,'Points Table C'!$D$3:$E$18,2)</f>
        <v>0</v>
      </c>
      <c r="AD770" s="4" t="e">
        <f>IF($Z770&lt;Lookups!$C$106,($AA770+AB770+AC770),IF($AA770&gt;=Lookups!$C$120,($AA770+AB770+AC770),$AA770+$AB770))</f>
        <v>#N/A</v>
      </c>
      <c r="AF770" s="7"/>
      <c r="AG770" s="7"/>
      <c r="AH770" s="7"/>
      <c r="AI770" s="7"/>
      <c r="AJ770" s="7"/>
      <c r="AK770" s="7"/>
      <c r="AL770" s="7"/>
      <c r="AM770" s="7"/>
      <c r="AN770" s="7"/>
      <c r="AO770" s="7"/>
      <c r="AP770" s="7"/>
      <c r="AQ770" s="7"/>
      <c r="AR770" s="7"/>
      <c r="AS770" s="7"/>
      <c r="AT770" s="7"/>
      <c r="AU770" s="7"/>
      <c r="AV770" s="7"/>
      <c r="AW770" s="7"/>
      <c r="AY770" s="7"/>
      <c r="AZ770" s="7"/>
      <c r="BA770" s="7"/>
      <c r="BB770" s="7"/>
    </row>
    <row r="771" spans="2:54" x14ac:dyDescent="0.2">
      <c r="B771" s="174"/>
      <c r="C771" s="176"/>
      <c r="F771" s="5">
        <v>0</v>
      </c>
      <c r="G771" s="192">
        <v>0</v>
      </c>
      <c r="H771" s="192">
        <v>0</v>
      </c>
      <c r="I771" s="5">
        <v>0</v>
      </c>
      <c r="J771" s="192">
        <v>0</v>
      </c>
      <c r="K771" s="192">
        <v>0</v>
      </c>
      <c r="L771" s="5">
        <v>0</v>
      </c>
      <c r="M771" s="5">
        <v>0</v>
      </c>
      <c r="N771" s="4" t="e">
        <f t="shared" si="66"/>
        <v>#N/A</v>
      </c>
      <c r="O771" s="4" t="e">
        <f>IF(ROUND(10.499-(((N771-VLOOKUP($C771,Lookups!$A$55:$D$64,3))/(VLOOKUP($C771,Lookups!$A$55:$D$64,4))*VLOOKUP($C771,Lookups!$C$2:$D$11,2))),0)&lt;1,1,IF(ROUND(10.499-(((N771-VLOOKUP($C771,Lookups!$A$55:$D$64,3))/(VLOOKUP($C771,Lookups!$A$55:$D$64,4))*VLOOKUP($C771,Lookups!$C$2:$D$11,2))),0)&lt;11,ROUND(10.499-(((N771-VLOOKUP($C771,Lookups!$A$55:$D$64,3))/(VLOOKUP($C771,Lookups!$A$55:$D$64,4))*VLOOKUP($C771,Lookups!$C$2:$D$11,2))),0),10))</f>
        <v>#N/A</v>
      </c>
      <c r="P771" s="13" t="str">
        <f>IF((SUM(F771:M771)=0),"J",VLOOKUP(O771,Lookups!$A$1:$B$11,2))</f>
        <v>J</v>
      </c>
      <c r="Q771" s="8" t="e">
        <f>VLOOKUP(C771,Lookups!$A$136:$C$144,3)</f>
        <v>#N/A</v>
      </c>
      <c r="R771" s="8" t="e">
        <f>VLOOKUP(C771,Lookups!$A$136:$C$144,2)</f>
        <v>#N/A</v>
      </c>
      <c r="S771" s="4" t="str">
        <f t="shared" si="62"/>
        <v>No</v>
      </c>
      <c r="T771" s="125">
        <f t="shared" si="63"/>
        <v>0</v>
      </c>
      <c r="U771" s="125">
        <f t="shared" si="64"/>
        <v>0</v>
      </c>
      <c r="V771" s="4" t="e">
        <f>IF($Q771&lt;&gt;3,VLOOKUP(F771,'Points Table A'!B$3:$F$33,5),VLOOKUP(F771,'Points Table A'!H$3:$L$33,5))</f>
        <v>#N/A</v>
      </c>
      <c r="W771" s="4" t="e">
        <f>IF($Q771&lt;&gt;3,VLOOKUP(G771,'Points Table A'!C$3:$F$33,4),VLOOKUP(G771,'Points Table A'!I$3:$L$33,4))</f>
        <v>#N/A</v>
      </c>
      <c r="X771" s="4" t="e">
        <f>IF($Q771&lt;&gt;3,VLOOKUP(H771,'Points Table A'!D$3:$F$28,3),VLOOKUP(H771,'Points Table A'!J$3:$L$33,3))</f>
        <v>#N/A</v>
      </c>
      <c r="Y771" s="4" t="e">
        <f>IF($Q771&lt;&gt;3,VLOOKUP(I771,'Points Table A'!E$3:$F$33,2),VLOOKUP(I771,'Points Table A'!K$3:$L$33,2))</f>
        <v>#N/A</v>
      </c>
      <c r="Z771" s="4" t="e">
        <f t="shared" si="65"/>
        <v>#N/A</v>
      </c>
      <c r="AA771" s="4">
        <f>IF($S771=Lookups!$B$113,VLOOKUP(L771,'Points Table C'!A$3:$E$11,5),VLOOKUP(U771,'Points Table C'!B$3:$E$11,4))</f>
        <v>0</v>
      </c>
      <c r="AB771" s="4" t="e">
        <f>IF($Q771=1,0,VLOOKUP($J771,'Points Table C'!$C$3:$E$18,3))</f>
        <v>#N/A</v>
      </c>
      <c r="AC771" s="4">
        <f>VLOOKUP($K771,'Points Table C'!$D$3:$E$18,2)</f>
        <v>0</v>
      </c>
      <c r="AD771" s="4" t="e">
        <f>IF($Z771&lt;Lookups!$C$106,($AA771+AB771+AC771),IF($AA771&gt;=Lookups!$C$120,($AA771+AB771+AC771),$AA771+$AB771))</f>
        <v>#N/A</v>
      </c>
      <c r="AF771" s="7"/>
      <c r="AG771" s="7"/>
      <c r="AH771" s="7"/>
      <c r="AI771" s="7"/>
      <c r="AJ771" s="7"/>
      <c r="AK771" s="7"/>
      <c r="AL771" s="7"/>
      <c r="AM771" s="7"/>
      <c r="AN771" s="7"/>
      <c r="AO771" s="7"/>
      <c r="AP771" s="7"/>
      <c r="AQ771" s="7"/>
      <c r="AR771" s="7"/>
      <c r="AS771" s="7"/>
      <c r="AT771" s="7"/>
      <c r="AU771" s="7"/>
      <c r="AV771" s="7"/>
      <c r="AW771" s="7"/>
      <c r="AY771" s="7"/>
      <c r="AZ771" s="7"/>
      <c r="BA771" s="7"/>
      <c r="BB771" s="7"/>
    </row>
    <row r="772" spans="2:54" x14ac:dyDescent="0.2">
      <c r="B772" s="174"/>
      <c r="C772" s="176"/>
      <c r="F772" s="5">
        <v>0</v>
      </c>
      <c r="G772" s="192">
        <v>0</v>
      </c>
      <c r="H772" s="192">
        <v>0</v>
      </c>
      <c r="I772" s="5">
        <v>0</v>
      </c>
      <c r="J772" s="192">
        <v>0</v>
      </c>
      <c r="K772" s="192">
        <v>0</v>
      </c>
      <c r="L772" s="5">
        <v>0</v>
      </c>
      <c r="M772" s="5">
        <v>0</v>
      </c>
      <c r="N772" s="4" t="e">
        <f t="shared" si="66"/>
        <v>#N/A</v>
      </c>
      <c r="O772" s="4" t="e">
        <f>IF(ROUND(10.499-(((N772-VLOOKUP($C772,Lookups!$A$55:$D$64,3))/(VLOOKUP($C772,Lookups!$A$55:$D$64,4))*VLOOKUP($C772,Lookups!$C$2:$D$11,2))),0)&lt;1,1,IF(ROUND(10.499-(((N772-VLOOKUP($C772,Lookups!$A$55:$D$64,3))/(VLOOKUP($C772,Lookups!$A$55:$D$64,4))*VLOOKUP($C772,Lookups!$C$2:$D$11,2))),0)&lt;11,ROUND(10.499-(((N772-VLOOKUP($C772,Lookups!$A$55:$D$64,3))/(VLOOKUP($C772,Lookups!$A$55:$D$64,4))*VLOOKUP($C772,Lookups!$C$2:$D$11,2))),0),10))</f>
        <v>#N/A</v>
      </c>
      <c r="P772" s="13" t="str">
        <f>IF((SUM(F772:M772)=0),"J",VLOOKUP(O772,Lookups!$A$1:$B$11,2))</f>
        <v>J</v>
      </c>
      <c r="Q772" s="8" t="e">
        <f>VLOOKUP(C772,Lookups!$A$136:$C$144,3)</f>
        <v>#N/A</v>
      </c>
      <c r="R772" s="8" t="e">
        <f>VLOOKUP(C772,Lookups!$A$136:$C$144,2)</f>
        <v>#N/A</v>
      </c>
      <c r="S772" s="4" t="str">
        <f t="shared" si="62"/>
        <v>No</v>
      </c>
      <c r="T772" s="125">
        <f t="shared" si="63"/>
        <v>0</v>
      </c>
      <c r="U772" s="125">
        <f t="shared" si="64"/>
        <v>0</v>
      </c>
      <c r="V772" s="4" t="e">
        <f>IF($Q772&lt;&gt;3,VLOOKUP(F772,'Points Table A'!B$3:$F$33,5),VLOOKUP(F772,'Points Table A'!H$3:$L$33,5))</f>
        <v>#N/A</v>
      </c>
      <c r="W772" s="4" t="e">
        <f>IF($Q772&lt;&gt;3,VLOOKUP(G772,'Points Table A'!C$3:$F$33,4),VLOOKUP(G772,'Points Table A'!I$3:$L$33,4))</f>
        <v>#N/A</v>
      </c>
      <c r="X772" s="4" t="e">
        <f>IF($Q772&lt;&gt;3,VLOOKUP(H772,'Points Table A'!D$3:$F$28,3),VLOOKUP(H772,'Points Table A'!J$3:$L$33,3))</f>
        <v>#N/A</v>
      </c>
      <c r="Y772" s="4" t="e">
        <f>IF($Q772&lt;&gt;3,VLOOKUP(I772,'Points Table A'!E$3:$F$33,2),VLOOKUP(I772,'Points Table A'!K$3:$L$33,2))</f>
        <v>#N/A</v>
      </c>
      <c r="Z772" s="4" t="e">
        <f t="shared" si="65"/>
        <v>#N/A</v>
      </c>
      <c r="AA772" s="4">
        <f>IF($S772=Lookups!$B$113,VLOOKUP(L772,'Points Table C'!A$3:$E$11,5),VLOOKUP(U772,'Points Table C'!B$3:$E$11,4))</f>
        <v>0</v>
      </c>
      <c r="AB772" s="4" t="e">
        <f>IF($Q772=1,0,VLOOKUP($J772,'Points Table C'!$C$3:$E$18,3))</f>
        <v>#N/A</v>
      </c>
      <c r="AC772" s="4">
        <f>VLOOKUP($K772,'Points Table C'!$D$3:$E$18,2)</f>
        <v>0</v>
      </c>
      <c r="AD772" s="4" t="e">
        <f>IF($Z772&lt;Lookups!$C$106,($AA772+AB772+AC772),IF($AA772&gt;=Lookups!$C$120,($AA772+AB772+AC772),$AA772+$AB772))</f>
        <v>#N/A</v>
      </c>
      <c r="AF772" s="7"/>
      <c r="AG772" s="7"/>
      <c r="AH772" s="7"/>
      <c r="AI772" s="7"/>
      <c r="AJ772" s="7"/>
      <c r="AK772" s="7"/>
      <c r="AL772" s="7"/>
      <c r="AM772" s="7"/>
      <c r="AN772" s="7"/>
      <c r="AO772" s="7"/>
      <c r="AP772" s="7"/>
      <c r="AQ772" s="7"/>
      <c r="AR772" s="7"/>
      <c r="AS772" s="7"/>
      <c r="AT772" s="7"/>
      <c r="AU772" s="7"/>
      <c r="AV772" s="7"/>
      <c r="AW772" s="7"/>
      <c r="AY772" s="7"/>
      <c r="AZ772" s="7"/>
      <c r="BA772" s="7"/>
      <c r="BB772" s="7"/>
    </row>
    <row r="773" spans="2:54" x14ac:dyDescent="0.2">
      <c r="B773" s="174"/>
      <c r="C773" s="176"/>
      <c r="F773" s="5">
        <v>0</v>
      </c>
      <c r="G773" s="192">
        <v>0</v>
      </c>
      <c r="H773" s="192">
        <v>0</v>
      </c>
      <c r="I773" s="5">
        <v>0</v>
      </c>
      <c r="J773" s="192">
        <v>0</v>
      </c>
      <c r="K773" s="192">
        <v>0</v>
      </c>
      <c r="L773" s="5">
        <v>0</v>
      </c>
      <c r="M773" s="5">
        <v>0</v>
      </c>
      <c r="N773" s="4" t="e">
        <f t="shared" si="66"/>
        <v>#N/A</v>
      </c>
      <c r="O773" s="4" t="e">
        <f>IF(ROUND(10.499-(((N773-VLOOKUP($C773,Lookups!$A$55:$D$64,3))/(VLOOKUP($C773,Lookups!$A$55:$D$64,4))*VLOOKUP($C773,Lookups!$C$2:$D$11,2))),0)&lt;1,1,IF(ROUND(10.499-(((N773-VLOOKUP($C773,Lookups!$A$55:$D$64,3))/(VLOOKUP($C773,Lookups!$A$55:$D$64,4))*VLOOKUP($C773,Lookups!$C$2:$D$11,2))),0)&lt;11,ROUND(10.499-(((N773-VLOOKUP($C773,Lookups!$A$55:$D$64,3))/(VLOOKUP($C773,Lookups!$A$55:$D$64,4))*VLOOKUP($C773,Lookups!$C$2:$D$11,2))),0),10))</f>
        <v>#N/A</v>
      </c>
      <c r="P773" s="13" t="str">
        <f>IF((SUM(F773:M773)=0),"J",VLOOKUP(O773,Lookups!$A$1:$B$11,2))</f>
        <v>J</v>
      </c>
      <c r="Q773" s="8" t="e">
        <f>VLOOKUP(C773,Lookups!$A$136:$C$144,3)</f>
        <v>#N/A</v>
      </c>
      <c r="R773" s="8" t="e">
        <f>VLOOKUP(C773,Lookups!$A$136:$C$144,2)</f>
        <v>#N/A</v>
      </c>
      <c r="S773" s="4" t="str">
        <f t="shared" si="62"/>
        <v>No</v>
      </c>
      <c r="T773" s="125">
        <f t="shared" si="63"/>
        <v>0</v>
      </c>
      <c r="U773" s="125">
        <f t="shared" si="64"/>
        <v>0</v>
      </c>
      <c r="V773" s="4" t="e">
        <f>IF($Q773&lt;&gt;3,VLOOKUP(F773,'Points Table A'!B$3:$F$33,5),VLOOKUP(F773,'Points Table A'!H$3:$L$33,5))</f>
        <v>#N/A</v>
      </c>
      <c r="W773" s="4" t="e">
        <f>IF($Q773&lt;&gt;3,VLOOKUP(G773,'Points Table A'!C$3:$F$33,4),VLOOKUP(G773,'Points Table A'!I$3:$L$33,4))</f>
        <v>#N/A</v>
      </c>
      <c r="X773" s="4" t="e">
        <f>IF($Q773&lt;&gt;3,VLOOKUP(H773,'Points Table A'!D$3:$F$28,3),VLOOKUP(H773,'Points Table A'!J$3:$L$33,3))</f>
        <v>#N/A</v>
      </c>
      <c r="Y773" s="4" t="e">
        <f>IF($Q773&lt;&gt;3,VLOOKUP(I773,'Points Table A'!E$3:$F$33,2),VLOOKUP(I773,'Points Table A'!K$3:$L$33,2))</f>
        <v>#N/A</v>
      </c>
      <c r="Z773" s="4" t="e">
        <f t="shared" si="65"/>
        <v>#N/A</v>
      </c>
      <c r="AA773" s="4">
        <f>IF($S773=Lookups!$B$113,VLOOKUP(L773,'Points Table C'!A$3:$E$11,5),VLOOKUP(U773,'Points Table C'!B$3:$E$11,4))</f>
        <v>0</v>
      </c>
      <c r="AB773" s="4" t="e">
        <f>IF($Q773=1,0,VLOOKUP($J773,'Points Table C'!$C$3:$E$18,3))</f>
        <v>#N/A</v>
      </c>
      <c r="AC773" s="4">
        <f>VLOOKUP($K773,'Points Table C'!$D$3:$E$18,2)</f>
        <v>0</v>
      </c>
      <c r="AD773" s="4" t="e">
        <f>IF($Z773&lt;Lookups!$C$106,($AA773+AB773+AC773),IF($AA773&gt;=Lookups!$C$120,($AA773+AB773+AC773),$AA773+$AB773))</f>
        <v>#N/A</v>
      </c>
      <c r="AF773" s="7"/>
      <c r="AG773" s="7"/>
      <c r="AH773" s="7"/>
      <c r="AI773" s="7"/>
      <c r="AJ773" s="7"/>
      <c r="AK773" s="7"/>
      <c r="AL773" s="7"/>
      <c r="AM773" s="7"/>
      <c r="AN773" s="7"/>
      <c r="AO773" s="7"/>
      <c r="AP773" s="7"/>
      <c r="AQ773" s="7"/>
      <c r="AR773" s="7"/>
      <c r="AS773" s="7"/>
      <c r="AT773" s="7"/>
      <c r="AU773" s="7"/>
      <c r="AV773" s="7"/>
      <c r="AW773" s="7"/>
      <c r="AY773" s="7"/>
      <c r="AZ773" s="7"/>
      <c r="BA773" s="7"/>
      <c r="BB773" s="7"/>
    </row>
    <row r="774" spans="2:54" x14ac:dyDescent="0.2">
      <c r="B774" s="174"/>
      <c r="C774" s="176"/>
      <c r="F774" s="5">
        <v>0</v>
      </c>
      <c r="G774" s="192">
        <v>0</v>
      </c>
      <c r="H774" s="192">
        <v>0</v>
      </c>
      <c r="I774" s="5">
        <v>0</v>
      </c>
      <c r="J774" s="192">
        <v>0</v>
      </c>
      <c r="K774" s="192">
        <v>0</v>
      </c>
      <c r="L774" s="5">
        <v>0</v>
      </c>
      <c r="M774" s="5">
        <v>0</v>
      </c>
      <c r="N774" s="4" t="e">
        <f t="shared" si="66"/>
        <v>#N/A</v>
      </c>
      <c r="O774" s="4" t="e">
        <f>IF(ROUND(10.499-(((N774-VLOOKUP($C774,Lookups!$A$55:$D$64,3))/(VLOOKUP($C774,Lookups!$A$55:$D$64,4))*VLOOKUP($C774,Lookups!$C$2:$D$11,2))),0)&lt;1,1,IF(ROUND(10.499-(((N774-VLOOKUP($C774,Lookups!$A$55:$D$64,3))/(VLOOKUP($C774,Lookups!$A$55:$D$64,4))*VLOOKUP($C774,Lookups!$C$2:$D$11,2))),0)&lt;11,ROUND(10.499-(((N774-VLOOKUP($C774,Lookups!$A$55:$D$64,3))/(VLOOKUP($C774,Lookups!$A$55:$D$64,4))*VLOOKUP($C774,Lookups!$C$2:$D$11,2))),0),10))</f>
        <v>#N/A</v>
      </c>
      <c r="P774" s="13" t="str">
        <f>IF((SUM(F774:M774)=0),"J",VLOOKUP(O774,Lookups!$A$1:$B$11,2))</f>
        <v>J</v>
      </c>
      <c r="Q774" s="8" t="e">
        <f>VLOOKUP(C774,Lookups!$A$136:$C$144,3)</f>
        <v>#N/A</v>
      </c>
      <c r="R774" s="8" t="e">
        <f>VLOOKUP(C774,Lookups!$A$136:$C$144,2)</f>
        <v>#N/A</v>
      </c>
      <c r="S774" s="4" t="str">
        <f t="shared" si="62"/>
        <v>No</v>
      </c>
      <c r="T774" s="125">
        <f t="shared" si="63"/>
        <v>0</v>
      </c>
      <c r="U774" s="125">
        <f t="shared" si="64"/>
        <v>0</v>
      </c>
      <c r="V774" s="4" t="e">
        <f>IF($Q774&lt;&gt;3,VLOOKUP(F774,'Points Table A'!B$3:$F$33,5),VLOOKUP(F774,'Points Table A'!H$3:$L$33,5))</f>
        <v>#N/A</v>
      </c>
      <c r="W774" s="4" t="e">
        <f>IF($Q774&lt;&gt;3,VLOOKUP(G774,'Points Table A'!C$3:$F$33,4),VLOOKUP(G774,'Points Table A'!I$3:$L$33,4))</f>
        <v>#N/A</v>
      </c>
      <c r="X774" s="4" t="e">
        <f>IF($Q774&lt;&gt;3,VLOOKUP(H774,'Points Table A'!D$3:$F$28,3),VLOOKUP(H774,'Points Table A'!J$3:$L$33,3))</f>
        <v>#N/A</v>
      </c>
      <c r="Y774" s="4" t="e">
        <f>IF($Q774&lt;&gt;3,VLOOKUP(I774,'Points Table A'!E$3:$F$33,2),VLOOKUP(I774,'Points Table A'!K$3:$L$33,2))</f>
        <v>#N/A</v>
      </c>
      <c r="Z774" s="4" t="e">
        <f t="shared" si="65"/>
        <v>#N/A</v>
      </c>
      <c r="AA774" s="4">
        <f>IF($S774=Lookups!$B$113,VLOOKUP(L774,'Points Table C'!A$3:$E$11,5),VLOOKUP(U774,'Points Table C'!B$3:$E$11,4))</f>
        <v>0</v>
      </c>
      <c r="AB774" s="4" t="e">
        <f>IF($Q774=1,0,VLOOKUP($J774,'Points Table C'!$C$3:$E$18,3))</f>
        <v>#N/A</v>
      </c>
      <c r="AC774" s="4">
        <f>VLOOKUP($K774,'Points Table C'!$D$3:$E$18,2)</f>
        <v>0</v>
      </c>
      <c r="AD774" s="4" t="e">
        <f>IF($Z774&lt;Lookups!$C$106,($AA774+AB774+AC774),IF($AA774&gt;=Lookups!$C$120,($AA774+AB774+AC774),$AA774+$AB774))</f>
        <v>#N/A</v>
      </c>
      <c r="AF774" s="7"/>
      <c r="AG774" s="7"/>
      <c r="AH774" s="7"/>
      <c r="AI774" s="7"/>
      <c r="AJ774" s="7"/>
      <c r="AK774" s="7"/>
      <c r="AL774" s="7"/>
      <c r="AM774" s="7"/>
      <c r="AN774" s="7"/>
      <c r="AO774" s="7"/>
      <c r="AP774" s="7"/>
      <c r="AQ774" s="7"/>
      <c r="AR774" s="7"/>
      <c r="AS774" s="7"/>
      <c r="AT774" s="7"/>
      <c r="AU774" s="7"/>
      <c r="AV774" s="7"/>
      <c r="AW774" s="7"/>
      <c r="AY774" s="7"/>
      <c r="AZ774" s="7"/>
      <c r="BA774" s="7"/>
      <c r="BB774" s="7"/>
    </row>
    <row r="775" spans="2:54" x14ac:dyDescent="0.2">
      <c r="B775" s="174"/>
      <c r="C775" s="176"/>
      <c r="F775" s="5">
        <v>0</v>
      </c>
      <c r="G775" s="192">
        <v>0</v>
      </c>
      <c r="H775" s="192">
        <v>0</v>
      </c>
      <c r="I775" s="5">
        <v>0</v>
      </c>
      <c r="J775" s="192">
        <v>0</v>
      </c>
      <c r="K775" s="192">
        <v>0</v>
      </c>
      <c r="L775" s="5">
        <v>0</v>
      </c>
      <c r="M775" s="5">
        <v>0</v>
      </c>
      <c r="N775" s="4" t="e">
        <f t="shared" si="66"/>
        <v>#N/A</v>
      </c>
      <c r="O775" s="4" t="e">
        <f>IF(ROUND(10.499-(((N775-VLOOKUP($C775,Lookups!$A$55:$D$64,3))/(VLOOKUP($C775,Lookups!$A$55:$D$64,4))*VLOOKUP($C775,Lookups!$C$2:$D$11,2))),0)&lt;1,1,IF(ROUND(10.499-(((N775-VLOOKUP($C775,Lookups!$A$55:$D$64,3))/(VLOOKUP($C775,Lookups!$A$55:$D$64,4))*VLOOKUP($C775,Lookups!$C$2:$D$11,2))),0)&lt;11,ROUND(10.499-(((N775-VLOOKUP($C775,Lookups!$A$55:$D$64,3))/(VLOOKUP($C775,Lookups!$A$55:$D$64,4))*VLOOKUP($C775,Lookups!$C$2:$D$11,2))),0),10))</f>
        <v>#N/A</v>
      </c>
      <c r="P775" s="13" t="str">
        <f>IF((SUM(F775:M775)=0),"J",VLOOKUP(O775,Lookups!$A$1:$B$11,2))</f>
        <v>J</v>
      </c>
      <c r="Q775" s="8" t="e">
        <f>VLOOKUP(C775,Lookups!$A$136:$C$144,3)</f>
        <v>#N/A</v>
      </c>
      <c r="R775" s="8" t="e">
        <f>VLOOKUP(C775,Lookups!$A$136:$C$144,2)</f>
        <v>#N/A</v>
      </c>
      <c r="S775" s="4" t="str">
        <f t="shared" si="62"/>
        <v>No</v>
      </c>
      <c r="T775" s="125">
        <f t="shared" si="63"/>
        <v>0</v>
      </c>
      <c r="U775" s="125">
        <f t="shared" si="64"/>
        <v>0</v>
      </c>
      <c r="V775" s="4" t="e">
        <f>IF($Q775&lt;&gt;3,VLOOKUP(F775,'Points Table A'!B$3:$F$33,5),VLOOKUP(F775,'Points Table A'!H$3:$L$33,5))</f>
        <v>#N/A</v>
      </c>
      <c r="W775" s="4" t="e">
        <f>IF($Q775&lt;&gt;3,VLOOKUP(G775,'Points Table A'!C$3:$F$33,4),VLOOKUP(G775,'Points Table A'!I$3:$L$33,4))</f>
        <v>#N/A</v>
      </c>
      <c r="X775" s="4" t="e">
        <f>IF($Q775&lt;&gt;3,VLOOKUP(H775,'Points Table A'!D$3:$F$28,3),VLOOKUP(H775,'Points Table A'!J$3:$L$33,3))</f>
        <v>#N/A</v>
      </c>
      <c r="Y775" s="4" t="e">
        <f>IF($Q775&lt;&gt;3,VLOOKUP(I775,'Points Table A'!E$3:$F$33,2),VLOOKUP(I775,'Points Table A'!K$3:$L$33,2))</f>
        <v>#N/A</v>
      </c>
      <c r="Z775" s="4" t="e">
        <f t="shared" si="65"/>
        <v>#N/A</v>
      </c>
      <c r="AA775" s="4">
        <f>IF($S775=Lookups!$B$113,VLOOKUP(L775,'Points Table C'!A$3:$E$11,5),VLOOKUP(U775,'Points Table C'!B$3:$E$11,4))</f>
        <v>0</v>
      </c>
      <c r="AB775" s="4" t="e">
        <f>IF($Q775=1,0,VLOOKUP($J775,'Points Table C'!$C$3:$E$18,3))</f>
        <v>#N/A</v>
      </c>
      <c r="AC775" s="4">
        <f>VLOOKUP($K775,'Points Table C'!$D$3:$E$18,2)</f>
        <v>0</v>
      </c>
      <c r="AD775" s="4" t="e">
        <f>IF($Z775&lt;Lookups!$C$106,($AA775+AB775+AC775),IF($AA775&gt;=Lookups!$C$120,($AA775+AB775+AC775),$AA775+$AB775))</f>
        <v>#N/A</v>
      </c>
      <c r="AF775" s="7"/>
      <c r="AG775" s="7"/>
      <c r="AH775" s="7"/>
      <c r="AI775" s="7"/>
      <c r="AJ775" s="7"/>
      <c r="AK775" s="7"/>
      <c r="AL775" s="7"/>
      <c r="AM775" s="7"/>
      <c r="AN775" s="7"/>
      <c r="AO775" s="7"/>
      <c r="AP775" s="7"/>
      <c r="AQ775" s="7"/>
      <c r="AR775" s="7"/>
      <c r="AS775" s="7"/>
      <c r="AT775" s="7"/>
      <c r="AU775" s="7"/>
      <c r="AV775" s="7"/>
      <c r="AW775" s="7"/>
      <c r="AY775" s="7"/>
      <c r="AZ775" s="7"/>
      <c r="BA775" s="7"/>
      <c r="BB775" s="7"/>
    </row>
    <row r="776" spans="2:54" x14ac:dyDescent="0.2">
      <c r="B776" s="174"/>
      <c r="C776" s="176"/>
      <c r="F776" s="5">
        <v>0</v>
      </c>
      <c r="G776" s="192">
        <v>0</v>
      </c>
      <c r="H776" s="192">
        <v>0</v>
      </c>
      <c r="I776" s="5">
        <v>0</v>
      </c>
      <c r="J776" s="192">
        <v>0</v>
      </c>
      <c r="K776" s="192">
        <v>0</v>
      </c>
      <c r="L776" s="5">
        <v>0</v>
      </c>
      <c r="M776" s="5">
        <v>0</v>
      </c>
      <c r="N776" s="4" t="e">
        <f t="shared" si="66"/>
        <v>#N/A</v>
      </c>
      <c r="O776" s="4" t="e">
        <f>IF(ROUND(10.499-(((N776-VLOOKUP($C776,Lookups!$A$55:$D$64,3))/(VLOOKUP($C776,Lookups!$A$55:$D$64,4))*VLOOKUP($C776,Lookups!$C$2:$D$11,2))),0)&lt;1,1,IF(ROUND(10.499-(((N776-VLOOKUP($C776,Lookups!$A$55:$D$64,3))/(VLOOKUP($C776,Lookups!$A$55:$D$64,4))*VLOOKUP($C776,Lookups!$C$2:$D$11,2))),0)&lt;11,ROUND(10.499-(((N776-VLOOKUP($C776,Lookups!$A$55:$D$64,3))/(VLOOKUP($C776,Lookups!$A$55:$D$64,4))*VLOOKUP($C776,Lookups!$C$2:$D$11,2))),0),10))</f>
        <v>#N/A</v>
      </c>
      <c r="P776" s="13" t="str">
        <f>IF((SUM(F776:M776)=0),"J",VLOOKUP(O776,Lookups!$A$1:$B$11,2))</f>
        <v>J</v>
      </c>
      <c r="Q776" s="8" t="e">
        <f>VLOOKUP(C776,Lookups!$A$136:$C$144,3)</f>
        <v>#N/A</v>
      </c>
      <c r="R776" s="8" t="e">
        <f>VLOOKUP(C776,Lookups!$A$136:$C$144,2)</f>
        <v>#N/A</v>
      </c>
      <c r="S776" s="4" t="str">
        <f t="shared" si="62"/>
        <v>No</v>
      </c>
      <c r="T776" s="125">
        <f t="shared" si="63"/>
        <v>0</v>
      </c>
      <c r="U776" s="125">
        <f t="shared" si="64"/>
        <v>0</v>
      </c>
      <c r="V776" s="4" t="e">
        <f>IF($Q776&lt;&gt;3,VLOOKUP(F776,'Points Table A'!B$3:$F$33,5),VLOOKUP(F776,'Points Table A'!H$3:$L$33,5))</f>
        <v>#N/A</v>
      </c>
      <c r="W776" s="4" t="e">
        <f>IF($Q776&lt;&gt;3,VLOOKUP(G776,'Points Table A'!C$3:$F$33,4),VLOOKUP(G776,'Points Table A'!I$3:$L$33,4))</f>
        <v>#N/A</v>
      </c>
      <c r="X776" s="4" t="e">
        <f>IF($Q776&lt;&gt;3,VLOOKUP(H776,'Points Table A'!D$3:$F$28,3),VLOOKUP(H776,'Points Table A'!J$3:$L$33,3))</f>
        <v>#N/A</v>
      </c>
      <c r="Y776" s="4" t="e">
        <f>IF($Q776&lt;&gt;3,VLOOKUP(I776,'Points Table A'!E$3:$F$33,2),VLOOKUP(I776,'Points Table A'!K$3:$L$33,2))</f>
        <v>#N/A</v>
      </c>
      <c r="Z776" s="4" t="e">
        <f t="shared" si="65"/>
        <v>#N/A</v>
      </c>
      <c r="AA776" s="4">
        <f>IF($S776=Lookups!$B$113,VLOOKUP(L776,'Points Table C'!A$3:$E$11,5),VLOOKUP(U776,'Points Table C'!B$3:$E$11,4))</f>
        <v>0</v>
      </c>
      <c r="AB776" s="4" t="e">
        <f>IF($Q776=1,0,VLOOKUP($J776,'Points Table C'!$C$3:$E$18,3))</f>
        <v>#N/A</v>
      </c>
      <c r="AC776" s="4">
        <f>VLOOKUP($K776,'Points Table C'!$D$3:$E$18,2)</f>
        <v>0</v>
      </c>
      <c r="AD776" s="4" t="e">
        <f>IF($Z776&lt;Lookups!$C$106,($AA776+AB776+AC776),IF($AA776&gt;=Lookups!$C$120,($AA776+AB776+AC776),$AA776+$AB776))</f>
        <v>#N/A</v>
      </c>
      <c r="AF776" s="7"/>
      <c r="AG776" s="7"/>
      <c r="AH776" s="7"/>
      <c r="AI776" s="7"/>
      <c r="AJ776" s="7"/>
      <c r="AK776" s="7"/>
      <c r="AL776" s="7"/>
      <c r="AM776" s="7"/>
      <c r="AN776" s="7"/>
      <c r="AO776" s="7"/>
      <c r="AP776" s="7"/>
      <c r="AQ776" s="7"/>
      <c r="AR776" s="7"/>
      <c r="AS776" s="7"/>
      <c r="AT776" s="7"/>
      <c r="AU776" s="7"/>
      <c r="AV776" s="7"/>
      <c r="AW776" s="7"/>
      <c r="AY776" s="7"/>
      <c r="AZ776" s="7"/>
      <c r="BA776" s="7"/>
      <c r="BB776" s="7"/>
    </row>
    <row r="777" spans="2:54" x14ac:dyDescent="0.2">
      <c r="B777" s="174"/>
      <c r="C777" s="176"/>
      <c r="F777" s="5">
        <v>0</v>
      </c>
      <c r="G777" s="192">
        <v>0</v>
      </c>
      <c r="H777" s="192">
        <v>0</v>
      </c>
      <c r="I777" s="5">
        <v>0</v>
      </c>
      <c r="J777" s="192">
        <v>0</v>
      </c>
      <c r="K777" s="192">
        <v>0</v>
      </c>
      <c r="L777" s="5">
        <v>0</v>
      </c>
      <c r="M777" s="5">
        <v>0</v>
      </c>
      <c r="N777" s="4" t="e">
        <f t="shared" si="66"/>
        <v>#N/A</v>
      </c>
      <c r="O777" s="4" t="e">
        <f>IF(ROUND(10.499-(((N777-VLOOKUP($C777,Lookups!$A$55:$D$64,3))/(VLOOKUP($C777,Lookups!$A$55:$D$64,4))*VLOOKUP($C777,Lookups!$C$2:$D$11,2))),0)&lt;1,1,IF(ROUND(10.499-(((N777-VLOOKUP($C777,Lookups!$A$55:$D$64,3))/(VLOOKUP($C777,Lookups!$A$55:$D$64,4))*VLOOKUP($C777,Lookups!$C$2:$D$11,2))),0)&lt;11,ROUND(10.499-(((N777-VLOOKUP($C777,Lookups!$A$55:$D$64,3))/(VLOOKUP($C777,Lookups!$A$55:$D$64,4))*VLOOKUP($C777,Lookups!$C$2:$D$11,2))),0),10))</f>
        <v>#N/A</v>
      </c>
      <c r="P777" s="13" t="str">
        <f>IF((SUM(F777:M777)=0),"J",VLOOKUP(O777,Lookups!$A$1:$B$11,2))</f>
        <v>J</v>
      </c>
      <c r="Q777" s="8" t="e">
        <f>VLOOKUP(C777,Lookups!$A$136:$C$144,3)</f>
        <v>#N/A</v>
      </c>
      <c r="R777" s="8" t="e">
        <f>VLOOKUP(C777,Lookups!$A$136:$C$144,2)</f>
        <v>#N/A</v>
      </c>
      <c r="S777" s="4" t="str">
        <f t="shared" si="62"/>
        <v>No</v>
      </c>
      <c r="T777" s="125">
        <f t="shared" si="63"/>
        <v>0</v>
      </c>
      <c r="U777" s="125">
        <f t="shared" si="64"/>
        <v>0</v>
      </c>
      <c r="V777" s="4" t="e">
        <f>IF($Q777&lt;&gt;3,VLOOKUP(F777,'Points Table A'!B$3:$F$33,5),VLOOKUP(F777,'Points Table A'!H$3:$L$33,5))</f>
        <v>#N/A</v>
      </c>
      <c r="W777" s="4" t="e">
        <f>IF($Q777&lt;&gt;3,VLOOKUP(G777,'Points Table A'!C$3:$F$33,4),VLOOKUP(G777,'Points Table A'!I$3:$L$33,4))</f>
        <v>#N/A</v>
      </c>
      <c r="X777" s="4" t="e">
        <f>IF($Q777&lt;&gt;3,VLOOKUP(H777,'Points Table A'!D$3:$F$28,3),VLOOKUP(H777,'Points Table A'!J$3:$L$33,3))</f>
        <v>#N/A</v>
      </c>
      <c r="Y777" s="4" t="e">
        <f>IF($Q777&lt;&gt;3,VLOOKUP(I777,'Points Table A'!E$3:$F$33,2),VLOOKUP(I777,'Points Table A'!K$3:$L$33,2))</f>
        <v>#N/A</v>
      </c>
      <c r="Z777" s="4" t="e">
        <f t="shared" si="65"/>
        <v>#N/A</v>
      </c>
      <c r="AA777" s="4">
        <f>IF($S777=Lookups!$B$113,VLOOKUP(L777,'Points Table C'!A$3:$E$11,5),VLOOKUP(U777,'Points Table C'!B$3:$E$11,4))</f>
        <v>0</v>
      </c>
      <c r="AB777" s="4" t="e">
        <f>IF($Q777=1,0,VLOOKUP($J777,'Points Table C'!$C$3:$E$18,3))</f>
        <v>#N/A</v>
      </c>
      <c r="AC777" s="4">
        <f>VLOOKUP($K777,'Points Table C'!$D$3:$E$18,2)</f>
        <v>0</v>
      </c>
      <c r="AD777" s="4" t="e">
        <f>IF($Z777&lt;Lookups!$C$106,($AA777+AB777+AC777),IF($AA777&gt;=Lookups!$C$120,($AA777+AB777+AC777),$AA777+$AB777))</f>
        <v>#N/A</v>
      </c>
      <c r="AF777" s="7"/>
      <c r="AG777" s="7"/>
      <c r="AH777" s="7"/>
      <c r="AI777" s="7"/>
      <c r="AJ777" s="7"/>
      <c r="AK777" s="7"/>
      <c r="AL777" s="7"/>
      <c r="AM777" s="7"/>
      <c r="AN777" s="7"/>
      <c r="AO777" s="7"/>
      <c r="AP777" s="7"/>
      <c r="AQ777" s="7"/>
      <c r="AR777" s="7"/>
      <c r="AS777" s="7"/>
      <c r="AT777" s="7"/>
      <c r="AU777" s="7"/>
      <c r="AV777" s="7"/>
      <c r="AW777" s="7"/>
      <c r="AY777" s="7"/>
      <c r="AZ777" s="7"/>
      <c r="BA777" s="7"/>
      <c r="BB777" s="7"/>
    </row>
    <row r="778" spans="2:54" x14ac:dyDescent="0.2">
      <c r="B778" s="174"/>
      <c r="C778" s="176"/>
      <c r="F778" s="5">
        <v>0</v>
      </c>
      <c r="G778" s="192">
        <v>0</v>
      </c>
      <c r="H778" s="192">
        <v>0</v>
      </c>
      <c r="I778" s="5">
        <v>0</v>
      </c>
      <c r="J778" s="192">
        <v>0</v>
      </c>
      <c r="K778" s="192">
        <v>0</v>
      </c>
      <c r="L778" s="5">
        <v>0</v>
      </c>
      <c r="M778" s="5">
        <v>0</v>
      </c>
      <c r="N778" s="4" t="e">
        <f t="shared" si="66"/>
        <v>#N/A</v>
      </c>
      <c r="O778" s="4" t="e">
        <f>IF(ROUND(10.499-(((N778-VLOOKUP($C778,Lookups!$A$55:$D$64,3))/(VLOOKUP($C778,Lookups!$A$55:$D$64,4))*VLOOKUP($C778,Lookups!$C$2:$D$11,2))),0)&lt;1,1,IF(ROUND(10.499-(((N778-VLOOKUP($C778,Lookups!$A$55:$D$64,3))/(VLOOKUP($C778,Lookups!$A$55:$D$64,4))*VLOOKUP($C778,Lookups!$C$2:$D$11,2))),0)&lt;11,ROUND(10.499-(((N778-VLOOKUP($C778,Lookups!$A$55:$D$64,3))/(VLOOKUP($C778,Lookups!$A$55:$D$64,4))*VLOOKUP($C778,Lookups!$C$2:$D$11,2))),0),10))</f>
        <v>#N/A</v>
      </c>
      <c r="P778" s="13" t="str">
        <f>IF((SUM(F778:M778)=0),"J",VLOOKUP(O778,Lookups!$A$1:$B$11,2))</f>
        <v>J</v>
      </c>
      <c r="Q778" s="8" t="e">
        <f>VLOOKUP(C778,Lookups!$A$136:$C$144,3)</f>
        <v>#N/A</v>
      </c>
      <c r="R778" s="8" t="e">
        <f>VLOOKUP(C778,Lookups!$A$136:$C$144,2)</f>
        <v>#N/A</v>
      </c>
      <c r="S778" s="4" t="str">
        <f t="shared" si="62"/>
        <v>No</v>
      </c>
      <c r="T778" s="125">
        <f t="shared" si="63"/>
        <v>0</v>
      </c>
      <c r="U778" s="125">
        <f t="shared" si="64"/>
        <v>0</v>
      </c>
      <c r="V778" s="4" t="e">
        <f>IF($Q778&lt;&gt;3,VLOOKUP(F778,'Points Table A'!B$3:$F$33,5),VLOOKUP(F778,'Points Table A'!H$3:$L$33,5))</f>
        <v>#N/A</v>
      </c>
      <c r="W778" s="4" t="e">
        <f>IF($Q778&lt;&gt;3,VLOOKUP(G778,'Points Table A'!C$3:$F$33,4),VLOOKUP(G778,'Points Table A'!I$3:$L$33,4))</f>
        <v>#N/A</v>
      </c>
      <c r="X778" s="4" t="e">
        <f>IF($Q778&lt;&gt;3,VLOOKUP(H778,'Points Table A'!D$3:$F$28,3),VLOOKUP(H778,'Points Table A'!J$3:$L$33,3))</f>
        <v>#N/A</v>
      </c>
      <c r="Y778" s="4" t="e">
        <f>IF($Q778&lt;&gt;3,VLOOKUP(I778,'Points Table A'!E$3:$F$33,2),VLOOKUP(I778,'Points Table A'!K$3:$L$33,2))</f>
        <v>#N/A</v>
      </c>
      <c r="Z778" s="4" t="e">
        <f t="shared" si="65"/>
        <v>#N/A</v>
      </c>
      <c r="AA778" s="4">
        <f>IF($S778=Lookups!$B$113,VLOOKUP(L778,'Points Table C'!A$3:$E$11,5),VLOOKUP(U778,'Points Table C'!B$3:$E$11,4))</f>
        <v>0</v>
      </c>
      <c r="AB778" s="4" t="e">
        <f>IF($Q778=1,0,VLOOKUP($J778,'Points Table C'!$C$3:$E$18,3))</f>
        <v>#N/A</v>
      </c>
      <c r="AC778" s="4">
        <f>VLOOKUP($K778,'Points Table C'!$D$3:$E$18,2)</f>
        <v>0</v>
      </c>
      <c r="AD778" s="4" t="e">
        <f>IF($Z778&lt;Lookups!$C$106,($AA778+AB778+AC778),IF($AA778&gt;=Lookups!$C$120,($AA778+AB778+AC778),$AA778+$AB778))</f>
        <v>#N/A</v>
      </c>
      <c r="AF778" s="7"/>
      <c r="AG778" s="7"/>
      <c r="AH778" s="7"/>
      <c r="AI778" s="7"/>
      <c r="AJ778" s="7"/>
      <c r="AK778" s="7"/>
      <c r="AL778" s="7"/>
      <c r="AM778" s="7"/>
      <c r="AN778" s="7"/>
      <c r="AO778" s="7"/>
      <c r="AP778" s="7"/>
      <c r="AQ778" s="7"/>
      <c r="AR778" s="7"/>
      <c r="AS778" s="7"/>
      <c r="AT778" s="7"/>
      <c r="AU778" s="7"/>
      <c r="AV778" s="7"/>
      <c r="AW778" s="7"/>
      <c r="AY778" s="7"/>
      <c r="AZ778" s="7"/>
      <c r="BA778" s="7"/>
      <c r="BB778" s="7"/>
    </row>
    <row r="779" spans="2:54" x14ac:dyDescent="0.2">
      <c r="B779" s="174"/>
      <c r="C779" s="176"/>
      <c r="F779" s="5">
        <v>0</v>
      </c>
      <c r="G779" s="192">
        <v>0</v>
      </c>
      <c r="H779" s="192">
        <v>0</v>
      </c>
      <c r="I779" s="5">
        <v>0</v>
      </c>
      <c r="J779" s="192">
        <v>0</v>
      </c>
      <c r="K779" s="192">
        <v>0</v>
      </c>
      <c r="L779" s="5">
        <v>0</v>
      </c>
      <c r="M779" s="5">
        <v>0</v>
      </c>
      <c r="N779" s="4" t="e">
        <f t="shared" si="66"/>
        <v>#N/A</v>
      </c>
      <c r="O779" s="4" t="e">
        <f>IF(ROUND(10.499-(((N779-VLOOKUP($C779,Lookups!$A$55:$D$64,3))/(VLOOKUP($C779,Lookups!$A$55:$D$64,4))*VLOOKUP($C779,Lookups!$C$2:$D$11,2))),0)&lt;1,1,IF(ROUND(10.499-(((N779-VLOOKUP($C779,Lookups!$A$55:$D$64,3))/(VLOOKUP($C779,Lookups!$A$55:$D$64,4))*VLOOKUP($C779,Lookups!$C$2:$D$11,2))),0)&lt;11,ROUND(10.499-(((N779-VLOOKUP($C779,Lookups!$A$55:$D$64,3))/(VLOOKUP($C779,Lookups!$A$55:$D$64,4))*VLOOKUP($C779,Lookups!$C$2:$D$11,2))),0),10))</f>
        <v>#N/A</v>
      </c>
      <c r="P779" s="13" t="str">
        <f>IF((SUM(F779:M779)=0),"J",VLOOKUP(O779,Lookups!$A$1:$B$11,2))</f>
        <v>J</v>
      </c>
      <c r="Q779" s="8" t="e">
        <f>VLOOKUP(C779,Lookups!$A$136:$C$144,3)</f>
        <v>#N/A</v>
      </c>
      <c r="R779" s="8" t="e">
        <f>VLOOKUP(C779,Lookups!$A$136:$C$144,2)</f>
        <v>#N/A</v>
      </c>
      <c r="S779" s="4" t="str">
        <f t="shared" si="62"/>
        <v>No</v>
      </c>
      <c r="T779" s="125">
        <f t="shared" si="63"/>
        <v>0</v>
      </c>
      <c r="U779" s="125">
        <f t="shared" si="64"/>
        <v>0</v>
      </c>
      <c r="V779" s="4" t="e">
        <f>IF($Q779&lt;&gt;3,VLOOKUP(F779,'Points Table A'!B$3:$F$33,5),VLOOKUP(F779,'Points Table A'!H$3:$L$33,5))</f>
        <v>#N/A</v>
      </c>
      <c r="W779" s="4" t="e">
        <f>IF($Q779&lt;&gt;3,VLOOKUP(G779,'Points Table A'!C$3:$F$33,4),VLOOKUP(G779,'Points Table A'!I$3:$L$33,4))</f>
        <v>#N/A</v>
      </c>
      <c r="X779" s="4" t="e">
        <f>IF($Q779&lt;&gt;3,VLOOKUP(H779,'Points Table A'!D$3:$F$28,3),VLOOKUP(H779,'Points Table A'!J$3:$L$33,3))</f>
        <v>#N/A</v>
      </c>
      <c r="Y779" s="4" t="e">
        <f>IF($Q779&lt;&gt;3,VLOOKUP(I779,'Points Table A'!E$3:$F$33,2),VLOOKUP(I779,'Points Table A'!K$3:$L$33,2))</f>
        <v>#N/A</v>
      </c>
      <c r="Z779" s="4" t="e">
        <f t="shared" si="65"/>
        <v>#N/A</v>
      </c>
      <c r="AA779" s="4">
        <f>IF($S779=Lookups!$B$113,VLOOKUP(L779,'Points Table C'!A$3:$E$11,5),VLOOKUP(U779,'Points Table C'!B$3:$E$11,4))</f>
        <v>0</v>
      </c>
      <c r="AB779" s="4" t="e">
        <f>IF($Q779=1,0,VLOOKUP($J779,'Points Table C'!$C$3:$E$18,3))</f>
        <v>#N/A</v>
      </c>
      <c r="AC779" s="4">
        <f>VLOOKUP($K779,'Points Table C'!$D$3:$E$18,2)</f>
        <v>0</v>
      </c>
      <c r="AD779" s="4" t="e">
        <f>IF($Z779&lt;Lookups!$C$106,($AA779+AB779+AC779),IF($AA779&gt;=Lookups!$C$120,($AA779+AB779+AC779),$AA779+$AB779))</f>
        <v>#N/A</v>
      </c>
      <c r="AF779" s="7"/>
      <c r="AG779" s="7"/>
      <c r="AH779" s="7"/>
      <c r="AI779" s="7"/>
      <c r="AJ779" s="7"/>
      <c r="AK779" s="7"/>
      <c r="AL779" s="7"/>
      <c r="AM779" s="7"/>
      <c r="AN779" s="7"/>
      <c r="AO779" s="7"/>
      <c r="AP779" s="7"/>
      <c r="AQ779" s="7"/>
      <c r="AR779" s="7"/>
      <c r="AS779" s="7"/>
      <c r="AT779" s="7"/>
      <c r="AU779" s="7"/>
      <c r="AV779" s="7"/>
      <c r="AW779" s="7"/>
      <c r="AY779" s="7"/>
      <c r="AZ779" s="7"/>
      <c r="BA779" s="7"/>
      <c r="BB779" s="7"/>
    </row>
    <row r="780" spans="2:54" x14ac:dyDescent="0.2">
      <c r="B780" s="174"/>
      <c r="C780" s="176"/>
      <c r="F780" s="5">
        <v>0</v>
      </c>
      <c r="G780" s="192">
        <v>0</v>
      </c>
      <c r="H780" s="192">
        <v>0</v>
      </c>
      <c r="I780" s="5">
        <v>0</v>
      </c>
      <c r="J780" s="192">
        <v>0</v>
      </c>
      <c r="K780" s="192">
        <v>0</v>
      </c>
      <c r="L780" s="5">
        <v>0</v>
      </c>
      <c r="M780" s="5">
        <v>0</v>
      </c>
      <c r="N780" s="4" t="e">
        <f t="shared" si="66"/>
        <v>#N/A</v>
      </c>
      <c r="O780" s="4" t="e">
        <f>IF(ROUND(10.499-(((N780-VLOOKUP($C780,Lookups!$A$55:$D$64,3))/(VLOOKUP($C780,Lookups!$A$55:$D$64,4))*VLOOKUP($C780,Lookups!$C$2:$D$11,2))),0)&lt;1,1,IF(ROUND(10.499-(((N780-VLOOKUP($C780,Lookups!$A$55:$D$64,3))/(VLOOKUP($C780,Lookups!$A$55:$D$64,4))*VLOOKUP($C780,Lookups!$C$2:$D$11,2))),0)&lt;11,ROUND(10.499-(((N780-VLOOKUP($C780,Lookups!$A$55:$D$64,3))/(VLOOKUP($C780,Lookups!$A$55:$D$64,4))*VLOOKUP($C780,Lookups!$C$2:$D$11,2))),0),10))</f>
        <v>#N/A</v>
      </c>
      <c r="P780" s="13" t="str">
        <f>IF((SUM(F780:M780)=0),"J",VLOOKUP(O780,Lookups!$A$1:$B$11,2))</f>
        <v>J</v>
      </c>
      <c r="Q780" s="8" t="e">
        <f>VLOOKUP(C780,Lookups!$A$136:$C$144,3)</f>
        <v>#N/A</v>
      </c>
      <c r="R780" s="8" t="e">
        <f>VLOOKUP(C780,Lookups!$A$136:$C$144,2)</f>
        <v>#N/A</v>
      </c>
      <c r="S780" s="4" t="str">
        <f t="shared" si="62"/>
        <v>No</v>
      </c>
      <c r="T780" s="125">
        <f t="shared" si="63"/>
        <v>0</v>
      </c>
      <c r="U780" s="125">
        <f t="shared" si="64"/>
        <v>0</v>
      </c>
      <c r="V780" s="4" t="e">
        <f>IF($Q780&lt;&gt;3,VLOOKUP(F780,'Points Table A'!B$3:$F$33,5),VLOOKUP(F780,'Points Table A'!H$3:$L$33,5))</f>
        <v>#N/A</v>
      </c>
      <c r="W780" s="4" t="e">
        <f>IF($Q780&lt;&gt;3,VLOOKUP(G780,'Points Table A'!C$3:$F$33,4),VLOOKUP(G780,'Points Table A'!I$3:$L$33,4))</f>
        <v>#N/A</v>
      </c>
      <c r="X780" s="4" t="e">
        <f>IF($Q780&lt;&gt;3,VLOOKUP(H780,'Points Table A'!D$3:$F$28,3),VLOOKUP(H780,'Points Table A'!J$3:$L$33,3))</f>
        <v>#N/A</v>
      </c>
      <c r="Y780" s="4" t="e">
        <f>IF($Q780&lt;&gt;3,VLOOKUP(I780,'Points Table A'!E$3:$F$33,2),VLOOKUP(I780,'Points Table A'!K$3:$L$33,2))</f>
        <v>#N/A</v>
      </c>
      <c r="Z780" s="4" t="e">
        <f t="shared" si="65"/>
        <v>#N/A</v>
      </c>
      <c r="AA780" s="4">
        <f>IF($S780=Lookups!$B$113,VLOOKUP(L780,'Points Table C'!A$3:$E$11,5),VLOOKUP(U780,'Points Table C'!B$3:$E$11,4))</f>
        <v>0</v>
      </c>
      <c r="AB780" s="4" t="e">
        <f>IF($Q780=1,0,VLOOKUP($J780,'Points Table C'!$C$3:$E$18,3))</f>
        <v>#N/A</v>
      </c>
      <c r="AC780" s="4">
        <f>VLOOKUP($K780,'Points Table C'!$D$3:$E$18,2)</f>
        <v>0</v>
      </c>
      <c r="AD780" s="4" t="e">
        <f>IF($Z780&lt;Lookups!$C$106,($AA780+AB780+AC780),IF($AA780&gt;=Lookups!$C$120,($AA780+AB780+AC780),$AA780+$AB780))</f>
        <v>#N/A</v>
      </c>
      <c r="AF780" s="7"/>
      <c r="AG780" s="7"/>
      <c r="AH780" s="7"/>
      <c r="AI780" s="7"/>
      <c r="AJ780" s="7"/>
      <c r="AK780" s="7"/>
      <c r="AL780" s="7"/>
      <c r="AM780" s="7"/>
      <c r="AN780" s="7"/>
      <c r="AO780" s="7"/>
      <c r="AP780" s="7"/>
      <c r="AQ780" s="7"/>
      <c r="AR780" s="7"/>
      <c r="AS780" s="7"/>
      <c r="AT780" s="7"/>
      <c r="AU780" s="7"/>
      <c r="AV780" s="7"/>
      <c r="AW780" s="7"/>
      <c r="AY780" s="7"/>
      <c r="AZ780" s="7"/>
      <c r="BA780" s="7"/>
      <c r="BB780" s="7"/>
    </row>
    <row r="781" spans="2:54" x14ac:dyDescent="0.2">
      <c r="B781" s="174"/>
      <c r="C781" s="176"/>
      <c r="F781" s="5">
        <v>0</v>
      </c>
      <c r="G781" s="192">
        <v>0</v>
      </c>
      <c r="H781" s="192">
        <v>0</v>
      </c>
      <c r="I781" s="5">
        <v>0</v>
      </c>
      <c r="J781" s="192">
        <v>0</v>
      </c>
      <c r="K781" s="192">
        <v>0</v>
      </c>
      <c r="L781" s="5">
        <v>0</v>
      </c>
      <c r="M781" s="5">
        <v>0</v>
      </c>
      <c r="N781" s="4" t="e">
        <f t="shared" si="66"/>
        <v>#N/A</v>
      </c>
      <c r="O781" s="4" t="e">
        <f>IF(ROUND(10.499-(((N781-VLOOKUP($C781,Lookups!$A$55:$D$64,3))/(VLOOKUP($C781,Lookups!$A$55:$D$64,4))*VLOOKUP($C781,Lookups!$C$2:$D$11,2))),0)&lt;1,1,IF(ROUND(10.499-(((N781-VLOOKUP($C781,Lookups!$A$55:$D$64,3))/(VLOOKUP($C781,Lookups!$A$55:$D$64,4))*VLOOKUP($C781,Lookups!$C$2:$D$11,2))),0)&lt;11,ROUND(10.499-(((N781-VLOOKUP($C781,Lookups!$A$55:$D$64,3))/(VLOOKUP($C781,Lookups!$A$55:$D$64,4))*VLOOKUP($C781,Lookups!$C$2:$D$11,2))),0),10))</f>
        <v>#N/A</v>
      </c>
      <c r="P781" s="13" t="str">
        <f>IF((SUM(F781:M781)=0),"J",VLOOKUP(O781,Lookups!$A$1:$B$11,2))</f>
        <v>J</v>
      </c>
      <c r="Q781" s="8" t="e">
        <f>VLOOKUP(C781,Lookups!$A$136:$C$144,3)</f>
        <v>#N/A</v>
      </c>
      <c r="R781" s="8" t="e">
        <f>VLOOKUP(C781,Lookups!$A$136:$C$144,2)</f>
        <v>#N/A</v>
      </c>
      <c r="S781" s="4" t="str">
        <f t="shared" si="62"/>
        <v>No</v>
      </c>
      <c r="T781" s="125">
        <f t="shared" si="63"/>
        <v>0</v>
      </c>
      <c r="U781" s="125">
        <f t="shared" si="64"/>
        <v>0</v>
      </c>
      <c r="V781" s="4" t="e">
        <f>IF($Q781&lt;&gt;3,VLOOKUP(F781,'Points Table A'!B$3:$F$33,5),VLOOKUP(F781,'Points Table A'!H$3:$L$33,5))</f>
        <v>#N/A</v>
      </c>
      <c r="W781" s="4" t="e">
        <f>IF($Q781&lt;&gt;3,VLOOKUP(G781,'Points Table A'!C$3:$F$33,4),VLOOKUP(G781,'Points Table A'!I$3:$L$33,4))</f>
        <v>#N/A</v>
      </c>
      <c r="X781" s="4" t="e">
        <f>IF($Q781&lt;&gt;3,VLOOKUP(H781,'Points Table A'!D$3:$F$28,3),VLOOKUP(H781,'Points Table A'!J$3:$L$33,3))</f>
        <v>#N/A</v>
      </c>
      <c r="Y781" s="4" t="e">
        <f>IF($Q781&lt;&gt;3,VLOOKUP(I781,'Points Table A'!E$3:$F$33,2),VLOOKUP(I781,'Points Table A'!K$3:$L$33,2))</f>
        <v>#N/A</v>
      </c>
      <c r="Z781" s="4" t="e">
        <f t="shared" si="65"/>
        <v>#N/A</v>
      </c>
      <c r="AA781" s="4">
        <f>IF($S781=Lookups!$B$113,VLOOKUP(L781,'Points Table C'!A$3:$E$11,5),VLOOKUP(U781,'Points Table C'!B$3:$E$11,4))</f>
        <v>0</v>
      </c>
      <c r="AB781" s="4" t="e">
        <f>IF($Q781=1,0,VLOOKUP($J781,'Points Table C'!$C$3:$E$18,3))</f>
        <v>#N/A</v>
      </c>
      <c r="AC781" s="4">
        <f>VLOOKUP($K781,'Points Table C'!$D$3:$E$18,2)</f>
        <v>0</v>
      </c>
      <c r="AD781" s="4" t="e">
        <f>IF($Z781&lt;Lookups!$C$106,($AA781+AB781+AC781),IF($AA781&gt;=Lookups!$C$120,($AA781+AB781+AC781),$AA781+$AB781))</f>
        <v>#N/A</v>
      </c>
      <c r="AF781" s="7"/>
      <c r="AG781" s="7"/>
      <c r="AH781" s="7"/>
      <c r="AI781" s="7"/>
      <c r="AJ781" s="7"/>
      <c r="AK781" s="7"/>
      <c r="AL781" s="7"/>
      <c r="AM781" s="7"/>
      <c r="AN781" s="7"/>
      <c r="AO781" s="7"/>
      <c r="AP781" s="7"/>
      <c r="AQ781" s="7"/>
      <c r="AR781" s="7"/>
      <c r="AS781" s="7"/>
      <c r="AT781" s="7"/>
      <c r="AU781" s="7"/>
      <c r="AV781" s="7"/>
      <c r="AW781" s="7"/>
      <c r="AY781" s="7"/>
      <c r="AZ781" s="7"/>
      <c r="BA781" s="7"/>
      <c r="BB781" s="7"/>
    </row>
    <row r="782" spans="2:54" x14ac:dyDescent="0.2">
      <c r="B782" s="174"/>
      <c r="C782" s="176"/>
      <c r="F782" s="5">
        <v>0</v>
      </c>
      <c r="G782" s="192">
        <v>0</v>
      </c>
      <c r="H782" s="192">
        <v>0</v>
      </c>
      <c r="I782" s="5">
        <v>0</v>
      </c>
      <c r="J782" s="192">
        <v>0</v>
      </c>
      <c r="K782" s="192">
        <v>0</v>
      </c>
      <c r="L782" s="5">
        <v>0</v>
      </c>
      <c r="M782" s="5">
        <v>0</v>
      </c>
      <c r="N782" s="4" t="e">
        <f t="shared" si="66"/>
        <v>#N/A</v>
      </c>
      <c r="O782" s="4" t="e">
        <f>IF(ROUND(10.499-(((N782-VLOOKUP($C782,Lookups!$A$55:$D$64,3))/(VLOOKUP($C782,Lookups!$A$55:$D$64,4))*VLOOKUP($C782,Lookups!$C$2:$D$11,2))),0)&lt;1,1,IF(ROUND(10.499-(((N782-VLOOKUP($C782,Lookups!$A$55:$D$64,3))/(VLOOKUP($C782,Lookups!$A$55:$D$64,4))*VLOOKUP($C782,Lookups!$C$2:$D$11,2))),0)&lt;11,ROUND(10.499-(((N782-VLOOKUP($C782,Lookups!$A$55:$D$64,3))/(VLOOKUP($C782,Lookups!$A$55:$D$64,4))*VLOOKUP($C782,Lookups!$C$2:$D$11,2))),0),10))</f>
        <v>#N/A</v>
      </c>
      <c r="P782" s="13" t="str">
        <f>IF((SUM(F782:M782)=0),"J",VLOOKUP(O782,Lookups!$A$1:$B$11,2))</f>
        <v>J</v>
      </c>
      <c r="Q782" s="8" t="e">
        <f>VLOOKUP(C782,Lookups!$A$136:$C$144,3)</f>
        <v>#N/A</v>
      </c>
      <c r="R782" s="8" t="e">
        <f>VLOOKUP(C782,Lookups!$A$136:$C$144,2)</f>
        <v>#N/A</v>
      </c>
      <c r="S782" s="4" t="str">
        <f t="shared" si="62"/>
        <v>No</v>
      </c>
      <c r="T782" s="125">
        <f t="shared" si="63"/>
        <v>0</v>
      </c>
      <c r="U782" s="125">
        <f t="shared" si="64"/>
        <v>0</v>
      </c>
      <c r="V782" s="4" t="e">
        <f>IF($Q782&lt;&gt;3,VLOOKUP(F782,'Points Table A'!B$3:$F$33,5),VLOOKUP(F782,'Points Table A'!H$3:$L$33,5))</f>
        <v>#N/A</v>
      </c>
      <c r="W782" s="4" t="e">
        <f>IF($Q782&lt;&gt;3,VLOOKUP(G782,'Points Table A'!C$3:$F$33,4),VLOOKUP(G782,'Points Table A'!I$3:$L$33,4))</f>
        <v>#N/A</v>
      </c>
      <c r="X782" s="4" t="e">
        <f>IF($Q782&lt;&gt;3,VLOOKUP(H782,'Points Table A'!D$3:$F$28,3),VLOOKUP(H782,'Points Table A'!J$3:$L$33,3))</f>
        <v>#N/A</v>
      </c>
      <c r="Y782" s="4" t="e">
        <f>IF($Q782&lt;&gt;3,VLOOKUP(I782,'Points Table A'!E$3:$F$33,2),VLOOKUP(I782,'Points Table A'!K$3:$L$33,2))</f>
        <v>#N/A</v>
      </c>
      <c r="Z782" s="4" t="e">
        <f t="shared" si="65"/>
        <v>#N/A</v>
      </c>
      <c r="AA782" s="4">
        <f>IF($S782=Lookups!$B$113,VLOOKUP(L782,'Points Table C'!A$3:$E$11,5),VLOOKUP(U782,'Points Table C'!B$3:$E$11,4))</f>
        <v>0</v>
      </c>
      <c r="AB782" s="4" t="e">
        <f>IF($Q782=1,0,VLOOKUP($J782,'Points Table C'!$C$3:$E$18,3))</f>
        <v>#N/A</v>
      </c>
      <c r="AC782" s="4">
        <f>VLOOKUP($K782,'Points Table C'!$D$3:$E$18,2)</f>
        <v>0</v>
      </c>
      <c r="AD782" s="4" t="e">
        <f>IF($Z782&lt;Lookups!$C$106,($AA782+AB782+AC782),IF($AA782&gt;=Lookups!$C$120,($AA782+AB782+AC782),$AA782+$AB782))</f>
        <v>#N/A</v>
      </c>
      <c r="AF782" s="7"/>
      <c r="AG782" s="7"/>
      <c r="AH782" s="7"/>
      <c r="AI782" s="7"/>
      <c r="AJ782" s="7"/>
      <c r="AK782" s="7"/>
      <c r="AL782" s="7"/>
      <c r="AM782" s="7"/>
      <c r="AN782" s="7"/>
      <c r="AO782" s="7"/>
      <c r="AP782" s="7"/>
      <c r="AQ782" s="7"/>
      <c r="AR782" s="7"/>
      <c r="AS782" s="7"/>
      <c r="AT782" s="7"/>
      <c r="AU782" s="7"/>
      <c r="AV782" s="7"/>
      <c r="AW782" s="7"/>
      <c r="AY782" s="7"/>
      <c r="AZ782" s="7"/>
      <c r="BA782" s="7"/>
      <c r="BB782" s="7"/>
    </row>
    <row r="783" spans="2:54" x14ac:dyDescent="0.2">
      <c r="B783" s="174"/>
      <c r="C783" s="176"/>
      <c r="F783" s="5">
        <v>0</v>
      </c>
      <c r="G783" s="192">
        <v>0</v>
      </c>
      <c r="H783" s="192">
        <v>0</v>
      </c>
      <c r="I783" s="5">
        <v>0</v>
      </c>
      <c r="J783" s="192">
        <v>0</v>
      </c>
      <c r="K783" s="192">
        <v>0</v>
      </c>
      <c r="L783" s="5">
        <v>0</v>
      </c>
      <c r="M783" s="5">
        <v>0</v>
      </c>
      <c r="N783" s="4" t="e">
        <f t="shared" si="66"/>
        <v>#N/A</v>
      </c>
      <c r="O783" s="4" t="e">
        <f>IF(ROUND(10.499-(((N783-VLOOKUP($C783,Lookups!$A$55:$D$64,3))/(VLOOKUP($C783,Lookups!$A$55:$D$64,4))*VLOOKUP($C783,Lookups!$C$2:$D$11,2))),0)&lt;1,1,IF(ROUND(10.499-(((N783-VLOOKUP($C783,Lookups!$A$55:$D$64,3))/(VLOOKUP($C783,Lookups!$A$55:$D$64,4))*VLOOKUP($C783,Lookups!$C$2:$D$11,2))),0)&lt;11,ROUND(10.499-(((N783-VLOOKUP($C783,Lookups!$A$55:$D$64,3))/(VLOOKUP($C783,Lookups!$A$55:$D$64,4))*VLOOKUP($C783,Lookups!$C$2:$D$11,2))),0),10))</f>
        <v>#N/A</v>
      </c>
      <c r="P783" s="13" t="str">
        <f>IF((SUM(F783:M783)=0),"J",VLOOKUP(O783,Lookups!$A$1:$B$11,2))</f>
        <v>J</v>
      </c>
      <c r="Q783" s="8" t="e">
        <f>VLOOKUP(C783,Lookups!$A$136:$C$144,3)</f>
        <v>#N/A</v>
      </c>
      <c r="R783" s="8" t="e">
        <f>VLOOKUP(C783,Lookups!$A$136:$C$144,2)</f>
        <v>#N/A</v>
      </c>
      <c r="S783" s="4" t="str">
        <f t="shared" ref="S783:S846" si="67">IF(AND(L783&gt;0,M783=0),"Yes","No")</f>
        <v>No</v>
      </c>
      <c r="T783" s="125">
        <f t="shared" ref="T783:T846" si="68">L783+M783</f>
        <v>0</v>
      </c>
      <c r="U783" s="125">
        <f t="shared" ref="U783:U846" si="69">ROUND(100*(M783+2*L783)/(M783+2*L783+(100-L783-M783)),2)</f>
        <v>0</v>
      </c>
      <c r="V783" s="4" t="e">
        <f>IF($Q783&lt;&gt;3,VLOOKUP(F783,'Points Table A'!B$3:$F$33,5),VLOOKUP(F783,'Points Table A'!H$3:$L$33,5))</f>
        <v>#N/A</v>
      </c>
      <c r="W783" s="4" t="e">
        <f>IF($Q783&lt;&gt;3,VLOOKUP(G783,'Points Table A'!C$3:$F$33,4),VLOOKUP(G783,'Points Table A'!I$3:$L$33,4))</f>
        <v>#N/A</v>
      </c>
      <c r="X783" s="4" t="e">
        <f>IF($Q783&lt;&gt;3,VLOOKUP(H783,'Points Table A'!D$3:$F$28,3),VLOOKUP(H783,'Points Table A'!J$3:$L$33,3))</f>
        <v>#N/A</v>
      </c>
      <c r="Y783" s="4" t="e">
        <f>IF($Q783&lt;&gt;3,VLOOKUP(I783,'Points Table A'!E$3:$F$33,2),VLOOKUP(I783,'Points Table A'!K$3:$L$33,2))</f>
        <v>#N/A</v>
      </c>
      <c r="Z783" s="4" t="e">
        <f t="shared" ref="Z783:Z846" si="70">SUM(V783:Y783)</f>
        <v>#N/A</v>
      </c>
      <c r="AA783" s="4">
        <f>IF($S783=Lookups!$B$113,VLOOKUP(L783,'Points Table C'!A$3:$E$11,5),VLOOKUP(U783,'Points Table C'!B$3:$E$11,4))</f>
        <v>0</v>
      </c>
      <c r="AB783" s="4" t="e">
        <f>IF($Q783=1,0,VLOOKUP($J783,'Points Table C'!$C$3:$E$18,3))</f>
        <v>#N/A</v>
      </c>
      <c r="AC783" s="4">
        <f>VLOOKUP($K783,'Points Table C'!$D$3:$E$18,2)</f>
        <v>0</v>
      </c>
      <c r="AD783" s="4" t="e">
        <f>IF($Z783&lt;Lookups!$C$106,($AA783+AB783+AC783),IF($AA783&gt;=Lookups!$C$120,($AA783+AB783+AC783),$AA783+$AB783))</f>
        <v>#N/A</v>
      </c>
      <c r="AF783" s="7"/>
      <c r="AG783" s="7"/>
      <c r="AH783" s="7"/>
      <c r="AI783" s="7"/>
      <c r="AJ783" s="7"/>
      <c r="AK783" s="7"/>
      <c r="AL783" s="7"/>
      <c r="AM783" s="7"/>
      <c r="AN783" s="7"/>
      <c r="AO783" s="7"/>
      <c r="AP783" s="7"/>
      <c r="AQ783" s="7"/>
      <c r="AR783" s="7"/>
      <c r="AS783" s="7"/>
      <c r="AT783" s="7"/>
      <c r="AU783" s="7"/>
      <c r="AV783" s="7"/>
      <c r="AW783" s="7"/>
      <c r="AY783" s="7"/>
      <c r="AZ783" s="7"/>
      <c r="BA783" s="7"/>
      <c r="BB783" s="7"/>
    </row>
    <row r="784" spans="2:54" x14ac:dyDescent="0.2">
      <c r="B784" s="174"/>
      <c r="C784" s="176"/>
      <c r="F784" s="5">
        <v>0</v>
      </c>
      <c r="G784" s="192">
        <v>0</v>
      </c>
      <c r="H784" s="192">
        <v>0</v>
      </c>
      <c r="I784" s="5">
        <v>0</v>
      </c>
      <c r="J784" s="192">
        <v>0</v>
      </c>
      <c r="K784" s="192">
        <v>0</v>
      </c>
      <c r="L784" s="5">
        <v>0</v>
      </c>
      <c r="M784" s="5">
        <v>0</v>
      </c>
      <c r="N784" s="4" t="e">
        <f t="shared" si="66"/>
        <v>#N/A</v>
      </c>
      <c r="O784" s="4" t="e">
        <f>IF(ROUND(10.499-(((N784-VLOOKUP($C784,Lookups!$A$55:$D$64,3))/(VLOOKUP($C784,Lookups!$A$55:$D$64,4))*VLOOKUP($C784,Lookups!$C$2:$D$11,2))),0)&lt;1,1,IF(ROUND(10.499-(((N784-VLOOKUP($C784,Lookups!$A$55:$D$64,3))/(VLOOKUP($C784,Lookups!$A$55:$D$64,4))*VLOOKUP($C784,Lookups!$C$2:$D$11,2))),0)&lt;11,ROUND(10.499-(((N784-VLOOKUP($C784,Lookups!$A$55:$D$64,3))/(VLOOKUP($C784,Lookups!$A$55:$D$64,4))*VLOOKUP($C784,Lookups!$C$2:$D$11,2))),0),10))</f>
        <v>#N/A</v>
      </c>
      <c r="P784" s="13" t="str">
        <f>IF((SUM(F784:M784)=0),"J",VLOOKUP(O784,Lookups!$A$1:$B$11,2))</f>
        <v>J</v>
      </c>
      <c r="Q784" s="8" t="e">
        <f>VLOOKUP(C784,Lookups!$A$136:$C$144,3)</f>
        <v>#N/A</v>
      </c>
      <c r="R784" s="8" t="e">
        <f>VLOOKUP(C784,Lookups!$A$136:$C$144,2)</f>
        <v>#N/A</v>
      </c>
      <c r="S784" s="4" t="str">
        <f t="shared" si="67"/>
        <v>No</v>
      </c>
      <c r="T784" s="125">
        <f t="shared" si="68"/>
        <v>0</v>
      </c>
      <c r="U784" s="125">
        <f t="shared" si="69"/>
        <v>0</v>
      </c>
      <c r="V784" s="4" t="e">
        <f>IF($Q784&lt;&gt;3,VLOOKUP(F784,'Points Table A'!B$3:$F$33,5),VLOOKUP(F784,'Points Table A'!H$3:$L$33,5))</f>
        <v>#N/A</v>
      </c>
      <c r="W784" s="4" t="e">
        <f>IF($Q784&lt;&gt;3,VLOOKUP(G784,'Points Table A'!C$3:$F$33,4),VLOOKUP(G784,'Points Table A'!I$3:$L$33,4))</f>
        <v>#N/A</v>
      </c>
      <c r="X784" s="4" t="e">
        <f>IF($Q784&lt;&gt;3,VLOOKUP(H784,'Points Table A'!D$3:$F$28,3),VLOOKUP(H784,'Points Table A'!J$3:$L$33,3))</f>
        <v>#N/A</v>
      </c>
      <c r="Y784" s="4" t="e">
        <f>IF($Q784&lt;&gt;3,VLOOKUP(I784,'Points Table A'!E$3:$F$33,2),VLOOKUP(I784,'Points Table A'!K$3:$L$33,2))</f>
        <v>#N/A</v>
      </c>
      <c r="Z784" s="4" t="e">
        <f t="shared" si="70"/>
        <v>#N/A</v>
      </c>
      <c r="AA784" s="4">
        <f>IF($S784=Lookups!$B$113,VLOOKUP(L784,'Points Table C'!A$3:$E$11,5),VLOOKUP(U784,'Points Table C'!B$3:$E$11,4))</f>
        <v>0</v>
      </c>
      <c r="AB784" s="4" t="e">
        <f>IF($Q784=1,0,VLOOKUP($J784,'Points Table C'!$C$3:$E$18,3))</f>
        <v>#N/A</v>
      </c>
      <c r="AC784" s="4">
        <f>VLOOKUP($K784,'Points Table C'!$D$3:$E$18,2)</f>
        <v>0</v>
      </c>
      <c r="AD784" s="4" t="e">
        <f>IF($Z784&lt;Lookups!$C$106,($AA784+AB784+AC784),IF($AA784&gt;=Lookups!$C$120,($AA784+AB784+AC784),$AA784+$AB784))</f>
        <v>#N/A</v>
      </c>
      <c r="AF784" s="7"/>
      <c r="AG784" s="7"/>
      <c r="AH784" s="7"/>
      <c r="AI784" s="7"/>
      <c r="AJ784" s="7"/>
      <c r="AK784" s="7"/>
      <c r="AL784" s="7"/>
      <c r="AM784" s="7"/>
      <c r="AN784" s="7"/>
      <c r="AO784" s="7"/>
      <c r="AP784" s="7"/>
      <c r="AQ784" s="7"/>
      <c r="AR784" s="7"/>
      <c r="AS784" s="7"/>
      <c r="AT784" s="7"/>
      <c r="AU784" s="7"/>
      <c r="AV784" s="7"/>
      <c r="AW784" s="7"/>
      <c r="AY784" s="7"/>
      <c r="AZ784" s="7"/>
      <c r="BA784" s="7"/>
      <c r="BB784" s="7"/>
    </row>
    <row r="785" spans="2:54" x14ac:dyDescent="0.2">
      <c r="B785" s="174"/>
      <c r="C785" s="176"/>
      <c r="F785" s="5">
        <v>0</v>
      </c>
      <c r="G785" s="192">
        <v>0</v>
      </c>
      <c r="H785" s="192">
        <v>0</v>
      </c>
      <c r="I785" s="5">
        <v>0</v>
      </c>
      <c r="J785" s="192">
        <v>0</v>
      </c>
      <c r="K785" s="192">
        <v>0</v>
      </c>
      <c r="L785" s="5">
        <v>0</v>
      </c>
      <c r="M785" s="5">
        <v>0</v>
      </c>
      <c r="N785" s="4" t="e">
        <f t="shared" si="66"/>
        <v>#N/A</v>
      </c>
      <c r="O785" s="4" t="e">
        <f>IF(ROUND(10.499-(((N785-VLOOKUP($C785,Lookups!$A$55:$D$64,3))/(VLOOKUP($C785,Lookups!$A$55:$D$64,4))*VLOOKUP($C785,Lookups!$C$2:$D$11,2))),0)&lt;1,1,IF(ROUND(10.499-(((N785-VLOOKUP($C785,Lookups!$A$55:$D$64,3))/(VLOOKUP($C785,Lookups!$A$55:$D$64,4))*VLOOKUP($C785,Lookups!$C$2:$D$11,2))),0)&lt;11,ROUND(10.499-(((N785-VLOOKUP($C785,Lookups!$A$55:$D$64,3))/(VLOOKUP($C785,Lookups!$A$55:$D$64,4))*VLOOKUP($C785,Lookups!$C$2:$D$11,2))),0),10))</f>
        <v>#N/A</v>
      </c>
      <c r="P785" s="13" t="str">
        <f>IF((SUM(F785:M785)=0),"J",VLOOKUP(O785,Lookups!$A$1:$B$11,2))</f>
        <v>J</v>
      </c>
      <c r="Q785" s="8" t="e">
        <f>VLOOKUP(C785,Lookups!$A$136:$C$144,3)</f>
        <v>#N/A</v>
      </c>
      <c r="R785" s="8" t="e">
        <f>VLOOKUP(C785,Lookups!$A$136:$C$144,2)</f>
        <v>#N/A</v>
      </c>
      <c r="S785" s="4" t="str">
        <f t="shared" si="67"/>
        <v>No</v>
      </c>
      <c r="T785" s="125">
        <f t="shared" si="68"/>
        <v>0</v>
      </c>
      <c r="U785" s="125">
        <f t="shared" si="69"/>
        <v>0</v>
      </c>
      <c r="V785" s="4" t="e">
        <f>IF($Q785&lt;&gt;3,VLOOKUP(F785,'Points Table A'!B$3:$F$33,5),VLOOKUP(F785,'Points Table A'!H$3:$L$33,5))</f>
        <v>#N/A</v>
      </c>
      <c r="W785" s="4" t="e">
        <f>IF($Q785&lt;&gt;3,VLOOKUP(G785,'Points Table A'!C$3:$F$33,4),VLOOKUP(G785,'Points Table A'!I$3:$L$33,4))</f>
        <v>#N/A</v>
      </c>
      <c r="X785" s="4" t="e">
        <f>IF($Q785&lt;&gt;3,VLOOKUP(H785,'Points Table A'!D$3:$F$28,3),VLOOKUP(H785,'Points Table A'!J$3:$L$33,3))</f>
        <v>#N/A</v>
      </c>
      <c r="Y785" s="4" t="e">
        <f>IF($Q785&lt;&gt;3,VLOOKUP(I785,'Points Table A'!E$3:$F$33,2),VLOOKUP(I785,'Points Table A'!K$3:$L$33,2))</f>
        <v>#N/A</v>
      </c>
      <c r="Z785" s="4" t="e">
        <f t="shared" si="70"/>
        <v>#N/A</v>
      </c>
      <c r="AA785" s="4">
        <f>IF($S785=Lookups!$B$113,VLOOKUP(L785,'Points Table C'!A$3:$E$11,5),VLOOKUP(U785,'Points Table C'!B$3:$E$11,4))</f>
        <v>0</v>
      </c>
      <c r="AB785" s="4" t="e">
        <f>IF($Q785=1,0,VLOOKUP($J785,'Points Table C'!$C$3:$E$18,3))</f>
        <v>#N/A</v>
      </c>
      <c r="AC785" s="4">
        <f>VLOOKUP($K785,'Points Table C'!$D$3:$E$18,2)</f>
        <v>0</v>
      </c>
      <c r="AD785" s="4" t="e">
        <f>IF($Z785&lt;Lookups!$C$106,($AA785+AB785+AC785),IF($AA785&gt;=Lookups!$C$120,($AA785+AB785+AC785),$AA785+$AB785))</f>
        <v>#N/A</v>
      </c>
      <c r="AF785" s="7"/>
      <c r="AG785" s="7"/>
      <c r="AH785" s="7"/>
      <c r="AI785" s="7"/>
      <c r="AJ785" s="7"/>
      <c r="AK785" s="7"/>
      <c r="AL785" s="7"/>
      <c r="AM785" s="7"/>
      <c r="AN785" s="7"/>
      <c r="AO785" s="7"/>
      <c r="AP785" s="7"/>
      <c r="AQ785" s="7"/>
      <c r="AR785" s="7"/>
      <c r="AS785" s="7"/>
      <c r="AT785" s="7"/>
      <c r="AU785" s="7"/>
      <c r="AV785" s="7"/>
      <c r="AW785" s="7"/>
      <c r="AY785" s="7"/>
      <c r="AZ785" s="7"/>
      <c r="BA785" s="7"/>
      <c r="BB785" s="7"/>
    </row>
    <row r="786" spans="2:54" x14ac:dyDescent="0.2">
      <c r="B786" s="174"/>
      <c r="C786" s="176"/>
      <c r="F786" s="5">
        <v>0</v>
      </c>
      <c r="G786" s="192">
        <v>0</v>
      </c>
      <c r="H786" s="192">
        <v>0</v>
      </c>
      <c r="I786" s="5">
        <v>0</v>
      </c>
      <c r="J786" s="192">
        <v>0</v>
      </c>
      <c r="K786" s="192">
        <v>0</v>
      </c>
      <c r="L786" s="5">
        <v>0</v>
      </c>
      <c r="M786" s="5">
        <v>0</v>
      </c>
      <c r="N786" s="4" t="e">
        <f t="shared" si="66"/>
        <v>#N/A</v>
      </c>
      <c r="O786" s="4" t="e">
        <f>IF(ROUND(10.499-(((N786-VLOOKUP($C786,Lookups!$A$55:$D$64,3))/(VLOOKUP($C786,Lookups!$A$55:$D$64,4))*VLOOKUP($C786,Lookups!$C$2:$D$11,2))),0)&lt;1,1,IF(ROUND(10.499-(((N786-VLOOKUP($C786,Lookups!$A$55:$D$64,3))/(VLOOKUP($C786,Lookups!$A$55:$D$64,4))*VLOOKUP($C786,Lookups!$C$2:$D$11,2))),0)&lt;11,ROUND(10.499-(((N786-VLOOKUP($C786,Lookups!$A$55:$D$64,3))/(VLOOKUP($C786,Lookups!$A$55:$D$64,4))*VLOOKUP($C786,Lookups!$C$2:$D$11,2))),0),10))</f>
        <v>#N/A</v>
      </c>
      <c r="P786" s="13" t="str">
        <f>IF((SUM(F786:M786)=0),"J",VLOOKUP(O786,Lookups!$A$1:$B$11,2))</f>
        <v>J</v>
      </c>
      <c r="Q786" s="8" t="e">
        <f>VLOOKUP(C786,Lookups!$A$136:$C$144,3)</f>
        <v>#N/A</v>
      </c>
      <c r="R786" s="8" t="e">
        <f>VLOOKUP(C786,Lookups!$A$136:$C$144,2)</f>
        <v>#N/A</v>
      </c>
      <c r="S786" s="4" t="str">
        <f t="shared" si="67"/>
        <v>No</v>
      </c>
      <c r="T786" s="125">
        <f t="shared" si="68"/>
        <v>0</v>
      </c>
      <c r="U786" s="125">
        <f t="shared" si="69"/>
        <v>0</v>
      </c>
      <c r="V786" s="4" t="e">
        <f>IF($Q786&lt;&gt;3,VLOOKUP(F786,'Points Table A'!B$3:$F$33,5),VLOOKUP(F786,'Points Table A'!H$3:$L$33,5))</f>
        <v>#N/A</v>
      </c>
      <c r="W786" s="4" t="e">
        <f>IF($Q786&lt;&gt;3,VLOOKUP(G786,'Points Table A'!C$3:$F$33,4),VLOOKUP(G786,'Points Table A'!I$3:$L$33,4))</f>
        <v>#N/A</v>
      </c>
      <c r="X786" s="4" t="e">
        <f>IF($Q786&lt;&gt;3,VLOOKUP(H786,'Points Table A'!D$3:$F$28,3),VLOOKUP(H786,'Points Table A'!J$3:$L$33,3))</f>
        <v>#N/A</v>
      </c>
      <c r="Y786" s="4" t="e">
        <f>IF($Q786&lt;&gt;3,VLOOKUP(I786,'Points Table A'!E$3:$F$33,2),VLOOKUP(I786,'Points Table A'!K$3:$L$33,2))</f>
        <v>#N/A</v>
      </c>
      <c r="Z786" s="4" t="e">
        <f t="shared" si="70"/>
        <v>#N/A</v>
      </c>
      <c r="AA786" s="4">
        <f>IF($S786=Lookups!$B$113,VLOOKUP(L786,'Points Table C'!A$3:$E$11,5),VLOOKUP(U786,'Points Table C'!B$3:$E$11,4))</f>
        <v>0</v>
      </c>
      <c r="AB786" s="4" t="e">
        <f>IF($Q786=1,0,VLOOKUP($J786,'Points Table C'!$C$3:$E$18,3))</f>
        <v>#N/A</v>
      </c>
      <c r="AC786" s="4">
        <f>VLOOKUP($K786,'Points Table C'!$D$3:$E$18,2)</f>
        <v>0</v>
      </c>
      <c r="AD786" s="4" t="e">
        <f>IF($Z786&lt;Lookups!$C$106,($AA786+AB786+AC786),IF($AA786&gt;=Lookups!$C$120,($AA786+AB786+AC786),$AA786+$AB786))</f>
        <v>#N/A</v>
      </c>
      <c r="AF786" s="7"/>
      <c r="AG786" s="7"/>
      <c r="AH786" s="7"/>
      <c r="AI786" s="7"/>
      <c r="AJ786" s="7"/>
      <c r="AK786" s="7"/>
      <c r="AL786" s="7"/>
      <c r="AM786" s="7"/>
      <c r="AN786" s="7"/>
      <c r="AO786" s="7"/>
      <c r="AP786" s="7"/>
      <c r="AQ786" s="7"/>
      <c r="AR786" s="7"/>
      <c r="AS786" s="7"/>
      <c r="AT786" s="7"/>
      <c r="AU786" s="7"/>
      <c r="AV786" s="7"/>
      <c r="AW786" s="7"/>
      <c r="AY786" s="7"/>
      <c r="AZ786" s="7"/>
      <c r="BA786" s="7"/>
      <c r="BB786" s="7"/>
    </row>
    <row r="787" spans="2:54" x14ac:dyDescent="0.2">
      <c r="B787" s="174"/>
      <c r="C787" s="176"/>
      <c r="F787" s="5">
        <v>0</v>
      </c>
      <c r="G787" s="192">
        <v>0</v>
      </c>
      <c r="H787" s="192">
        <v>0</v>
      </c>
      <c r="I787" s="5">
        <v>0</v>
      </c>
      <c r="J787" s="192">
        <v>0</v>
      </c>
      <c r="K787" s="192">
        <v>0</v>
      </c>
      <c r="L787" s="5">
        <v>0</v>
      </c>
      <c r="M787" s="5">
        <v>0</v>
      </c>
      <c r="N787" s="4" t="e">
        <f t="shared" si="66"/>
        <v>#N/A</v>
      </c>
      <c r="O787" s="4" t="e">
        <f>IF(ROUND(10.499-(((N787-VLOOKUP($C787,Lookups!$A$55:$D$64,3))/(VLOOKUP($C787,Lookups!$A$55:$D$64,4))*VLOOKUP($C787,Lookups!$C$2:$D$11,2))),0)&lt;1,1,IF(ROUND(10.499-(((N787-VLOOKUP($C787,Lookups!$A$55:$D$64,3))/(VLOOKUP($C787,Lookups!$A$55:$D$64,4))*VLOOKUP($C787,Lookups!$C$2:$D$11,2))),0)&lt;11,ROUND(10.499-(((N787-VLOOKUP($C787,Lookups!$A$55:$D$64,3))/(VLOOKUP($C787,Lookups!$A$55:$D$64,4))*VLOOKUP($C787,Lookups!$C$2:$D$11,2))),0),10))</f>
        <v>#N/A</v>
      </c>
      <c r="P787" s="13" t="str">
        <f>IF((SUM(F787:M787)=0),"J",VLOOKUP(O787,Lookups!$A$1:$B$11,2))</f>
        <v>J</v>
      </c>
      <c r="Q787" s="8" t="e">
        <f>VLOOKUP(C787,Lookups!$A$136:$C$144,3)</f>
        <v>#N/A</v>
      </c>
      <c r="R787" s="8" t="e">
        <f>VLOOKUP(C787,Lookups!$A$136:$C$144,2)</f>
        <v>#N/A</v>
      </c>
      <c r="S787" s="4" t="str">
        <f t="shared" si="67"/>
        <v>No</v>
      </c>
      <c r="T787" s="125">
        <f t="shared" si="68"/>
        <v>0</v>
      </c>
      <c r="U787" s="125">
        <f t="shared" si="69"/>
        <v>0</v>
      </c>
      <c r="V787" s="4" t="e">
        <f>IF($Q787&lt;&gt;3,VLOOKUP(F787,'Points Table A'!B$3:$F$33,5),VLOOKUP(F787,'Points Table A'!H$3:$L$33,5))</f>
        <v>#N/A</v>
      </c>
      <c r="W787" s="4" t="e">
        <f>IF($Q787&lt;&gt;3,VLOOKUP(G787,'Points Table A'!C$3:$F$33,4),VLOOKUP(G787,'Points Table A'!I$3:$L$33,4))</f>
        <v>#N/A</v>
      </c>
      <c r="X787" s="4" t="e">
        <f>IF($Q787&lt;&gt;3,VLOOKUP(H787,'Points Table A'!D$3:$F$28,3),VLOOKUP(H787,'Points Table A'!J$3:$L$33,3))</f>
        <v>#N/A</v>
      </c>
      <c r="Y787" s="4" t="e">
        <f>IF($Q787&lt;&gt;3,VLOOKUP(I787,'Points Table A'!E$3:$F$33,2),VLOOKUP(I787,'Points Table A'!K$3:$L$33,2))</f>
        <v>#N/A</v>
      </c>
      <c r="Z787" s="4" t="e">
        <f t="shared" si="70"/>
        <v>#N/A</v>
      </c>
      <c r="AA787" s="4">
        <f>IF($S787=Lookups!$B$113,VLOOKUP(L787,'Points Table C'!A$3:$E$11,5),VLOOKUP(U787,'Points Table C'!B$3:$E$11,4))</f>
        <v>0</v>
      </c>
      <c r="AB787" s="4" t="e">
        <f>IF($Q787=1,0,VLOOKUP($J787,'Points Table C'!$C$3:$E$18,3))</f>
        <v>#N/A</v>
      </c>
      <c r="AC787" s="4">
        <f>VLOOKUP($K787,'Points Table C'!$D$3:$E$18,2)</f>
        <v>0</v>
      </c>
      <c r="AD787" s="4" t="e">
        <f>IF($Z787&lt;Lookups!$C$106,($AA787+AB787+AC787),IF($AA787&gt;=Lookups!$C$120,($AA787+AB787+AC787),$AA787+$AB787))</f>
        <v>#N/A</v>
      </c>
      <c r="AF787" s="7"/>
      <c r="AG787" s="7"/>
      <c r="AH787" s="7"/>
      <c r="AI787" s="7"/>
      <c r="AJ787" s="7"/>
      <c r="AK787" s="7"/>
      <c r="AL787" s="7"/>
      <c r="AM787" s="7"/>
      <c r="AN787" s="7"/>
      <c r="AO787" s="7"/>
      <c r="AP787" s="7"/>
      <c r="AQ787" s="7"/>
      <c r="AR787" s="7"/>
      <c r="AS787" s="7"/>
      <c r="AT787" s="7"/>
      <c r="AU787" s="7"/>
      <c r="AV787" s="7"/>
      <c r="AW787" s="7"/>
      <c r="AY787" s="7"/>
      <c r="AZ787" s="7"/>
      <c r="BA787" s="7"/>
      <c r="BB787" s="7"/>
    </row>
    <row r="788" spans="2:54" x14ac:dyDescent="0.2">
      <c r="B788" s="174"/>
      <c r="C788" s="176"/>
      <c r="F788" s="5">
        <v>0</v>
      </c>
      <c r="G788" s="192">
        <v>0</v>
      </c>
      <c r="H788" s="192">
        <v>0</v>
      </c>
      <c r="I788" s="5">
        <v>0</v>
      </c>
      <c r="J788" s="192">
        <v>0</v>
      </c>
      <c r="K788" s="192">
        <v>0</v>
      </c>
      <c r="L788" s="5">
        <v>0</v>
      </c>
      <c r="M788" s="5">
        <v>0</v>
      </c>
      <c r="N788" s="4" t="e">
        <f t="shared" si="66"/>
        <v>#N/A</v>
      </c>
      <c r="O788" s="4" t="e">
        <f>IF(ROUND(10.499-(((N788-VLOOKUP($C788,Lookups!$A$55:$D$64,3))/(VLOOKUP($C788,Lookups!$A$55:$D$64,4))*VLOOKUP($C788,Lookups!$C$2:$D$11,2))),0)&lt;1,1,IF(ROUND(10.499-(((N788-VLOOKUP($C788,Lookups!$A$55:$D$64,3))/(VLOOKUP($C788,Lookups!$A$55:$D$64,4))*VLOOKUP($C788,Lookups!$C$2:$D$11,2))),0)&lt;11,ROUND(10.499-(((N788-VLOOKUP($C788,Lookups!$A$55:$D$64,3))/(VLOOKUP($C788,Lookups!$A$55:$D$64,4))*VLOOKUP($C788,Lookups!$C$2:$D$11,2))),0),10))</f>
        <v>#N/A</v>
      </c>
      <c r="P788" s="13" t="str">
        <f>IF((SUM(F788:M788)=0),"J",VLOOKUP(O788,Lookups!$A$1:$B$11,2))</f>
        <v>J</v>
      </c>
      <c r="Q788" s="8" t="e">
        <f>VLOOKUP(C788,Lookups!$A$136:$C$144,3)</f>
        <v>#N/A</v>
      </c>
      <c r="R788" s="8" t="e">
        <f>VLOOKUP(C788,Lookups!$A$136:$C$144,2)</f>
        <v>#N/A</v>
      </c>
      <c r="S788" s="4" t="str">
        <f t="shared" si="67"/>
        <v>No</v>
      </c>
      <c r="T788" s="125">
        <f t="shared" si="68"/>
        <v>0</v>
      </c>
      <c r="U788" s="125">
        <f t="shared" si="69"/>
        <v>0</v>
      </c>
      <c r="V788" s="4" t="e">
        <f>IF($Q788&lt;&gt;3,VLOOKUP(F788,'Points Table A'!B$3:$F$33,5),VLOOKUP(F788,'Points Table A'!H$3:$L$33,5))</f>
        <v>#N/A</v>
      </c>
      <c r="W788" s="4" t="e">
        <f>IF($Q788&lt;&gt;3,VLOOKUP(G788,'Points Table A'!C$3:$F$33,4),VLOOKUP(G788,'Points Table A'!I$3:$L$33,4))</f>
        <v>#N/A</v>
      </c>
      <c r="X788" s="4" t="e">
        <f>IF($Q788&lt;&gt;3,VLOOKUP(H788,'Points Table A'!D$3:$F$28,3),VLOOKUP(H788,'Points Table A'!J$3:$L$33,3))</f>
        <v>#N/A</v>
      </c>
      <c r="Y788" s="4" t="e">
        <f>IF($Q788&lt;&gt;3,VLOOKUP(I788,'Points Table A'!E$3:$F$33,2),VLOOKUP(I788,'Points Table A'!K$3:$L$33,2))</f>
        <v>#N/A</v>
      </c>
      <c r="Z788" s="4" t="e">
        <f t="shared" si="70"/>
        <v>#N/A</v>
      </c>
      <c r="AA788" s="4">
        <f>IF($S788=Lookups!$B$113,VLOOKUP(L788,'Points Table C'!A$3:$E$11,5),VLOOKUP(U788,'Points Table C'!B$3:$E$11,4))</f>
        <v>0</v>
      </c>
      <c r="AB788" s="4" t="e">
        <f>IF($Q788=1,0,VLOOKUP($J788,'Points Table C'!$C$3:$E$18,3))</f>
        <v>#N/A</v>
      </c>
      <c r="AC788" s="4">
        <f>VLOOKUP($K788,'Points Table C'!$D$3:$E$18,2)</f>
        <v>0</v>
      </c>
      <c r="AD788" s="4" t="e">
        <f>IF($Z788&lt;Lookups!$C$106,($AA788+AB788+AC788),IF($AA788&gt;=Lookups!$C$120,($AA788+AB788+AC788),$AA788+$AB788))</f>
        <v>#N/A</v>
      </c>
      <c r="AF788" s="7"/>
      <c r="AG788" s="7"/>
      <c r="AH788" s="7"/>
      <c r="AI788" s="7"/>
      <c r="AJ788" s="7"/>
      <c r="AK788" s="7"/>
      <c r="AL788" s="7"/>
      <c r="AM788" s="7"/>
      <c r="AN788" s="7"/>
      <c r="AO788" s="7"/>
      <c r="AP788" s="7"/>
      <c r="AQ788" s="7"/>
      <c r="AR788" s="7"/>
      <c r="AS788" s="7"/>
      <c r="AT788" s="7"/>
      <c r="AU788" s="7"/>
      <c r="AV788" s="7"/>
      <c r="AW788" s="7"/>
      <c r="AY788" s="7"/>
      <c r="AZ788" s="7"/>
      <c r="BA788" s="7"/>
      <c r="BB788" s="7"/>
    </row>
    <row r="789" spans="2:54" x14ac:dyDescent="0.2">
      <c r="B789" s="174"/>
      <c r="C789" s="176"/>
      <c r="F789" s="5">
        <v>0</v>
      </c>
      <c r="G789" s="192">
        <v>0</v>
      </c>
      <c r="H789" s="192">
        <v>0</v>
      </c>
      <c r="I789" s="5">
        <v>0</v>
      </c>
      <c r="J789" s="192">
        <v>0</v>
      </c>
      <c r="K789" s="192">
        <v>0</v>
      </c>
      <c r="L789" s="5">
        <v>0</v>
      </c>
      <c r="M789" s="5">
        <v>0</v>
      </c>
      <c r="N789" s="4" t="e">
        <f t="shared" si="66"/>
        <v>#N/A</v>
      </c>
      <c r="O789" s="4" t="e">
        <f>IF(ROUND(10.499-(((N789-VLOOKUP($C789,Lookups!$A$55:$D$64,3))/(VLOOKUP($C789,Lookups!$A$55:$D$64,4))*VLOOKUP($C789,Lookups!$C$2:$D$11,2))),0)&lt;1,1,IF(ROUND(10.499-(((N789-VLOOKUP($C789,Lookups!$A$55:$D$64,3))/(VLOOKUP($C789,Lookups!$A$55:$D$64,4))*VLOOKUP($C789,Lookups!$C$2:$D$11,2))),0)&lt;11,ROUND(10.499-(((N789-VLOOKUP($C789,Lookups!$A$55:$D$64,3))/(VLOOKUP($C789,Lookups!$A$55:$D$64,4))*VLOOKUP($C789,Lookups!$C$2:$D$11,2))),0),10))</f>
        <v>#N/A</v>
      </c>
      <c r="P789" s="13" t="str">
        <f>IF((SUM(F789:M789)=0),"J",VLOOKUP(O789,Lookups!$A$1:$B$11,2))</f>
        <v>J</v>
      </c>
      <c r="Q789" s="8" t="e">
        <f>VLOOKUP(C789,Lookups!$A$136:$C$144,3)</f>
        <v>#N/A</v>
      </c>
      <c r="R789" s="8" t="e">
        <f>VLOOKUP(C789,Lookups!$A$136:$C$144,2)</f>
        <v>#N/A</v>
      </c>
      <c r="S789" s="4" t="str">
        <f t="shared" si="67"/>
        <v>No</v>
      </c>
      <c r="T789" s="125">
        <f t="shared" si="68"/>
        <v>0</v>
      </c>
      <c r="U789" s="125">
        <f t="shared" si="69"/>
        <v>0</v>
      </c>
      <c r="V789" s="4" t="e">
        <f>IF($Q789&lt;&gt;3,VLOOKUP(F789,'Points Table A'!B$3:$F$33,5),VLOOKUP(F789,'Points Table A'!H$3:$L$33,5))</f>
        <v>#N/A</v>
      </c>
      <c r="W789" s="4" t="e">
        <f>IF($Q789&lt;&gt;3,VLOOKUP(G789,'Points Table A'!C$3:$F$33,4),VLOOKUP(G789,'Points Table A'!I$3:$L$33,4))</f>
        <v>#N/A</v>
      </c>
      <c r="X789" s="4" t="e">
        <f>IF($Q789&lt;&gt;3,VLOOKUP(H789,'Points Table A'!D$3:$F$28,3),VLOOKUP(H789,'Points Table A'!J$3:$L$33,3))</f>
        <v>#N/A</v>
      </c>
      <c r="Y789" s="4" t="e">
        <f>IF($Q789&lt;&gt;3,VLOOKUP(I789,'Points Table A'!E$3:$F$33,2),VLOOKUP(I789,'Points Table A'!K$3:$L$33,2))</f>
        <v>#N/A</v>
      </c>
      <c r="Z789" s="4" t="e">
        <f t="shared" si="70"/>
        <v>#N/A</v>
      </c>
      <c r="AA789" s="4">
        <f>IF($S789=Lookups!$B$113,VLOOKUP(L789,'Points Table C'!A$3:$E$11,5),VLOOKUP(U789,'Points Table C'!B$3:$E$11,4))</f>
        <v>0</v>
      </c>
      <c r="AB789" s="4" t="e">
        <f>IF($Q789=1,0,VLOOKUP($J789,'Points Table C'!$C$3:$E$18,3))</f>
        <v>#N/A</v>
      </c>
      <c r="AC789" s="4">
        <f>VLOOKUP($K789,'Points Table C'!$D$3:$E$18,2)</f>
        <v>0</v>
      </c>
      <c r="AD789" s="4" t="e">
        <f>IF($Z789&lt;Lookups!$C$106,($AA789+AB789+AC789),IF($AA789&gt;=Lookups!$C$120,($AA789+AB789+AC789),$AA789+$AB789))</f>
        <v>#N/A</v>
      </c>
      <c r="AF789" s="7"/>
      <c r="AG789" s="7"/>
      <c r="AH789" s="7"/>
      <c r="AI789" s="7"/>
      <c r="AJ789" s="7"/>
      <c r="AK789" s="7"/>
      <c r="AL789" s="7"/>
      <c r="AM789" s="7"/>
      <c r="AN789" s="7"/>
      <c r="AO789" s="7"/>
      <c r="AP789" s="7"/>
      <c r="AQ789" s="7"/>
      <c r="AR789" s="7"/>
      <c r="AS789" s="7"/>
      <c r="AT789" s="7"/>
      <c r="AU789" s="7"/>
      <c r="AV789" s="7"/>
      <c r="AW789" s="7"/>
      <c r="AY789" s="7"/>
      <c r="AZ789" s="7"/>
      <c r="BA789" s="7"/>
      <c r="BB789" s="7"/>
    </row>
    <row r="790" spans="2:54" x14ac:dyDescent="0.2">
      <c r="B790" s="174"/>
      <c r="C790" s="176"/>
      <c r="F790" s="5">
        <v>0</v>
      </c>
      <c r="G790" s="192">
        <v>0</v>
      </c>
      <c r="H790" s="192">
        <v>0</v>
      </c>
      <c r="I790" s="5">
        <v>0</v>
      </c>
      <c r="J790" s="192">
        <v>0</v>
      </c>
      <c r="K790" s="192">
        <v>0</v>
      </c>
      <c r="L790" s="5">
        <v>0</v>
      </c>
      <c r="M790" s="5">
        <v>0</v>
      </c>
      <c r="N790" s="4" t="e">
        <f t="shared" si="66"/>
        <v>#N/A</v>
      </c>
      <c r="O790" s="4" t="e">
        <f>IF(ROUND(10.499-(((N790-VLOOKUP($C790,Lookups!$A$55:$D$64,3))/(VLOOKUP($C790,Lookups!$A$55:$D$64,4))*VLOOKUP($C790,Lookups!$C$2:$D$11,2))),0)&lt;1,1,IF(ROUND(10.499-(((N790-VLOOKUP($C790,Lookups!$A$55:$D$64,3))/(VLOOKUP($C790,Lookups!$A$55:$D$64,4))*VLOOKUP($C790,Lookups!$C$2:$D$11,2))),0)&lt;11,ROUND(10.499-(((N790-VLOOKUP($C790,Lookups!$A$55:$D$64,3))/(VLOOKUP($C790,Lookups!$A$55:$D$64,4))*VLOOKUP($C790,Lookups!$C$2:$D$11,2))),0),10))</f>
        <v>#N/A</v>
      </c>
      <c r="P790" s="13" t="str">
        <f>IF((SUM(F790:M790)=0),"J",VLOOKUP(O790,Lookups!$A$1:$B$11,2))</f>
        <v>J</v>
      </c>
      <c r="Q790" s="8" t="e">
        <f>VLOOKUP(C790,Lookups!$A$136:$C$144,3)</f>
        <v>#N/A</v>
      </c>
      <c r="R790" s="8" t="e">
        <f>VLOOKUP(C790,Lookups!$A$136:$C$144,2)</f>
        <v>#N/A</v>
      </c>
      <c r="S790" s="4" t="str">
        <f t="shared" si="67"/>
        <v>No</v>
      </c>
      <c r="T790" s="125">
        <f t="shared" si="68"/>
        <v>0</v>
      </c>
      <c r="U790" s="125">
        <f t="shared" si="69"/>
        <v>0</v>
      </c>
      <c r="V790" s="4" t="e">
        <f>IF($Q790&lt;&gt;3,VLOOKUP(F790,'Points Table A'!B$3:$F$33,5),VLOOKUP(F790,'Points Table A'!H$3:$L$33,5))</f>
        <v>#N/A</v>
      </c>
      <c r="W790" s="4" t="e">
        <f>IF($Q790&lt;&gt;3,VLOOKUP(G790,'Points Table A'!C$3:$F$33,4),VLOOKUP(G790,'Points Table A'!I$3:$L$33,4))</f>
        <v>#N/A</v>
      </c>
      <c r="X790" s="4" t="e">
        <f>IF($Q790&lt;&gt;3,VLOOKUP(H790,'Points Table A'!D$3:$F$28,3),VLOOKUP(H790,'Points Table A'!J$3:$L$33,3))</f>
        <v>#N/A</v>
      </c>
      <c r="Y790" s="4" t="e">
        <f>IF($Q790&lt;&gt;3,VLOOKUP(I790,'Points Table A'!E$3:$F$33,2),VLOOKUP(I790,'Points Table A'!K$3:$L$33,2))</f>
        <v>#N/A</v>
      </c>
      <c r="Z790" s="4" t="e">
        <f t="shared" si="70"/>
        <v>#N/A</v>
      </c>
      <c r="AA790" s="4">
        <f>IF($S790=Lookups!$B$113,VLOOKUP(L790,'Points Table C'!A$3:$E$11,5),VLOOKUP(U790,'Points Table C'!B$3:$E$11,4))</f>
        <v>0</v>
      </c>
      <c r="AB790" s="4" t="e">
        <f>IF($Q790=1,0,VLOOKUP($J790,'Points Table C'!$C$3:$E$18,3))</f>
        <v>#N/A</v>
      </c>
      <c r="AC790" s="4">
        <f>VLOOKUP($K790,'Points Table C'!$D$3:$E$18,2)</f>
        <v>0</v>
      </c>
      <c r="AD790" s="4" t="e">
        <f>IF($Z790&lt;Lookups!$C$106,($AA790+AB790+AC790),IF($AA790&gt;=Lookups!$C$120,($AA790+AB790+AC790),$AA790+$AB790))</f>
        <v>#N/A</v>
      </c>
      <c r="AF790" s="7"/>
      <c r="AG790" s="7"/>
      <c r="AH790" s="7"/>
      <c r="AI790" s="7"/>
      <c r="AJ790" s="7"/>
      <c r="AK790" s="7"/>
      <c r="AL790" s="7"/>
      <c r="AM790" s="7"/>
      <c r="AN790" s="7"/>
      <c r="AO790" s="7"/>
      <c r="AP790" s="7"/>
      <c r="AQ790" s="7"/>
      <c r="AR790" s="7"/>
      <c r="AS790" s="7"/>
      <c r="AT790" s="7"/>
      <c r="AU790" s="7"/>
      <c r="AV790" s="7"/>
      <c r="AW790" s="7"/>
      <c r="AY790" s="7"/>
      <c r="AZ790" s="7"/>
      <c r="BA790" s="7"/>
      <c r="BB790" s="7"/>
    </row>
    <row r="791" spans="2:54" x14ac:dyDescent="0.2">
      <c r="B791" s="174"/>
      <c r="C791" s="176"/>
      <c r="F791" s="5">
        <v>0</v>
      </c>
      <c r="G791" s="192">
        <v>0</v>
      </c>
      <c r="H791" s="192">
        <v>0</v>
      </c>
      <c r="I791" s="5">
        <v>0</v>
      </c>
      <c r="J791" s="192">
        <v>0</v>
      </c>
      <c r="K791" s="192">
        <v>0</v>
      </c>
      <c r="L791" s="5">
        <v>0</v>
      </c>
      <c r="M791" s="5">
        <v>0</v>
      </c>
      <c r="N791" s="4" t="e">
        <f t="shared" si="66"/>
        <v>#N/A</v>
      </c>
      <c r="O791" s="4" t="e">
        <f>IF(ROUND(10.499-(((N791-VLOOKUP($C791,Lookups!$A$55:$D$64,3))/(VLOOKUP($C791,Lookups!$A$55:$D$64,4))*VLOOKUP($C791,Lookups!$C$2:$D$11,2))),0)&lt;1,1,IF(ROUND(10.499-(((N791-VLOOKUP($C791,Lookups!$A$55:$D$64,3))/(VLOOKUP($C791,Lookups!$A$55:$D$64,4))*VLOOKUP($C791,Lookups!$C$2:$D$11,2))),0)&lt;11,ROUND(10.499-(((N791-VLOOKUP($C791,Lookups!$A$55:$D$64,3))/(VLOOKUP($C791,Lookups!$A$55:$D$64,4))*VLOOKUP($C791,Lookups!$C$2:$D$11,2))),0),10))</f>
        <v>#N/A</v>
      </c>
      <c r="P791" s="13" t="str">
        <f>IF((SUM(F791:M791)=0),"J",VLOOKUP(O791,Lookups!$A$1:$B$11,2))</f>
        <v>J</v>
      </c>
      <c r="Q791" s="8" t="e">
        <f>VLOOKUP(C791,Lookups!$A$136:$C$144,3)</f>
        <v>#N/A</v>
      </c>
      <c r="R791" s="8" t="e">
        <f>VLOOKUP(C791,Lookups!$A$136:$C$144,2)</f>
        <v>#N/A</v>
      </c>
      <c r="S791" s="4" t="str">
        <f t="shared" si="67"/>
        <v>No</v>
      </c>
      <c r="T791" s="125">
        <f t="shared" si="68"/>
        <v>0</v>
      </c>
      <c r="U791" s="125">
        <f t="shared" si="69"/>
        <v>0</v>
      </c>
      <c r="V791" s="4" t="e">
        <f>IF($Q791&lt;&gt;3,VLOOKUP(F791,'Points Table A'!B$3:$F$33,5),VLOOKUP(F791,'Points Table A'!H$3:$L$33,5))</f>
        <v>#N/A</v>
      </c>
      <c r="W791" s="4" t="e">
        <f>IF($Q791&lt;&gt;3,VLOOKUP(G791,'Points Table A'!C$3:$F$33,4),VLOOKUP(G791,'Points Table A'!I$3:$L$33,4))</f>
        <v>#N/A</v>
      </c>
      <c r="X791" s="4" t="e">
        <f>IF($Q791&lt;&gt;3,VLOOKUP(H791,'Points Table A'!D$3:$F$28,3),VLOOKUP(H791,'Points Table A'!J$3:$L$33,3))</f>
        <v>#N/A</v>
      </c>
      <c r="Y791" s="4" t="e">
        <f>IF($Q791&lt;&gt;3,VLOOKUP(I791,'Points Table A'!E$3:$F$33,2),VLOOKUP(I791,'Points Table A'!K$3:$L$33,2))</f>
        <v>#N/A</v>
      </c>
      <c r="Z791" s="4" t="e">
        <f t="shared" si="70"/>
        <v>#N/A</v>
      </c>
      <c r="AA791" s="4">
        <f>IF($S791=Lookups!$B$113,VLOOKUP(L791,'Points Table C'!A$3:$E$11,5),VLOOKUP(U791,'Points Table C'!B$3:$E$11,4))</f>
        <v>0</v>
      </c>
      <c r="AB791" s="4" t="e">
        <f>IF($Q791=1,0,VLOOKUP($J791,'Points Table C'!$C$3:$E$18,3))</f>
        <v>#N/A</v>
      </c>
      <c r="AC791" s="4">
        <f>VLOOKUP($K791,'Points Table C'!$D$3:$E$18,2)</f>
        <v>0</v>
      </c>
      <c r="AD791" s="4" t="e">
        <f>IF($Z791&lt;Lookups!$C$106,($AA791+AB791+AC791),IF($AA791&gt;=Lookups!$C$120,($AA791+AB791+AC791),$AA791+$AB791))</f>
        <v>#N/A</v>
      </c>
      <c r="AF791" s="7"/>
      <c r="AG791" s="7"/>
      <c r="AH791" s="7"/>
      <c r="AI791" s="7"/>
      <c r="AJ791" s="7"/>
      <c r="AK791" s="7"/>
      <c r="AL791" s="7"/>
      <c r="AM791" s="7"/>
      <c r="AN791" s="7"/>
      <c r="AO791" s="7"/>
      <c r="AP791" s="7"/>
      <c r="AQ791" s="7"/>
      <c r="AR791" s="7"/>
      <c r="AS791" s="7"/>
      <c r="AT791" s="7"/>
      <c r="AU791" s="7"/>
      <c r="AV791" s="7"/>
      <c r="AW791" s="7"/>
      <c r="AY791" s="7"/>
      <c r="AZ791" s="7"/>
      <c r="BA791" s="7"/>
      <c r="BB791" s="7"/>
    </row>
    <row r="792" spans="2:54" x14ac:dyDescent="0.2">
      <c r="B792" s="174"/>
      <c r="C792" s="176"/>
      <c r="F792" s="5">
        <v>0</v>
      </c>
      <c r="G792" s="192">
        <v>0</v>
      </c>
      <c r="H792" s="192">
        <v>0</v>
      </c>
      <c r="I792" s="5">
        <v>0</v>
      </c>
      <c r="J792" s="192">
        <v>0</v>
      </c>
      <c r="K792" s="192">
        <v>0</v>
      </c>
      <c r="L792" s="5">
        <v>0</v>
      </c>
      <c r="M792" s="5">
        <v>0</v>
      </c>
      <c r="N792" s="4" t="e">
        <f t="shared" si="66"/>
        <v>#N/A</v>
      </c>
      <c r="O792" s="4" t="e">
        <f>IF(ROUND(10.499-(((N792-VLOOKUP($C792,Lookups!$A$55:$D$64,3))/(VLOOKUP($C792,Lookups!$A$55:$D$64,4))*VLOOKUP($C792,Lookups!$C$2:$D$11,2))),0)&lt;1,1,IF(ROUND(10.499-(((N792-VLOOKUP($C792,Lookups!$A$55:$D$64,3))/(VLOOKUP($C792,Lookups!$A$55:$D$64,4))*VLOOKUP($C792,Lookups!$C$2:$D$11,2))),0)&lt;11,ROUND(10.499-(((N792-VLOOKUP($C792,Lookups!$A$55:$D$64,3))/(VLOOKUP($C792,Lookups!$A$55:$D$64,4))*VLOOKUP($C792,Lookups!$C$2:$D$11,2))),0),10))</f>
        <v>#N/A</v>
      </c>
      <c r="P792" s="13" t="str">
        <f>IF((SUM(F792:M792)=0),"J",VLOOKUP(O792,Lookups!$A$1:$B$11,2))</f>
        <v>J</v>
      </c>
      <c r="Q792" s="8" t="e">
        <f>VLOOKUP(C792,Lookups!$A$136:$C$144,3)</f>
        <v>#N/A</v>
      </c>
      <c r="R792" s="8" t="e">
        <f>VLOOKUP(C792,Lookups!$A$136:$C$144,2)</f>
        <v>#N/A</v>
      </c>
      <c r="S792" s="4" t="str">
        <f t="shared" si="67"/>
        <v>No</v>
      </c>
      <c r="T792" s="125">
        <f t="shared" si="68"/>
        <v>0</v>
      </c>
      <c r="U792" s="125">
        <f t="shared" si="69"/>
        <v>0</v>
      </c>
      <c r="V792" s="4" t="e">
        <f>IF($Q792&lt;&gt;3,VLOOKUP(F792,'Points Table A'!B$3:$F$33,5),VLOOKUP(F792,'Points Table A'!H$3:$L$33,5))</f>
        <v>#N/A</v>
      </c>
      <c r="W792" s="4" t="e">
        <f>IF($Q792&lt;&gt;3,VLOOKUP(G792,'Points Table A'!C$3:$F$33,4),VLOOKUP(G792,'Points Table A'!I$3:$L$33,4))</f>
        <v>#N/A</v>
      </c>
      <c r="X792" s="4" t="e">
        <f>IF($Q792&lt;&gt;3,VLOOKUP(H792,'Points Table A'!D$3:$F$28,3),VLOOKUP(H792,'Points Table A'!J$3:$L$33,3))</f>
        <v>#N/A</v>
      </c>
      <c r="Y792" s="4" t="e">
        <f>IF($Q792&lt;&gt;3,VLOOKUP(I792,'Points Table A'!E$3:$F$33,2),VLOOKUP(I792,'Points Table A'!K$3:$L$33,2))</f>
        <v>#N/A</v>
      </c>
      <c r="Z792" s="4" t="e">
        <f t="shared" si="70"/>
        <v>#N/A</v>
      </c>
      <c r="AA792" s="4">
        <f>IF($S792=Lookups!$B$113,VLOOKUP(L792,'Points Table C'!A$3:$E$11,5),VLOOKUP(U792,'Points Table C'!B$3:$E$11,4))</f>
        <v>0</v>
      </c>
      <c r="AB792" s="4" t="e">
        <f>IF($Q792=1,0,VLOOKUP($J792,'Points Table C'!$C$3:$E$18,3))</f>
        <v>#N/A</v>
      </c>
      <c r="AC792" s="4">
        <f>VLOOKUP($K792,'Points Table C'!$D$3:$E$18,2)</f>
        <v>0</v>
      </c>
      <c r="AD792" s="4" t="e">
        <f>IF($Z792&lt;Lookups!$C$106,($AA792+AB792+AC792),IF($AA792&gt;=Lookups!$C$120,($AA792+AB792+AC792),$AA792+$AB792))</f>
        <v>#N/A</v>
      </c>
      <c r="AF792" s="7"/>
      <c r="AG792" s="7"/>
      <c r="AH792" s="7"/>
      <c r="AI792" s="7"/>
      <c r="AJ792" s="7"/>
      <c r="AK792" s="7"/>
      <c r="AL792" s="7"/>
      <c r="AM792" s="7"/>
      <c r="AN792" s="7"/>
      <c r="AO792" s="7"/>
      <c r="AP792" s="7"/>
      <c r="AQ792" s="7"/>
      <c r="AR792" s="7"/>
      <c r="AS792" s="7"/>
      <c r="AT792" s="7"/>
      <c r="AU792" s="7"/>
      <c r="AV792" s="7"/>
      <c r="AW792" s="7"/>
      <c r="AY792" s="7"/>
      <c r="AZ792" s="7"/>
      <c r="BA792" s="7"/>
      <c r="BB792" s="7"/>
    </row>
    <row r="793" spans="2:54" x14ac:dyDescent="0.2">
      <c r="B793" s="174"/>
      <c r="C793" s="176"/>
      <c r="F793" s="5">
        <v>0</v>
      </c>
      <c r="G793" s="192">
        <v>0</v>
      </c>
      <c r="H793" s="192">
        <v>0</v>
      </c>
      <c r="I793" s="5">
        <v>0</v>
      </c>
      <c r="J793" s="192">
        <v>0</v>
      </c>
      <c r="K793" s="192">
        <v>0</v>
      </c>
      <c r="L793" s="5">
        <v>0</v>
      </c>
      <c r="M793" s="5">
        <v>0</v>
      </c>
      <c r="N793" s="4" t="e">
        <f t="shared" si="66"/>
        <v>#N/A</v>
      </c>
      <c r="O793" s="4" t="e">
        <f>IF(ROUND(10.499-(((N793-VLOOKUP($C793,Lookups!$A$55:$D$64,3))/(VLOOKUP($C793,Lookups!$A$55:$D$64,4))*VLOOKUP($C793,Lookups!$C$2:$D$11,2))),0)&lt;1,1,IF(ROUND(10.499-(((N793-VLOOKUP($C793,Lookups!$A$55:$D$64,3))/(VLOOKUP($C793,Lookups!$A$55:$D$64,4))*VLOOKUP($C793,Lookups!$C$2:$D$11,2))),0)&lt;11,ROUND(10.499-(((N793-VLOOKUP($C793,Lookups!$A$55:$D$64,3))/(VLOOKUP($C793,Lookups!$A$55:$D$64,4))*VLOOKUP($C793,Lookups!$C$2:$D$11,2))),0),10))</f>
        <v>#N/A</v>
      </c>
      <c r="P793" s="13" t="str">
        <f>IF((SUM(F793:M793)=0),"J",VLOOKUP(O793,Lookups!$A$1:$B$11,2))</f>
        <v>J</v>
      </c>
      <c r="Q793" s="8" t="e">
        <f>VLOOKUP(C793,Lookups!$A$136:$C$144,3)</f>
        <v>#N/A</v>
      </c>
      <c r="R793" s="8" t="e">
        <f>VLOOKUP(C793,Lookups!$A$136:$C$144,2)</f>
        <v>#N/A</v>
      </c>
      <c r="S793" s="4" t="str">
        <f t="shared" si="67"/>
        <v>No</v>
      </c>
      <c r="T793" s="125">
        <f t="shared" si="68"/>
        <v>0</v>
      </c>
      <c r="U793" s="125">
        <f t="shared" si="69"/>
        <v>0</v>
      </c>
      <c r="V793" s="4" t="e">
        <f>IF($Q793&lt;&gt;3,VLOOKUP(F793,'Points Table A'!B$3:$F$33,5),VLOOKUP(F793,'Points Table A'!H$3:$L$33,5))</f>
        <v>#N/A</v>
      </c>
      <c r="W793" s="4" t="e">
        <f>IF($Q793&lt;&gt;3,VLOOKUP(G793,'Points Table A'!C$3:$F$33,4),VLOOKUP(G793,'Points Table A'!I$3:$L$33,4))</f>
        <v>#N/A</v>
      </c>
      <c r="X793" s="4" t="e">
        <f>IF($Q793&lt;&gt;3,VLOOKUP(H793,'Points Table A'!D$3:$F$28,3),VLOOKUP(H793,'Points Table A'!J$3:$L$33,3))</f>
        <v>#N/A</v>
      </c>
      <c r="Y793" s="4" t="e">
        <f>IF($Q793&lt;&gt;3,VLOOKUP(I793,'Points Table A'!E$3:$F$33,2),VLOOKUP(I793,'Points Table A'!K$3:$L$33,2))</f>
        <v>#N/A</v>
      </c>
      <c r="Z793" s="4" t="e">
        <f t="shared" si="70"/>
        <v>#N/A</v>
      </c>
      <c r="AA793" s="4">
        <f>IF($S793=Lookups!$B$113,VLOOKUP(L793,'Points Table C'!A$3:$E$11,5),VLOOKUP(U793,'Points Table C'!B$3:$E$11,4))</f>
        <v>0</v>
      </c>
      <c r="AB793" s="4" t="e">
        <f>IF($Q793=1,0,VLOOKUP($J793,'Points Table C'!$C$3:$E$18,3))</f>
        <v>#N/A</v>
      </c>
      <c r="AC793" s="4">
        <f>VLOOKUP($K793,'Points Table C'!$D$3:$E$18,2)</f>
        <v>0</v>
      </c>
      <c r="AD793" s="4" t="e">
        <f>IF($Z793&lt;Lookups!$C$106,($AA793+AB793+AC793),IF($AA793&gt;=Lookups!$C$120,($AA793+AB793+AC793),$AA793+$AB793))</f>
        <v>#N/A</v>
      </c>
      <c r="AF793" s="7"/>
      <c r="AG793" s="7"/>
      <c r="AH793" s="7"/>
      <c r="AI793" s="7"/>
      <c r="AJ793" s="7"/>
      <c r="AK793" s="7"/>
      <c r="AL793" s="7"/>
      <c r="AM793" s="7"/>
      <c r="AN793" s="7"/>
      <c r="AO793" s="7"/>
      <c r="AP793" s="7"/>
      <c r="AQ793" s="7"/>
      <c r="AR793" s="7"/>
      <c r="AS793" s="7"/>
      <c r="AT793" s="7"/>
      <c r="AU793" s="7"/>
      <c r="AV793" s="7"/>
      <c r="AW793" s="7"/>
      <c r="AY793" s="7"/>
      <c r="AZ793" s="7"/>
      <c r="BA793" s="7"/>
      <c r="BB793" s="7"/>
    </row>
    <row r="794" spans="2:54" x14ac:dyDescent="0.2">
      <c r="B794" s="174"/>
      <c r="C794" s="176"/>
      <c r="F794" s="5">
        <v>0</v>
      </c>
      <c r="G794" s="192">
        <v>0</v>
      </c>
      <c r="H794" s="192">
        <v>0</v>
      </c>
      <c r="I794" s="5">
        <v>0</v>
      </c>
      <c r="J794" s="192">
        <v>0</v>
      </c>
      <c r="K794" s="192">
        <v>0</v>
      </c>
      <c r="L794" s="5">
        <v>0</v>
      </c>
      <c r="M794" s="5">
        <v>0</v>
      </c>
      <c r="N794" s="4" t="e">
        <f t="shared" si="66"/>
        <v>#N/A</v>
      </c>
      <c r="O794" s="4" t="e">
        <f>IF(ROUND(10.499-(((N794-VLOOKUP($C794,Lookups!$A$55:$D$64,3))/(VLOOKUP($C794,Lookups!$A$55:$D$64,4))*VLOOKUP($C794,Lookups!$C$2:$D$11,2))),0)&lt;1,1,IF(ROUND(10.499-(((N794-VLOOKUP($C794,Lookups!$A$55:$D$64,3))/(VLOOKUP($C794,Lookups!$A$55:$D$64,4))*VLOOKUP($C794,Lookups!$C$2:$D$11,2))),0)&lt;11,ROUND(10.499-(((N794-VLOOKUP($C794,Lookups!$A$55:$D$64,3))/(VLOOKUP($C794,Lookups!$A$55:$D$64,4))*VLOOKUP($C794,Lookups!$C$2:$D$11,2))),0),10))</f>
        <v>#N/A</v>
      </c>
      <c r="P794" s="13" t="str">
        <f>IF((SUM(F794:M794)=0),"J",VLOOKUP(O794,Lookups!$A$1:$B$11,2))</f>
        <v>J</v>
      </c>
      <c r="Q794" s="8" t="e">
        <f>VLOOKUP(C794,Lookups!$A$136:$C$144,3)</f>
        <v>#N/A</v>
      </c>
      <c r="R794" s="8" t="e">
        <f>VLOOKUP(C794,Lookups!$A$136:$C$144,2)</f>
        <v>#N/A</v>
      </c>
      <c r="S794" s="4" t="str">
        <f t="shared" si="67"/>
        <v>No</v>
      </c>
      <c r="T794" s="125">
        <f t="shared" si="68"/>
        <v>0</v>
      </c>
      <c r="U794" s="125">
        <f t="shared" si="69"/>
        <v>0</v>
      </c>
      <c r="V794" s="4" t="e">
        <f>IF($Q794&lt;&gt;3,VLOOKUP(F794,'Points Table A'!B$3:$F$33,5),VLOOKUP(F794,'Points Table A'!H$3:$L$33,5))</f>
        <v>#N/A</v>
      </c>
      <c r="W794" s="4" t="e">
        <f>IF($Q794&lt;&gt;3,VLOOKUP(G794,'Points Table A'!C$3:$F$33,4),VLOOKUP(G794,'Points Table A'!I$3:$L$33,4))</f>
        <v>#N/A</v>
      </c>
      <c r="X794" s="4" t="e">
        <f>IF($Q794&lt;&gt;3,VLOOKUP(H794,'Points Table A'!D$3:$F$28,3),VLOOKUP(H794,'Points Table A'!J$3:$L$33,3))</f>
        <v>#N/A</v>
      </c>
      <c r="Y794" s="4" t="e">
        <f>IF($Q794&lt;&gt;3,VLOOKUP(I794,'Points Table A'!E$3:$F$33,2),VLOOKUP(I794,'Points Table A'!K$3:$L$33,2))</f>
        <v>#N/A</v>
      </c>
      <c r="Z794" s="4" t="e">
        <f t="shared" si="70"/>
        <v>#N/A</v>
      </c>
      <c r="AA794" s="4">
        <f>IF($S794=Lookups!$B$113,VLOOKUP(L794,'Points Table C'!A$3:$E$11,5),VLOOKUP(U794,'Points Table C'!B$3:$E$11,4))</f>
        <v>0</v>
      </c>
      <c r="AB794" s="4" t="e">
        <f>IF($Q794=1,0,VLOOKUP($J794,'Points Table C'!$C$3:$E$18,3))</f>
        <v>#N/A</v>
      </c>
      <c r="AC794" s="4">
        <f>VLOOKUP($K794,'Points Table C'!$D$3:$E$18,2)</f>
        <v>0</v>
      </c>
      <c r="AD794" s="4" t="e">
        <f>IF($Z794&lt;Lookups!$C$106,($AA794+AB794+AC794),IF($AA794&gt;=Lookups!$C$120,($AA794+AB794+AC794),$AA794+$AB794))</f>
        <v>#N/A</v>
      </c>
      <c r="AF794" s="7"/>
      <c r="AG794" s="7"/>
      <c r="AH794" s="7"/>
      <c r="AI794" s="7"/>
      <c r="AJ794" s="7"/>
      <c r="AK794" s="7"/>
      <c r="AL794" s="7"/>
      <c r="AM794" s="7"/>
      <c r="AN794" s="7"/>
      <c r="AO794" s="7"/>
      <c r="AP794" s="7"/>
      <c r="AQ794" s="7"/>
      <c r="AR794" s="7"/>
      <c r="AS794" s="7"/>
      <c r="AT794" s="7"/>
      <c r="AU794" s="7"/>
      <c r="AV794" s="7"/>
      <c r="AW794" s="7"/>
      <c r="AY794" s="7"/>
      <c r="AZ794" s="7"/>
      <c r="BA794" s="7"/>
      <c r="BB794" s="7"/>
    </row>
    <row r="795" spans="2:54" x14ac:dyDescent="0.2">
      <c r="B795" s="174"/>
      <c r="C795" s="176"/>
      <c r="F795" s="5">
        <v>0</v>
      </c>
      <c r="G795" s="192">
        <v>0</v>
      </c>
      <c r="H795" s="192">
        <v>0</v>
      </c>
      <c r="I795" s="5">
        <v>0</v>
      </c>
      <c r="J795" s="192">
        <v>0</v>
      </c>
      <c r="K795" s="192">
        <v>0</v>
      </c>
      <c r="L795" s="5">
        <v>0</v>
      </c>
      <c r="M795" s="5">
        <v>0</v>
      </c>
      <c r="N795" s="4" t="e">
        <f t="shared" si="66"/>
        <v>#N/A</v>
      </c>
      <c r="O795" s="4" t="e">
        <f>IF(ROUND(10.499-(((N795-VLOOKUP($C795,Lookups!$A$55:$D$64,3))/(VLOOKUP($C795,Lookups!$A$55:$D$64,4))*VLOOKUP($C795,Lookups!$C$2:$D$11,2))),0)&lt;1,1,IF(ROUND(10.499-(((N795-VLOOKUP($C795,Lookups!$A$55:$D$64,3))/(VLOOKUP($C795,Lookups!$A$55:$D$64,4))*VLOOKUP($C795,Lookups!$C$2:$D$11,2))),0)&lt;11,ROUND(10.499-(((N795-VLOOKUP($C795,Lookups!$A$55:$D$64,3))/(VLOOKUP($C795,Lookups!$A$55:$D$64,4))*VLOOKUP($C795,Lookups!$C$2:$D$11,2))),0),10))</f>
        <v>#N/A</v>
      </c>
      <c r="P795" s="13" t="str">
        <f>IF((SUM(F795:M795)=0),"J",VLOOKUP(O795,Lookups!$A$1:$B$11,2))</f>
        <v>J</v>
      </c>
      <c r="Q795" s="8" t="e">
        <f>VLOOKUP(C795,Lookups!$A$136:$C$144,3)</f>
        <v>#N/A</v>
      </c>
      <c r="R795" s="8" t="e">
        <f>VLOOKUP(C795,Lookups!$A$136:$C$144,2)</f>
        <v>#N/A</v>
      </c>
      <c r="S795" s="4" t="str">
        <f t="shared" si="67"/>
        <v>No</v>
      </c>
      <c r="T795" s="125">
        <f t="shared" si="68"/>
        <v>0</v>
      </c>
      <c r="U795" s="125">
        <f t="shared" si="69"/>
        <v>0</v>
      </c>
      <c r="V795" s="4" t="e">
        <f>IF($Q795&lt;&gt;3,VLOOKUP(F795,'Points Table A'!B$3:$F$33,5),VLOOKUP(F795,'Points Table A'!H$3:$L$33,5))</f>
        <v>#N/A</v>
      </c>
      <c r="W795" s="4" t="e">
        <f>IF($Q795&lt;&gt;3,VLOOKUP(G795,'Points Table A'!C$3:$F$33,4),VLOOKUP(G795,'Points Table A'!I$3:$L$33,4))</f>
        <v>#N/A</v>
      </c>
      <c r="X795" s="4" t="e">
        <f>IF($Q795&lt;&gt;3,VLOOKUP(H795,'Points Table A'!D$3:$F$28,3),VLOOKUP(H795,'Points Table A'!J$3:$L$33,3))</f>
        <v>#N/A</v>
      </c>
      <c r="Y795" s="4" t="e">
        <f>IF($Q795&lt;&gt;3,VLOOKUP(I795,'Points Table A'!E$3:$F$33,2),VLOOKUP(I795,'Points Table A'!K$3:$L$33,2))</f>
        <v>#N/A</v>
      </c>
      <c r="Z795" s="4" t="e">
        <f t="shared" si="70"/>
        <v>#N/A</v>
      </c>
      <c r="AA795" s="4">
        <f>IF($S795=Lookups!$B$113,VLOOKUP(L795,'Points Table C'!A$3:$E$11,5),VLOOKUP(U795,'Points Table C'!B$3:$E$11,4))</f>
        <v>0</v>
      </c>
      <c r="AB795" s="4" t="e">
        <f>IF($Q795=1,0,VLOOKUP($J795,'Points Table C'!$C$3:$E$18,3))</f>
        <v>#N/A</v>
      </c>
      <c r="AC795" s="4">
        <f>VLOOKUP($K795,'Points Table C'!$D$3:$E$18,2)</f>
        <v>0</v>
      </c>
      <c r="AD795" s="4" t="e">
        <f>IF($Z795&lt;Lookups!$C$106,($AA795+AB795+AC795),IF($AA795&gt;=Lookups!$C$120,($AA795+AB795+AC795),$AA795+$AB795))</f>
        <v>#N/A</v>
      </c>
      <c r="AF795" s="7"/>
      <c r="AG795" s="7"/>
      <c r="AH795" s="7"/>
      <c r="AI795" s="7"/>
      <c r="AJ795" s="7"/>
      <c r="AK795" s="7"/>
      <c r="AL795" s="7"/>
      <c r="AM795" s="7"/>
      <c r="AN795" s="7"/>
      <c r="AO795" s="7"/>
      <c r="AP795" s="7"/>
      <c r="AQ795" s="7"/>
      <c r="AR795" s="7"/>
      <c r="AS795" s="7"/>
      <c r="AT795" s="7"/>
      <c r="AU795" s="7"/>
      <c r="AV795" s="7"/>
      <c r="AW795" s="7"/>
      <c r="AY795" s="7"/>
      <c r="AZ795" s="7"/>
      <c r="BA795" s="7"/>
      <c r="BB795" s="7"/>
    </row>
    <row r="796" spans="2:54" x14ac:dyDescent="0.2">
      <c r="B796" s="174"/>
      <c r="C796" s="176"/>
      <c r="F796" s="5">
        <v>0</v>
      </c>
      <c r="G796" s="192">
        <v>0</v>
      </c>
      <c r="H796" s="192">
        <v>0</v>
      </c>
      <c r="I796" s="5">
        <v>0</v>
      </c>
      <c r="J796" s="192">
        <v>0</v>
      </c>
      <c r="K796" s="192">
        <v>0</v>
      </c>
      <c r="L796" s="5">
        <v>0</v>
      </c>
      <c r="M796" s="5">
        <v>0</v>
      </c>
      <c r="N796" s="4" t="e">
        <f t="shared" si="66"/>
        <v>#N/A</v>
      </c>
      <c r="O796" s="4" t="e">
        <f>IF(ROUND(10.499-(((N796-VLOOKUP($C796,Lookups!$A$55:$D$64,3))/(VLOOKUP($C796,Lookups!$A$55:$D$64,4))*VLOOKUP($C796,Lookups!$C$2:$D$11,2))),0)&lt;1,1,IF(ROUND(10.499-(((N796-VLOOKUP($C796,Lookups!$A$55:$D$64,3))/(VLOOKUP($C796,Lookups!$A$55:$D$64,4))*VLOOKUP($C796,Lookups!$C$2:$D$11,2))),0)&lt;11,ROUND(10.499-(((N796-VLOOKUP($C796,Lookups!$A$55:$D$64,3))/(VLOOKUP($C796,Lookups!$A$55:$D$64,4))*VLOOKUP($C796,Lookups!$C$2:$D$11,2))),0),10))</f>
        <v>#N/A</v>
      </c>
      <c r="P796" s="13" t="str">
        <f>IF((SUM(F796:M796)=0),"J",VLOOKUP(O796,Lookups!$A$1:$B$11,2))</f>
        <v>J</v>
      </c>
      <c r="Q796" s="8" t="e">
        <f>VLOOKUP(C796,Lookups!$A$136:$C$144,3)</f>
        <v>#N/A</v>
      </c>
      <c r="R796" s="8" t="e">
        <f>VLOOKUP(C796,Lookups!$A$136:$C$144,2)</f>
        <v>#N/A</v>
      </c>
      <c r="S796" s="4" t="str">
        <f t="shared" si="67"/>
        <v>No</v>
      </c>
      <c r="T796" s="125">
        <f t="shared" si="68"/>
        <v>0</v>
      </c>
      <c r="U796" s="125">
        <f t="shared" si="69"/>
        <v>0</v>
      </c>
      <c r="V796" s="4" t="e">
        <f>IF($Q796&lt;&gt;3,VLOOKUP(F796,'Points Table A'!B$3:$F$33,5),VLOOKUP(F796,'Points Table A'!H$3:$L$33,5))</f>
        <v>#N/A</v>
      </c>
      <c r="W796" s="4" t="e">
        <f>IF($Q796&lt;&gt;3,VLOOKUP(G796,'Points Table A'!C$3:$F$33,4),VLOOKUP(G796,'Points Table A'!I$3:$L$33,4))</f>
        <v>#N/A</v>
      </c>
      <c r="X796" s="4" t="e">
        <f>IF($Q796&lt;&gt;3,VLOOKUP(H796,'Points Table A'!D$3:$F$28,3),VLOOKUP(H796,'Points Table A'!J$3:$L$33,3))</f>
        <v>#N/A</v>
      </c>
      <c r="Y796" s="4" t="e">
        <f>IF($Q796&lt;&gt;3,VLOOKUP(I796,'Points Table A'!E$3:$F$33,2),VLOOKUP(I796,'Points Table A'!K$3:$L$33,2))</f>
        <v>#N/A</v>
      </c>
      <c r="Z796" s="4" t="e">
        <f t="shared" si="70"/>
        <v>#N/A</v>
      </c>
      <c r="AA796" s="4">
        <f>IF($S796=Lookups!$B$113,VLOOKUP(L796,'Points Table C'!A$3:$E$11,5),VLOOKUP(U796,'Points Table C'!B$3:$E$11,4))</f>
        <v>0</v>
      </c>
      <c r="AB796" s="4" t="e">
        <f>IF($Q796=1,0,VLOOKUP($J796,'Points Table C'!$C$3:$E$18,3))</f>
        <v>#N/A</v>
      </c>
      <c r="AC796" s="4">
        <f>VLOOKUP($K796,'Points Table C'!$D$3:$E$18,2)</f>
        <v>0</v>
      </c>
      <c r="AD796" s="4" t="e">
        <f>IF($Z796&lt;Lookups!$C$106,($AA796+AB796+AC796),IF($AA796&gt;=Lookups!$C$120,($AA796+AB796+AC796),$AA796+$AB796))</f>
        <v>#N/A</v>
      </c>
      <c r="AF796" s="7"/>
      <c r="AG796" s="7"/>
      <c r="AH796" s="7"/>
      <c r="AI796" s="7"/>
      <c r="AJ796" s="7"/>
      <c r="AK796" s="7"/>
      <c r="AL796" s="7"/>
      <c r="AM796" s="7"/>
      <c r="AN796" s="7"/>
      <c r="AO796" s="7"/>
      <c r="AP796" s="7"/>
      <c r="AQ796" s="7"/>
      <c r="AR796" s="7"/>
      <c r="AS796" s="7"/>
      <c r="AT796" s="7"/>
      <c r="AU796" s="7"/>
      <c r="AV796" s="7"/>
      <c r="AW796" s="7"/>
      <c r="AY796" s="7"/>
      <c r="AZ796" s="7"/>
      <c r="BA796" s="7"/>
      <c r="BB796" s="7"/>
    </row>
    <row r="797" spans="2:54" x14ac:dyDescent="0.2">
      <c r="B797" s="174"/>
      <c r="C797" s="176"/>
      <c r="F797" s="5">
        <v>0</v>
      </c>
      <c r="G797" s="192">
        <v>0</v>
      </c>
      <c r="H797" s="192">
        <v>0</v>
      </c>
      <c r="I797" s="5">
        <v>0</v>
      </c>
      <c r="J797" s="192">
        <v>0</v>
      </c>
      <c r="K797" s="192">
        <v>0</v>
      </c>
      <c r="L797" s="5">
        <v>0</v>
      </c>
      <c r="M797" s="5">
        <v>0</v>
      </c>
      <c r="N797" s="4" t="e">
        <f t="shared" si="66"/>
        <v>#N/A</v>
      </c>
      <c r="O797" s="4" t="e">
        <f>IF(ROUND(10.499-(((N797-VLOOKUP($C797,Lookups!$A$55:$D$64,3))/(VLOOKUP($C797,Lookups!$A$55:$D$64,4))*VLOOKUP($C797,Lookups!$C$2:$D$11,2))),0)&lt;1,1,IF(ROUND(10.499-(((N797-VLOOKUP($C797,Lookups!$A$55:$D$64,3))/(VLOOKUP($C797,Lookups!$A$55:$D$64,4))*VLOOKUP($C797,Lookups!$C$2:$D$11,2))),0)&lt;11,ROUND(10.499-(((N797-VLOOKUP($C797,Lookups!$A$55:$D$64,3))/(VLOOKUP($C797,Lookups!$A$55:$D$64,4))*VLOOKUP($C797,Lookups!$C$2:$D$11,2))),0),10))</f>
        <v>#N/A</v>
      </c>
      <c r="P797" s="13" t="str">
        <f>IF((SUM(F797:M797)=0),"J",VLOOKUP(O797,Lookups!$A$1:$B$11,2))</f>
        <v>J</v>
      </c>
      <c r="Q797" s="8" t="e">
        <f>VLOOKUP(C797,Lookups!$A$136:$C$144,3)</f>
        <v>#N/A</v>
      </c>
      <c r="R797" s="8" t="e">
        <f>VLOOKUP(C797,Lookups!$A$136:$C$144,2)</f>
        <v>#N/A</v>
      </c>
      <c r="S797" s="4" t="str">
        <f t="shared" si="67"/>
        <v>No</v>
      </c>
      <c r="T797" s="125">
        <f t="shared" si="68"/>
        <v>0</v>
      </c>
      <c r="U797" s="125">
        <f t="shared" si="69"/>
        <v>0</v>
      </c>
      <c r="V797" s="4" t="e">
        <f>IF($Q797&lt;&gt;3,VLOOKUP(F797,'Points Table A'!B$3:$F$33,5),VLOOKUP(F797,'Points Table A'!H$3:$L$33,5))</f>
        <v>#N/A</v>
      </c>
      <c r="W797" s="4" t="e">
        <f>IF($Q797&lt;&gt;3,VLOOKUP(G797,'Points Table A'!C$3:$F$33,4),VLOOKUP(G797,'Points Table A'!I$3:$L$33,4))</f>
        <v>#N/A</v>
      </c>
      <c r="X797" s="4" t="e">
        <f>IF($Q797&lt;&gt;3,VLOOKUP(H797,'Points Table A'!D$3:$F$28,3),VLOOKUP(H797,'Points Table A'!J$3:$L$33,3))</f>
        <v>#N/A</v>
      </c>
      <c r="Y797" s="4" t="e">
        <f>IF($Q797&lt;&gt;3,VLOOKUP(I797,'Points Table A'!E$3:$F$33,2),VLOOKUP(I797,'Points Table A'!K$3:$L$33,2))</f>
        <v>#N/A</v>
      </c>
      <c r="Z797" s="4" t="e">
        <f t="shared" si="70"/>
        <v>#N/A</v>
      </c>
      <c r="AA797" s="4">
        <f>IF($S797=Lookups!$B$113,VLOOKUP(L797,'Points Table C'!A$3:$E$11,5),VLOOKUP(U797,'Points Table C'!B$3:$E$11,4))</f>
        <v>0</v>
      </c>
      <c r="AB797" s="4" t="e">
        <f>IF($Q797=1,0,VLOOKUP($J797,'Points Table C'!$C$3:$E$18,3))</f>
        <v>#N/A</v>
      </c>
      <c r="AC797" s="4">
        <f>VLOOKUP($K797,'Points Table C'!$D$3:$E$18,2)</f>
        <v>0</v>
      </c>
      <c r="AD797" s="4" t="e">
        <f>IF($Z797&lt;Lookups!$C$106,($AA797+AB797+AC797),IF($AA797&gt;=Lookups!$C$120,($AA797+AB797+AC797),$AA797+$AB797))</f>
        <v>#N/A</v>
      </c>
      <c r="AF797" s="7"/>
      <c r="AG797" s="7"/>
      <c r="AH797" s="7"/>
      <c r="AI797" s="7"/>
      <c r="AJ797" s="7"/>
      <c r="AK797" s="7"/>
      <c r="AL797" s="7"/>
      <c r="AM797" s="7"/>
      <c r="AN797" s="7"/>
      <c r="AO797" s="7"/>
      <c r="AP797" s="7"/>
      <c r="AQ797" s="7"/>
      <c r="AR797" s="7"/>
      <c r="AS797" s="7"/>
      <c r="AT797" s="7"/>
      <c r="AU797" s="7"/>
      <c r="AV797" s="7"/>
      <c r="AW797" s="7"/>
      <c r="AY797" s="7"/>
      <c r="AZ797" s="7"/>
      <c r="BA797" s="7"/>
      <c r="BB797" s="7"/>
    </row>
    <row r="798" spans="2:54" x14ac:dyDescent="0.2">
      <c r="B798" s="174"/>
      <c r="C798" s="176"/>
      <c r="F798" s="5">
        <v>0</v>
      </c>
      <c r="G798" s="192">
        <v>0</v>
      </c>
      <c r="H798" s="192">
        <v>0</v>
      </c>
      <c r="I798" s="5">
        <v>0</v>
      </c>
      <c r="J798" s="192">
        <v>0</v>
      </c>
      <c r="K798" s="192">
        <v>0</v>
      </c>
      <c r="L798" s="5">
        <v>0</v>
      </c>
      <c r="M798" s="5">
        <v>0</v>
      </c>
      <c r="N798" s="4" t="e">
        <f t="shared" si="66"/>
        <v>#N/A</v>
      </c>
      <c r="O798" s="4" t="e">
        <f>IF(ROUND(10.499-(((N798-VLOOKUP($C798,Lookups!$A$55:$D$64,3))/(VLOOKUP($C798,Lookups!$A$55:$D$64,4))*VLOOKUP($C798,Lookups!$C$2:$D$11,2))),0)&lt;1,1,IF(ROUND(10.499-(((N798-VLOOKUP($C798,Lookups!$A$55:$D$64,3))/(VLOOKUP($C798,Lookups!$A$55:$D$64,4))*VLOOKUP($C798,Lookups!$C$2:$D$11,2))),0)&lt;11,ROUND(10.499-(((N798-VLOOKUP($C798,Lookups!$A$55:$D$64,3))/(VLOOKUP($C798,Lookups!$A$55:$D$64,4))*VLOOKUP($C798,Lookups!$C$2:$D$11,2))),0),10))</f>
        <v>#N/A</v>
      </c>
      <c r="P798" s="13" t="str">
        <f>IF((SUM(F798:M798)=0),"J",VLOOKUP(O798,Lookups!$A$1:$B$11,2))</f>
        <v>J</v>
      </c>
      <c r="Q798" s="8" t="e">
        <f>VLOOKUP(C798,Lookups!$A$136:$C$144,3)</f>
        <v>#N/A</v>
      </c>
      <c r="R798" s="8" t="e">
        <f>VLOOKUP(C798,Lookups!$A$136:$C$144,2)</f>
        <v>#N/A</v>
      </c>
      <c r="S798" s="4" t="str">
        <f t="shared" si="67"/>
        <v>No</v>
      </c>
      <c r="T798" s="125">
        <f t="shared" si="68"/>
        <v>0</v>
      </c>
      <c r="U798" s="125">
        <f t="shared" si="69"/>
        <v>0</v>
      </c>
      <c r="V798" s="4" t="e">
        <f>IF($Q798&lt;&gt;3,VLOOKUP(F798,'Points Table A'!B$3:$F$33,5),VLOOKUP(F798,'Points Table A'!H$3:$L$33,5))</f>
        <v>#N/A</v>
      </c>
      <c r="W798" s="4" t="e">
        <f>IF($Q798&lt;&gt;3,VLOOKUP(G798,'Points Table A'!C$3:$F$33,4),VLOOKUP(G798,'Points Table A'!I$3:$L$33,4))</f>
        <v>#N/A</v>
      </c>
      <c r="X798" s="4" t="e">
        <f>IF($Q798&lt;&gt;3,VLOOKUP(H798,'Points Table A'!D$3:$F$28,3),VLOOKUP(H798,'Points Table A'!J$3:$L$33,3))</f>
        <v>#N/A</v>
      </c>
      <c r="Y798" s="4" t="e">
        <f>IF($Q798&lt;&gt;3,VLOOKUP(I798,'Points Table A'!E$3:$F$33,2),VLOOKUP(I798,'Points Table A'!K$3:$L$33,2))</f>
        <v>#N/A</v>
      </c>
      <c r="Z798" s="4" t="e">
        <f t="shared" si="70"/>
        <v>#N/A</v>
      </c>
      <c r="AA798" s="4">
        <f>IF($S798=Lookups!$B$113,VLOOKUP(L798,'Points Table C'!A$3:$E$11,5),VLOOKUP(U798,'Points Table C'!B$3:$E$11,4))</f>
        <v>0</v>
      </c>
      <c r="AB798" s="4" t="e">
        <f>IF($Q798=1,0,VLOOKUP($J798,'Points Table C'!$C$3:$E$18,3))</f>
        <v>#N/A</v>
      </c>
      <c r="AC798" s="4">
        <f>VLOOKUP($K798,'Points Table C'!$D$3:$E$18,2)</f>
        <v>0</v>
      </c>
      <c r="AD798" s="4" t="e">
        <f>IF($Z798&lt;Lookups!$C$106,($AA798+AB798+AC798),IF($AA798&gt;=Lookups!$C$120,($AA798+AB798+AC798),$AA798+$AB798))</f>
        <v>#N/A</v>
      </c>
      <c r="AF798" s="7"/>
      <c r="AG798" s="7"/>
      <c r="AH798" s="7"/>
      <c r="AI798" s="7"/>
      <c r="AJ798" s="7"/>
      <c r="AK798" s="7"/>
      <c r="AL798" s="7"/>
      <c r="AM798" s="7"/>
      <c r="AN798" s="7"/>
      <c r="AO798" s="7"/>
      <c r="AP798" s="7"/>
      <c r="AQ798" s="7"/>
      <c r="AR798" s="7"/>
      <c r="AS798" s="7"/>
      <c r="AT798" s="7"/>
      <c r="AU798" s="7"/>
      <c r="AV798" s="7"/>
      <c r="AW798" s="7"/>
      <c r="AY798" s="7"/>
      <c r="AZ798" s="7"/>
      <c r="BA798" s="7"/>
      <c r="BB798" s="7"/>
    </row>
    <row r="799" spans="2:54" x14ac:dyDescent="0.2">
      <c r="B799" s="174"/>
      <c r="C799" s="176"/>
      <c r="F799" s="5">
        <v>0</v>
      </c>
      <c r="G799" s="192">
        <v>0</v>
      </c>
      <c r="H799" s="192">
        <v>0</v>
      </c>
      <c r="I799" s="5">
        <v>0</v>
      </c>
      <c r="J799" s="192">
        <v>0</v>
      </c>
      <c r="K799" s="192">
        <v>0</v>
      </c>
      <c r="L799" s="5">
        <v>0</v>
      </c>
      <c r="M799" s="5">
        <v>0</v>
      </c>
      <c r="N799" s="4" t="e">
        <f t="shared" si="66"/>
        <v>#N/A</v>
      </c>
      <c r="O799" s="4" t="e">
        <f>IF(ROUND(10.499-(((N799-VLOOKUP($C799,Lookups!$A$55:$D$64,3))/(VLOOKUP($C799,Lookups!$A$55:$D$64,4))*VLOOKUP($C799,Lookups!$C$2:$D$11,2))),0)&lt;1,1,IF(ROUND(10.499-(((N799-VLOOKUP($C799,Lookups!$A$55:$D$64,3))/(VLOOKUP($C799,Lookups!$A$55:$D$64,4))*VLOOKUP($C799,Lookups!$C$2:$D$11,2))),0)&lt;11,ROUND(10.499-(((N799-VLOOKUP($C799,Lookups!$A$55:$D$64,3))/(VLOOKUP($C799,Lookups!$A$55:$D$64,4))*VLOOKUP($C799,Lookups!$C$2:$D$11,2))),0),10))</f>
        <v>#N/A</v>
      </c>
      <c r="P799" s="13" t="str">
        <f>IF((SUM(F799:M799)=0),"J",VLOOKUP(O799,Lookups!$A$1:$B$11,2))</f>
        <v>J</v>
      </c>
      <c r="Q799" s="8" t="e">
        <f>VLOOKUP(C799,Lookups!$A$136:$C$144,3)</f>
        <v>#N/A</v>
      </c>
      <c r="R799" s="8" t="e">
        <f>VLOOKUP(C799,Lookups!$A$136:$C$144,2)</f>
        <v>#N/A</v>
      </c>
      <c r="S799" s="4" t="str">
        <f t="shared" si="67"/>
        <v>No</v>
      </c>
      <c r="T799" s="125">
        <f t="shared" si="68"/>
        <v>0</v>
      </c>
      <c r="U799" s="125">
        <f t="shared" si="69"/>
        <v>0</v>
      </c>
      <c r="V799" s="4" t="e">
        <f>IF($Q799&lt;&gt;3,VLOOKUP(F799,'Points Table A'!B$3:$F$33,5),VLOOKUP(F799,'Points Table A'!H$3:$L$33,5))</f>
        <v>#N/A</v>
      </c>
      <c r="W799" s="4" t="e">
        <f>IF($Q799&lt;&gt;3,VLOOKUP(G799,'Points Table A'!C$3:$F$33,4),VLOOKUP(G799,'Points Table A'!I$3:$L$33,4))</f>
        <v>#N/A</v>
      </c>
      <c r="X799" s="4" t="e">
        <f>IF($Q799&lt;&gt;3,VLOOKUP(H799,'Points Table A'!D$3:$F$28,3),VLOOKUP(H799,'Points Table A'!J$3:$L$33,3))</f>
        <v>#N/A</v>
      </c>
      <c r="Y799" s="4" t="e">
        <f>IF($Q799&lt;&gt;3,VLOOKUP(I799,'Points Table A'!E$3:$F$33,2),VLOOKUP(I799,'Points Table A'!K$3:$L$33,2))</f>
        <v>#N/A</v>
      </c>
      <c r="Z799" s="4" t="e">
        <f t="shared" si="70"/>
        <v>#N/A</v>
      </c>
      <c r="AA799" s="4">
        <f>IF($S799=Lookups!$B$113,VLOOKUP(L799,'Points Table C'!A$3:$E$11,5),VLOOKUP(U799,'Points Table C'!B$3:$E$11,4))</f>
        <v>0</v>
      </c>
      <c r="AB799" s="4" t="e">
        <f>IF($Q799=1,0,VLOOKUP($J799,'Points Table C'!$C$3:$E$18,3))</f>
        <v>#N/A</v>
      </c>
      <c r="AC799" s="4">
        <f>VLOOKUP($K799,'Points Table C'!$D$3:$E$18,2)</f>
        <v>0</v>
      </c>
      <c r="AD799" s="4" t="e">
        <f>IF($Z799&lt;Lookups!$C$106,($AA799+AB799+AC799),IF($AA799&gt;=Lookups!$C$120,($AA799+AB799+AC799),$AA799+$AB799))</f>
        <v>#N/A</v>
      </c>
      <c r="AF799" s="7"/>
      <c r="AG799" s="7"/>
      <c r="AH799" s="7"/>
      <c r="AI799" s="7"/>
      <c r="AJ799" s="7"/>
      <c r="AK799" s="7"/>
      <c r="AL799" s="7"/>
      <c r="AM799" s="7"/>
      <c r="AN799" s="7"/>
      <c r="AO799" s="7"/>
      <c r="AP799" s="7"/>
      <c r="AQ799" s="7"/>
      <c r="AR799" s="7"/>
      <c r="AS799" s="7"/>
      <c r="AT799" s="7"/>
      <c r="AU799" s="7"/>
      <c r="AV799" s="7"/>
      <c r="AW799" s="7"/>
      <c r="AY799" s="7"/>
      <c r="AZ799" s="7"/>
      <c r="BA799" s="7"/>
      <c r="BB799" s="7"/>
    </row>
    <row r="800" spans="2:54" x14ac:dyDescent="0.2">
      <c r="B800" s="174"/>
      <c r="C800" s="176"/>
      <c r="F800" s="5">
        <v>0</v>
      </c>
      <c r="G800" s="192">
        <v>0</v>
      </c>
      <c r="H800" s="192">
        <v>0</v>
      </c>
      <c r="I800" s="5">
        <v>0</v>
      </c>
      <c r="J800" s="192">
        <v>0</v>
      </c>
      <c r="K800" s="192">
        <v>0</v>
      </c>
      <c r="L800" s="5">
        <v>0</v>
      </c>
      <c r="M800" s="5">
        <v>0</v>
      </c>
      <c r="N800" s="4" t="e">
        <f t="shared" si="66"/>
        <v>#N/A</v>
      </c>
      <c r="O800" s="4" t="e">
        <f>IF(ROUND(10.499-(((N800-VLOOKUP($C800,Lookups!$A$55:$D$64,3))/(VLOOKUP($C800,Lookups!$A$55:$D$64,4))*VLOOKUP($C800,Lookups!$C$2:$D$11,2))),0)&lt;1,1,IF(ROUND(10.499-(((N800-VLOOKUP($C800,Lookups!$A$55:$D$64,3))/(VLOOKUP($C800,Lookups!$A$55:$D$64,4))*VLOOKUP($C800,Lookups!$C$2:$D$11,2))),0)&lt;11,ROUND(10.499-(((N800-VLOOKUP($C800,Lookups!$A$55:$D$64,3))/(VLOOKUP($C800,Lookups!$A$55:$D$64,4))*VLOOKUP($C800,Lookups!$C$2:$D$11,2))),0),10))</f>
        <v>#N/A</v>
      </c>
      <c r="P800" s="13" t="str">
        <f>IF((SUM(F800:M800)=0),"J",VLOOKUP(O800,Lookups!$A$1:$B$11,2))</f>
        <v>J</v>
      </c>
      <c r="Q800" s="8" t="e">
        <f>VLOOKUP(C800,Lookups!$A$136:$C$144,3)</f>
        <v>#N/A</v>
      </c>
      <c r="R800" s="8" t="e">
        <f>VLOOKUP(C800,Lookups!$A$136:$C$144,2)</f>
        <v>#N/A</v>
      </c>
      <c r="S800" s="4" t="str">
        <f t="shared" si="67"/>
        <v>No</v>
      </c>
      <c r="T800" s="125">
        <f t="shared" si="68"/>
        <v>0</v>
      </c>
      <c r="U800" s="125">
        <f t="shared" si="69"/>
        <v>0</v>
      </c>
      <c r="V800" s="4" t="e">
        <f>IF($Q800&lt;&gt;3,VLOOKUP(F800,'Points Table A'!B$3:$F$33,5),VLOOKUP(F800,'Points Table A'!H$3:$L$33,5))</f>
        <v>#N/A</v>
      </c>
      <c r="W800" s="4" t="e">
        <f>IF($Q800&lt;&gt;3,VLOOKUP(G800,'Points Table A'!C$3:$F$33,4),VLOOKUP(G800,'Points Table A'!I$3:$L$33,4))</f>
        <v>#N/A</v>
      </c>
      <c r="X800" s="4" t="e">
        <f>IF($Q800&lt;&gt;3,VLOOKUP(H800,'Points Table A'!D$3:$F$28,3),VLOOKUP(H800,'Points Table A'!J$3:$L$33,3))</f>
        <v>#N/A</v>
      </c>
      <c r="Y800" s="4" t="e">
        <f>IF($Q800&lt;&gt;3,VLOOKUP(I800,'Points Table A'!E$3:$F$33,2),VLOOKUP(I800,'Points Table A'!K$3:$L$33,2))</f>
        <v>#N/A</v>
      </c>
      <c r="Z800" s="4" t="e">
        <f t="shared" si="70"/>
        <v>#N/A</v>
      </c>
      <c r="AA800" s="4">
        <f>IF($S800=Lookups!$B$113,VLOOKUP(L800,'Points Table C'!A$3:$E$11,5),VLOOKUP(U800,'Points Table C'!B$3:$E$11,4))</f>
        <v>0</v>
      </c>
      <c r="AB800" s="4" t="e">
        <f>IF($Q800=1,0,VLOOKUP($J800,'Points Table C'!$C$3:$E$18,3))</f>
        <v>#N/A</v>
      </c>
      <c r="AC800" s="4">
        <f>VLOOKUP($K800,'Points Table C'!$D$3:$E$18,2)</f>
        <v>0</v>
      </c>
      <c r="AD800" s="4" t="e">
        <f>IF($Z800&lt;Lookups!$C$106,($AA800+AB800+AC800),IF($AA800&gt;=Lookups!$C$120,($AA800+AB800+AC800),$AA800+$AB800))</f>
        <v>#N/A</v>
      </c>
      <c r="AF800" s="7"/>
      <c r="AG800" s="7"/>
      <c r="AH800" s="7"/>
      <c r="AI800" s="7"/>
      <c r="AJ800" s="7"/>
      <c r="AK800" s="7"/>
      <c r="AL800" s="7"/>
      <c r="AM800" s="7"/>
      <c r="AN800" s="7"/>
      <c r="AO800" s="7"/>
      <c r="AP800" s="7"/>
      <c r="AQ800" s="7"/>
      <c r="AR800" s="7"/>
      <c r="AS800" s="7"/>
      <c r="AT800" s="7"/>
      <c r="AU800" s="7"/>
      <c r="AV800" s="7"/>
      <c r="AW800" s="7"/>
      <c r="AY800" s="7"/>
      <c r="AZ800" s="7"/>
      <c r="BA800" s="7"/>
      <c r="BB800" s="7"/>
    </row>
    <row r="801" spans="2:54" x14ac:dyDescent="0.2">
      <c r="B801" s="174"/>
      <c r="C801" s="176"/>
      <c r="F801" s="5">
        <v>0</v>
      </c>
      <c r="G801" s="192">
        <v>0</v>
      </c>
      <c r="H801" s="192">
        <v>0</v>
      </c>
      <c r="I801" s="5">
        <v>0</v>
      </c>
      <c r="J801" s="192">
        <v>0</v>
      </c>
      <c r="K801" s="192">
        <v>0</v>
      </c>
      <c r="L801" s="5">
        <v>0</v>
      </c>
      <c r="M801" s="5">
        <v>0</v>
      </c>
      <c r="N801" s="4" t="e">
        <f t="shared" si="66"/>
        <v>#N/A</v>
      </c>
      <c r="O801" s="4" t="e">
        <f>IF(ROUND(10.499-(((N801-VLOOKUP($C801,Lookups!$A$55:$D$64,3))/(VLOOKUP($C801,Lookups!$A$55:$D$64,4))*VLOOKUP($C801,Lookups!$C$2:$D$11,2))),0)&lt;1,1,IF(ROUND(10.499-(((N801-VLOOKUP($C801,Lookups!$A$55:$D$64,3))/(VLOOKUP($C801,Lookups!$A$55:$D$64,4))*VLOOKUP($C801,Lookups!$C$2:$D$11,2))),0)&lt;11,ROUND(10.499-(((N801-VLOOKUP($C801,Lookups!$A$55:$D$64,3))/(VLOOKUP($C801,Lookups!$A$55:$D$64,4))*VLOOKUP($C801,Lookups!$C$2:$D$11,2))),0),10))</f>
        <v>#N/A</v>
      </c>
      <c r="P801" s="13" t="str">
        <f>IF((SUM(F801:M801)=0),"J",VLOOKUP(O801,Lookups!$A$1:$B$11,2))</f>
        <v>J</v>
      </c>
      <c r="Q801" s="8" t="e">
        <f>VLOOKUP(C801,Lookups!$A$136:$C$144,3)</f>
        <v>#N/A</v>
      </c>
      <c r="R801" s="8" t="e">
        <f>VLOOKUP(C801,Lookups!$A$136:$C$144,2)</f>
        <v>#N/A</v>
      </c>
      <c r="S801" s="4" t="str">
        <f t="shared" si="67"/>
        <v>No</v>
      </c>
      <c r="T801" s="125">
        <f t="shared" si="68"/>
        <v>0</v>
      </c>
      <c r="U801" s="125">
        <f t="shared" si="69"/>
        <v>0</v>
      </c>
      <c r="V801" s="4" t="e">
        <f>IF($Q801&lt;&gt;3,VLOOKUP(F801,'Points Table A'!B$3:$F$33,5),VLOOKUP(F801,'Points Table A'!H$3:$L$33,5))</f>
        <v>#N/A</v>
      </c>
      <c r="W801" s="4" t="e">
        <f>IF($Q801&lt;&gt;3,VLOOKUP(G801,'Points Table A'!C$3:$F$33,4),VLOOKUP(G801,'Points Table A'!I$3:$L$33,4))</f>
        <v>#N/A</v>
      </c>
      <c r="X801" s="4" t="e">
        <f>IF($Q801&lt;&gt;3,VLOOKUP(H801,'Points Table A'!D$3:$F$28,3),VLOOKUP(H801,'Points Table A'!J$3:$L$33,3))</f>
        <v>#N/A</v>
      </c>
      <c r="Y801" s="4" t="e">
        <f>IF($Q801&lt;&gt;3,VLOOKUP(I801,'Points Table A'!E$3:$F$33,2),VLOOKUP(I801,'Points Table A'!K$3:$L$33,2))</f>
        <v>#N/A</v>
      </c>
      <c r="Z801" s="4" t="e">
        <f t="shared" si="70"/>
        <v>#N/A</v>
      </c>
      <c r="AA801" s="4">
        <f>IF($S801=Lookups!$B$113,VLOOKUP(L801,'Points Table C'!A$3:$E$11,5),VLOOKUP(U801,'Points Table C'!B$3:$E$11,4))</f>
        <v>0</v>
      </c>
      <c r="AB801" s="4" t="e">
        <f>IF($Q801=1,0,VLOOKUP($J801,'Points Table C'!$C$3:$E$18,3))</f>
        <v>#N/A</v>
      </c>
      <c r="AC801" s="4">
        <f>VLOOKUP($K801,'Points Table C'!$D$3:$E$18,2)</f>
        <v>0</v>
      </c>
      <c r="AD801" s="4" t="e">
        <f>IF($Z801&lt;Lookups!$C$106,($AA801+AB801+AC801),IF($AA801&gt;=Lookups!$C$120,($AA801+AB801+AC801),$AA801+$AB801))</f>
        <v>#N/A</v>
      </c>
      <c r="AF801" s="7"/>
      <c r="AG801" s="7"/>
      <c r="AH801" s="7"/>
      <c r="AI801" s="7"/>
      <c r="AJ801" s="7"/>
      <c r="AK801" s="7"/>
      <c r="AL801" s="7"/>
      <c r="AM801" s="7"/>
      <c r="AN801" s="7"/>
      <c r="AO801" s="7"/>
      <c r="AP801" s="7"/>
      <c r="AQ801" s="7"/>
      <c r="AR801" s="7"/>
      <c r="AS801" s="7"/>
      <c r="AT801" s="7"/>
      <c r="AU801" s="7"/>
      <c r="AV801" s="7"/>
      <c r="AW801" s="7"/>
      <c r="AY801" s="7"/>
      <c r="AZ801" s="7"/>
      <c r="BA801" s="7"/>
      <c r="BB801" s="7"/>
    </row>
    <row r="802" spans="2:54" x14ac:dyDescent="0.2">
      <c r="B802" s="174"/>
      <c r="C802" s="176"/>
      <c r="F802" s="5">
        <v>0</v>
      </c>
      <c r="G802" s="192">
        <v>0</v>
      </c>
      <c r="H802" s="192">
        <v>0</v>
      </c>
      <c r="I802" s="5">
        <v>0</v>
      </c>
      <c r="J802" s="192">
        <v>0</v>
      </c>
      <c r="K802" s="192">
        <v>0</v>
      </c>
      <c r="L802" s="5">
        <v>0</v>
      </c>
      <c r="M802" s="5">
        <v>0</v>
      </c>
      <c r="N802" s="4" t="e">
        <f t="shared" si="66"/>
        <v>#N/A</v>
      </c>
      <c r="O802" s="4" t="e">
        <f>IF(ROUND(10.499-(((N802-VLOOKUP($C802,Lookups!$A$55:$D$64,3))/(VLOOKUP($C802,Lookups!$A$55:$D$64,4))*VLOOKUP($C802,Lookups!$C$2:$D$11,2))),0)&lt;1,1,IF(ROUND(10.499-(((N802-VLOOKUP($C802,Lookups!$A$55:$D$64,3))/(VLOOKUP($C802,Lookups!$A$55:$D$64,4))*VLOOKUP($C802,Lookups!$C$2:$D$11,2))),0)&lt;11,ROUND(10.499-(((N802-VLOOKUP($C802,Lookups!$A$55:$D$64,3))/(VLOOKUP($C802,Lookups!$A$55:$D$64,4))*VLOOKUP($C802,Lookups!$C$2:$D$11,2))),0),10))</f>
        <v>#N/A</v>
      </c>
      <c r="P802" s="13" t="str">
        <f>IF((SUM(F802:M802)=0),"J",VLOOKUP(O802,Lookups!$A$1:$B$11,2))</f>
        <v>J</v>
      </c>
      <c r="Q802" s="8" t="e">
        <f>VLOOKUP(C802,Lookups!$A$136:$C$144,3)</f>
        <v>#N/A</v>
      </c>
      <c r="R802" s="8" t="e">
        <f>VLOOKUP(C802,Lookups!$A$136:$C$144,2)</f>
        <v>#N/A</v>
      </c>
      <c r="S802" s="4" t="str">
        <f t="shared" si="67"/>
        <v>No</v>
      </c>
      <c r="T802" s="125">
        <f t="shared" si="68"/>
        <v>0</v>
      </c>
      <c r="U802" s="125">
        <f t="shared" si="69"/>
        <v>0</v>
      </c>
      <c r="V802" s="4" t="e">
        <f>IF($Q802&lt;&gt;3,VLOOKUP(F802,'Points Table A'!B$3:$F$33,5),VLOOKUP(F802,'Points Table A'!H$3:$L$33,5))</f>
        <v>#N/A</v>
      </c>
      <c r="W802" s="4" t="e">
        <f>IF($Q802&lt;&gt;3,VLOOKUP(G802,'Points Table A'!C$3:$F$33,4),VLOOKUP(G802,'Points Table A'!I$3:$L$33,4))</f>
        <v>#N/A</v>
      </c>
      <c r="X802" s="4" t="e">
        <f>IF($Q802&lt;&gt;3,VLOOKUP(H802,'Points Table A'!D$3:$F$28,3),VLOOKUP(H802,'Points Table A'!J$3:$L$33,3))</f>
        <v>#N/A</v>
      </c>
      <c r="Y802" s="4" t="e">
        <f>IF($Q802&lt;&gt;3,VLOOKUP(I802,'Points Table A'!E$3:$F$33,2),VLOOKUP(I802,'Points Table A'!K$3:$L$33,2))</f>
        <v>#N/A</v>
      </c>
      <c r="Z802" s="4" t="e">
        <f t="shared" si="70"/>
        <v>#N/A</v>
      </c>
      <c r="AA802" s="4">
        <f>IF($S802=Lookups!$B$113,VLOOKUP(L802,'Points Table C'!A$3:$E$11,5),VLOOKUP(U802,'Points Table C'!B$3:$E$11,4))</f>
        <v>0</v>
      </c>
      <c r="AB802" s="4" t="e">
        <f>IF($Q802=1,0,VLOOKUP($J802,'Points Table C'!$C$3:$E$18,3))</f>
        <v>#N/A</v>
      </c>
      <c r="AC802" s="4">
        <f>VLOOKUP($K802,'Points Table C'!$D$3:$E$18,2)</f>
        <v>0</v>
      </c>
      <c r="AD802" s="4" t="e">
        <f>IF($Z802&lt;Lookups!$C$106,($AA802+AB802+AC802),IF($AA802&gt;=Lookups!$C$120,($AA802+AB802+AC802),$AA802+$AB802))</f>
        <v>#N/A</v>
      </c>
      <c r="AF802" s="7"/>
      <c r="AG802" s="7"/>
      <c r="AH802" s="7"/>
      <c r="AI802" s="7"/>
      <c r="AJ802" s="7"/>
      <c r="AK802" s="7"/>
      <c r="AL802" s="7"/>
      <c r="AM802" s="7"/>
      <c r="AN802" s="7"/>
      <c r="AO802" s="7"/>
      <c r="AP802" s="7"/>
      <c r="AQ802" s="7"/>
      <c r="AR802" s="7"/>
      <c r="AS802" s="7"/>
      <c r="AT802" s="7"/>
      <c r="AU802" s="7"/>
      <c r="AV802" s="7"/>
      <c r="AW802" s="7"/>
      <c r="AY802" s="7"/>
      <c r="AZ802" s="7"/>
      <c r="BA802" s="7"/>
      <c r="BB802" s="7"/>
    </row>
    <row r="803" spans="2:54" x14ac:dyDescent="0.2">
      <c r="B803" s="174"/>
      <c r="C803" s="176"/>
      <c r="F803" s="5">
        <v>0</v>
      </c>
      <c r="G803" s="192">
        <v>0</v>
      </c>
      <c r="H803" s="192">
        <v>0</v>
      </c>
      <c r="I803" s="5">
        <v>0</v>
      </c>
      <c r="J803" s="192">
        <v>0</v>
      </c>
      <c r="K803" s="192">
        <v>0</v>
      </c>
      <c r="L803" s="5">
        <v>0</v>
      </c>
      <c r="M803" s="5">
        <v>0</v>
      </c>
      <c r="N803" s="4" t="e">
        <f t="shared" si="66"/>
        <v>#N/A</v>
      </c>
      <c r="O803" s="4" t="e">
        <f>IF(ROUND(10.499-(((N803-VLOOKUP($C803,Lookups!$A$55:$D$64,3))/(VLOOKUP($C803,Lookups!$A$55:$D$64,4))*VLOOKUP($C803,Lookups!$C$2:$D$11,2))),0)&lt;1,1,IF(ROUND(10.499-(((N803-VLOOKUP($C803,Lookups!$A$55:$D$64,3))/(VLOOKUP($C803,Lookups!$A$55:$D$64,4))*VLOOKUP($C803,Lookups!$C$2:$D$11,2))),0)&lt;11,ROUND(10.499-(((N803-VLOOKUP($C803,Lookups!$A$55:$D$64,3))/(VLOOKUP($C803,Lookups!$A$55:$D$64,4))*VLOOKUP($C803,Lookups!$C$2:$D$11,2))),0),10))</f>
        <v>#N/A</v>
      </c>
      <c r="P803" s="13" t="str">
        <f>IF((SUM(F803:M803)=0),"J",VLOOKUP(O803,Lookups!$A$1:$B$11,2))</f>
        <v>J</v>
      </c>
      <c r="Q803" s="8" t="e">
        <f>VLOOKUP(C803,Lookups!$A$136:$C$144,3)</f>
        <v>#N/A</v>
      </c>
      <c r="R803" s="8" t="e">
        <f>VLOOKUP(C803,Lookups!$A$136:$C$144,2)</f>
        <v>#N/A</v>
      </c>
      <c r="S803" s="4" t="str">
        <f t="shared" si="67"/>
        <v>No</v>
      </c>
      <c r="T803" s="125">
        <f t="shared" si="68"/>
        <v>0</v>
      </c>
      <c r="U803" s="125">
        <f t="shared" si="69"/>
        <v>0</v>
      </c>
      <c r="V803" s="4" t="e">
        <f>IF($Q803&lt;&gt;3,VLOOKUP(F803,'Points Table A'!B$3:$F$33,5),VLOOKUP(F803,'Points Table A'!H$3:$L$33,5))</f>
        <v>#N/A</v>
      </c>
      <c r="W803" s="4" t="e">
        <f>IF($Q803&lt;&gt;3,VLOOKUP(G803,'Points Table A'!C$3:$F$33,4),VLOOKUP(G803,'Points Table A'!I$3:$L$33,4))</f>
        <v>#N/A</v>
      </c>
      <c r="X803" s="4" t="e">
        <f>IF($Q803&lt;&gt;3,VLOOKUP(H803,'Points Table A'!D$3:$F$28,3),VLOOKUP(H803,'Points Table A'!J$3:$L$33,3))</f>
        <v>#N/A</v>
      </c>
      <c r="Y803" s="4" t="e">
        <f>IF($Q803&lt;&gt;3,VLOOKUP(I803,'Points Table A'!E$3:$F$33,2),VLOOKUP(I803,'Points Table A'!K$3:$L$33,2))</f>
        <v>#N/A</v>
      </c>
      <c r="Z803" s="4" t="e">
        <f t="shared" si="70"/>
        <v>#N/A</v>
      </c>
      <c r="AA803" s="4">
        <f>IF($S803=Lookups!$B$113,VLOOKUP(L803,'Points Table C'!A$3:$E$11,5),VLOOKUP(U803,'Points Table C'!B$3:$E$11,4))</f>
        <v>0</v>
      </c>
      <c r="AB803" s="4" t="e">
        <f>IF($Q803=1,0,VLOOKUP($J803,'Points Table C'!$C$3:$E$18,3))</f>
        <v>#N/A</v>
      </c>
      <c r="AC803" s="4">
        <f>VLOOKUP($K803,'Points Table C'!$D$3:$E$18,2)</f>
        <v>0</v>
      </c>
      <c r="AD803" s="4" t="e">
        <f>IF($Z803&lt;Lookups!$C$106,($AA803+AB803+AC803),IF($AA803&gt;=Lookups!$C$120,($AA803+AB803+AC803),$AA803+$AB803))</f>
        <v>#N/A</v>
      </c>
      <c r="AF803" s="7"/>
      <c r="AG803" s="7"/>
      <c r="AH803" s="7"/>
      <c r="AI803" s="7"/>
      <c r="AJ803" s="7"/>
      <c r="AK803" s="7"/>
      <c r="AL803" s="7"/>
      <c r="AM803" s="7"/>
      <c r="AN803" s="7"/>
      <c r="AO803" s="7"/>
      <c r="AP803" s="7"/>
      <c r="AQ803" s="7"/>
      <c r="AR803" s="7"/>
      <c r="AS803" s="7"/>
      <c r="AT803" s="7"/>
      <c r="AU803" s="7"/>
      <c r="AV803" s="7"/>
      <c r="AW803" s="7"/>
      <c r="AY803" s="7"/>
      <c r="AZ803" s="7"/>
      <c r="BA803" s="7"/>
      <c r="BB803" s="7"/>
    </row>
    <row r="804" spans="2:54" x14ac:dyDescent="0.2">
      <c r="B804" s="174"/>
      <c r="C804" s="176"/>
      <c r="F804" s="5">
        <v>0</v>
      </c>
      <c r="G804" s="192">
        <v>0</v>
      </c>
      <c r="H804" s="192">
        <v>0</v>
      </c>
      <c r="I804" s="5">
        <v>0</v>
      </c>
      <c r="J804" s="192">
        <v>0</v>
      </c>
      <c r="K804" s="192">
        <v>0</v>
      </c>
      <c r="L804" s="5">
        <v>0</v>
      </c>
      <c r="M804" s="5">
        <v>0</v>
      </c>
      <c r="N804" s="4" t="e">
        <f t="shared" si="66"/>
        <v>#N/A</v>
      </c>
      <c r="O804" s="4" t="e">
        <f>IF(ROUND(10.499-(((N804-VLOOKUP($C804,Lookups!$A$55:$D$64,3))/(VLOOKUP($C804,Lookups!$A$55:$D$64,4))*VLOOKUP($C804,Lookups!$C$2:$D$11,2))),0)&lt;1,1,IF(ROUND(10.499-(((N804-VLOOKUP($C804,Lookups!$A$55:$D$64,3))/(VLOOKUP($C804,Lookups!$A$55:$D$64,4))*VLOOKUP($C804,Lookups!$C$2:$D$11,2))),0)&lt;11,ROUND(10.499-(((N804-VLOOKUP($C804,Lookups!$A$55:$D$64,3))/(VLOOKUP($C804,Lookups!$A$55:$D$64,4))*VLOOKUP($C804,Lookups!$C$2:$D$11,2))),0),10))</f>
        <v>#N/A</v>
      </c>
      <c r="P804" s="13" t="str">
        <f>IF((SUM(F804:M804)=0),"J",VLOOKUP(O804,Lookups!$A$1:$B$11,2))</f>
        <v>J</v>
      </c>
      <c r="Q804" s="8" t="e">
        <f>VLOOKUP(C804,Lookups!$A$136:$C$144,3)</f>
        <v>#N/A</v>
      </c>
      <c r="R804" s="8" t="e">
        <f>VLOOKUP(C804,Lookups!$A$136:$C$144,2)</f>
        <v>#N/A</v>
      </c>
      <c r="S804" s="4" t="str">
        <f t="shared" si="67"/>
        <v>No</v>
      </c>
      <c r="T804" s="125">
        <f t="shared" si="68"/>
        <v>0</v>
      </c>
      <c r="U804" s="125">
        <f t="shared" si="69"/>
        <v>0</v>
      </c>
      <c r="V804" s="4" t="e">
        <f>IF($Q804&lt;&gt;3,VLOOKUP(F804,'Points Table A'!B$3:$F$33,5),VLOOKUP(F804,'Points Table A'!H$3:$L$33,5))</f>
        <v>#N/A</v>
      </c>
      <c r="W804" s="4" t="e">
        <f>IF($Q804&lt;&gt;3,VLOOKUP(G804,'Points Table A'!C$3:$F$33,4),VLOOKUP(G804,'Points Table A'!I$3:$L$33,4))</f>
        <v>#N/A</v>
      </c>
      <c r="X804" s="4" t="e">
        <f>IF($Q804&lt;&gt;3,VLOOKUP(H804,'Points Table A'!D$3:$F$28,3),VLOOKUP(H804,'Points Table A'!J$3:$L$33,3))</f>
        <v>#N/A</v>
      </c>
      <c r="Y804" s="4" t="e">
        <f>IF($Q804&lt;&gt;3,VLOOKUP(I804,'Points Table A'!E$3:$F$33,2),VLOOKUP(I804,'Points Table A'!K$3:$L$33,2))</f>
        <v>#N/A</v>
      </c>
      <c r="Z804" s="4" t="e">
        <f t="shared" si="70"/>
        <v>#N/A</v>
      </c>
      <c r="AA804" s="4">
        <f>IF($S804=Lookups!$B$113,VLOOKUP(L804,'Points Table C'!A$3:$E$11,5),VLOOKUP(U804,'Points Table C'!B$3:$E$11,4))</f>
        <v>0</v>
      </c>
      <c r="AB804" s="4" t="e">
        <f>IF($Q804=1,0,VLOOKUP($J804,'Points Table C'!$C$3:$E$18,3))</f>
        <v>#N/A</v>
      </c>
      <c r="AC804" s="4">
        <f>VLOOKUP($K804,'Points Table C'!$D$3:$E$18,2)</f>
        <v>0</v>
      </c>
      <c r="AD804" s="4" t="e">
        <f>IF($Z804&lt;Lookups!$C$106,($AA804+AB804+AC804),IF($AA804&gt;=Lookups!$C$120,($AA804+AB804+AC804),$AA804+$AB804))</f>
        <v>#N/A</v>
      </c>
      <c r="AF804" s="7"/>
      <c r="AG804" s="7"/>
      <c r="AH804" s="7"/>
      <c r="AI804" s="7"/>
      <c r="AJ804" s="7"/>
      <c r="AK804" s="7"/>
      <c r="AL804" s="7"/>
      <c r="AM804" s="7"/>
      <c r="AN804" s="7"/>
      <c r="AO804" s="7"/>
      <c r="AP804" s="7"/>
      <c r="AQ804" s="7"/>
      <c r="AR804" s="7"/>
      <c r="AS804" s="7"/>
      <c r="AT804" s="7"/>
      <c r="AU804" s="7"/>
      <c r="AV804" s="7"/>
      <c r="AW804" s="7"/>
      <c r="AY804" s="7"/>
      <c r="AZ804" s="7"/>
      <c r="BA804" s="7"/>
      <c r="BB804" s="7"/>
    </row>
    <row r="805" spans="2:54" x14ac:dyDescent="0.2">
      <c r="B805" s="174"/>
      <c r="C805" s="176"/>
      <c r="F805" s="5">
        <v>0</v>
      </c>
      <c r="G805" s="192">
        <v>0</v>
      </c>
      <c r="H805" s="192">
        <v>0</v>
      </c>
      <c r="I805" s="5">
        <v>0</v>
      </c>
      <c r="J805" s="192">
        <v>0</v>
      </c>
      <c r="K805" s="192">
        <v>0</v>
      </c>
      <c r="L805" s="5">
        <v>0</v>
      </c>
      <c r="M805" s="5">
        <v>0</v>
      </c>
      <c r="N805" s="4" t="e">
        <f t="shared" si="66"/>
        <v>#N/A</v>
      </c>
      <c r="O805" s="4" t="e">
        <f>IF(ROUND(10.499-(((N805-VLOOKUP($C805,Lookups!$A$55:$D$64,3))/(VLOOKUP($C805,Lookups!$A$55:$D$64,4))*VLOOKUP($C805,Lookups!$C$2:$D$11,2))),0)&lt;1,1,IF(ROUND(10.499-(((N805-VLOOKUP($C805,Lookups!$A$55:$D$64,3))/(VLOOKUP($C805,Lookups!$A$55:$D$64,4))*VLOOKUP($C805,Lookups!$C$2:$D$11,2))),0)&lt;11,ROUND(10.499-(((N805-VLOOKUP($C805,Lookups!$A$55:$D$64,3))/(VLOOKUP($C805,Lookups!$A$55:$D$64,4))*VLOOKUP($C805,Lookups!$C$2:$D$11,2))),0),10))</f>
        <v>#N/A</v>
      </c>
      <c r="P805" s="13" t="str">
        <f>IF((SUM(F805:M805)=0),"J",VLOOKUP(O805,Lookups!$A$1:$B$11,2))</f>
        <v>J</v>
      </c>
      <c r="Q805" s="8" t="e">
        <f>VLOOKUP(C805,Lookups!$A$136:$C$144,3)</f>
        <v>#N/A</v>
      </c>
      <c r="R805" s="8" t="e">
        <f>VLOOKUP(C805,Lookups!$A$136:$C$144,2)</f>
        <v>#N/A</v>
      </c>
      <c r="S805" s="4" t="str">
        <f t="shared" si="67"/>
        <v>No</v>
      </c>
      <c r="T805" s="125">
        <f t="shared" si="68"/>
        <v>0</v>
      </c>
      <c r="U805" s="125">
        <f t="shared" si="69"/>
        <v>0</v>
      </c>
      <c r="V805" s="4" t="e">
        <f>IF($Q805&lt;&gt;3,VLOOKUP(F805,'Points Table A'!B$3:$F$33,5),VLOOKUP(F805,'Points Table A'!H$3:$L$33,5))</f>
        <v>#N/A</v>
      </c>
      <c r="W805" s="4" t="e">
        <f>IF($Q805&lt;&gt;3,VLOOKUP(G805,'Points Table A'!C$3:$F$33,4),VLOOKUP(G805,'Points Table A'!I$3:$L$33,4))</f>
        <v>#N/A</v>
      </c>
      <c r="X805" s="4" t="e">
        <f>IF($Q805&lt;&gt;3,VLOOKUP(H805,'Points Table A'!D$3:$F$28,3),VLOOKUP(H805,'Points Table A'!J$3:$L$33,3))</f>
        <v>#N/A</v>
      </c>
      <c r="Y805" s="4" t="e">
        <f>IF($Q805&lt;&gt;3,VLOOKUP(I805,'Points Table A'!E$3:$F$33,2),VLOOKUP(I805,'Points Table A'!K$3:$L$33,2))</f>
        <v>#N/A</v>
      </c>
      <c r="Z805" s="4" t="e">
        <f t="shared" si="70"/>
        <v>#N/A</v>
      </c>
      <c r="AA805" s="4">
        <f>IF($S805=Lookups!$B$113,VLOOKUP(L805,'Points Table C'!A$3:$E$11,5),VLOOKUP(U805,'Points Table C'!B$3:$E$11,4))</f>
        <v>0</v>
      </c>
      <c r="AB805" s="4" t="e">
        <f>IF($Q805=1,0,VLOOKUP($J805,'Points Table C'!$C$3:$E$18,3))</f>
        <v>#N/A</v>
      </c>
      <c r="AC805" s="4">
        <f>VLOOKUP($K805,'Points Table C'!$D$3:$E$18,2)</f>
        <v>0</v>
      </c>
      <c r="AD805" s="4" t="e">
        <f>IF($Z805&lt;Lookups!$C$106,($AA805+AB805+AC805),IF($AA805&gt;=Lookups!$C$120,($AA805+AB805+AC805),$AA805+$AB805))</f>
        <v>#N/A</v>
      </c>
      <c r="AF805" s="7"/>
      <c r="AG805" s="7"/>
      <c r="AH805" s="7"/>
      <c r="AI805" s="7"/>
      <c r="AJ805" s="7"/>
      <c r="AK805" s="7"/>
      <c r="AL805" s="7"/>
      <c r="AM805" s="7"/>
      <c r="AN805" s="7"/>
      <c r="AO805" s="7"/>
      <c r="AP805" s="7"/>
      <c r="AQ805" s="7"/>
      <c r="AR805" s="7"/>
      <c r="AS805" s="7"/>
      <c r="AT805" s="7"/>
      <c r="AU805" s="7"/>
      <c r="AV805" s="7"/>
      <c r="AW805" s="7"/>
      <c r="AY805" s="7"/>
      <c r="AZ805" s="7"/>
      <c r="BA805" s="7"/>
      <c r="BB805" s="7"/>
    </row>
    <row r="806" spans="2:54" x14ac:dyDescent="0.2">
      <c r="B806" s="174"/>
      <c r="C806" s="176"/>
      <c r="F806" s="5">
        <v>0</v>
      </c>
      <c r="G806" s="192">
        <v>0</v>
      </c>
      <c r="H806" s="192">
        <v>0</v>
      </c>
      <c r="I806" s="5">
        <v>0</v>
      </c>
      <c r="J806" s="192">
        <v>0</v>
      </c>
      <c r="K806" s="192">
        <v>0</v>
      </c>
      <c r="L806" s="5">
        <v>0</v>
      </c>
      <c r="M806" s="5">
        <v>0</v>
      </c>
      <c r="N806" s="4" t="e">
        <f t="shared" si="66"/>
        <v>#N/A</v>
      </c>
      <c r="O806" s="4" t="e">
        <f>IF(ROUND(10.499-(((N806-VLOOKUP($C806,Lookups!$A$55:$D$64,3))/(VLOOKUP($C806,Lookups!$A$55:$D$64,4))*VLOOKUP($C806,Lookups!$C$2:$D$11,2))),0)&lt;1,1,IF(ROUND(10.499-(((N806-VLOOKUP($C806,Lookups!$A$55:$D$64,3))/(VLOOKUP($C806,Lookups!$A$55:$D$64,4))*VLOOKUP($C806,Lookups!$C$2:$D$11,2))),0)&lt;11,ROUND(10.499-(((N806-VLOOKUP($C806,Lookups!$A$55:$D$64,3))/(VLOOKUP($C806,Lookups!$A$55:$D$64,4))*VLOOKUP($C806,Lookups!$C$2:$D$11,2))),0),10))</f>
        <v>#N/A</v>
      </c>
      <c r="P806" s="13" t="str">
        <f>IF((SUM(F806:M806)=0),"J",VLOOKUP(O806,Lookups!$A$1:$B$11,2))</f>
        <v>J</v>
      </c>
      <c r="Q806" s="8" t="e">
        <f>VLOOKUP(C806,Lookups!$A$136:$C$144,3)</f>
        <v>#N/A</v>
      </c>
      <c r="R806" s="8" t="e">
        <f>VLOOKUP(C806,Lookups!$A$136:$C$144,2)</f>
        <v>#N/A</v>
      </c>
      <c r="S806" s="4" t="str">
        <f t="shared" si="67"/>
        <v>No</v>
      </c>
      <c r="T806" s="125">
        <f t="shared" si="68"/>
        <v>0</v>
      </c>
      <c r="U806" s="125">
        <f t="shared" si="69"/>
        <v>0</v>
      </c>
      <c r="V806" s="4" t="e">
        <f>IF($Q806&lt;&gt;3,VLOOKUP(F806,'Points Table A'!B$3:$F$33,5),VLOOKUP(F806,'Points Table A'!H$3:$L$33,5))</f>
        <v>#N/A</v>
      </c>
      <c r="W806" s="4" t="e">
        <f>IF($Q806&lt;&gt;3,VLOOKUP(G806,'Points Table A'!C$3:$F$33,4),VLOOKUP(G806,'Points Table A'!I$3:$L$33,4))</f>
        <v>#N/A</v>
      </c>
      <c r="X806" s="4" t="e">
        <f>IF($Q806&lt;&gt;3,VLOOKUP(H806,'Points Table A'!D$3:$F$28,3),VLOOKUP(H806,'Points Table A'!J$3:$L$33,3))</f>
        <v>#N/A</v>
      </c>
      <c r="Y806" s="4" t="e">
        <f>IF($Q806&lt;&gt;3,VLOOKUP(I806,'Points Table A'!E$3:$F$33,2),VLOOKUP(I806,'Points Table A'!K$3:$L$33,2))</f>
        <v>#N/A</v>
      </c>
      <c r="Z806" s="4" t="e">
        <f t="shared" si="70"/>
        <v>#N/A</v>
      </c>
      <c r="AA806" s="4">
        <f>IF($S806=Lookups!$B$113,VLOOKUP(L806,'Points Table C'!A$3:$E$11,5),VLOOKUP(U806,'Points Table C'!B$3:$E$11,4))</f>
        <v>0</v>
      </c>
      <c r="AB806" s="4" t="e">
        <f>IF($Q806=1,0,VLOOKUP($J806,'Points Table C'!$C$3:$E$18,3))</f>
        <v>#N/A</v>
      </c>
      <c r="AC806" s="4">
        <f>VLOOKUP($K806,'Points Table C'!$D$3:$E$18,2)</f>
        <v>0</v>
      </c>
      <c r="AD806" s="4" t="e">
        <f>IF($Z806&lt;Lookups!$C$106,($AA806+AB806+AC806),IF($AA806&gt;=Lookups!$C$120,($AA806+AB806+AC806),$AA806+$AB806))</f>
        <v>#N/A</v>
      </c>
      <c r="AF806" s="7"/>
      <c r="AG806" s="7"/>
      <c r="AH806" s="7"/>
      <c r="AI806" s="7"/>
      <c r="AJ806" s="7"/>
      <c r="AK806" s="7"/>
      <c r="AL806" s="7"/>
      <c r="AM806" s="7"/>
      <c r="AN806" s="7"/>
      <c r="AO806" s="7"/>
      <c r="AP806" s="7"/>
      <c r="AQ806" s="7"/>
      <c r="AR806" s="7"/>
      <c r="AS806" s="7"/>
      <c r="AT806" s="7"/>
      <c r="AU806" s="7"/>
      <c r="AV806" s="7"/>
      <c r="AW806" s="7"/>
      <c r="AY806" s="7"/>
      <c r="AZ806" s="7"/>
      <c r="BA806" s="7"/>
      <c r="BB806" s="7"/>
    </row>
    <row r="807" spans="2:54" x14ac:dyDescent="0.2">
      <c r="B807" s="174"/>
      <c r="C807" s="176"/>
      <c r="F807" s="5">
        <v>0</v>
      </c>
      <c r="G807" s="192">
        <v>0</v>
      </c>
      <c r="H807" s="192">
        <v>0</v>
      </c>
      <c r="I807" s="5">
        <v>0</v>
      </c>
      <c r="J807" s="192">
        <v>0</v>
      </c>
      <c r="K807" s="192">
        <v>0</v>
      </c>
      <c r="L807" s="5">
        <v>0</v>
      </c>
      <c r="M807" s="5">
        <v>0</v>
      </c>
      <c r="N807" s="4" t="e">
        <f t="shared" si="66"/>
        <v>#N/A</v>
      </c>
      <c r="O807" s="4" t="e">
        <f>IF(ROUND(10.499-(((N807-VLOOKUP($C807,Lookups!$A$55:$D$64,3))/(VLOOKUP($C807,Lookups!$A$55:$D$64,4))*VLOOKUP($C807,Lookups!$C$2:$D$11,2))),0)&lt;1,1,IF(ROUND(10.499-(((N807-VLOOKUP($C807,Lookups!$A$55:$D$64,3))/(VLOOKUP($C807,Lookups!$A$55:$D$64,4))*VLOOKUP($C807,Lookups!$C$2:$D$11,2))),0)&lt;11,ROUND(10.499-(((N807-VLOOKUP($C807,Lookups!$A$55:$D$64,3))/(VLOOKUP($C807,Lookups!$A$55:$D$64,4))*VLOOKUP($C807,Lookups!$C$2:$D$11,2))),0),10))</f>
        <v>#N/A</v>
      </c>
      <c r="P807" s="13" t="str">
        <f>IF((SUM(F807:M807)=0),"J",VLOOKUP(O807,Lookups!$A$1:$B$11,2))</f>
        <v>J</v>
      </c>
      <c r="Q807" s="8" t="e">
        <f>VLOOKUP(C807,Lookups!$A$136:$C$144,3)</f>
        <v>#N/A</v>
      </c>
      <c r="R807" s="8" t="e">
        <f>VLOOKUP(C807,Lookups!$A$136:$C$144,2)</f>
        <v>#N/A</v>
      </c>
      <c r="S807" s="4" t="str">
        <f t="shared" si="67"/>
        <v>No</v>
      </c>
      <c r="T807" s="125">
        <f t="shared" si="68"/>
        <v>0</v>
      </c>
      <c r="U807" s="125">
        <f t="shared" si="69"/>
        <v>0</v>
      </c>
      <c r="V807" s="4" t="e">
        <f>IF($Q807&lt;&gt;3,VLOOKUP(F807,'Points Table A'!B$3:$F$33,5),VLOOKUP(F807,'Points Table A'!H$3:$L$33,5))</f>
        <v>#N/A</v>
      </c>
      <c r="W807" s="4" t="e">
        <f>IF($Q807&lt;&gt;3,VLOOKUP(G807,'Points Table A'!C$3:$F$33,4),VLOOKUP(G807,'Points Table A'!I$3:$L$33,4))</f>
        <v>#N/A</v>
      </c>
      <c r="X807" s="4" t="e">
        <f>IF($Q807&lt;&gt;3,VLOOKUP(H807,'Points Table A'!D$3:$F$28,3),VLOOKUP(H807,'Points Table A'!J$3:$L$33,3))</f>
        <v>#N/A</v>
      </c>
      <c r="Y807" s="4" t="e">
        <f>IF($Q807&lt;&gt;3,VLOOKUP(I807,'Points Table A'!E$3:$F$33,2),VLOOKUP(I807,'Points Table A'!K$3:$L$33,2))</f>
        <v>#N/A</v>
      </c>
      <c r="Z807" s="4" t="e">
        <f t="shared" si="70"/>
        <v>#N/A</v>
      </c>
      <c r="AA807" s="4">
        <f>IF($S807=Lookups!$B$113,VLOOKUP(L807,'Points Table C'!A$3:$E$11,5),VLOOKUP(U807,'Points Table C'!B$3:$E$11,4))</f>
        <v>0</v>
      </c>
      <c r="AB807" s="4" t="e">
        <f>IF($Q807=1,0,VLOOKUP($J807,'Points Table C'!$C$3:$E$18,3))</f>
        <v>#N/A</v>
      </c>
      <c r="AC807" s="4">
        <f>VLOOKUP($K807,'Points Table C'!$D$3:$E$18,2)</f>
        <v>0</v>
      </c>
      <c r="AD807" s="4" t="e">
        <f>IF($Z807&lt;Lookups!$C$106,($AA807+AB807+AC807),IF($AA807&gt;=Lookups!$C$120,($AA807+AB807+AC807),$AA807+$AB807))</f>
        <v>#N/A</v>
      </c>
      <c r="AF807" s="7"/>
      <c r="AG807" s="7"/>
      <c r="AH807" s="7"/>
      <c r="AI807" s="7"/>
      <c r="AJ807" s="7"/>
      <c r="AK807" s="7"/>
      <c r="AL807" s="7"/>
      <c r="AM807" s="7"/>
      <c r="AN807" s="7"/>
      <c r="AO807" s="7"/>
      <c r="AP807" s="7"/>
      <c r="AQ807" s="7"/>
      <c r="AR807" s="7"/>
      <c r="AS807" s="7"/>
      <c r="AT807" s="7"/>
      <c r="AU807" s="7"/>
      <c r="AV807" s="7"/>
      <c r="AW807" s="7"/>
      <c r="AY807" s="7"/>
      <c r="AZ807" s="7"/>
      <c r="BA807" s="7"/>
      <c r="BB807" s="7"/>
    </row>
    <row r="808" spans="2:54" x14ac:dyDescent="0.2">
      <c r="B808" s="174"/>
      <c r="C808" s="176"/>
      <c r="F808" s="5">
        <v>0</v>
      </c>
      <c r="G808" s="192">
        <v>0</v>
      </c>
      <c r="H808" s="192">
        <v>0</v>
      </c>
      <c r="I808" s="5">
        <v>0</v>
      </c>
      <c r="J808" s="192">
        <v>0</v>
      </c>
      <c r="K808" s="192">
        <v>0</v>
      </c>
      <c r="L808" s="5">
        <v>0</v>
      </c>
      <c r="M808" s="5">
        <v>0</v>
      </c>
      <c r="N808" s="4" t="e">
        <f t="shared" si="66"/>
        <v>#N/A</v>
      </c>
      <c r="O808" s="4" t="e">
        <f>IF(ROUND(10.499-(((N808-VLOOKUP($C808,Lookups!$A$55:$D$64,3))/(VLOOKUP($C808,Lookups!$A$55:$D$64,4))*VLOOKUP($C808,Lookups!$C$2:$D$11,2))),0)&lt;1,1,IF(ROUND(10.499-(((N808-VLOOKUP($C808,Lookups!$A$55:$D$64,3))/(VLOOKUP($C808,Lookups!$A$55:$D$64,4))*VLOOKUP($C808,Lookups!$C$2:$D$11,2))),0)&lt;11,ROUND(10.499-(((N808-VLOOKUP($C808,Lookups!$A$55:$D$64,3))/(VLOOKUP($C808,Lookups!$A$55:$D$64,4))*VLOOKUP($C808,Lookups!$C$2:$D$11,2))),0),10))</f>
        <v>#N/A</v>
      </c>
      <c r="P808" s="13" t="str">
        <f>IF((SUM(F808:M808)=0),"J",VLOOKUP(O808,Lookups!$A$1:$B$11,2))</f>
        <v>J</v>
      </c>
      <c r="Q808" s="8" t="e">
        <f>VLOOKUP(C808,Lookups!$A$136:$C$144,3)</f>
        <v>#N/A</v>
      </c>
      <c r="R808" s="8" t="e">
        <f>VLOOKUP(C808,Lookups!$A$136:$C$144,2)</f>
        <v>#N/A</v>
      </c>
      <c r="S808" s="4" t="str">
        <f t="shared" si="67"/>
        <v>No</v>
      </c>
      <c r="T808" s="125">
        <f t="shared" si="68"/>
        <v>0</v>
      </c>
      <c r="U808" s="125">
        <f t="shared" si="69"/>
        <v>0</v>
      </c>
      <c r="V808" s="4" t="e">
        <f>IF($Q808&lt;&gt;3,VLOOKUP(F808,'Points Table A'!B$3:$F$33,5),VLOOKUP(F808,'Points Table A'!H$3:$L$33,5))</f>
        <v>#N/A</v>
      </c>
      <c r="W808" s="4" t="e">
        <f>IF($Q808&lt;&gt;3,VLOOKUP(G808,'Points Table A'!C$3:$F$33,4),VLOOKUP(G808,'Points Table A'!I$3:$L$33,4))</f>
        <v>#N/A</v>
      </c>
      <c r="X808" s="4" t="e">
        <f>IF($Q808&lt;&gt;3,VLOOKUP(H808,'Points Table A'!D$3:$F$28,3),VLOOKUP(H808,'Points Table A'!J$3:$L$33,3))</f>
        <v>#N/A</v>
      </c>
      <c r="Y808" s="4" t="e">
        <f>IF($Q808&lt;&gt;3,VLOOKUP(I808,'Points Table A'!E$3:$F$33,2),VLOOKUP(I808,'Points Table A'!K$3:$L$33,2))</f>
        <v>#N/A</v>
      </c>
      <c r="Z808" s="4" t="e">
        <f t="shared" si="70"/>
        <v>#N/A</v>
      </c>
      <c r="AA808" s="4">
        <f>IF($S808=Lookups!$B$113,VLOOKUP(L808,'Points Table C'!A$3:$E$11,5),VLOOKUP(U808,'Points Table C'!B$3:$E$11,4))</f>
        <v>0</v>
      </c>
      <c r="AB808" s="4" t="e">
        <f>IF($Q808=1,0,VLOOKUP($J808,'Points Table C'!$C$3:$E$18,3))</f>
        <v>#N/A</v>
      </c>
      <c r="AC808" s="4">
        <f>VLOOKUP($K808,'Points Table C'!$D$3:$E$18,2)</f>
        <v>0</v>
      </c>
      <c r="AD808" s="4" t="e">
        <f>IF($Z808&lt;Lookups!$C$106,($AA808+AB808+AC808),IF($AA808&gt;=Lookups!$C$120,($AA808+AB808+AC808),$AA808+$AB808))</f>
        <v>#N/A</v>
      </c>
      <c r="AF808" s="7"/>
      <c r="AG808" s="7"/>
      <c r="AH808" s="7"/>
      <c r="AI808" s="7"/>
      <c r="AJ808" s="7"/>
      <c r="AK808" s="7"/>
      <c r="AL808" s="7"/>
      <c r="AM808" s="7"/>
      <c r="AN808" s="7"/>
      <c r="AO808" s="7"/>
      <c r="AP808" s="7"/>
      <c r="AQ808" s="7"/>
      <c r="AR808" s="7"/>
      <c r="AS808" s="7"/>
      <c r="AT808" s="7"/>
      <c r="AU808" s="7"/>
      <c r="AV808" s="7"/>
      <c r="AW808" s="7"/>
      <c r="AY808" s="7"/>
      <c r="AZ808" s="7"/>
      <c r="BA808" s="7"/>
      <c r="BB808" s="7"/>
    </row>
    <row r="809" spans="2:54" x14ac:dyDescent="0.2">
      <c r="B809" s="174"/>
      <c r="C809" s="176"/>
      <c r="F809" s="5">
        <v>0</v>
      </c>
      <c r="G809" s="192">
        <v>0</v>
      </c>
      <c r="H809" s="192">
        <v>0</v>
      </c>
      <c r="I809" s="5">
        <v>0</v>
      </c>
      <c r="J809" s="192">
        <v>0</v>
      </c>
      <c r="K809" s="192">
        <v>0</v>
      </c>
      <c r="L809" s="5">
        <v>0</v>
      </c>
      <c r="M809" s="5">
        <v>0</v>
      </c>
      <c r="N809" s="4" t="e">
        <f t="shared" si="66"/>
        <v>#N/A</v>
      </c>
      <c r="O809" s="4" t="e">
        <f>IF(ROUND(10.499-(((N809-VLOOKUP($C809,Lookups!$A$55:$D$64,3))/(VLOOKUP($C809,Lookups!$A$55:$D$64,4))*VLOOKUP($C809,Lookups!$C$2:$D$11,2))),0)&lt;1,1,IF(ROUND(10.499-(((N809-VLOOKUP($C809,Lookups!$A$55:$D$64,3))/(VLOOKUP($C809,Lookups!$A$55:$D$64,4))*VLOOKUP($C809,Lookups!$C$2:$D$11,2))),0)&lt;11,ROUND(10.499-(((N809-VLOOKUP($C809,Lookups!$A$55:$D$64,3))/(VLOOKUP($C809,Lookups!$A$55:$D$64,4))*VLOOKUP($C809,Lookups!$C$2:$D$11,2))),0),10))</f>
        <v>#N/A</v>
      </c>
      <c r="P809" s="13" t="str">
        <f>IF((SUM(F809:M809)=0),"J",VLOOKUP(O809,Lookups!$A$1:$B$11,2))</f>
        <v>J</v>
      </c>
      <c r="Q809" s="8" t="e">
        <f>VLOOKUP(C809,Lookups!$A$136:$C$144,3)</f>
        <v>#N/A</v>
      </c>
      <c r="R809" s="8" t="e">
        <f>VLOOKUP(C809,Lookups!$A$136:$C$144,2)</f>
        <v>#N/A</v>
      </c>
      <c r="S809" s="4" t="str">
        <f t="shared" si="67"/>
        <v>No</v>
      </c>
      <c r="T809" s="125">
        <f t="shared" si="68"/>
        <v>0</v>
      </c>
      <c r="U809" s="125">
        <f t="shared" si="69"/>
        <v>0</v>
      </c>
      <c r="V809" s="4" t="e">
        <f>IF($Q809&lt;&gt;3,VLOOKUP(F809,'Points Table A'!B$3:$F$33,5),VLOOKUP(F809,'Points Table A'!H$3:$L$33,5))</f>
        <v>#N/A</v>
      </c>
      <c r="W809" s="4" t="e">
        <f>IF($Q809&lt;&gt;3,VLOOKUP(G809,'Points Table A'!C$3:$F$33,4),VLOOKUP(G809,'Points Table A'!I$3:$L$33,4))</f>
        <v>#N/A</v>
      </c>
      <c r="X809" s="4" t="e">
        <f>IF($Q809&lt;&gt;3,VLOOKUP(H809,'Points Table A'!D$3:$F$28,3),VLOOKUP(H809,'Points Table A'!J$3:$L$33,3))</f>
        <v>#N/A</v>
      </c>
      <c r="Y809" s="4" t="e">
        <f>IF($Q809&lt;&gt;3,VLOOKUP(I809,'Points Table A'!E$3:$F$33,2),VLOOKUP(I809,'Points Table A'!K$3:$L$33,2))</f>
        <v>#N/A</v>
      </c>
      <c r="Z809" s="4" t="e">
        <f t="shared" si="70"/>
        <v>#N/A</v>
      </c>
      <c r="AA809" s="4">
        <f>IF($S809=Lookups!$B$113,VLOOKUP(L809,'Points Table C'!A$3:$E$11,5),VLOOKUP(U809,'Points Table C'!B$3:$E$11,4))</f>
        <v>0</v>
      </c>
      <c r="AB809" s="4" t="e">
        <f>IF($Q809=1,0,VLOOKUP($J809,'Points Table C'!$C$3:$E$18,3))</f>
        <v>#N/A</v>
      </c>
      <c r="AC809" s="4">
        <f>VLOOKUP($K809,'Points Table C'!$D$3:$E$18,2)</f>
        <v>0</v>
      </c>
      <c r="AD809" s="4" t="e">
        <f>IF($Z809&lt;Lookups!$C$106,($AA809+AB809+AC809),IF($AA809&gt;=Lookups!$C$120,($AA809+AB809+AC809),$AA809+$AB809))</f>
        <v>#N/A</v>
      </c>
      <c r="AF809" s="7"/>
      <c r="AG809" s="7"/>
      <c r="AH809" s="7"/>
      <c r="AI809" s="7"/>
      <c r="AJ809" s="7"/>
      <c r="AK809" s="7"/>
      <c r="AL809" s="7"/>
      <c r="AM809" s="7"/>
      <c r="AN809" s="7"/>
      <c r="AO809" s="7"/>
      <c r="AP809" s="7"/>
      <c r="AQ809" s="7"/>
      <c r="AR809" s="7"/>
      <c r="AS809" s="7"/>
      <c r="AT809" s="7"/>
      <c r="AU809" s="7"/>
      <c r="AV809" s="7"/>
      <c r="AW809" s="7"/>
      <c r="AY809" s="7"/>
      <c r="AZ809" s="7"/>
      <c r="BA809" s="7"/>
      <c r="BB809" s="7"/>
    </row>
    <row r="810" spans="2:54" x14ac:dyDescent="0.2">
      <c r="B810" s="174"/>
      <c r="C810" s="176"/>
      <c r="F810" s="5">
        <v>0</v>
      </c>
      <c r="G810" s="192">
        <v>0</v>
      </c>
      <c r="H810" s="192">
        <v>0</v>
      </c>
      <c r="I810" s="5">
        <v>0</v>
      </c>
      <c r="J810" s="192">
        <v>0</v>
      </c>
      <c r="K810" s="192">
        <v>0</v>
      </c>
      <c r="L810" s="5">
        <v>0</v>
      </c>
      <c r="M810" s="5">
        <v>0</v>
      </c>
      <c r="N810" s="4" t="e">
        <f t="shared" si="66"/>
        <v>#N/A</v>
      </c>
      <c r="O810" s="4" t="e">
        <f>IF(ROUND(10.499-(((N810-VLOOKUP($C810,Lookups!$A$55:$D$64,3))/(VLOOKUP($C810,Lookups!$A$55:$D$64,4))*VLOOKUP($C810,Lookups!$C$2:$D$11,2))),0)&lt;1,1,IF(ROUND(10.499-(((N810-VLOOKUP($C810,Lookups!$A$55:$D$64,3))/(VLOOKUP($C810,Lookups!$A$55:$D$64,4))*VLOOKUP($C810,Lookups!$C$2:$D$11,2))),0)&lt;11,ROUND(10.499-(((N810-VLOOKUP($C810,Lookups!$A$55:$D$64,3))/(VLOOKUP($C810,Lookups!$A$55:$D$64,4))*VLOOKUP($C810,Lookups!$C$2:$D$11,2))),0),10))</f>
        <v>#N/A</v>
      </c>
      <c r="P810" s="13" t="str">
        <f>IF((SUM(F810:M810)=0),"J",VLOOKUP(O810,Lookups!$A$1:$B$11,2))</f>
        <v>J</v>
      </c>
      <c r="Q810" s="8" t="e">
        <f>VLOOKUP(C810,Lookups!$A$136:$C$144,3)</f>
        <v>#N/A</v>
      </c>
      <c r="R810" s="8" t="e">
        <f>VLOOKUP(C810,Lookups!$A$136:$C$144,2)</f>
        <v>#N/A</v>
      </c>
      <c r="S810" s="4" t="str">
        <f t="shared" si="67"/>
        <v>No</v>
      </c>
      <c r="T810" s="125">
        <f t="shared" si="68"/>
        <v>0</v>
      </c>
      <c r="U810" s="125">
        <f t="shared" si="69"/>
        <v>0</v>
      </c>
      <c r="V810" s="4" t="e">
        <f>IF($Q810&lt;&gt;3,VLOOKUP(F810,'Points Table A'!B$3:$F$33,5),VLOOKUP(F810,'Points Table A'!H$3:$L$33,5))</f>
        <v>#N/A</v>
      </c>
      <c r="W810" s="4" t="e">
        <f>IF($Q810&lt;&gt;3,VLOOKUP(G810,'Points Table A'!C$3:$F$33,4),VLOOKUP(G810,'Points Table A'!I$3:$L$33,4))</f>
        <v>#N/A</v>
      </c>
      <c r="X810" s="4" t="e">
        <f>IF($Q810&lt;&gt;3,VLOOKUP(H810,'Points Table A'!D$3:$F$28,3),VLOOKUP(H810,'Points Table A'!J$3:$L$33,3))</f>
        <v>#N/A</v>
      </c>
      <c r="Y810" s="4" t="e">
        <f>IF($Q810&lt;&gt;3,VLOOKUP(I810,'Points Table A'!E$3:$F$33,2),VLOOKUP(I810,'Points Table A'!K$3:$L$33,2))</f>
        <v>#N/A</v>
      </c>
      <c r="Z810" s="4" t="e">
        <f t="shared" si="70"/>
        <v>#N/A</v>
      </c>
      <c r="AA810" s="4">
        <f>IF($S810=Lookups!$B$113,VLOOKUP(L810,'Points Table C'!A$3:$E$11,5),VLOOKUP(U810,'Points Table C'!B$3:$E$11,4))</f>
        <v>0</v>
      </c>
      <c r="AB810" s="4" t="e">
        <f>IF($Q810=1,0,VLOOKUP($J810,'Points Table C'!$C$3:$E$18,3))</f>
        <v>#N/A</v>
      </c>
      <c r="AC810" s="4">
        <f>VLOOKUP($K810,'Points Table C'!$D$3:$E$18,2)</f>
        <v>0</v>
      </c>
      <c r="AD810" s="4" t="e">
        <f>IF($Z810&lt;Lookups!$C$106,($AA810+AB810+AC810),IF($AA810&gt;=Lookups!$C$120,($AA810+AB810+AC810),$AA810+$AB810))</f>
        <v>#N/A</v>
      </c>
      <c r="AF810" s="7"/>
      <c r="AG810" s="7"/>
      <c r="AH810" s="7"/>
      <c r="AI810" s="7"/>
      <c r="AJ810" s="7"/>
      <c r="AK810" s="7"/>
      <c r="AL810" s="7"/>
      <c r="AM810" s="7"/>
      <c r="AN810" s="7"/>
      <c r="AO810" s="7"/>
      <c r="AP810" s="7"/>
      <c r="AQ810" s="7"/>
      <c r="AR810" s="7"/>
      <c r="AS810" s="7"/>
      <c r="AT810" s="7"/>
      <c r="AU810" s="7"/>
      <c r="AV810" s="7"/>
      <c r="AW810" s="7"/>
      <c r="AY810" s="7"/>
      <c r="AZ810" s="7"/>
      <c r="BA810" s="7"/>
      <c r="BB810" s="7"/>
    </row>
    <row r="811" spans="2:54" x14ac:dyDescent="0.2">
      <c r="B811" s="174"/>
      <c r="C811" s="176"/>
      <c r="F811" s="5">
        <v>0</v>
      </c>
      <c r="G811" s="192">
        <v>0</v>
      </c>
      <c r="H811" s="192">
        <v>0</v>
      </c>
      <c r="I811" s="5">
        <v>0</v>
      </c>
      <c r="J811" s="192">
        <v>0</v>
      </c>
      <c r="K811" s="192">
        <v>0</v>
      </c>
      <c r="L811" s="5">
        <v>0</v>
      </c>
      <c r="M811" s="5">
        <v>0</v>
      </c>
      <c r="N811" s="4" t="e">
        <f t="shared" si="66"/>
        <v>#N/A</v>
      </c>
      <c r="O811" s="4" t="e">
        <f>IF(ROUND(10.499-(((N811-VLOOKUP($C811,Lookups!$A$55:$D$64,3))/(VLOOKUP($C811,Lookups!$A$55:$D$64,4))*VLOOKUP($C811,Lookups!$C$2:$D$11,2))),0)&lt;1,1,IF(ROUND(10.499-(((N811-VLOOKUP($C811,Lookups!$A$55:$D$64,3))/(VLOOKUP($C811,Lookups!$A$55:$D$64,4))*VLOOKUP($C811,Lookups!$C$2:$D$11,2))),0)&lt;11,ROUND(10.499-(((N811-VLOOKUP($C811,Lookups!$A$55:$D$64,3))/(VLOOKUP($C811,Lookups!$A$55:$D$64,4))*VLOOKUP($C811,Lookups!$C$2:$D$11,2))),0),10))</f>
        <v>#N/A</v>
      </c>
      <c r="P811" s="13" t="str">
        <f>IF((SUM(F811:M811)=0),"J",VLOOKUP(O811,Lookups!$A$1:$B$11,2))</f>
        <v>J</v>
      </c>
      <c r="Q811" s="8" t="e">
        <f>VLOOKUP(C811,Lookups!$A$136:$C$144,3)</f>
        <v>#N/A</v>
      </c>
      <c r="R811" s="8" t="e">
        <f>VLOOKUP(C811,Lookups!$A$136:$C$144,2)</f>
        <v>#N/A</v>
      </c>
      <c r="S811" s="4" t="str">
        <f t="shared" si="67"/>
        <v>No</v>
      </c>
      <c r="T811" s="125">
        <f t="shared" si="68"/>
        <v>0</v>
      </c>
      <c r="U811" s="125">
        <f t="shared" si="69"/>
        <v>0</v>
      </c>
      <c r="V811" s="4" t="e">
        <f>IF($Q811&lt;&gt;3,VLOOKUP(F811,'Points Table A'!B$3:$F$33,5),VLOOKUP(F811,'Points Table A'!H$3:$L$33,5))</f>
        <v>#N/A</v>
      </c>
      <c r="W811" s="4" t="e">
        <f>IF($Q811&lt;&gt;3,VLOOKUP(G811,'Points Table A'!C$3:$F$33,4),VLOOKUP(G811,'Points Table A'!I$3:$L$33,4))</f>
        <v>#N/A</v>
      </c>
      <c r="X811" s="4" t="e">
        <f>IF($Q811&lt;&gt;3,VLOOKUP(H811,'Points Table A'!D$3:$F$28,3),VLOOKUP(H811,'Points Table A'!J$3:$L$33,3))</f>
        <v>#N/A</v>
      </c>
      <c r="Y811" s="4" t="e">
        <f>IF($Q811&lt;&gt;3,VLOOKUP(I811,'Points Table A'!E$3:$F$33,2),VLOOKUP(I811,'Points Table A'!K$3:$L$33,2))</f>
        <v>#N/A</v>
      </c>
      <c r="Z811" s="4" t="e">
        <f t="shared" si="70"/>
        <v>#N/A</v>
      </c>
      <c r="AA811" s="4">
        <f>IF($S811=Lookups!$B$113,VLOOKUP(L811,'Points Table C'!A$3:$E$11,5),VLOOKUP(U811,'Points Table C'!B$3:$E$11,4))</f>
        <v>0</v>
      </c>
      <c r="AB811" s="4" t="e">
        <f>IF($Q811=1,0,VLOOKUP($J811,'Points Table C'!$C$3:$E$18,3))</f>
        <v>#N/A</v>
      </c>
      <c r="AC811" s="4">
        <f>VLOOKUP($K811,'Points Table C'!$D$3:$E$18,2)</f>
        <v>0</v>
      </c>
      <c r="AD811" s="4" t="e">
        <f>IF($Z811&lt;Lookups!$C$106,($AA811+AB811+AC811),IF($AA811&gt;=Lookups!$C$120,($AA811+AB811+AC811),$AA811+$AB811))</f>
        <v>#N/A</v>
      </c>
      <c r="AF811" s="7"/>
      <c r="AG811" s="7"/>
      <c r="AH811" s="7"/>
      <c r="AI811" s="7"/>
      <c r="AJ811" s="7"/>
      <c r="AK811" s="7"/>
      <c r="AL811" s="7"/>
      <c r="AM811" s="7"/>
      <c r="AN811" s="7"/>
      <c r="AO811" s="7"/>
      <c r="AP811" s="7"/>
      <c r="AQ811" s="7"/>
      <c r="AR811" s="7"/>
      <c r="AS811" s="7"/>
      <c r="AT811" s="7"/>
      <c r="AU811" s="7"/>
      <c r="AV811" s="7"/>
      <c r="AW811" s="7"/>
      <c r="AY811" s="7"/>
      <c r="AZ811" s="7"/>
      <c r="BA811" s="7"/>
      <c r="BB811" s="7"/>
    </row>
    <row r="812" spans="2:54" x14ac:dyDescent="0.2">
      <c r="B812" s="174"/>
      <c r="C812" s="176"/>
      <c r="F812" s="5">
        <v>0</v>
      </c>
      <c r="G812" s="192">
        <v>0</v>
      </c>
      <c r="H812" s="192">
        <v>0</v>
      </c>
      <c r="I812" s="5">
        <v>0</v>
      </c>
      <c r="J812" s="192">
        <v>0</v>
      </c>
      <c r="K812" s="192">
        <v>0</v>
      </c>
      <c r="L812" s="5">
        <v>0</v>
      </c>
      <c r="M812" s="5">
        <v>0</v>
      </c>
      <c r="N812" s="4" t="e">
        <f t="shared" si="66"/>
        <v>#N/A</v>
      </c>
      <c r="O812" s="4" t="e">
        <f>IF(ROUND(10.499-(((N812-VLOOKUP($C812,Lookups!$A$55:$D$64,3))/(VLOOKUP($C812,Lookups!$A$55:$D$64,4))*VLOOKUP($C812,Lookups!$C$2:$D$11,2))),0)&lt;1,1,IF(ROUND(10.499-(((N812-VLOOKUP($C812,Lookups!$A$55:$D$64,3))/(VLOOKUP($C812,Lookups!$A$55:$D$64,4))*VLOOKUP($C812,Lookups!$C$2:$D$11,2))),0)&lt;11,ROUND(10.499-(((N812-VLOOKUP($C812,Lookups!$A$55:$D$64,3))/(VLOOKUP($C812,Lookups!$A$55:$D$64,4))*VLOOKUP($C812,Lookups!$C$2:$D$11,2))),0),10))</f>
        <v>#N/A</v>
      </c>
      <c r="P812" s="13" t="str">
        <f>IF((SUM(F812:M812)=0),"J",VLOOKUP(O812,Lookups!$A$1:$B$11,2))</f>
        <v>J</v>
      </c>
      <c r="Q812" s="8" t="e">
        <f>VLOOKUP(C812,Lookups!$A$136:$C$144,3)</f>
        <v>#N/A</v>
      </c>
      <c r="R812" s="8" t="e">
        <f>VLOOKUP(C812,Lookups!$A$136:$C$144,2)</f>
        <v>#N/A</v>
      </c>
      <c r="S812" s="4" t="str">
        <f t="shared" si="67"/>
        <v>No</v>
      </c>
      <c r="T812" s="125">
        <f t="shared" si="68"/>
        <v>0</v>
      </c>
      <c r="U812" s="125">
        <f t="shared" si="69"/>
        <v>0</v>
      </c>
      <c r="V812" s="4" t="e">
        <f>IF($Q812&lt;&gt;3,VLOOKUP(F812,'Points Table A'!B$3:$F$33,5),VLOOKUP(F812,'Points Table A'!H$3:$L$33,5))</f>
        <v>#N/A</v>
      </c>
      <c r="W812" s="4" t="e">
        <f>IF($Q812&lt;&gt;3,VLOOKUP(G812,'Points Table A'!C$3:$F$33,4),VLOOKUP(G812,'Points Table A'!I$3:$L$33,4))</f>
        <v>#N/A</v>
      </c>
      <c r="X812" s="4" t="e">
        <f>IF($Q812&lt;&gt;3,VLOOKUP(H812,'Points Table A'!D$3:$F$28,3),VLOOKUP(H812,'Points Table A'!J$3:$L$33,3))</f>
        <v>#N/A</v>
      </c>
      <c r="Y812" s="4" t="e">
        <f>IF($Q812&lt;&gt;3,VLOOKUP(I812,'Points Table A'!E$3:$F$33,2),VLOOKUP(I812,'Points Table A'!K$3:$L$33,2))</f>
        <v>#N/A</v>
      </c>
      <c r="Z812" s="4" t="e">
        <f t="shared" si="70"/>
        <v>#N/A</v>
      </c>
      <c r="AA812" s="4">
        <f>IF($S812=Lookups!$B$113,VLOOKUP(L812,'Points Table C'!A$3:$E$11,5),VLOOKUP(U812,'Points Table C'!B$3:$E$11,4))</f>
        <v>0</v>
      </c>
      <c r="AB812" s="4" t="e">
        <f>IF($Q812=1,0,VLOOKUP($J812,'Points Table C'!$C$3:$E$18,3))</f>
        <v>#N/A</v>
      </c>
      <c r="AC812" s="4">
        <f>VLOOKUP($K812,'Points Table C'!$D$3:$E$18,2)</f>
        <v>0</v>
      </c>
      <c r="AD812" s="4" t="e">
        <f>IF($Z812&lt;Lookups!$C$106,($AA812+AB812+AC812),IF($AA812&gt;=Lookups!$C$120,($AA812+AB812+AC812),$AA812+$AB812))</f>
        <v>#N/A</v>
      </c>
      <c r="AF812" s="7"/>
      <c r="AG812" s="7"/>
      <c r="AH812" s="7"/>
      <c r="AI812" s="7"/>
      <c r="AJ812" s="7"/>
      <c r="AK812" s="7"/>
      <c r="AL812" s="7"/>
      <c r="AM812" s="7"/>
      <c r="AN812" s="7"/>
      <c r="AO812" s="7"/>
      <c r="AP812" s="7"/>
      <c r="AQ812" s="7"/>
      <c r="AR812" s="7"/>
      <c r="AS812" s="7"/>
      <c r="AT812" s="7"/>
      <c r="AU812" s="7"/>
      <c r="AV812" s="7"/>
      <c r="AW812" s="7"/>
      <c r="AY812" s="7"/>
      <c r="AZ812" s="7"/>
      <c r="BA812" s="7"/>
      <c r="BB812" s="7"/>
    </row>
    <row r="813" spans="2:54" x14ac:dyDescent="0.2">
      <c r="B813" s="174"/>
      <c r="C813" s="176"/>
      <c r="F813" s="5">
        <v>0</v>
      </c>
      <c r="G813" s="192">
        <v>0</v>
      </c>
      <c r="H813" s="192">
        <v>0</v>
      </c>
      <c r="I813" s="5">
        <v>0</v>
      </c>
      <c r="J813" s="192">
        <v>0</v>
      </c>
      <c r="K813" s="192">
        <v>0</v>
      </c>
      <c r="L813" s="5">
        <v>0</v>
      </c>
      <c r="M813" s="5">
        <v>0</v>
      </c>
      <c r="N813" s="4" t="e">
        <f t="shared" si="66"/>
        <v>#N/A</v>
      </c>
      <c r="O813" s="4" t="e">
        <f>IF(ROUND(10.499-(((N813-VLOOKUP($C813,Lookups!$A$55:$D$64,3))/(VLOOKUP($C813,Lookups!$A$55:$D$64,4))*VLOOKUP($C813,Lookups!$C$2:$D$11,2))),0)&lt;1,1,IF(ROUND(10.499-(((N813-VLOOKUP($C813,Lookups!$A$55:$D$64,3))/(VLOOKUP($C813,Lookups!$A$55:$D$64,4))*VLOOKUP($C813,Lookups!$C$2:$D$11,2))),0)&lt;11,ROUND(10.499-(((N813-VLOOKUP($C813,Lookups!$A$55:$D$64,3))/(VLOOKUP($C813,Lookups!$A$55:$D$64,4))*VLOOKUP($C813,Lookups!$C$2:$D$11,2))),0),10))</f>
        <v>#N/A</v>
      </c>
      <c r="P813" s="13" t="str">
        <f>IF((SUM(F813:M813)=0),"J",VLOOKUP(O813,Lookups!$A$1:$B$11,2))</f>
        <v>J</v>
      </c>
      <c r="Q813" s="8" t="e">
        <f>VLOOKUP(C813,Lookups!$A$136:$C$144,3)</f>
        <v>#N/A</v>
      </c>
      <c r="R813" s="8" t="e">
        <f>VLOOKUP(C813,Lookups!$A$136:$C$144,2)</f>
        <v>#N/A</v>
      </c>
      <c r="S813" s="4" t="str">
        <f t="shared" si="67"/>
        <v>No</v>
      </c>
      <c r="T813" s="125">
        <f t="shared" si="68"/>
        <v>0</v>
      </c>
      <c r="U813" s="125">
        <f t="shared" si="69"/>
        <v>0</v>
      </c>
      <c r="V813" s="4" t="e">
        <f>IF($Q813&lt;&gt;3,VLOOKUP(F813,'Points Table A'!B$3:$F$33,5),VLOOKUP(F813,'Points Table A'!H$3:$L$33,5))</f>
        <v>#N/A</v>
      </c>
      <c r="W813" s="4" t="e">
        <f>IF($Q813&lt;&gt;3,VLOOKUP(G813,'Points Table A'!C$3:$F$33,4),VLOOKUP(G813,'Points Table A'!I$3:$L$33,4))</f>
        <v>#N/A</v>
      </c>
      <c r="X813" s="4" t="e">
        <f>IF($Q813&lt;&gt;3,VLOOKUP(H813,'Points Table A'!D$3:$F$28,3),VLOOKUP(H813,'Points Table A'!J$3:$L$33,3))</f>
        <v>#N/A</v>
      </c>
      <c r="Y813" s="4" t="e">
        <f>IF($Q813&lt;&gt;3,VLOOKUP(I813,'Points Table A'!E$3:$F$33,2),VLOOKUP(I813,'Points Table A'!K$3:$L$33,2))</f>
        <v>#N/A</v>
      </c>
      <c r="Z813" s="4" t="e">
        <f t="shared" si="70"/>
        <v>#N/A</v>
      </c>
      <c r="AA813" s="4">
        <f>IF($S813=Lookups!$B$113,VLOOKUP(L813,'Points Table C'!A$3:$E$11,5),VLOOKUP(U813,'Points Table C'!B$3:$E$11,4))</f>
        <v>0</v>
      </c>
      <c r="AB813" s="4" t="e">
        <f>IF($Q813=1,0,VLOOKUP($J813,'Points Table C'!$C$3:$E$18,3))</f>
        <v>#N/A</v>
      </c>
      <c r="AC813" s="4">
        <f>VLOOKUP($K813,'Points Table C'!$D$3:$E$18,2)</f>
        <v>0</v>
      </c>
      <c r="AD813" s="4" t="e">
        <f>IF($Z813&lt;Lookups!$C$106,($AA813+AB813+AC813),IF($AA813&gt;=Lookups!$C$120,($AA813+AB813+AC813),$AA813+$AB813))</f>
        <v>#N/A</v>
      </c>
      <c r="AF813" s="7"/>
      <c r="AG813" s="7"/>
      <c r="AH813" s="7"/>
      <c r="AI813" s="7"/>
      <c r="AJ813" s="7"/>
      <c r="AK813" s="7"/>
      <c r="AL813" s="7"/>
      <c r="AM813" s="7"/>
      <c r="AN813" s="7"/>
      <c r="AO813" s="7"/>
      <c r="AP813" s="7"/>
      <c r="AQ813" s="7"/>
      <c r="AR813" s="7"/>
      <c r="AS813" s="7"/>
      <c r="AT813" s="7"/>
      <c r="AU813" s="7"/>
      <c r="AV813" s="7"/>
      <c r="AW813" s="7"/>
      <c r="AY813" s="7"/>
      <c r="AZ813" s="7"/>
      <c r="BA813" s="7"/>
      <c r="BB813" s="7"/>
    </row>
    <row r="814" spans="2:54" x14ac:dyDescent="0.2">
      <c r="B814" s="174"/>
      <c r="C814" s="176"/>
      <c r="F814" s="5">
        <v>0</v>
      </c>
      <c r="G814" s="192">
        <v>0</v>
      </c>
      <c r="H814" s="192">
        <v>0</v>
      </c>
      <c r="I814" s="5">
        <v>0</v>
      </c>
      <c r="J814" s="192">
        <v>0</v>
      </c>
      <c r="K814" s="192">
        <v>0</v>
      </c>
      <c r="L814" s="5">
        <v>0</v>
      </c>
      <c r="M814" s="5">
        <v>0</v>
      </c>
      <c r="N814" s="4" t="e">
        <f t="shared" si="66"/>
        <v>#N/A</v>
      </c>
      <c r="O814" s="4" t="e">
        <f>IF(ROUND(10.499-(((N814-VLOOKUP($C814,Lookups!$A$55:$D$64,3))/(VLOOKUP($C814,Lookups!$A$55:$D$64,4))*VLOOKUP($C814,Lookups!$C$2:$D$11,2))),0)&lt;1,1,IF(ROUND(10.499-(((N814-VLOOKUP($C814,Lookups!$A$55:$D$64,3))/(VLOOKUP($C814,Lookups!$A$55:$D$64,4))*VLOOKUP($C814,Lookups!$C$2:$D$11,2))),0)&lt;11,ROUND(10.499-(((N814-VLOOKUP($C814,Lookups!$A$55:$D$64,3))/(VLOOKUP($C814,Lookups!$A$55:$D$64,4))*VLOOKUP($C814,Lookups!$C$2:$D$11,2))),0),10))</f>
        <v>#N/A</v>
      </c>
      <c r="P814" s="13" t="str">
        <f>IF((SUM(F814:M814)=0),"J",VLOOKUP(O814,Lookups!$A$1:$B$11,2))</f>
        <v>J</v>
      </c>
      <c r="Q814" s="8" t="e">
        <f>VLOOKUP(C814,Lookups!$A$136:$C$144,3)</f>
        <v>#N/A</v>
      </c>
      <c r="R814" s="8" t="e">
        <f>VLOOKUP(C814,Lookups!$A$136:$C$144,2)</f>
        <v>#N/A</v>
      </c>
      <c r="S814" s="4" t="str">
        <f t="shared" si="67"/>
        <v>No</v>
      </c>
      <c r="T814" s="125">
        <f t="shared" si="68"/>
        <v>0</v>
      </c>
      <c r="U814" s="125">
        <f t="shared" si="69"/>
        <v>0</v>
      </c>
      <c r="V814" s="4" t="e">
        <f>IF($Q814&lt;&gt;3,VLOOKUP(F814,'Points Table A'!B$3:$F$33,5),VLOOKUP(F814,'Points Table A'!H$3:$L$33,5))</f>
        <v>#N/A</v>
      </c>
      <c r="W814" s="4" t="e">
        <f>IF($Q814&lt;&gt;3,VLOOKUP(G814,'Points Table A'!C$3:$F$33,4),VLOOKUP(G814,'Points Table A'!I$3:$L$33,4))</f>
        <v>#N/A</v>
      </c>
      <c r="X814" s="4" t="e">
        <f>IF($Q814&lt;&gt;3,VLOOKUP(H814,'Points Table A'!D$3:$F$28,3),VLOOKUP(H814,'Points Table A'!J$3:$L$33,3))</f>
        <v>#N/A</v>
      </c>
      <c r="Y814" s="4" t="e">
        <f>IF($Q814&lt;&gt;3,VLOOKUP(I814,'Points Table A'!E$3:$F$33,2),VLOOKUP(I814,'Points Table A'!K$3:$L$33,2))</f>
        <v>#N/A</v>
      </c>
      <c r="Z814" s="4" t="e">
        <f t="shared" si="70"/>
        <v>#N/A</v>
      </c>
      <c r="AA814" s="4">
        <f>IF($S814=Lookups!$B$113,VLOOKUP(L814,'Points Table C'!A$3:$E$11,5),VLOOKUP(U814,'Points Table C'!B$3:$E$11,4))</f>
        <v>0</v>
      </c>
      <c r="AB814" s="4" t="e">
        <f>IF($Q814=1,0,VLOOKUP($J814,'Points Table C'!$C$3:$E$18,3))</f>
        <v>#N/A</v>
      </c>
      <c r="AC814" s="4">
        <f>VLOOKUP($K814,'Points Table C'!$D$3:$E$18,2)</f>
        <v>0</v>
      </c>
      <c r="AD814" s="4" t="e">
        <f>IF($Z814&lt;Lookups!$C$106,($AA814+AB814+AC814),IF($AA814&gt;=Lookups!$C$120,($AA814+AB814+AC814),$AA814+$AB814))</f>
        <v>#N/A</v>
      </c>
      <c r="AF814" s="7"/>
      <c r="AG814" s="7"/>
      <c r="AH814" s="7"/>
      <c r="AI814" s="7"/>
      <c r="AJ814" s="7"/>
      <c r="AK814" s="7"/>
      <c r="AL814" s="7"/>
      <c r="AM814" s="7"/>
      <c r="AN814" s="7"/>
      <c r="AO814" s="7"/>
      <c r="AP814" s="7"/>
      <c r="AQ814" s="7"/>
      <c r="AR814" s="7"/>
      <c r="AS814" s="7"/>
      <c r="AT814" s="7"/>
      <c r="AU814" s="7"/>
      <c r="AV814" s="7"/>
      <c r="AW814" s="7"/>
      <c r="AY814" s="7"/>
      <c r="AZ814" s="7"/>
      <c r="BA814" s="7"/>
      <c r="BB814" s="7"/>
    </row>
    <row r="815" spans="2:54" x14ac:dyDescent="0.2">
      <c r="B815" s="174"/>
      <c r="C815" s="176"/>
      <c r="F815" s="5">
        <v>0</v>
      </c>
      <c r="G815" s="192">
        <v>0</v>
      </c>
      <c r="H815" s="192">
        <v>0</v>
      </c>
      <c r="I815" s="5">
        <v>0</v>
      </c>
      <c r="J815" s="192">
        <v>0</v>
      </c>
      <c r="K815" s="192">
        <v>0</v>
      </c>
      <c r="L815" s="5">
        <v>0</v>
      </c>
      <c r="M815" s="5">
        <v>0</v>
      </c>
      <c r="N815" s="4" t="e">
        <f t="shared" si="66"/>
        <v>#N/A</v>
      </c>
      <c r="O815" s="4" t="e">
        <f>IF(ROUND(10.499-(((N815-VLOOKUP($C815,Lookups!$A$55:$D$64,3))/(VLOOKUP($C815,Lookups!$A$55:$D$64,4))*VLOOKUP($C815,Lookups!$C$2:$D$11,2))),0)&lt;1,1,IF(ROUND(10.499-(((N815-VLOOKUP($C815,Lookups!$A$55:$D$64,3))/(VLOOKUP($C815,Lookups!$A$55:$D$64,4))*VLOOKUP($C815,Lookups!$C$2:$D$11,2))),0)&lt;11,ROUND(10.499-(((N815-VLOOKUP($C815,Lookups!$A$55:$D$64,3))/(VLOOKUP($C815,Lookups!$A$55:$D$64,4))*VLOOKUP($C815,Lookups!$C$2:$D$11,2))),0),10))</f>
        <v>#N/A</v>
      </c>
      <c r="P815" s="13" t="str">
        <f>IF((SUM(F815:M815)=0),"J",VLOOKUP(O815,Lookups!$A$1:$B$11,2))</f>
        <v>J</v>
      </c>
      <c r="Q815" s="8" t="e">
        <f>VLOOKUP(C815,Lookups!$A$136:$C$144,3)</f>
        <v>#N/A</v>
      </c>
      <c r="R815" s="8" t="e">
        <f>VLOOKUP(C815,Lookups!$A$136:$C$144,2)</f>
        <v>#N/A</v>
      </c>
      <c r="S815" s="4" t="str">
        <f t="shared" si="67"/>
        <v>No</v>
      </c>
      <c r="T815" s="125">
        <f t="shared" si="68"/>
        <v>0</v>
      </c>
      <c r="U815" s="125">
        <f t="shared" si="69"/>
        <v>0</v>
      </c>
      <c r="V815" s="4" t="e">
        <f>IF($Q815&lt;&gt;3,VLOOKUP(F815,'Points Table A'!B$3:$F$33,5),VLOOKUP(F815,'Points Table A'!H$3:$L$33,5))</f>
        <v>#N/A</v>
      </c>
      <c r="W815" s="4" t="e">
        <f>IF($Q815&lt;&gt;3,VLOOKUP(G815,'Points Table A'!C$3:$F$33,4),VLOOKUP(G815,'Points Table A'!I$3:$L$33,4))</f>
        <v>#N/A</v>
      </c>
      <c r="X815" s="4" t="e">
        <f>IF($Q815&lt;&gt;3,VLOOKUP(H815,'Points Table A'!D$3:$F$28,3),VLOOKUP(H815,'Points Table A'!J$3:$L$33,3))</f>
        <v>#N/A</v>
      </c>
      <c r="Y815" s="4" t="e">
        <f>IF($Q815&lt;&gt;3,VLOOKUP(I815,'Points Table A'!E$3:$F$33,2),VLOOKUP(I815,'Points Table A'!K$3:$L$33,2))</f>
        <v>#N/A</v>
      </c>
      <c r="Z815" s="4" t="e">
        <f t="shared" si="70"/>
        <v>#N/A</v>
      </c>
      <c r="AA815" s="4">
        <f>IF($S815=Lookups!$B$113,VLOOKUP(L815,'Points Table C'!A$3:$E$11,5),VLOOKUP(U815,'Points Table C'!B$3:$E$11,4))</f>
        <v>0</v>
      </c>
      <c r="AB815" s="4" t="e">
        <f>IF($Q815=1,0,VLOOKUP($J815,'Points Table C'!$C$3:$E$18,3))</f>
        <v>#N/A</v>
      </c>
      <c r="AC815" s="4">
        <f>VLOOKUP($K815,'Points Table C'!$D$3:$E$18,2)</f>
        <v>0</v>
      </c>
      <c r="AD815" s="4" t="e">
        <f>IF($Z815&lt;Lookups!$C$106,($AA815+AB815+AC815),IF($AA815&gt;=Lookups!$C$120,($AA815+AB815+AC815),$AA815+$AB815))</f>
        <v>#N/A</v>
      </c>
      <c r="AF815" s="7"/>
      <c r="AG815" s="7"/>
      <c r="AH815" s="7"/>
      <c r="AI815" s="7"/>
      <c r="AJ815" s="7"/>
      <c r="AK815" s="7"/>
      <c r="AL815" s="7"/>
      <c r="AM815" s="7"/>
      <c r="AN815" s="7"/>
      <c r="AO815" s="7"/>
      <c r="AP815" s="7"/>
      <c r="AQ815" s="7"/>
      <c r="AR815" s="7"/>
      <c r="AS815" s="7"/>
      <c r="AT815" s="7"/>
      <c r="AU815" s="7"/>
      <c r="AV815" s="7"/>
      <c r="AW815" s="7"/>
      <c r="AY815" s="7"/>
      <c r="AZ815" s="7"/>
      <c r="BA815" s="7"/>
      <c r="BB815" s="7"/>
    </row>
    <row r="816" spans="2:54" x14ac:dyDescent="0.2">
      <c r="B816" s="174"/>
      <c r="C816" s="176"/>
      <c r="F816" s="5">
        <v>0</v>
      </c>
      <c r="G816" s="192">
        <v>0</v>
      </c>
      <c r="H816" s="192">
        <v>0</v>
      </c>
      <c r="I816" s="5">
        <v>0</v>
      </c>
      <c r="J816" s="192">
        <v>0</v>
      </c>
      <c r="K816" s="192">
        <v>0</v>
      </c>
      <c r="L816" s="5">
        <v>0</v>
      </c>
      <c r="M816" s="5">
        <v>0</v>
      </c>
      <c r="N816" s="4" t="e">
        <f t="shared" si="66"/>
        <v>#N/A</v>
      </c>
      <c r="O816" s="4" t="e">
        <f>IF(ROUND(10.499-(((N816-VLOOKUP($C816,Lookups!$A$55:$D$64,3))/(VLOOKUP($C816,Lookups!$A$55:$D$64,4))*VLOOKUP($C816,Lookups!$C$2:$D$11,2))),0)&lt;1,1,IF(ROUND(10.499-(((N816-VLOOKUP($C816,Lookups!$A$55:$D$64,3))/(VLOOKUP($C816,Lookups!$A$55:$D$64,4))*VLOOKUP($C816,Lookups!$C$2:$D$11,2))),0)&lt;11,ROUND(10.499-(((N816-VLOOKUP($C816,Lookups!$A$55:$D$64,3))/(VLOOKUP($C816,Lookups!$A$55:$D$64,4))*VLOOKUP($C816,Lookups!$C$2:$D$11,2))),0),10))</f>
        <v>#N/A</v>
      </c>
      <c r="P816" s="13" t="str">
        <f>IF((SUM(F816:M816)=0),"J",VLOOKUP(O816,Lookups!$A$1:$B$11,2))</f>
        <v>J</v>
      </c>
      <c r="Q816" s="8" t="e">
        <f>VLOOKUP(C816,Lookups!$A$136:$C$144,3)</f>
        <v>#N/A</v>
      </c>
      <c r="R816" s="8" t="e">
        <f>VLOOKUP(C816,Lookups!$A$136:$C$144,2)</f>
        <v>#N/A</v>
      </c>
      <c r="S816" s="4" t="str">
        <f t="shared" si="67"/>
        <v>No</v>
      </c>
      <c r="T816" s="125">
        <f t="shared" si="68"/>
        <v>0</v>
      </c>
      <c r="U816" s="125">
        <f t="shared" si="69"/>
        <v>0</v>
      </c>
      <c r="V816" s="4" t="e">
        <f>IF($Q816&lt;&gt;3,VLOOKUP(F816,'Points Table A'!B$3:$F$33,5),VLOOKUP(F816,'Points Table A'!H$3:$L$33,5))</f>
        <v>#N/A</v>
      </c>
      <c r="W816" s="4" t="e">
        <f>IF($Q816&lt;&gt;3,VLOOKUP(G816,'Points Table A'!C$3:$F$33,4),VLOOKUP(G816,'Points Table A'!I$3:$L$33,4))</f>
        <v>#N/A</v>
      </c>
      <c r="X816" s="4" t="e">
        <f>IF($Q816&lt;&gt;3,VLOOKUP(H816,'Points Table A'!D$3:$F$28,3),VLOOKUP(H816,'Points Table A'!J$3:$L$33,3))</f>
        <v>#N/A</v>
      </c>
      <c r="Y816" s="4" t="e">
        <f>IF($Q816&lt;&gt;3,VLOOKUP(I816,'Points Table A'!E$3:$F$33,2),VLOOKUP(I816,'Points Table A'!K$3:$L$33,2))</f>
        <v>#N/A</v>
      </c>
      <c r="Z816" s="4" t="e">
        <f t="shared" si="70"/>
        <v>#N/A</v>
      </c>
      <c r="AA816" s="4">
        <f>IF($S816=Lookups!$B$113,VLOOKUP(L816,'Points Table C'!A$3:$E$11,5),VLOOKUP(U816,'Points Table C'!B$3:$E$11,4))</f>
        <v>0</v>
      </c>
      <c r="AB816" s="4" t="e">
        <f>IF($Q816=1,0,VLOOKUP($J816,'Points Table C'!$C$3:$E$18,3))</f>
        <v>#N/A</v>
      </c>
      <c r="AC816" s="4">
        <f>VLOOKUP($K816,'Points Table C'!$D$3:$E$18,2)</f>
        <v>0</v>
      </c>
      <c r="AD816" s="4" t="e">
        <f>IF($Z816&lt;Lookups!$C$106,($AA816+AB816+AC816),IF($AA816&gt;=Lookups!$C$120,($AA816+AB816+AC816),$AA816+$AB816))</f>
        <v>#N/A</v>
      </c>
      <c r="AF816" s="7"/>
      <c r="AG816" s="7"/>
      <c r="AH816" s="7"/>
      <c r="AI816" s="7"/>
      <c r="AJ816" s="7"/>
      <c r="AK816" s="7"/>
      <c r="AL816" s="7"/>
      <c r="AM816" s="7"/>
      <c r="AN816" s="7"/>
      <c r="AO816" s="7"/>
      <c r="AP816" s="7"/>
      <c r="AQ816" s="7"/>
      <c r="AR816" s="7"/>
      <c r="AS816" s="7"/>
      <c r="AT816" s="7"/>
      <c r="AU816" s="7"/>
      <c r="AV816" s="7"/>
      <c r="AW816" s="7"/>
      <c r="AY816" s="7"/>
      <c r="AZ816" s="7"/>
      <c r="BA816" s="7"/>
      <c r="BB816" s="7"/>
    </row>
    <row r="817" spans="2:54" x14ac:dyDescent="0.2">
      <c r="B817" s="174"/>
      <c r="C817" s="176"/>
      <c r="F817" s="5">
        <v>0</v>
      </c>
      <c r="G817" s="192">
        <v>0</v>
      </c>
      <c r="H817" s="192">
        <v>0</v>
      </c>
      <c r="I817" s="5">
        <v>0</v>
      </c>
      <c r="J817" s="192">
        <v>0</v>
      </c>
      <c r="K817" s="192">
        <v>0</v>
      </c>
      <c r="L817" s="5">
        <v>0</v>
      </c>
      <c r="M817" s="5">
        <v>0</v>
      </c>
      <c r="N817" s="4" t="e">
        <f t="shared" si="66"/>
        <v>#N/A</v>
      </c>
      <c r="O817" s="4" t="e">
        <f>IF(ROUND(10.499-(((N817-VLOOKUP($C817,Lookups!$A$55:$D$64,3))/(VLOOKUP($C817,Lookups!$A$55:$D$64,4))*VLOOKUP($C817,Lookups!$C$2:$D$11,2))),0)&lt;1,1,IF(ROUND(10.499-(((N817-VLOOKUP($C817,Lookups!$A$55:$D$64,3))/(VLOOKUP($C817,Lookups!$A$55:$D$64,4))*VLOOKUP($C817,Lookups!$C$2:$D$11,2))),0)&lt;11,ROUND(10.499-(((N817-VLOOKUP($C817,Lookups!$A$55:$D$64,3))/(VLOOKUP($C817,Lookups!$A$55:$D$64,4))*VLOOKUP($C817,Lookups!$C$2:$D$11,2))),0),10))</f>
        <v>#N/A</v>
      </c>
      <c r="P817" s="13" t="str">
        <f>IF((SUM(F817:M817)=0),"J",VLOOKUP(O817,Lookups!$A$1:$B$11,2))</f>
        <v>J</v>
      </c>
      <c r="Q817" s="8" t="e">
        <f>VLOOKUP(C817,Lookups!$A$136:$C$144,3)</f>
        <v>#N/A</v>
      </c>
      <c r="R817" s="8" t="e">
        <f>VLOOKUP(C817,Lookups!$A$136:$C$144,2)</f>
        <v>#N/A</v>
      </c>
      <c r="S817" s="4" t="str">
        <f t="shared" si="67"/>
        <v>No</v>
      </c>
      <c r="T817" s="125">
        <f t="shared" si="68"/>
        <v>0</v>
      </c>
      <c r="U817" s="125">
        <f t="shared" si="69"/>
        <v>0</v>
      </c>
      <c r="V817" s="4" t="e">
        <f>IF($Q817&lt;&gt;3,VLOOKUP(F817,'Points Table A'!B$3:$F$33,5),VLOOKUP(F817,'Points Table A'!H$3:$L$33,5))</f>
        <v>#N/A</v>
      </c>
      <c r="W817" s="4" t="e">
        <f>IF($Q817&lt;&gt;3,VLOOKUP(G817,'Points Table A'!C$3:$F$33,4),VLOOKUP(G817,'Points Table A'!I$3:$L$33,4))</f>
        <v>#N/A</v>
      </c>
      <c r="X817" s="4" t="e">
        <f>IF($Q817&lt;&gt;3,VLOOKUP(H817,'Points Table A'!D$3:$F$28,3),VLOOKUP(H817,'Points Table A'!J$3:$L$33,3))</f>
        <v>#N/A</v>
      </c>
      <c r="Y817" s="4" t="e">
        <f>IF($Q817&lt;&gt;3,VLOOKUP(I817,'Points Table A'!E$3:$F$33,2),VLOOKUP(I817,'Points Table A'!K$3:$L$33,2))</f>
        <v>#N/A</v>
      </c>
      <c r="Z817" s="4" t="e">
        <f t="shared" si="70"/>
        <v>#N/A</v>
      </c>
      <c r="AA817" s="4">
        <f>IF($S817=Lookups!$B$113,VLOOKUP(L817,'Points Table C'!A$3:$E$11,5),VLOOKUP(U817,'Points Table C'!B$3:$E$11,4))</f>
        <v>0</v>
      </c>
      <c r="AB817" s="4" t="e">
        <f>IF($Q817=1,0,VLOOKUP($J817,'Points Table C'!$C$3:$E$18,3))</f>
        <v>#N/A</v>
      </c>
      <c r="AC817" s="4">
        <f>VLOOKUP($K817,'Points Table C'!$D$3:$E$18,2)</f>
        <v>0</v>
      </c>
      <c r="AD817" s="4" t="e">
        <f>IF($Z817&lt;Lookups!$C$106,($AA817+AB817+AC817),IF($AA817&gt;=Lookups!$C$120,($AA817+AB817+AC817),$AA817+$AB817))</f>
        <v>#N/A</v>
      </c>
      <c r="AF817" s="7"/>
      <c r="AG817" s="7"/>
      <c r="AH817" s="7"/>
      <c r="AI817" s="7"/>
      <c r="AJ817" s="7"/>
      <c r="AK817" s="7"/>
      <c r="AL817" s="7"/>
      <c r="AM817" s="7"/>
      <c r="AN817" s="7"/>
      <c r="AO817" s="7"/>
      <c r="AP817" s="7"/>
      <c r="AQ817" s="7"/>
      <c r="AR817" s="7"/>
      <c r="AS817" s="7"/>
      <c r="AT817" s="7"/>
      <c r="AU817" s="7"/>
      <c r="AV817" s="7"/>
      <c r="AW817" s="7"/>
      <c r="AY817" s="7"/>
      <c r="AZ817" s="7"/>
      <c r="BA817" s="7"/>
      <c r="BB817" s="7"/>
    </row>
    <row r="818" spans="2:54" x14ac:dyDescent="0.2">
      <c r="B818" s="174"/>
      <c r="C818" s="176"/>
      <c r="F818" s="5">
        <v>0</v>
      </c>
      <c r="G818" s="192">
        <v>0</v>
      </c>
      <c r="H818" s="192">
        <v>0</v>
      </c>
      <c r="I818" s="5">
        <v>0</v>
      </c>
      <c r="J818" s="192">
        <v>0</v>
      </c>
      <c r="K818" s="192">
        <v>0</v>
      </c>
      <c r="L818" s="5">
        <v>0</v>
      </c>
      <c r="M818" s="5">
        <v>0</v>
      </c>
      <c r="N818" s="4" t="e">
        <f t="shared" si="66"/>
        <v>#N/A</v>
      </c>
      <c r="O818" s="4" t="e">
        <f>IF(ROUND(10.499-(((N818-VLOOKUP($C818,Lookups!$A$55:$D$64,3))/(VLOOKUP($C818,Lookups!$A$55:$D$64,4))*VLOOKUP($C818,Lookups!$C$2:$D$11,2))),0)&lt;1,1,IF(ROUND(10.499-(((N818-VLOOKUP($C818,Lookups!$A$55:$D$64,3))/(VLOOKUP($C818,Lookups!$A$55:$D$64,4))*VLOOKUP($C818,Lookups!$C$2:$D$11,2))),0)&lt;11,ROUND(10.499-(((N818-VLOOKUP($C818,Lookups!$A$55:$D$64,3))/(VLOOKUP($C818,Lookups!$A$55:$D$64,4))*VLOOKUP($C818,Lookups!$C$2:$D$11,2))),0),10))</f>
        <v>#N/A</v>
      </c>
      <c r="P818" s="13" t="str">
        <f>IF((SUM(F818:M818)=0),"J",VLOOKUP(O818,Lookups!$A$1:$B$11,2))</f>
        <v>J</v>
      </c>
      <c r="Q818" s="8" t="e">
        <f>VLOOKUP(C818,Lookups!$A$136:$C$144,3)</f>
        <v>#N/A</v>
      </c>
      <c r="R818" s="8" t="e">
        <f>VLOOKUP(C818,Lookups!$A$136:$C$144,2)</f>
        <v>#N/A</v>
      </c>
      <c r="S818" s="4" t="str">
        <f t="shared" si="67"/>
        <v>No</v>
      </c>
      <c r="T818" s="125">
        <f t="shared" si="68"/>
        <v>0</v>
      </c>
      <c r="U818" s="125">
        <f t="shared" si="69"/>
        <v>0</v>
      </c>
      <c r="V818" s="4" t="e">
        <f>IF($Q818&lt;&gt;3,VLOOKUP(F818,'Points Table A'!B$3:$F$33,5),VLOOKUP(F818,'Points Table A'!H$3:$L$33,5))</f>
        <v>#N/A</v>
      </c>
      <c r="W818" s="4" t="e">
        <f>IF($Q818&lt;&gt;3,VLOOKUP(G818,'Points Table A'!C$3:$F$33,4),VLOOKUP(G818,'Points Table A'!I$3:$L$33,4))</f>
        <v>#N/A</v>
      </c>
      <c r="X818" s="4" t="e">
        <f>IF($Q818&lt;&gt;3,VLOOKUP(H818,'Points Table A'!D$3:$F$28,3),VLOOKUP(H818,'Points Table A'!J$3:$L$33,3))</f>
        <v>#N/A</v>
      </c>
      <c r="Y818" s="4" t="e">
        <f>IF($Q818&lt;&gt;3,VLOOKUP(I818,'Points Table A'!E$3:$F$33,2),VLOOKUP(I818,'Points Table A'!K$3:$L$33,2))</f>
        <v>#N/A</v>
      </c>
      <c r="Z818" s="4" t="e">
        <f t="shared" si="70"/>
        <v>#N/A</v>
      </c>
      <c r="AA818" s="4">
        <f>IF($S818=Lookups!$B$113,VLOOKUP(L818,'Points Table C'!A$3:$E$11,5),VLOOKUP(U818,'Points Table C'!B$3:$E$11,4))</f>
        <v>0</v>
      </c>
      <c r="AB818" s="4" t="e">
        <f>IF($Q818=1,0,VLOOKUP($J818,'Points Table C'!$C$3:$E$18,3))</f>
        <v>#N/A</v>
      </c>
      <c r="AC818" s="4">
        <f>VLOOKUP($K818,'Points Table C'!$D$3:$E$18,2)</f>
        <v>0</v>
      </c>
      <c r="AD818" s="4" t="e">
        <f>IF($Z818&lt;Lookups!$C$106,($AA818+AB818+AC818),IF($AA818&gt;=Lookups!$C$120,($AA818+AB818+AC818),$AA818+$AB818))</f>
        <v>#N/A</v>
      </c>
      <c r="AF818" s="7"/>
      <c r="AG818" s="7"/>
      <c r="AH818" s="7"/>
      <c r="AI818" s="7"/>
      <c r="AJ818" s="7"/>
      <c r="AK818" s="7"/>
      <c r="AL818" s="7"/>
      <c r="AM818" s="7"/>
      <c r="AN818" s="7"/>
      <c r="AO818" s="7"/>
      <c r="AP818" s="7"/>
      <c r="AQ818" s="7"/>
      <c r="AR818" s="7"/>
      <c r="AS818" s="7"/>
      <c r="AT818" s="7"/>
      <c r="AU818" s="7"/>
      <c r="AV818" s="7"/>
      <c r="AW818" s="7"/>
      <c r="AY818" s="7"/>
      <c r="AZ818" s="7"/>
      <c r="BA818" s="7"/>
      <c r="BB818" s="7"/>
    </row>
    <row r="819" spans="2:54" x14ac:dyDescent="0.2">
      <c r="B819" s="174"/>
      <c r="C819" s="176"/>
      <c r="F819" s="5">
        <v>0</v>
      </c>
      <c r="G819" s="192">
        <v>0</v>
      </c>
      <c r="H819" s="192">
        <v>0</v>
      </c>
      <c r="I819" s="5">
        <v>0</v>
      </c>
      <c r="J819" s="192">
        <v>0</v>
      </c>
      <c r="K819" s="192">
        <v>0</v>
      </c>
      <c r="L819" s="5">
        <v>0</v>
      </c>
      <c r="M819" s="5">
        <v>0</v>
      </c>
      <c r="N819" s="4" t="e">
        <f t="shared" si="66"/>
        <v>#N/A</v>
      </c>
      <c r="O819" s="4" t="e">
        <f>IF(ROUND(10.499-(((N819-VLOOKUP($C819,Lookups!$A$55:$D$64,3))/(VLOOKUP($C819,Lookups!$A$55:$D$64,4))*VLOOKUP($C819,Lookups!$C$2:$D$11,2))),0)&lt;1,1,IF(ROUND(10.499-(((N819-VLOOKUP($C819,Lookups!$A$55:$D$64,3))/(VLOOKUP($C819,Lookups!$A$55:$D$64,4))*VLOOKUP($C819,Lookups!$C$2:$D$11,2))),0)&lt;11,ROUND(10.499-(((N819-VLOOKUP($C819,Lookups!$A$55:$D$64,3))/(VLOOKUP($C819,Lookups!$A$55:$D$64,4))*VLOOKUP($C819,Lookups!$C$2:$D$11,2))),0),10))</f>
        <v>#N/A</v>
      </c>
      <c r="P819" s="13" t="str">
        <f>IF((SUM(F819:M819)=0),"J",VLOOKUP(O819,Lookups!$A$1:$B$11,2))</f>
        <v>J</v>
      </c>
      <c r="Q819" s="8" t="e">
        <f>VLOOKUP(C819,Lookups!$A$136:$C$144,3)</f>
        <v>#N/A</v>
      </c>
      <c r="R819" s="8" t="e">
        <f>VLOOKUP(C819,Lookups!$A$136:$C$144,2)</f>
        <v>#N/A</v>
      </c>
      <c r="S819" s="4" t="str">
        <f t="shared" si="67"/>
        <v>No</v>
      </c>
      <c r="T819" s="125">
        <f t="shared" si="68"/>
        <v>0</v>
      </c>
      <c r="U819" s="125">
        <f t="shared" si="69"/>
        <v>0</v>
      </c>
      <c r="V819" s="4" t="e">
        <f>IF($Q819&lt;&gt;3,VLOOKUP(F819,'Points Table A'!B$3:$F$33,5),VLOOKUP(F819,'Points Table A'!H$3:$L$33,5))</f>
        <v>#N/A</v>
      </c>
      <c r="W819" s="4" t="e">
        <f>IF($Q819&lt;&gt;3,VLOOKUP(G819,'Points Table A'!C$3:$F$33,4),VLOOKUP(G819,'Points Table A'!I$3:$L$33,4))</f>
        <v>#N/A</v>
      </c>
      <c r="X819" s="4" t="e">
        <f>IF($Q819&lt;&gt;3,VLOOKUP(H819,'Points Table A'!D$3:$F$28,3),VLOOKUP(H819,'Points Table A'!J$3:$L$33,3))</f>
        <v>#N/A</v>
      </c>
      <c r="Y819" s="4" t="e">
        <f>IF($Q819&lt;&gt;3,VLOOKUP(I819,'Points Table A'!E$3:$F$33,2),VLOOKUP(I819,'Points Table A'!K$3:$L$33,2))</f>
        <v>#N/A</v>
      </c>
      <c r="Z819" s="4" t="e">
        <f t="shared" si="70"/>
        <v>#N/A</v>
      </c>
      <c r="AA819" s="4">
        <f>IF($S819=Lookups!$B$113,VLOOKUP(L819,'Points Table C'!A$3:$E$11,5),VLOOKUP(U819,'Points Table C'!B$3:$E$11,4))</f>
        <v>0</v>
      </c>
      <c r="AB819" s="4" t="e">
        <f>IF($Q819=1,0,VLOOKUP($J819,'Points Table C'!$C$3:$E$18,3))</f>
        <v>#N/A</v>
      </c>
      <c r="AC819" s="4">
        <f>VLOOKUP($K819,'Points Table C'!$D$3:$E$18,2)</f>
        <v>0</v>
      </c>
      <c r="AD819" s="4" t="e">
        <f>IF($Z819&lt;Lookups!$C$106,($AA819+AB819+AC819),IF($AA819&gt;=Lookups!$C$120,($AA819+AB819+AC819),$AA819+$AB819))</f>
        <v>#N/A</v>
      </c>
      <c r="AF819" s="7"/>
      <c r="AG819" s="7"/>
      <c r="AH819" s="7"/>
      <c r="AI819" s="7"/>
      <c r="AJ819" s="7"/>
      <c r="AK819" s="7"/>
      <c r="AL819" s="7"/>
      <c r="AM819" s="7"/>
      <c r="AN819" s="7"/>
      <c r="AO819" s="7"/>
      <c r="AP819" s="7"/>
      <c r="AQ819" s="7"/>
      <c r="AR819" s="7"/>
      <c r="AS819" s="7"/>
      <c r="AT819" s="7"/>
      <c r="AU819" s="7"/>
      <c r="AV819" s="7"/>
      <c r="AW819" s="7"/>
      <c r="AY819" s="7"/>
      <c r="AZ819" s="7"/>
      <c r="BA819" s="7"/>
      <c r="BB819" s="7"/>
    </row>
    <row r="820" spans="2:54" x14ac:dyDescent="0.2">
      <c r="B820" s="174"/>
      <c r="C820" s="176"/>
      <c r="F820" s="5">
        <v>0</v>
      </c>
      <c r="G820" s="192">
        <v>0</v>
      </c>
      <c r="H820" s="192">
        <v>0</v>
      </c>
      <c r="I820" s="5">
        <v>0</v>
      </c>
      <c r="J820" s="192">
        <v>0</v>
      </c>
      <c r="K820" s="192">
        <v>0</v>
      </c>
      <c r="L820" s="5">
        <v>0</v>
      </c>
      <c r="M820" s="5">
        <v>0</v>
      </c>
      <c r="N820" s="4" t="e">
        <f t="shared" si="66"/>
        <v>#N/A</v>
      </c>
      <c r="O820" s="4" t="e">
        <f>IF(ROUND(10.499-(((N820-VLOOKUP($C820,Lookups!$A$55:$D$64,3))/(VLOOKUP($C820,Lookups!$A$55:$D$64,4))*VLOOKUP($C820,Lookups!$C$2:$D$11,2))),0)&lt;1,1,IF(ROUND(10.499-(((N820-VLOOKUP($C820,Lookups!$A$55:$D$64,3))/(VLOOKUP($C820,Lookups!$A$55:$D$64,4))*VLOOKUP($C820,Lookups!$C$2:$D$11,2))),0)&lt;11,ROUND(10.499-(((N820-VLOOKUP($C820,Lookups!$A$55:$D$64,3))/(VLOOKUP($C820,Lookups!$A$55:$D$64,4))*VLOOKUP($C820,Lookups!$C$2:$D$11,2))),0),10))</f>
        <v>#N/A</v>
      </c>
      <c r="P820" s="13" t="str">
        <f>IF((SUM(F820:M820)=0),"J",VLOOKUP(O820,Lookups!$A$1:$B$11,2))</f>
        <v>J</v>
      </c>
      <c r="Q820" s="8" t="e">
        <f>VLOOKUP(C820,Lookups!$A$136:$C$144,3)</f>
        <v>#N/A</v>
      </c>
      <c r="R820" s="8" t="e">
        <f>VLOOKUP(C820,Lookups!$A$136:$C$144,2)</f>
        <v>#N/A</v>
      </c>
      <c r="S820" s="4" t="str">
        <f t="shared" si="67"/>
        <v>No</v>
      </c>
      <c r="T820" s="125">
        <f t="shared" si="68"/>
        <v>0</v>
      </c>
      <c r="U820" s="125">
        <f t="shared" si="69"/>
        <v>0</v>
      </c>
      <c r="V820" s="4" t="e">
        <f>IF($Q820&lt;&gt;3,VLOOKUP(F820,'Points Table A'!B$3:$F$33,5),VLOOKUP(F820,'Points Table A'!H$3:$L$33,5))</f>
        <v>#N/A</v>
      </c>
      <c r="W820" s="4" t="e">
        <f>IF($Q820&lt;&gt;3,VLOOKUP(G820,'Points Table A'!C$3:$F$33,4),VLOOKUP(G820,'Points Table A'!I$3:$L$33,4))</f>
        <v>#N/A</v>
      </c>
      <c r="X820" s="4" t="e">
        <f>IF($Q820&lt;&gt;3,VLOOKUP(H820,'Points Table A'!D$3:$F$28,3),VLOOKUP(H820,'Points Table A'!J$3:$L$33,3))</f>
        <v>#N/A</v>
      </c>
      <c r="Y820" s="4" t="e">
        <f>IF($Q820&lt;&gt;3,VLOOKUP(I820,'Points Table A'!E$3:$F$33,2),VLOOKUP(I820,'Points Table A'!K$3:$L$33,2))</f>
        <v>#N/A</v>
      </c>
      <c r="Z820" s="4" t="e">
        <f t="shared" si="70"/>
        <v>#N/A</v>
      </c>
      <c r="AA820" s="4">
        <f>IF($S820=Lookups!$B$113,VLOOKUP(L820,'Points Table C'!A$3:$E$11,5),VLOOKUP(U820,'Points Table C'!B$3:$E$11,4))</f>
        <v>0</v>
      </c>
      <c r="AB820" s="4" t="e">
        <f>IF($Q820=1,0,VLOOKUP($J820,'Points Table C'!$C$3:$E$18,3))</f>
        <v>#N/A</v>
      </c>
      <c r="AC820" s="4">
        <f>VLOOKUP($K820,'Points Table C'!$D$3:$E$18,2)</f>
        <v>0</v>
      </c>
      <c r="AD820" s="4" t="e">
        <f>IF($Z820&lt;Lookups!$C$106,($AA820+AB820+AC820),IF($AA820&gt;=Lookups!$C$120,($AA820+AB820+AC820),$AA820+$AB820))</f>
        <v>#N/A</v>
      </c>
      <c r="AF820" s="7"/>
      <c r="AG820" s="7"/>
      <c r="AH820" s="7"/>
      <c r="AI820" s="7"/>
      <c r="AJ820" s="7"/>
      <c r="AK820" s="7"/>
      <c r="AL820" s="7"/>
      <c r="AM820" s="7"/>
      <c r="AN820" s="7"/>
      <c r="AO820" s="7"/>
      <c r="AP820" s="7"/>
      <c r="AQ820" s="7"/>
      <c r="AR820" s="7"/>
      <c r="AS820" s="7"/>
      <c r="AT820" s="7"/>
      <c r="AU820" s="7"/>
      <c r="AV820" s="7"/>
      <c r="AW820" s="7"/>
      <c r="AY820" s="7"/>
      <c r="AZ820" s="7"/>
      <c r="BA820" s="7"/>
      <c r="BB820" s="7"/>
    </row>
    <row r="821" spans="2:54" x14ac:dyDescent="0.2">
      <c r="B821" s="174"/>
      <c r="C821" s="176"/>
      <c r="F821" s="5">
        <v>0</v>
      </c>
      <c r="G821" s="192">
        <v>0</v>
      </c>
      <c r="H821" s="192">
        <v>0</v>
      </c>
      <c r="I821" s="5">
        <v>0</v>
      </c>
      <c r="J821" s="192">
        <v>0</v>
      </c>
      <c r="K821" s="192">
        <v>0</v>
      </c>
      <c r="L821" s="5">
        <v>0</v>
      </c>
      <c r="M821" s="5">
        <v>0</v>
      </c>
      <c r="N821" s="4" t="e">
        <f t="shared" si="66"/>
        <v>#N/A</v>
      </c>
      <c r="O821" s="4" t="e">
        <f>IF(ROUND(10.499-(((N821-VLOOKUP($C821,Lookups!$A$55:$D$64,3))/(VLOOKUP($C821,Lookups!$A$55:$D$64,4))*VLOOKUP($C821,Lookups!$C$2:$D$11,2))),0)&lt;1,1,IF(ROUND(10.499-(((N821-VLOOKUP($C821,Lookups!$A$55:$D$64,3))/(VLOOKUP($C821,Lookups!$A$55:$D$64,4))*VLOOKUP($C821,Lookups!$C$2:$D$11,2))),0)&lt;11,ROUND(10.499-(((N821-VLOOKUP($C821,Lookups!$A$55:$D$64,3))/(VLOOKUP($C821,Lookups!$A$55:$D$64,4))*VLOOKUP($C821,Lookups!$C$2:$D$11,2))),0),10))</f>
        <v>#N/A</v>
      </c>
      <c r="P821" s="13" t="str">
        <f>IF((SUM(F821:M821)=0),"J",VLOOKUP(O821,Lookups!$A$1:$B$11,2))</f>
        <v>J</v>
      </c>
      <c r="Q821" s="8" t="e">
        <f>VLOOKUP(C821,Lookups!$A$136:$C$144,3)</f>
        <v>#N/A</v>
      </c>
      <c r="R821" s="8" t="e">
        <f>VLOOKUP(C821,Lookups!$A$136:$C$144,2)</f>
        <v>#N/A</v>
      </c>
      <c r="S821" s="4" t="str">
        <f t="shared" si="67"/>
        <v>No</v>
      </c>
      <c r="T821" s="125">
        <f t="shared" si="68"/>
        <v>0</v>
      </c>
      <c r="U821" s="125">
        <f t="shared" si="69"/>
        <v>0</v>
      </c>
      <c r="V821" s="4" t="e">
        <f>IF($Q821&lt;&gt;3,VLOOKUP(F821,'Points Table A'!B$3:$F$33,5),VLOOKUP(F821,'Points Table A'!H$3:$L$33,5))</f>
        <v>#N/A</v>
      </c>
      <c r="W821" s="4" t="e">
        <f>IF($Q821&lt;&gt;3,VLOOKUP(G821,'Points Table A'!C$3:$F$33,4),VLOOKUP(G821,'Points Table A'!I$3:$L$33,4))</f>
        <v>#N/A</v>
      </c>
      <c r="X821" s="4" t="e">
        <f>IF($Q821&lt;&gt;3,VLOOKUP(H821,'Points Table A'!D$3:$F$28,3),VLOOKUP(H821,'Points Table A'!J$3:$L$33,3))</f>
        <v>#N/A</v>
      </c>
      <c r="Y821" s="4" t="e">
        <f>IF($Q821&lt;&gt;3,VLOOKUP(I821,'Points Table A'!E$3:$F$33,2),VLOOKUP(I821,'Points Table A'!K$3:$L$33,2))</f>
        <v>#N/A</v>
      </c>
      <c r="Z821" s="4" t="e">
        <f t="shared" si="70"/>
        <v>#N/A</v>
      </c>
      <c r="AA821" s="4">
        <f>IF($S821=Lookups!$B$113,VLOOKUP(L821,'Points Table C'!A$3:$E$11,5),VLOOKUP(U821,'Points Table C'!B$3:$E$11,4))</f>
        <v>0</v>
      </c>
      <c r="AB821" s="4" t="e">
        <f>IF($Q821=1,0,VLOOKUP($J821,'Points Table C'!$C$3:$E$18,3))</f>
        <v>#N/A</v>
      </c>
      <c r="AC821" s="4">
        <f>VLOOKUP($K821,'Points Table C'!$D$3:$E$18,2)</f>
        <v>0</v>
      </c>
      <c r="AD821" s="4" t="e">
        <f>IF($Z821&lt;Lookups!$C$106,($AA821+AB821+AC821),IF($AA821&gt;=Lookups!$C$120,($AA821+AB821+AC821),$AA821+$AB821))</f>
        <v>#N/A</v>
      </c>
      <c r="AF821" s="7"/>
      <c r="AG821" s="7"/>
      <c r="AH821" s="7"/>
      <c r="AI821" s="7"/>
      <c r="AJ821" s="7"/>
      <c r="AK821" s="7"/>
      <c r="AL821" s="7"/>
      <c r="AM821" s="7"/>
      <c r="AN821" s="7"/>
      <c r="AO821" s="7"/>
      <c r="AP821" s="7"/>
      <c r="AQ821" s="7"/>
      <c r="AR821" s="7"/>
      <c r="AS821" s="7"/>
      <c r="AT821" s="7"/>
      <c r="AU821" s="7"/>
      <c r="AV821" s="7"/>
      <c r="AW821" s="7"/>
      <c r="AY821" s="7"/>
      <c r="AZ821" s="7"/>
      <c r="BA821" s="7"/>
      <c r="BB821" s="7"/>
    </row>
    <row r="822" spans="2:54" x14ac:dyDescent="0.2">
      <c r="B822" s="174"/>
      <c r="C822" s="176"/>
      <c r="F822" s="5">
        <v>0</v>
      </c>
      <c r="G822" s="192">
        <v>0</v>
      </c>
      <c r="H822" s="192">
        <v>0</v>
      </c>
      <c r="I822" s="5">
        <v>0</v>
      </c>
      <c r="J822" s="192">
        <v>0</v>
      </c>
      <c r="K822" s="192">
        <v>0</v>
      </c>
      <c r="L822" s="5">
        <v>0</v>
      </c>
      <c r="M822" s="5">
        <v>0</v>
      </c>
      <c r="N822" s="4" t="e">
        <f t="shared" si="66"/>
        <v>#N/A</v>
      </c>
      <c r="O822" s="4" t="e">
        <f>IF(ROUND(10.499-(((N822-VLOOKUP($C822,Lookups!$A$55:$D$64,3))/(VLOOKUP($C822,Lookups!$A$55:$D$64,4))*VLOOKUP($C822,Lookups!$C$2:$D$11,2))),0)&lt;1,1,IF(ROUND(10.499-(((N822-VLOOKUP($C822,Lookups!$A$55:$D$64,3))/(VLOOKUP($C822,Lookups!$A$55:$D$64,4))*VLOOKUP($C822,Lookups!$C$2:$D$11,2))),0)&lt;11,ROUND(10.499-(((N822-VLOOKUP($C822,Lookups!$A$55:$D$64,3))/(VLOOKUP($C822,Lookups!$A$55:$D$64,4))*VLOOKUP($C822,Lookups!$C$2:$D$11,2))),0),10))</f>
        <v>#N/A</v>
      </c>
      <c r="P822" s="13" t="str">
        <f>IF((SUM(F822:M822)=0),"J",VLOOKUP(O822,Lookups!$A$1:$B$11,2))</f>
        <v>J</v>
      </c>
      <c r="Q822" s="8" t="e">
        <f>VLOOKUP(C822,Lookups!$A$136:$C$144,3)</f>
        <v>#N/A</v>
      </c>
      <c r="R822" s="8" t="e">
        <f>VLOOKUP(C822,Lookups!$A$136:$C$144,2)</f>
        <v>#N/A</v>
      </c>
      <c r="S822" s="4" t="str">
        <f t="shared" si="67"/>
        <v>No</v>
      </c>
      <c r="T822" s="125">
        <f t="shared" si="68"/>
        <v>0</v>
      </c>
      <c r="U822" s="125">
        <f t="shared" si="69"/>
        <v>0</v>
      </c>
      <c r="V822" s="4" t="e">
        <f>IF($Q822&lt;&gt;3,VLOOKUP(F822,'Points Table A'!B$3:$F$33,5),VLOOKUP(F822,'Points Table A'!H$3:$L$33,5))</f>
        <v>#N/A</v>
      </c>
      <c r="W822" s="4" t="e">
        <f>IF($Q822&lt;&gt;3,VLOOKUP(G822,'Points Table A'!C$3:$F$33,4),VLOOKUP(G822,'Points Table A'!I$3:$L$33,4))</f>
        <v>#N/A</v>
      </c>
      <c r="X822" s="4" t="e">
        <f>IF($Q822&lt;&gt;3,VLOOKUP(H822,'Points Table A'!D$3:$F$28,3),VLOOKUP(H822,'Points Table A'!J$3:$L$33,3))</f>
        <v>#N/A</v>
      </c>
      <c r="Y822" s="4" t="e">
        <f>IF($Q822&lt;&gt;3,VLOOKUP(I822,'Points Table A'!E$3:$F$33,2),VLOOKUP(I822,'Points Table A'!K$3:$L$33,2))</f>
        <v>#N/A</v>
      </c>
      <c r="Z822" s="4" t="e">
        <f t="shared" si="70"/>
        <v>#N/A</v>
      </c>
      <c r="AA822" s="4">
        <f>IF($S822=Lookups!$B$113,VLOOKUP(L822,'Points Table C'!A$3:$E$11,5),VLOOKUP(U822,'Points Table C'!B$3:$E$11,4))</f>
        <v>0</v>
      </c>
      <c r="AB822" s="4" t="e">
        <f>IF($Q822=1,0,VLOOKUP($J822,'Points Table C'!$C$3:$E$18,3))</f>
        <v>#N/A</v>
      </c>
      <c r="AC822" s="4">
        <f>VLOOKUP($K822,'Points Table C'!$D$3:$E$18,2)</f>
        <v>0</v>
      </c>
      <c r="AD822" s="4" t="e">
        <f>IF($Z822&lt;Lookups!$C$106,($AA822+AB822+AC822),IF($AA822&gt;=Lookups!$C$120,($AA822+AB822+AC822),$AA822+$AB822))</f>
        <v>#N/A</v>
      </c>
      <c r="AF822" s="7"/>
      <c r="AG822" s="7"/>
      <c r="AH822" s="7"/>
      <c r="AI822" s="7"/>
      <c r="AJ822" s="7"/>
      <c r="AK822" s="7"/>
      <c r="AL822" s="7"/>
      <c r="AM822" s="7"/>
      <c r="AN822" s="7"/>
      <c r="AO822" s="7"/>
      <c r="AP822" s="7"/>
      <c r="AQ822" s="7"/>
      <c r="AR822" s="7"/>
      <c r="AS822" s="7"/>
      <c r="AT822" s="7"/>
      <c r="AU822" s="7"/>
      <c r="AV822" s="7"/>
      <c r="AW822" s="7"/>
      <c r="AY822" s="7"/>
      <c r="AZ822" s="7"/>
      <c r="BA822" s="7"/>
      <c r="BB822" s="7"/>
    </row>
    <row r="823" spans="2:54" x14ac:dyDescent="0.2">
      <c r="B823" s="174"/>
      <c r="C823" s="176"/>
      <c r="F823" s="5">
        <v>0</v>
      </c>
      <c r="G823" s="192">
        <v>0</v>
      </c>
      <c r="H823" s="192">
        <v>0</v>
      </c>
      <c r="I823" s="5">
        <v>0</v>
      </c>
      <c r="J823" s="192">
        <v>0</v>
      </c>
      <c r="K823" s="192">
        <v>0</v>
      </c>
      <c r="L823" s="5">
        <v>0</v>
      </c>
      <c r="M823" s="5">
        <v>0</v>
      </c>
      <c r="N823" s="4" t="e">
        <f t="shared" si="66"/>
        <v>#N/A</v>
      </c>
      <c r="O823" s="4" t="e">
        <f>IF(ROUND(10.499-(((N823-VLOOKUP($C823,Lookups!$A$55:$D$64,3))/(VLOOKUP($C823,Lookups!$A$55:$D$64,4))*VLOOKUP($C823,Lookups!$C$2:$D$11,2))),0)&lt;1,1,IF(ROUND(10.499-(((N823-VLOOKUP($C823,Lookups!$A$55:$D$64,3))/(VLOOKUP($C823,Lookups!$A$55:$D$64,4))*VLOOKUP($C823,Lookups!$C$2:$D$11,2))),0)&lt;11,ROUND(10.499-(((N823-VLOOKUP($C823,Lookups!$A$55:$D$64,3))/(VLOOKUP($C823,Lookups!$A$55:$D$64,4))*VLOOKUP($C823,Lookups!$C$2:$D$11,2))),0),10))</f>
        <v>#N/A</v>
      </c>
      <c r="P823" s="13" t="str">
        <f>IF((SUM(F823:M823)=0),"J",VLOOKUP(O823,Lookups!$A$1:$B$11,2))</f>
        <v>J</v>
      </c>
      <c r="Q823" s="8" t="e">
        <f>VLOOKUP(C823,Lookups!$A$136:$C$144,3)</f>
        <v>#N/A</v>
      </c>
      <c r="R823" s="8" t="e">
        <f>VLOOKUP(C823,Lookups!$A$136:$C$144,2)</f>
        <v>#N/A</v>
      </c>
      <c r="S823" s="4" t="str">
        <f t="shared" si="67"/>
        <v>No</v>
      </c>
      <c r="T823" s="125">
        <f t="shared" si="68"/>
        <v>0</v>
      </c>
      <c r="U823" s="125">
        <f t="shared" si="69"/>
        <v>0</v>
      </c>
      <c r="V823" s="4" t="e">
        <f>IF($Q823&lt;&gt;3,VLOOKUP(F823,'Points Table A'!B$3:$F$33,5),VLOOKUP(F823,'Points Table A'!H$3:$L$33,5))</f>
        <v>#N/A</v>
      </c>
      <c r="W823" s="4" t="e">
        <f>IF($Q823&lt;&gt;3,VLOOKUP(G823,'Points Table A'!C$3:$F$33,4),VLOOKUP(G823,'Points Table A'!I$3:$L$33,4))</f>
        <v>#N/A</v>
      </c>
      <c r="X823" s="4" t="e">
        <f>IF($Q823&lt;&gt;3,VLOOKUP(H823,'Points Table A'!D$3:$F$28,3),VLOOKUP(H823,'Points Table A'!J$3:$L$33,3))</f>
        <v>#N/A</v>
      </c>
      <c r="Y823" s="4" t="e">
        <f>IF($Q823&lt;&gt;3,VLOOKUP(I823,'Points Table A'!E$3:$F$33,2),VLOOKUP(I823,'Points Table A'!K$3:$L$33,2))</f>
        <v>#N/A</v>
      </c>
      <c r="Z823" s="4" t="e">
        <f t="shared" si="70"/>
        <v>#N/A</v>
      </c>
      <c r="AA823" s="4">
        <f>IF($S823=Lookups!$B$113,VLOOKUP(L823,'Points Table C'!A$3:$E$11,5),VLOOKUP(U823,'Points Table C'!B$3:$E$11,4))</f>
        <v>0</v>
      </c>
      <c r="AB823" s="4" t="e">
        <f>IF($Q823=1,0,VLOOKUP($J823,'Points Table C'!$C$3:$E$18,3))</f>
        <v>#N/A</v>
      </c>
      <c r="AC823" s="4">
        <f>VLOOKUP($K823,'Points Table C'!$D$3:$E$18,2)</f>
        <v>0</v>
      </c>
      <c r="AD823" s="4" t="e">
        <f>IF($Z823&lt;Lookups!$C$106,($AA823+AB823+AC823),IF($AA823&gt;=Lookups!$C$120,($AA823+AB823+AC823),$AA823+$AB823))</f>
        <v>#N/A</v>
      </c>
      <c r="AF823" s="7"/>
      <c r="AG823" s="7"/>
      <c r="AH823" s="7"/>
      <c r="AI823" s="7"/>
      <c r="AJ823" s="7"/>
      <c r="AK823" s="7"/>
      <c r="AL823" s="7"/>
      <c r="AM823" s="7"/>
      <c r="AN823" s="7"/>
      <c r="AO823" s="7"/>
      <c r="AP823" s="7"/>
      <c r="AQ823" s="7"/>
      <c r="AR823" s="7"/>
      <c r="AS823" s="7"/>
      <c r="AT823" s="7"/>
      <c r="AU823" s="7"/>
      <c r="AV823" s="7"/>
      <c r="AW823" s="7"/>
      <c r="AY823" s="7"/>
      <c r="AZ823" s="7"/>
      <c r="BA823" s="7"/>
      <c r="BB823" s="7"/>
    </row>
    <row r="824" spans="2:54" x14ac:dyDescent="0.2">
      <c r="B824" s="174"/>
      <c r="C824" s="176"/>
      <c r="F824" s="5">
        <v>0</v>
      </c>
      <c r="G824" s="192">
        <v>0</v>
      </c>
      <c r="H824" s="192">
        <v>0</v>
      </c>
      <c r="I824" s="5">
        <v>0</v>
      </c>
      <c r="J824" s="192">
        <v>0</v>
      </c>
      <c r="K824" s="192">
        <v>0</v>
      </c>
      <c r="L824" s="5">
        <v>0</v>
      </c>
      <c r="M824" s="5">
        <v>0</v>
      </c>
      <c r="N824" s="4" t="e">
        <f t="shared" si="66"/>
        <v>#N/A</v>
      </c>
      <c r="O824" s="4" t="e">
        <f>IF(ROUND(10.499-(((N824-VLOOKUP($C824,Lookups!$A$55:$D$64,3))/(VLOOKUP($C824,Lookups!$A$55:$D$64,4))*VLOOKUP($C824,Lookups!$C$2:$D$11,2))),0)&lt;1,1,IF(ROUND(10.499-(((N824-VLOOKUP($C824,Lookups!$A$55:$D$64,3))/(VLOOKUP($C824,Lookups!$A$55:$D$64,4))*VLOOKUP($C824,Lookups!$C$2:$D$11,2))),0)&lt;11,ROUND(10.499-(((N824-VLOOKUP($C824,Lookups!$A$55:$D$64,3))/(VLOOKUP($C824,Lookups!$A$55:$D$64,4))*VLOOKUP($C824,Lookups!$C$2:$D$11,2))),0),10))</f>
        <v>#N/A</v>
      </c>
      <c r="P824" s="13" t="str">
        <f>IF((SUM(F824:M824)=0),"J",VLOOKUP(O824,Lookups!$A$1:$B$11,2))</f>
        <v>J</v>
      </c>
      <c r="Q824" s="8" t="e">
        <f>VLOOKUP(C824,Lookups!$A$136:$C$144,3)</f>
        <v>#N/A</v>
      </c>
      <c r="R824" s="8" t="e">
        <f>VLOOKUP(C824,Lookups!$A$136:$C$144,2)</f>
        <v>#N/A</v>
      </c>
      <c r="S824" s="4" t="str">
        <f t="shared" si="67"/>
        <v>No</v>
      </c>
      <c r="T824" s="125">
        <f t="shared" si="68"/>
        <v>0</v>
      </c>
      <c r="U824" s="125">
        <f t="shared" si="69"/>
        <v>0</v>
      </c>
      <c r="V824" s="4" t="e">
        <f>IF($Q824&lt;&gt;3,VLOOKUP(F824,'Points Table A'!B$3:$F$33,5),VLOOKUP(F824,'Points Table A'!H$3:$L$33,5))</f>
        <v>#N/A</v>
      </c>
      <c r="W824" s="4" t="e">
        <f>IF($Q824&lt;&gt;3,VLOOKUP(G824,'Points Table A'!C$3:$F$33,4),VLOOKUP(G824,'Points Table A'!I$3:$L$33,4))</f>
        <v>#N/A</v>
      </c>
      <c r="X824" s="4" t="e">
        <f>IF($Q824&lt;&gt;3,VLOOKUP(H824,'Points Table A'!D$3:$F$28,3),VLOOKUP(H824,'Points Table A'!J$3:$L$33,3))</f>
        <v>#N/A</v>
      </c>
      <c r="Y824" s="4" t="e">
        <f>IF($Q824&lt;&gt;3,VLOOKUP(I824,'Points Table A'!E$3:$F$33,2),VLOOKUP(I824,'Points Table A'!K$3:$L$33,2))</f>
        <v>#N/A</v>
      </c>
      <c r="Z824" s="4" t="e">
        <f t="shared" si="70"/>
        <v>#N/A</v>
      </c>
      <c r="AA824" s="4">
        <f>IF($S824=Lookups!$B$113,VLOOKUP(L824,'Points Table C'!A$3:$E$11,5),VLOOKUP(U824,'Points Table C'!B$3:$E$11,4))</f>
        <v>0</v>
      </c>
      <c r="AB824" s="4" t="e">
        <f>IF($Q824=1,0,VLOOKUP($J824,'Points Table C'!$C$3:$E$18,3))</f>
        <v>#N/A</v>
      </c>
      <c r="AC824" s="4">
        <f>VLOOKUP($K824,'Points Table C'!$D$3:$E$18,2)</f>
        <v>0</v>
      </c>
      <c r="AD824" s="4" t="e">
        <f>IF($Z824&lt;Lookups!$C$106,($AA824+AB824+AC824),IF($AA824&gt;=Lookups!$C$120,($AA824+AB824+AC824),$AA824+$AB824))</f>
        <v>#N/A</v>
      </c>
      <c r="AF824" s="7"/>
      <c r="AG824" s="7"/>
      <c r="AH824" s="7"/>
      <c r="AI824" s="7"/>
      <c r="AJ824" s="7"/>
      <c r="AK824" s="7"/>
      <c r="AL824" s="7"/>
      <c r="AM824" s="7"/>
      <c r="AN824" s="7"/>
      <c r="AO824" s="7"/>
      <c r="AP824" s="7"/>
      <c r="AQ824" s="7"/>
      <c r="AR824" s="7"/>
      <c r="AS824" s="7"/>
      <c r="AT824" s="7"/>
      <c r="AU824" s="7"/>
      <c r="AV824" s="7"/>
      <c r="AW824" s="7"/>
      <c r="AY824" s="7"/>
      <c r="AZ824" s="7"/>
      <c r="BA824" s="7"/>
      <c r="BB824" s="7"/>
    </row>
    <row r="825" spans="2:54" x14ac:dyDescent="0.2">
      <c r="B825" s="174"/>
      <c r="C825" s="176"/>
      <c r="F825" s="5">
        <v>0</v>
      </c>
      <c r="G825" s="192">
        <v>0</v>
      </c>
      <c r="H825" s="192">
        <v>0</v>
      </c>
      <c r="I825" s="5">
        <v>0</v>
      </c>
      <c r="J825" s="192">
        <v>0</v>
      </c>
      <c r="K825" s="192">
        <v>0</v>
      </c>
      <c r="L825" s="5">
        <v>0</v>
      </c>
      <c r="M825" s="5">
        <v>0</v>
      </c>
      <c r="N825" s="4" t="e">
        <f t="shared" ref="N825:N888" si="71">$Z825-$AD825</f>
        <v>#N/A</v>
      </c>
      <c r="O825" s="4" t="e">
        <f>IF(ROUND(10.499-(((N825-VLOOKUP($C825,Lookups!$A$55:$D$64,3))/(VLOOKUP($C825,Lookups!$A$55:$D$64,4))*VLOOKUP($C825,Lookups!$C$2:$D$11,2))),0)&lt;1,1,IF(ROUND(10.499-(((N825-VLOOKUP($C825,Lookups!$A$55:$D$64,3))/(VLOOKUP($C825,Lookups!$A$55:$D$64,4))*VLOOKUP($C825,Lookups!$C$2:$D$11,2))),0)&lt;11,ROUND(10.499-(((N825-VLOOKUP($C825,Lookups!$A$55:$D$64,3))/(VLOOKUP($C825,Lookups!$A$55:$D$64,4))*VLOOKUP($C825,Lookups!$C$2:$D$11,2))),0),10))</f>
        <v>#N/A</v>
      </c>
      <c r="P825" s="13" t="str">
        <f>IF((SUM(F825:M825)=0),"J",VLOOKUP(O825,Lookups!$A$1:$B$11,2))</f>
        <v>J</v>
      </c>
      <c r="Q825" s="8" t="e">
        <f>VLOOKUP(C825,Lookups!$A$136:$C$144,3)</f>
        <v>#N/A</v>
      </c>
      <c r="R825" s="8" t="e">
        <f>VLOOKUP(C825,Lookups!$A$136:$C$144,2)</f>
        <v>#N/A</v>
      </c>
      <c r="S825" s="4" t="str">
        <f t="shared" si="67"/>
        <v>No</v>
      </c>
      <c r="T825" s="125">
        <f t="shared" si="68"/>
        <v>0</v>
      </c>
      <c r="U825" s="125">
        <f t="shared" si="69"/>
        <v>0</v>
      </c>
      <c r="V825" s="4" t="e">
        <f>IF($Q825&lt;&gt;3,VLOOKUP(F825,'Points Table A'!B$3:$F$33,5),VLOOKUP(F825,'Points Table A'!H$3:$L$33,5))</f>
        <v>#N/A</v>
      </c>
      <c r="W825" s="4" t="e">
        <f>IF($Q825&lt;&gt;3,VLOOKUP(G825,'Points Table A'!C$3:$F$33,4),VLOOKUP(G825,'Points Table A'!I$3:$L$33,4))</f>
        <v>#N/A</v>
      </c>
      <c r="X825" s="4" t="e">
        <f>IF($Q825&lt;&gt;3,VLOOKUP(H825,'Points Table A'!D$3:$F$28,3),VLOOKUP(H825,'Points Table A'!J$3:$L$33,3))</f>
        <v>#N/A</v>
      </c>
      <c r="Y825" s="4" t="e">
        <f>IF($Q825&lt;&gt;3,VLOOKUP(I825,'Points Table A'!E$3:$F$33,2),VLOOKUP(I825,'Points Table A'!K$3:$L$33,2))</f>
        <v>#N/A</v>
      </c>
      <c r="Z825" s="4" t="e">
        <f t="shared" si="70"/>
        <v>#N/A</v>
      </c>
      <c r="AA825" s="4">
        <f>IF($S825=Lookups!$B$113,VLOOKUP(L825,'Points Table C'!A$3:$E$11,5),VLOOKUP(U825,'Points Table C'!B$3:$E$11,4))</f>
        <v>0</v>
      </c>
      <c r="AB825" s="4" t="e">
        <f>IF($Q825=1,0,VLOOKUP($J825,'Points Table C'!$C$3:$E$18,3))</f>
        <v>#N/A</v>
      </c>
      <c r="AC825" s="4">
        <f>VLOOKUP($K825,'Points Table C'!$D$3:$E$18,2)</f>
        <v>0</v>
      </c>
      <c r="AD825" s="4" t="e">
        <f>IF($Z825&lt;Lookups!$C$106,($AA825+AB825+AC825),IF($AA825&gt;=Lookups!$C$120,($AA825+AB825+AC825),$AA825+$AB825))</f>
        <v>#N/A</v>
      </c>
      <c r="AF825" s="7"/>
      <c r="AG825" s="7"/>
      <c r="AH825" s="7"/>
      <c r="AI825" s="7"/>
      <c r="AJ825" s="7"/>
      <c r="AK825" s="7"/>
      <c r="AL825" s="7"/>
      <c r="AM825" s="7"/>
      <c r="AN825" s="7"/>
      <c r="AO825" s="7"/>
      <c r="AP825" s="7"/>
      <c r="AQ825" s="7"/>
      <c r="AR825" s="7"/>
      <c r="AS825" s="7"/>
      <c r="AT825" s="7"/>
      <c r="AU825" s="7"/>
      <c r="AV825" s="7"/>
      <c r="AW825" s="7"/>
      <c r="AY825" s="7"/>
      <c r="AZ825" s="7"/>
      <c r="BA825" s="7"/>
      <c r="BB825" s="7"/>
    </row>
    <row r="826" spans="2:54" x14ac:dyDescent="0.2">
      <c r="B826" s="174"/>
      <c r="C826" s="176"/>
      <c r="F826" s="5">
        <v>0</v>
      </c>
      <c r="G826" s="192">
        <v>0</v>
      </c>
      <c r="H826" s="192">
        <v>0</v>
      </c>
      <c r="I826" s="5">
        <v>0</v>
      </c>
      <c r="J826" s="192">
        <v>0</v>
      </c>
      <c r="K826" s="192">
        <v>0</v>
      </c>
      <c r="L826" s="5">
        <v>0</v>
      </c>
      <c r="M826" s="5">
        <v>0</v>
      </c>
      <c r="N826" s="4" t="e">
        <f t="shared" si="71"/>
        <v>#N/A</v>
      </c>
      <c r="O826" s="4" t="e">
        <f>IF(ROUND(10.499-(((N826-VLOOKUP($C826,Lookups!$A$55:$D$64,3))/(VLOOKUP($C826,Lookups!$A$55:$D$64,4))*VLOOKUP($C826,Lookups!$C$2:$D$11,2))),0)&lt;1,1,IF(ROUND(10.499-(((N826-VLOOKUP($C826,Lookups!$A$55:$D$64,3))/(VLOOKUP($C826,Lookups!$A$55:$D$64,4))*VLOOKUP($C826,Lookups!$C$2:$D$11,2))),0)&lt;11,ROUND(10.499-(((N826-VLOOKUP($C826,Lookups!$A$55:$D$64,3))/(VLOOKUP($C826,Lookups!$A$55:$D$64,4))*VLOOKUP($C826,Lookups!$C$2:$D$11,2))),0),10))</f>
        <v>#N/A</v>
      </c>
      <c r="P826" s="13" t="str">
        <f>IF((SUM(F826:M826)=0),"J",VLOOKUP(O826,Lookups!$A$1:$B$11,2))</f>
        <v>J</v>
      </c>
      <c r="Q826" s="8" t="e">
        <f>VLOOKUP(C826,Lookups!$A$136:$C$144,3)</f>
        <v>#N/A</v>
      </c>
      <c r="R826" s="8" t="e">
        <f>VLOOKUP(C826,Lookups!$A$136:$C$144,2)</f>
        <v>#N/A</v>
      </c>
      <c r="S826" s="4" t="str">
        <f t="shared" si="67"/>
        <v>No</v>
      </c>
      <c r="T826" s="125">
        <f t="shared" si="68"/>
        <v>0</v>
      </c>
      <c r="U826" s="125">
        <f t="shared" si="69"/>
        <v>0</v>
      </c>
      <c r="V826" s="4" t="e">
        <f>IF($Q826&lt;&gt;3,VLOOKUP(F826,'Points Table A'!B$3:$F$33,5),VLOOKUP(F826,'Points Table A'!H$3:$L$33,5))</f>
        <v>#N/A</v>
      </c>
      <c r="W826" s="4" t="e">
        <f>IF($Q826&lt;&gt;3,VLOOKUP(G826,'Points Table A'!C$3:$F$33,4),VLOOKUP(G826,'Points Table A'!I$3:$L$33,4))</f>
        <v>#N/A</v>
      </c>
      <c r="X826" s="4" t="e">
        <f>IF($Q826&lt;&gt;3,VLOOKUP(H826,'Points Table A'!D$3:$F$28,3),VLOOKUP(H826,'Points Table A'!J$3:$L$33,3))</f>
        <v>#N/A</v>
      </c>
      <c r="Y826" s="4" t="e">
        <f>IF($Q826&lt;&gt;3,VLOOKUP(I826,'Points Table A'!E$3:$F$33,2),VLOOKUP(I826,'Points Table A'!K$3:$L$33,2))</f>
        <v>#N/A</v>
      </c>
      <c r="Z826" s="4" t="e">
        <f t="shared" si="70"/>
        <v>#N/A</v>
      </c>
      <c r="AA826" s="4">
        <f>IF($S826=Lookups!$B$113,VLOOKUP(L826,'Points Table C'!A$3:$E$11,5),VLOOKUP(U826,'Points Table C'!B$3:$E$11,4))</f>
        <v>0</v>
      </c>
      <c r="AB826" s="4" t="e">
        <f>IF($Q826=1,0,VLOOKUP($J826,'Points Table C'!$C$3:$E$18,3))</f>
        <v>#N/A</v>
      </c>
      <c r="AC826" s="4">
        <f>VLOOKUP($K826,'Points Table C'!$D$3:$E$18,2)</f>
        <v>0</v>
      </c>
      <c r="AD826" s="4" t="e">
        <f>IF($Z826&lt;Lookups!$C$106,($AA826+AB826+AC826),IF($AA826&gt;=Lookups!$C$120,($AA826+AB826+AC826),$AA826+$AB826))</f>
        <v>#N/A</v>
      </c>
      <c r="AF826" s="7"/>
      <c r="AG826" s="7"/>
      <c r="AH826" s="7"/>
      <c r="AI826" s="7"/>
      <c r="AJ826" s="7"/>
      <c r="AK826" s="7"/>
      <c r="AL826" s="7"/>
      <c r="AM826" s="7"/>
      <c r="AN826" s="7"/>
      <c r="AO826" s="7"/>
      <c r="AP826" s="7"/>
      <c r="AQ826" s="7"/>
      <c r="AR826" s="7"/>
      <c r="AS826" s="7"/>
      <c r="AT826" s="7"/>
      <c r="AU826" s="7"/>
      <c r="AV826" s="7"/>
      <c r="AW826" s="7"/>
      <c r="AY826" s="7"/>
      <c r="AZ826" s="7"/>
      <c r="BA826" s="7"/>
      <c r="BB826" s="7"/>
    </row>
    <row r="827" spans="2:54" x14ac:dyDescent="0.2">
      <c r="B827" s="174"/>
      <c r="C827" s="176"/>
      <c r="F827" s="5">
        <v>0</v>
      </c>
      <c r="G827" s="192">
        <v>0</v>
      </c>
      <c r="H827" s="192">
        <v>0</v>
      </c>
      <c r="I827" s="5">
        <v>0</v>
      </c>
      <c r="J827" s="192">
        <v>0</v>
      </c>
      <c r="K827" s="192">
        <v>0</v>
      </c>
      <c r="L827" s="5">
        <v>0</v>
      </c>
      <c r="M827" s="5">
        <v>0</v>
      </c>
      <c r="N827" s="4" t="e">
        <f t="shared" si="71"/>
        <v>#N/A</v>
      </c>
      <c r="O827" s="4" t="e">
        <f>IF(ROUND(10.499-(((N827-VLOOKUP($C827,Lookups!$A$55:$D$64,3))/(VLOOKUP($C827,Lookups!$A$55:$D$64,4))*VLOOKUP($C827,Lookups!$C$2:$D$11,2))),0)&lt;1,1,IF(ROUND(10.499-(((N827-VLOOKUP($C827,Lookups!$A$55:$D$64,3))/(VLOOKUP($C827,Lookups!$A$55:$D$64,4))*VLOOKUP($C827,Lookups!$C$2:$D$11,2))),0)&lt;11,ROUND(10.499-(((N827-VLOOKUP($C827,Lookups!$A$55:$D$64,3))/(VLOOKUP($C827,Lookups!$A$55:$D$64,4))*VLOOKUP($C827,Lookups!$C$2:$D$11,2))),0),10))</f>
        <v>#N/A</v>
      </c>
      <c r="P827" s="13" t="str">
        <f>IF((SUM(F827:M827)=0),"J",VLOOKUP(O827,Lookups!$A$1:$B$11,2))</f>
        <v>J</v>
      </c>
      <c r="Q827" s="8" t="e">
        <f>VLOOKUP(C827,Lookups!$A$136:$C$144,3)</f>
        <v>#N/A</v>
      </c>
      <c r="R827" s="8" t="e">
        <f>VLOOKUP(C827,Lookups!$A$136:$C$144,2)</f>
        <v>#N/A</v>
      </c>
      <c r="S827" s="4" t="str">
        <f t="shared" si="67"/>
        <v>No</v>
      </c>
      <c r="T827" s="125">
        <f t="shared" si="68"/>
        <v>0</v>
      </c>
      <c r="U827" s="125">
        <f t="shared" si="69"/>
        <v>0</v>
      </c>
      <c r="V827" s="4" t="e">
        <f>IF($Q827&lt;&gt;3,VLOOKUP(F827,'Points Table A'!B$3:$F$33,5),VLOOKUP(F827,'Points Table A'!H$3:$L$33,5))</f>
        <v>#N/A</v>
      </c>
      <c r="W827" s="4" t="e">
        <f>IF($Q827&lt;&gt;3,VLOOKUP(G827,'Points Table A'!C$3:$F$33,4),VLOOKUP(G827,'Points Table A'!I$3:$L$33,4))</f>
        <v>#N/A</v>
      </c>
      <c r="X827" s="4" t="e">
        <f>IF($Q827&lt;&gt;3,VLOOKUP(H827,'Points Table A'!D$3:$F$28,3),VLOOKUP(H827,'Points Table A'!J$3:$L$33,3))</f>
        <v>#N/A</v>
      </c>
      <c r="Y827" s="4" t="e">
        <f>IF($Q827&lt;&gt;3,VLOOKUP(I827,'Points Table A'!E$3:$F$33,2),VLOOKUP(I827,'Points Table A'!K$3:$L$33,2))</f>
        <v>#N/A</v>
      </c>
      <c r="Z827" s="4" t="e">
        <f t="shared" si="70"/>
        <v>#N/A</v>
      </c>
      <c r="AA827" s="4">
        <f>IF($S827=Lookups!$B$113,VLOOKUP(L827,'Points Table C'!A$3:$E$11,5),VLOOKUP(U827,'Points Table C'!B$3:$E$11,4))</f>
        <v>0</v>
      </c>
      <c r="AB827" s="4" t="e">
        <f>IF($Q827=1,0,VLOOKUP($J827,'Points Table C'!$C$3:$E$18,3))</f>
        <v>#N/A</v>
      </c>
      <c r="AC827" s="4">
        <f>VLOOKUP($K827,'Points Table C'!$D$3:$E$18,2)</f>
        <v>0</v>
      </c>
      <c r="AD827" s="4" t="e">
        <f>IF($Z827&lt;Lookups!$C$106,($AA827+AB827+AC827),IF($AA827&gt;=Lookups!$C$120,($AA827+AB827+AC827),$AA827+$AB827))</f>
        <v>#N/A</v>
      </c>
      <c r="AF827" s="7"/>
      <c r="AG827" s="7"/>
      <c r="AH827" s="7"/>
      <c r="AI827" s="7"/>
      <c r="AJ827" s="7"/>
      <c r="AK827" s="7"/>
      <c r="AL827" s="7"/>
      <c r="AM827" s="7"/>
      <c r="AN827" s="7"/>
      <c r="AO827" s="7"/>
      <c r="AP827" s="7"/>
      <c r="AQ827" s="7"/>
      <c r="AR827" s="7"/>
      <c r="AS827" s="7"/>
      <c r="AT827" s="7"/>
      <c r="AU827" s="7"/>
      <c r="AV827" s="7"/>
      <c r="AW827" s="7"/>
      <c r="AY827" s="7"/>
      <c r="AZ827" s="7"/>
      <c r="BA827" s="7"/>
      <c r="BB827" s="7"/>
    </row>
    <row r="828" spans="2:54" x14ac:dyDescent="0.2">
      <c r="B828" s="174"/>
      <c r="C828" s="176"/>
      <c r="F828" s="5">
        <v>0</v>
      </c>
      <c r="G828" s="192">
        <v>0</v>
      </c>
      <c r="H828" s="192">
        <v>0</v>
      </c>
      <c r="I828" s="5">
        <v>0</v>
      </c>
      <c r="J828" s="192">
        <v>0</v>
      </c>
      <c r="K828" s="192">
        <v>0</v>
      </c>
      <c r="L828" s="5">
        <v>0</v>
      </c>
      <c r="M828" s="5">
        <v>0</v>
      </c>
      <c r="N828" s="4" t="e">
        <f t="shared" si="71"/>
        <v>#N/A</v>
      </c>
      <c r="O828" s="4" t="e">
        <f>IF(ROUND(10.499-(((N828-VLOOKUP($C828,Lookups!$A$55:$D$64,3))/(VLOOKUP($C828,Lookups!$A$55:$D$64,4))*VLOOKUP($C828,Lookups!$C$2:$D$11,2))),0)&lt;1,1,IF(ROUND(10.499-(((N828-VLOOKUP($C828,Lookups!$A$55:$D$64,3))/(VLOOKUP($C828,Lookups!$A$55:$D$64,4))*VLOOKUP($C828,Lookups!$C$2:$D$11,2))),0)&lt;11,ROUND(10.499-(((N828-VLOOKUP($C828,Lookups!$A$55:$D$64,3))/(VLOOKUP($C828,Lookups!$A$55:$D$64,4))*VLOOKUP($C828,Lookups!$C$2:$D$11,2))),0),10))</f>
        <v>#N/A</v>
      </c>
      <c r="P828" s="13" t="str">
        <f>IF((SUM(F828:M828)=0),"J",VLOOKUP(O828,Lookups!$A$1:$B$11,2))</f>
        <v>J</v>
      </c>
      <c r="Q828" s="8" t="e">
        <f>VLOOKUP(C828,Lookups!$A$136:$C$144,3)</f>
        <v>#N/A</v>
      </c>
      <c r="R828" s="8" t="e">
        <f>VLOOKUP(C828,Lookups!$A$136:$C$144,2)</f>
        <v>#N/A</v>
      </c>
      <c r="S828" s="4" t="str">
        <f t="shared" si="67"/>
        <v>No</v>
      </c>
      <c r="T828" s="125">
        <f t="shared" si="68"/>
        <v>0</v>
      </c>
      <c r="U828" s="125">
        <f t="shared" si="69"/>
        <v>0</v>
      </c>
      <c r="V828" s="4" t="e">
        <f>IF($Q828&lt;&gt;3,VLOOKUP(F828,'Points Table A'!B$3:$F$33,5),VLOOKUP(F828,'Points Table A'!H$3:$L$33,5))</f>
        <v>#N/A</v>
      </c>
      <c r="W828" s="4" t="e">
        <f>IF($Q828&lt;&gt;3,VLOOKUP(G828,'Points Table A'!C$3:$F$33,4),VLOOKUP(G828,'Points Table A'!I$3:$L$33,4))</f>
        <v>#N/A</v>
      </c>
      <c r="X828" s="4" t="e">
        <f>IF($Q828&lt;&gt;3,VLOOKUP(H828,'Points Table A'!D$3:$F$28,3),VLOOKUP(H828,'Points Table A'!J$3:$L$33,3))</f>
        <v>#N/A</v>
      </c>
      <c r="Y828" s="4" t="e">
        <f>IF($Q828&lt;&gt;3,VLOOKUP(I828,'Points Table A'!E$3:$F$33,2),VLOOKUP(I828,'Points Table A'!K$3:$L$33,2))</f>
        <v>#N/A</v>
      </c>
      <c r="Z828" s="4" t="e">
        <f t="shared" si="70"/>
        <v>#N/A</v>
      </c>
      <c r="AA828" s="4">
        <f>IF($S828=Lookups!$B$113,VLOOKUP(L828,'Points Table C'!A$3:$E$11,5),VLOOKUP(U828,'Points Table C'!B$3:$E$11,4))</f>
        <v>0</v>
      </c>
      <c r="AB828" s="4" t="e">
        <f>IF($Q828=1,0,VLOOKUP($J828,'Points Table C'!$C$3:$E$18,3))</f>
        <v>#N/A</v>
      </c>
      <c r="AC828" s="4">
        <f>VLOOKUP($K828,'Points Table C'!$D$3:$E$18,2)</f>
        <v>0</v>
      </c>
      <c r="AD828" s="4" t="e">
        <f>IF($Z828&lt;Lookups!$C$106,($AA828+AB828+AC828),IF($AA828&gt;=Lookups!$C$120,($AA828+AB828+AC828),$AA828+$AB828))</f>
        <v>#N/A</v>
      </c>
      <c r="AF828" s="7"/>
      <c r="AG828" s="7"/>
      <c r="AH828" s="7"/>
      <c r="AI828" s="7"/>
      <c r="AJ828" s="7"/>
      <c r="AK828" s="7"/>
      <c r="AL828" s="7"/>
      <c r="AM828" s="7"/>
      <c r="AN828" s="7"/>
      <c r="AO828" s="7"/>
      <c r="AP828" s="7"/>
      <c r="AQ828" s="7"/>
      <c r="AR828" s="7"/>
      <c r="AS828" s="7"/>
      <c r="AT828" s="7"/>
      <c r="AU828" s="7"/>
      <c r="AV828" s="7"/>
      <c r="AW828" s="7"/>
      <c r="AY828" s="7"/>
      <c r="AZ828" s="7"/>
      <c r="BA828" s="7"/>
      <c r="BB828" s="7"/>
    </row>
    <row r="829" spans="2:54" x14ac:dyDescent="0.2">
      <c r="B829" s="174"/>
      <c r="C829" s="176"/>
      <c r="F829" s="5">
        <v>0</v>
      </c>
      <c r="G829" s="192">
        <v>0</v>
      </c>
      <c r="H829" s="192">
        <v>0</v>
      </c>
      <c r="I829" s="5">
        <v>0</v>
      </c>
      <c r="J829" s="192">
        <v>0</v>
      </c>
      <c r="K829" s="192">
        <v>0</v>
      </c>
      <c r="L829" s="5">
        <v>0</v>
      </c>
      <c r="M829" s="5">
        <v>0</v>
      </c>
      <c r="N829" s="4" t="e">
        <f t="shared" si="71"/>
        <v>#N/A</v>
      </c>
      <c r="O829" s="4" t="e">
        <f>IF(ROUND(10.499-(((N829-VLOOKUP($C829,Lookups!$A$55:$D$64,3))/(VLOOKUP($C829,Lookups!$A$55:$D$64,4))*VLOOKUP($C829,Lookups!$C$2:$D$11,2))),0)&lt;1,1,IF(ROUND(10.499-(((N829-VLOOKUP($C829,Lookups!$A$55:$D$64,3))/(VLOOKUP($C829,Lookups!$A$55:$D$64,4))*VLOOKUP($C829,Lookups!$C$2:$D$11,2))),0)&lt;11,ROUND(10.499-(((N829-VLOOKUP($C829,Lookups!$A$55:$D$64,3))/(VLOOKUP($C829,Lookups!$A$55:$D$64,4))*VLOOKUP($C829,Lookups!$C$2:$D$11,2))),0),10))</f>
        <v>#N/A</v>
      </c>
      <c r="P829" s="13" t="str">
        <f>IF((SUM(F829:M829)=0),"J",VLOOKUP(O829,Lookups!$A$1:$B$11,2))</f>
        <v>J</v>
      </c>
      <c r="Q829" s="8" t="e">
        <f>VLOOKUP(C829,Lookups!$A$136:$C$144,3)</f>
        <v>#N/A</v>
      </c>
      <c r="R829" s="8" t="e">
        <f>VLOOKUP(C829,Lookups!$A$136:$C$144,2)</f>
        <v>#N/A</v>
      </c>
      <c r="S829" s="4" t="str">
        <f t="shared" si="67"/>
        <v>No</v>
      </c>
      <c r="T829" s="125">
        <f t="shared" si="68"/>
        <v>0</v>
      </c>
      <c r="U829" s="125">
        <f t="shared" si="69"/>
        <v>0</v>
      </c>
      <c r="V829" s="4" t="e">
        <f>IF($Q829&lt;&gt;3,VLOOKUP(F829,'Points Table A'!B$3:$F$33,5),VLOOKUP(F829,'Points Table A'!H$3:$L$33,5))</f>
        <v>#N/A</v>
      </c>
      <c r="W829" s="4" t="e">
        <f>IF($Q829&lt;&gt;3,VLOOKUP(G829,'Points Table A'!C$3:$F$33,4),VLOOKUP(G829,'Points Table A'!I$3:$L$33,4))</f>
        <v>#N/A</v>
      </c>
      <c r="X829" s="4" t="e">
        <f>IF($Q829&lt;&gt;3,VLOOKUP(H829,'Points Table A'!D$3:$F$28,3),VLOOKUP(H829,'Points Table A'!J$3:$L$33,3))</f>
        <v>#N/A</v>
      </c>
      <c r="Y829" s="4" t="e">
        <f>IF($Q829&lt;&gt;3,VLOOKUP(I829,'Points Table A'!E$3:$F$33,2),VLOOKUP(I829,'Points Table A'!K$3:$L$33,2))</f>
        <v>#N/A</v>
      </c>
      <c r="Z829" s="4" t="e">
        <f t="shared" si="70"/>
        <v>#N/A</v>
      </c>
      <c r="AA829" s="4">
        <f>IF($S829=Lookups!$B$113,VLOOKUP(L829,'Points Table C'!A$3:$E$11,5),VLOOKUP(U829,'Points Table C'!B$3:$E$11,4))</f>
        <v>0</v>
      </c>
      <c r="AB829" s="4" t="e">
        <f>IF($Q829=1,0,VLOOKUP($J829,'Points Table C'!$C$3:$E$18,3))</f>
        <v>#N/A</v>
      </c>
      <c r="AC829" s="4">
        <f>VLOOKUP($K829,'Points Table C'!$D$3:$E$18,2)</f>
        <v>0</v>
      </c>
      <c r="AD829" s="4" t="e">
        <f>IF($Z829&lt;Lookups!$C$106,($AA829+AB829+AC829),IF($AA829&gt;=Lookups!$C$120,($AA829+AB829+AC829),$AA829+$AB829))</f>
        <v>#N/A</v>
      </c>
      <c r="AF829" s="7"/>
      <c r="AG829" s="7"/>
      <c r="AH829" s="7"/>
      <c r="AI829" s="7"/>
      <c r="AJ829" s="7"/>
      <c r="AK829" s="7"/>
      <c r="AL829" s="7"/>
      <c r="AM829" s="7"/>
      <c r="AN829" s="7"/>
      <c r="AO829" s="7"/>
      <c r="AP829" s="7"/>
      <c r="AQ829" s="7"/>
      <c r="AR829" s="7"/>
      <c r="AS829" s="7"/>
      <c r="AT829" s="7"/>
      <c r="AU829" s="7"/>
      <c r="AV829" s="7"/>
      <c r="AW829" s="7"/>
      <c r="AY829" s="7"/>
      <c r="AZ829" s="7"/>
      <c r="BA829" s="7"/>
      <c r="BB829" s="7"/>
    </row>
    <row r="830" spans="2:54" x14ac:dyDescent="0.2">
      <c r="B830" s="174"/>
      <c r="C830" s="176"/>
      <c r="F830" s="5">
        <v>0</v>
      </c>
      <c r="G830" s="192">
        <v>0</v>
      </c>
      <c r="H830" s="192">
        <v>0</v>
      </c>
      <c r="I830" s="5">
        <v>0</v>
      </c>
      <c r="J830" s="192">
        <v>0</v>
      </c>
      <c r="K830" s="192">
        <v>0</v>
      </c>
      <c r="L830" s="5">
        <v>0</v>
      </c>
      <c r="M830" s="5">
        <v>0</v>
      </c>
      <c r="N830" s="4" t="e">
        <f t="shared" si="71"/>
        <v>#N/A</v>
      </c>
      <c r="O830" s="4" t="e">
        <f>IF(ROUND(10.499-(((N830-VLOOKUP($C830,Lookups!$A$55:$D$64,3))/(VLOOKUP($C830,Lookups!$A$55:$D$64,4))*VLOOKUP($C830,Lookups!$C$2:$D$11,2))),0)&lt;1,1,IF(ROUND(10.499-(((N830-VLOOKUP($C830,Lookups!$A$55:$D$64,3))/(VLOOKUP($C830,Lookups!$A$55:$D$64,4))*VLOOKUP($C830,Lookups!$C$2:$D$11,2))),0)&lt;11,ROUND(10.499-(((N830-VLOOKUP($C830,Lookups!$A$55:$D$64,3))/(VLOOKUP($C830,Lookups!$A$55:$D$64,4))*VLOOKUP($C830,Lookups!$C$2:$D$11,2))),0),10))</f>
        <v>#N/A</v>
      </c>
      <c r="P830" s="13" t="str">
        <f>IF((SUM(F830:M830)=0),"J",VLOOKUP(O830,Lookups!$A$1:$B$11,2))</f>
        <v>J</v>
      </c>
      <c r="Q830" s="8" t="e">
        <f>VLOOKUP(C830,Lookups!$A$136:$C$144,3)</f>
        <v>#N/A</v>
      </c>
      <c r="R830" s="8" t="e">
        <f>VLOOKUP(C830,Lookups!$A$136:$C$144,2)</f>
        <v>#N/A</v>
      </c>
      <c r="S830" s="4" t="str">
        <f t="shared" si="67"/>
        <v>No</v>
      </c>
      <c r="T830" s="125">
        <f t="shared" si="68"/>
        <v>0</v>
      </c>
      <c r="U830" s="125">
        <f t="shared" si="69"/>
        <v>0</v>
      </c>
      <c r="V830" s="4" t="e">
        <f>IF($Q830&lt;&gt;3,VLOOKUP(F830,'Points Table A'!B$3:$F$33,5),VLOOKUP(F830,'Points Table A'!H$3:$L$33,5))</f>
        <v>#N/A</v>
      </c>
      <c r="W830" s="4" t="e">
        <f>IF($Q830&lt;&gt;3,VLOOKUP(G830,'Points Table A'!C$3:$F$33,4),VLOOKUP(G830,'Points Table A'!I$3:$L$33,4))</f>
        <v>#N/A</v>
      </c>
      <c r="X830" s="4" t="e">
        <f>IF($Q830&lt;&gt;3,VLOOKUP(H830,'Points Table A'!D$3:$F$28,3),VLOOKUP(H830,'Points Table A'!J$3:$L$33,3))</f>
        <v>#N/A</v>
      </c>
      <c r="Y830" s="4" t="e">
        <f>IF($Q830&lt;&gt;3,VLOOKUP(I830,'Points Table A'!E$3:$F$33,2),VLOOKUP(I830,'Points Table A'!K$3:$L$33,2))</f>
        <v>#N/A</v>
      </c>
      <c r="Z830" s="4" t="e">
        <f t="shared" si="70"/>
        <v>#N/A</v>
      </c>
      <c r="AA830" s="4">
        <f>IF($S830=Lookups!$B$113,VLOOKUP(L830,'Points Table C'!A$3:$E$11,5),VLOOKUP(U830,'Points Table C'!B$3:$E$11,4))</f>
        <v>0</v>
      </c>
      <c r="AB830" s="4" t="e">
        <f>IF($Q830=1,0,VLOOKUP($J830,'Points Table C'!$C$3:$E$18,3))</f>
        <v>#N/A</v>
      </c>
      <c r="AC830" s="4">
        <f>VLOOKUP($K830,'Points Table C'!$D$3:$E$18,2)</f>
        <v>0</v>
      </c>
      <c r="AD830" s="4" t="e">
        <f>IF($Z830&lt;Lookups!$C$106,($AA830+AB830+AC830),IF($AA830&gt;=Lookups!$C$120,($AA830+AB830+AC830),$AA830+$AB830))</f>
        <v>#N/A</v>
      </c>
      <c r="AF830" s="7"/>
      <c r="AG830" s="7"/>
      <c r="AH830" s="7"/>
      <c r="AI830" s="7"/>
      <c r="AJ830" s="7"/>
      <c r="AK830" s="7"/>
      <c r="AL830" s="7"/>
      <c r="AM830" s="7"/>
      <c r="AN830" s="7"/>
      <c r="AO830" s="7"/>
      <c r="AP830" s="7"/>
      <c r="AQ830" s="7"/>
      <c r="AR830" s="7"/>
      <c r="AS830" s="7"/>
      <c r="AT830" s="7"/>
      <c r="AU830" s="7"/>
      <c r="AV830" s="7"/>
      <c r="AW830" s="7"/>
      <c r="AY830" s="7"/>
      <c r="AZ830" s="7"/>
      <c r="BA830" s="7"/>
      <c r="BB830" s="7"/>
    </row>
    <row r="831" spans="2:54" x14ac:dyDescent="0.2">
      <c r="B831" s="174"/>
      <c r="C831" s="176"/>
      <c r="F831" s="5">
        <v>0</v>
      </c>
      <c r="G831" s="192">
        <v>0</v>
      </c>
      <c r="H831" s="192">
        <v>0</v>
      </c>
      <c r="I831" s="5">
        <v>0</v>
      </c>
      <c r="J831" s="192">
        <v>0</v>
      </c>
      <c r="K831" s="192">
        <v>0</v>
      </c>
      <c r="L831" s="5">
        <v>0</v>
      </c>
      <c r="M831" s="5">
        <v>0</v>
      </c>
      <c r="N831" s="4" t="e">
        <f t="shared" si="71"/>
        <v>#N/A</v>
      </c>
      <c r="O831" s="4" t="e">
        <f>IF(ROUND(10.499-(((N831-VLOOKUP($C831,Lookups!$A$55:$D$64,3))/(VLOOKUP($C831,Lookups!$A$55:$D$64,4))*VLOOKUP($C831,Lookups!$C$2:$D$11,2))),0)&lt;1,1,IF(ROUND(10.499-(((N831-VLOOKUP($C831,Lookups!$A$55:$D$64,3))/(VLOOKUP($C831,Lookups!$A$55:$D$64,4))*VLOOKUP($C831,Lookups!$C$2:$D$11,2))),0)&lt;11,ROUND(10.499-(((N831-VLOOKUP($C831,Lookups!$A$55:$D$64,3))/(VLOOKUP($C831,Lookups!$A$55:$D$64,4))*VLOOKUP($C831,Lookups!$C$2:$D$11,2))),0),10))</f>
        <v>#N/A</v>
      </c>
      <c r="P831" s="13" t="str">
        <f>IF((SUM(F831:M831)=0),"J",VLOOKUP(O831,Lookups!$A$1:$B$11,2))</f>
        <v>J</v>
      </c>
      <c r="Q831" s="8" t="e">
        <f>VLOOKUP(C831,Lookups!$A$136:$C$144,3)</f>
        <v>#N/A</v>
      </c>
      <c r="R831" s="8" t="e">
        <f>VLOOKUP(C831,Lookups!$A$136:$C$144,2)</f>
        <v>#N/A</v>
      </c>
      <c r="S831" s="4" t="str">
        <f t="shared" si="67"/>
        <v>No</v>
      </c>
      <c r="T831" s="125">
        <f t="shared" si="68"/>
        <v>0</v>
      </c>
      <c r="U831" s="125">
        <f t="shared" si="69"/>
        <v>0</v>
      </c>
      <c r="V831" s="4" t="e">
        <f>IF($Q831&lt;&gt;3,VLOOKUP(F831,'Points Table A'!B$3:$F$33,5),VLOOKUP(F831,'Points Table A'!H$3:$L$33,5))</f>
        <v>#N/A</v>
      </c>
      <c r="W831" s="4" t="e">
        <f>IF($Q831&lt;&gt;3,VLOOKUP(G831,'Points Table A'!C$3:$F$33,4),VLOOKUP(G831,'Points Table A'!I$3:$L$33,4))</f>
        <v>#N/A</v>
      </c>
      <c r="X831" s="4" t="e">
        <f>IF($Q831&lt;&gt;3,VLOOKUP(H831,'Points Table A'!D$3:$F$28,3),VLOOKUP(H831,'Points Table A'!J$3:$L$33,3))</f>
        <v>#N/A</v>
      </c>
      <c r="Y831" s="4" t="e">
        <f>IF($Q831&lt;&gt;3,VLOOKUP(I831,'Points Table A'!E$3:$F$33,2),VLOOKUP(I831,'Points Table A'!K$3:$L$33,2))</f>
        <v>#N/A</v>
      </c>
      <c r="Z831" s="4" t="e">
        <f t="shared" si="70"/>
        <v>#N/A</v>
      </c>
      <c r="AA831" s="4">
        <f>IF($S831=Lookups!$B$113,VLOOKUP(L831,'Points Table C'!A$3:$E$11,5),VLOOKUP(U831,'Points Table C'!B$3:$E$11,4))</f>
        <v>0</v>
      </c>
      <c r="AB831" s="4" t="e">
        <f>IF($Q831=1,0,VLOOKUP($J831,'Points Table C'!$C$3:$E$18,3))</f>
        <v>#N/A</v>
      </c>
      <c r="AC831" s="4">
        <f>VLOOKUP($K831,'Points Table C'!$D$3:$E$18,2)</f>
        <v>0</v>
      </c>
      <c r="AD831" s="4" t="e">
        <f>IF($Z831&lt;Lookups!$C$106,($AA831+AB831+AC831),IF($AA831&gt;=Lookups!$C$120,($AA831+AB831+AC831),$AA831+$AB831))</f>
        <v>#N/A</v>
      </c>
      <c r="AF831" s="7"/>
      <c r="AG831" s="7"/>
      <c r="AH831" s="7"/>
      <c r="AI831" s="7"/>
      <c r="AJ831" s="7"/>
      <c r="AK831" s="7"/>
      <c r="AL831" s="7"/>
      <c r="AM831" s="7"/>
      <c r="AN831" s="7"/>
      <c r="AO831" s="7"/>
      <c r="AP831" s="7"/>
      <c r="AQ831" s="7"/>
      <c r="AR831" s="7"/>
      <c r="AS831" s="7"/>
      <c r="AT831" s="7"/>
      <c r="AU831" s="7"/>
      <c r="AV831" s="7"/>
      <c r="AW831" s="7"/>
      <c r="AY831" s="7"/>
      <c r="AZ831" s="7"/>
      <c r="BA831" s="7"/>
      <c r="BB831" s="7"/>
    </row>
    <row r="832" spans="2:54" x14ac:dyDescent="0.2">
      <c r="B832" s="174"/>
      <c r="C832" s="176"/>
      <c r="F832" s="5">
        <v>0</v>
      </c>
      <c r="G832" s="192">
        <v>0</v>
      </c>
      <c r="H832" s="192">
        <v>0</v>
      </c>
      <c r="I832" s="5">
        <v>0</v>
      </c>
      <c r="J832" s="192">
        <v>0</v>
      </c>
      <c r="K832" s="192">
        <v>0</v>
      </c>
      <c r="L832" s="5">
        <v>0</v>
      </c>
      <c r="M832" s="5">
        <v>0</v>
      </c>
      <c r="N832" s="4" t="e">
        <f t="shared" si="71"/>
        <v>#N/A</v>
      </c>
      <c r="O832" s="4" t="e">
        <f>IF(ROUND(10.499-(((N832-VLOOKUP($C832,Lookups!$A$55:$D$64,3))/(VLOOKUP($C832,Lookups!$A$55:$D$64,4))*VLOOKUP($C832,Lookups!$C$2:$D$11,2))),0)&lt;1,1,IF(ROUND(10.499-(((N832-VLOOKUP($C832,Lookups!$A$55:$D$64,3))/(VLOOKUP($C832,Lookups!$A$55:$D$64,4))*VLOOKUP($C832,Lookups!$C$2:$D$11,2))),0)&lt;11,ROUND(10.499-(((N832-VLOOKUP($C832,Lookups!$A$55:$D$64,3))/(VLOOKUP($C832,Lookups!$A$55:$D$64,4))*VLOOKUP($C832,Lookups!$C$2:$D$11,2))),0),10))</f>
        <v>#N/A</v>
      </c>
      <c r="P832" s="13" t="str">
        <f>IF((SUM(F832:M832)=0),"J",VLOOKUP(O832,Lookups!$A$1:$B$11,2))</f>
        <v>J</v>
      </c>
      <c r="Q832" s="8" t="e">
        <f>VLOOKUP(C832,Lookups!$A$136:$C$144,3)</f>
        <v>#N/A</v>
      </c>
      <c r="R832" s="8" t="e">
        <f>VLOOKUP(C832,Lookups!$A$136:$C$144,2)</f>
        <v>#N/A</v>
      </c>
      <c r="S832" s="4" t="str">
        <f t="shared" si="67"/>
        <v>No</v>
      </c>
      <c r="T832" s="125">
        <f t="shared" si="68"/>
        <v>0</v>
      </c>
      <c r="U832" s="125">
        <f t="shared" si="69"/>
        <v>0</v>
      </c>
      <c r="V832" s="4" t="e">
        <f>IF($Q832&lt;&gt;3,VLOOKUP(F832,'Points Table A'!B$3:$F$33,5),VLOOKUP(F832,'Points Table A'!H$3:$L$33,5))</f>
        <v>#N/A</v>
      </c>
      <c r="W832" s="4" t="e">
        <f>IF($Q832&lt;&gt;3,VLOOKUP(G832,'Points Table A'!C$3:$F$33,4),VLOOKUP(G832,'Points Table A'!I$3:$L$33,4))</f>
        <v>#N/A</v>
      </c>
      <c r="X832" s="4" t="e">
        <f>IF($Q832&lt;&gt;3,VLOOKUP(H832,'Points Table A'!D$3:$F$28,3),VLOOKUP(H832,'Points Table A'!J$3:$L$33,3))</f>
        <v>#N/A</v>
      </c>
      <c r="Y832" s="4" t="e">
        <f>IF($Q832&lt;&gt;3,VLOOKUP(I832,'Points Table A'!E$3:$F$33,2),VLOOKUP(I832,'Points Table A'!K$3:$L$33,2))</f>
        <v>#N/A</v>
      </c>
      <c r="Z832" s="4" t="e">
        <f t="shared" si="70"/>
        <v>#N/A</v>
      </c>
      <c r="AA832" s="4">
        <f>IF($S832=Lookups!$B$113,VLOOKUP(L832,'Points Table C'!A$3:$E$11,5),VLOOKUP(U832,'Points Table C'!B$3:$E$11,4))</f>
        <v>0</v>
      </c>
      <c r="AB832" s="4" t="e">
        <f>IF($Q832=1,0,VLOOKUP($J832,'Points Table C'!$C$3:$E$18,3))</f>
        <v>#N/A</v>
      </c>
      <c r="AC832" s="4">
        <f>VLOOKUP($K832,'Points Table C'!$D$3:$E$18,2)</f>
        <v>0</v>
      </c>
      <c r="AD832" s="4" t="e">
        <f>IF($Z832&lt;Lookups!$C$106,($AA832+AB832+AC832),IF($AA832&gt;=Lookups!$C$120,($AA832+AB832+AC832),$AA832+$AB832))</f>
        <v>#N/A</v>
      </c>
      <c r="AF832" s="7"/>
      <c r="AG832" s="7"/>
      <c r="AH832" s="7"/>
      <c r="AI832" s="7"/>
      <c r="AJ832" s="7"/>
      <c r="AK832" s="7"/>
      <c r="AL832" s="7"/>
      <c r="AM832" s="7"/>
      <c r="AN832" s="7"/>
      <c r="AO832" s="7"/>
      <c r="AP832" s="7"/>
      <c r="AQ832" s="7"/>
      <c r="AR832" s="7"/>
      <c r="AS832" s="7"/>
      <c r="AT832" s="7"/>
      <c r="AU832" s="7"/>
      <c r="AV832" s="7"/>
      <c r="AW832" s="7"/>
      <c r="AY832" s="7"/>
      <c r="AZ832" s="7"/>
      <c r="BA832" s="7"/>
      <c r="BB832" s="7"/>
    </row>
    <row r="833" spans="2:54" x14ac:dyDescent="0.2">
      <c r="B833" s="174"/>
      <c r="C833" s="176"/>
      <c r="F833" s="5">
        <v>0</v>
      </c>
      <c r="G833" s="192">
        <v>0</v>
      </c>
      <c r="H833" s="192">
        <v>0</v>
      </c>
      <c r="I833" s="5">
        <v>0</v>
      </c>
      <c r="J833" s="192">
        <v>0</v>
      </c>
      <c r="K833" s="192">
        <v>0</v>
      </c>
      <c r="L833" s="5">
        <v>0</v>
      </c>
      <c r="M833" s="5">
        <v>0</v>
      </c>
      <c r="N833" s="4" t="e">
        <f t="shared" si="71"/>
        <v>#N/A</v>
      </c>
      <c r="O833" s="4" t="e">
        <f>IF(ROUND(10.499-(((N833-VLOOKUP($C833,Lookups!$A$55:$D$64,3))/(VLOOKUP($C833,Lookups!$A$55:$D$64,4))*VLOOKUP($C833,Lookups!$C$2:$D$11,2))),0)&lt;1,1,IF(ROUND(10.499-(((N833-VLOOKUP($C833,Lookups!$A$55:$D$64,3))/(VLOOKUP($C833,Lookups!$A$55:$D$64,4))*VLOOKUP($C833,Lookups!$C$2:$D$11,2))),0)&lt;11,ROUND(10.499-(((N833-VLOOKUP($C833,Lookups!$A$55:$D$64,3))/(VLOOKUP($C833,Lookups!$A$55:$D$64,4))*VLOOKUP($C833,Lookups!$C$2:$D$11,2))),0),10))</f>
        <v>#N/A</v>
      </c>
      <c r="P833" s="13" t="str">
        <f>IF((SUM(F833:M833)=0),"J",VLOOKUP(O833,Lookups!$A$1:$B$11,2))</f>
        <v>J</v>
      </c>
      <c r="Q833" s="8" t="e">
        <f>VLOOKUP(C833,Lookups!$A$136:$C$144,3)</f>
        <v>#N/A</v>
      </c>
      <c r="R833" s="8" t="e">
        <f>VLOOKUP(C833,Lookups!$A$136:$C$144,2)</f>
        <v>#N/A</v>
      </c>
      <c r="S833" s="4" t="str">
        <f t="shared" si="67"/>
        <v>No</v>
      </c>
      <c r="T833" s="125">
        <f t="shared" si="68"/>
        <v>0</v>
      </c>
      <c r="U833" s="125">
        <f t="shared" si="69"/>
        <v>0</v>
      </c>
      <c r="V833" s="4" t="e">
        <f>IF($Q833&lt;&gt;3,VLOOKUP(F833,'Points Table A'!B$3:$F$33,5),VLOOKUP(F833,'Points Table A'!H$3:$L$33,5))</f>
        <v>#N/A</v>
      </c>
      <c r="W833" s="4" t="e">
        <f>IF($Q833&lt;&gt;3,VLOOKUP(G833,'Points Table A'!C$3:$F$33,4),VLOOKUP(G833,'Points Table A'!I$3:$L$33,4))</f>
        <v>#N/A</v>
      </c>
      <c r="X833" s="4" t="e">
        <f>IF($Q833&lt;&gt;3,VLOOKUP(H833,'Points Table A'!D$3:$F$28,3),VLOOKUP(H833,'Points Table A'!J$3:$L$33,3))</f>
        <v>#N/A</v>
      </c>
      <c r="Y833" s="4" t="e">
        <f>IF($Q833&lt;&gt;3,VLOOKUP(I833,'Points Table A'!E$3:$F$33,2),VLOOKUP(I833,'Points Table A'!K$3:$L$33,2))</f>
        <v>#N/A</v>
      </c>
      <c r="Z833" s="4" t="e">
        <f t="shared" si="70"/>
        <v>#N/A</v>
      </c>
      <c r="AA833" s="4">
        <f>IF($S833=Lookups!$B$113,VLOOKUP(L833,'Points Table C'!A$3:$E$11,5),VLOOKUP(U833,'Points Table C'!B$3:$E$11,4))</f>
        <v>0</v>
      </c>
      <c r="AB833" s="4" t="e">
        <f>IF($Q833=1,0,VLOOKUP($J833,'Points Table C'!$C$3:$E$18,3))</f>
        <v>#N/A</v>
      </c>
      <c r="AC833" s="4">
        <f>VLOOKUP($K833,'Points Table C'!$D$3:$E$18,2)</f>
        <v>0</v>
      </c>
      <c r="AD833" s="4" t="e">
        <f>IF($Z833&lt;Lookups!$C$106,($AA833+AB833+AC833),IF($AA833&gt;=Lookups!$C$120,($AA833+AB833+AC833),$AA833+$AB833))</f>
        <v>#N/A</v>
      </c>
      <c r="AF833" s="7"/>
      <c r="AG833" s="7"/>
      <c r="AH833" s="7"/>
      <c r="AI833" s="7"/>
      <c r="AJ833" s="7"/>
      <c r="AK833" s="7"/>
      <c r="AL833" s="7"/>
      <c r="AM833" s="7"/>
      <c r="AN833" s="7"/>
      <c r="AO833" s="7"/>
      <c r="AP833" s="7"/>
      <c r="AQ833" s="7"/>
      <c r="AR833" s="7"/>
      <c r="AS833" s="7"/>
      <c r="AT833" s="7"/>
      <c r="AU833" s="7"/>
      <c r="AV833" s="7"/>
      <c r="AW833" s="7"/>
      <c r="AY833" s="7"/>
      <c r="AZ833" s="7"/>
      <c r="BA833" s="7"/>
      <c r="BB833" s="7"/>
    </row>
    <row r="834" spans="2:54" x14ac:dyDescent="0.2">
      <c r="B834" s="174"/>
      <c r="C834" s="176"/>
      <c r="F834" s="5">
        <v>0</v>
      </c>
      <c r="G834" s="192">
        <v>0</v>
      </c>
      <c r="H834" s="192">
        <v>0</v>
      </c>
      <c r="I834" s="5">
        <v>0</v>
      </c>
      <c r="J834" s="192">
        <v>0</v>
      </c>
      <c r="K834" s="192">
        <v>0</v>
      </c>
      <c r="L834" s="5">
        <v>0</v>
      </c>
      <c r="M834" s="5">
        <v>0</v>
      </c>
      <c r="N834" s="4" t="e">
        <f t="shared" si="71"/>
        <v>#N/A</v>
      </c>
      <c r="O834" s="4" t="e">
        <f>IF(ROUND(10.499-(((N834-VLOOKUP($C834,Lookups!$A$55:$D$64,3))/(VLOOKUP($C834,Lookups!$A$55:$D$64,4))*VLOOKUP($C834,Lookups!$C$2:$D$11,2))),0)&lt;1,1,IF(ROUND(10.499-(((N834-VLOOKUP($C834,Lookups!$A$55:$D$64,3))/(VLOOKUP($C834,Lookups!$A$55:$D$64,4))*VLOOKUP($C834,Lookups!$C$2:$D$11,2))),0)&lt;11,ROUND(10.499-(((N834-VLOOKUP($C834,Lookups!$A$55:$D$64,3))/(VLOOKUP($C834,Lookups!$A$55:$D$64,4))*VLOOKUP($C834,Lookups!$C$2:$D$11,2))),0),10))</f>
        <v>#N/A</v>
      </c>
      <c r="P834" s="13" t="str">
        <f>IF((SUM(F834:M834)=0),"J",VLOOKUP(O834,Lookups!$A$1:$B$11,2))</f>
        <v>J</v>
      </c>
      <c r="Q834" s="8" t="e">
        <f>VLOOKUP(C834,Lookups!$A$136:$C$144,3)</f>
        <v>#N/A</v>
      </c>
      <c r="R834" s="8" t="e">
        <f>VLOOKUP(C834,Lookups!$A$136:$C$144,2)</f>
        <v>#N/A</v>
      </c>
      <c r="S834" s="4" t="str">
        <f t="shared" si="67"/>
        <v>No</v>
      </c>
      <c r="T834" s="125">
        <f t="shared" si="68"/>
        <v>0</v>
      </c>
      <c r="U834" s="125">
        <f t="shared" si="69"/>
        <v>0</v>
      </c>
      <c r="V834" s="4" t="e">
        <f>IF($Q834&lt;&gt;3,VLOOKUP(F834,'Points Table A'!B$3:$F$33,5),VLOOKUP(F834,'Points Table A'!H$3:$L$33,5))</f>
        <v>#N/A</v>
      </c>
      <c r="W834" s="4" t="e">
        <f>IF($Q834&lt;&gt;3,VLOOKUP(G834,'Points Table A'!C$3:$F$33,4),VLOOKUP(G834,'Points Table A'!I$3:$L$33,4))</f>
        <v>#N/A</v>
      </c>
      <c r="X834" s="4" t="e">
        <f>IF($Q834&lt;&gt;3,VLOOKUP(H834,'Points Table A'!D$3:$F$28,3),VLOOKUP(H834,'Points Table A'!J$3:$L$33,3))</f>
        <v>#N/A</v>
      </c>
      <c r="Y834" s="4" t="e">
        <f>IF($Q834&lt;&gt;3,VLOOKUP(I834,'Points Table A'!E$3:$F$33,2),VLOOKUP(I834,'Points Table A'!K$3:$L$33,2))</f>
        <v>#N/A</v>
      </c>
      <c r="Z834" s="4" t="e">
        <f t="shared" si="70"/>
        <v>#N/A</v>
      </c>
      <c r="AA834" s="4">
        <f>IF($S834=Lookups!$B$113,VLOOKUP(L834,'Points Table C'!A$3:$E$11,5),VLOOKUP(U834,'Points Table C'!B$3:$E$11,4))</f>
        <v>0</v>
      </c>
      <c r="AB834" s="4" t="e">
        <f>IF($Q834=1,0,VLOOKUP($J834,'Points Table C'!$C$3:$E$18,3))</f>
        <v>#N/A</v>
      </c>
      <c r="AC834" s="4">
        <f>VLOOKUP($K834,'Points Table C'!$D$3:$E$18,2)</f>
        <v>0</v>
      </c>
      <c r="AD834" s="4" t="e">
        <f>IF($Z834&lt;Lookups!$C$106,($AA834+AB834+AC834),IF($AA834&gt;=Lookups!$C$120,($AA834+AB834+AC834),$AA834+$AB834))</f>
        <v>#N/A</v>
      </c>
      <c r="AF834" s="7"/>
      <c r="AG834" s="7"/>
      <c r="AH834" s="7"/>
      <c r="AI834" s="7"/>
      <c r="AJ834" s="7"/>
      <c r="AK834" s="7"/>
      <c r="AL834" s="7"/>
      <c r="AM834" s="7"/>
      <c r="AN834" s="7"/>
      <c r="AO834" s="7"/>
      <c r="AP834" s="7"/>
      <c r="AQ834" s="7"/>
      <c r="AR834" s="7"/>
      <c r="AS834" s="7"/>
      <c r="AT834" s="7"/>
      <c r="AU834" s="7"/>
      <c r="AV834" s="7"/>
      <c r="AW834" s="7"/>
      <c r="AY834" s="7"/>
      <c r="AZ834" s="7"/>
      <c r="BA834" s="7"/>
      <c r="BB834" s="7"/>
    </row>
    <row r="835" spans="2:54" x14ac:dyDescent="0.2">
      <c r="B835" s="174"/>
      <c r="C835" s="176"/>
      <c r="F835" s="5">
        <v>0</v>
      </c>
      <c r="G835" s="192">
        <v>0</v>
      </c>
      <c r="H835" s="192">
        <v>0</v>
      </c>
      <c r="I835" s="5">
        <v>0</v>
      </c>
      <c r="J835" s="192">
        <v>0</v>
      </c>
      <c r="K835" s="192">
        <v>0</v>
      </c>
      <c r="L835" s="5">
        <v>0</v>
      </c>
      <c r="M835" s="5">
        <v>0</v>
      </c>
      <c r="N835" s="4" t="e">
        <f t="shared" si="71"/>
        <v>#N/A</v>
      </c>
      <c r="O835" s="4" t="e">
        <f>IF(ROUND(10.499-(((N835-VLOOKUP($C835,Lookups!$A$55:$D$64,3))/(VLOOKUP($C835,Lookups!$A$55:$D$64,4))*VLOOKUP($C835,Lookups!$C$2:$D$11,2))),0)&lt;1,1,IF(ROUND(10.499-(((N835-VLOOKUP($C835,Lookups!$A$55:$D$64,3))/(VLOOKUP($C835,Lookups!$A$55:$D$64,4))*VLOOKUP($C835,Lookups!$C$2:$D$11,2))),0)&lt;11,ROUND(10.499-(((N835-VLOOKUP($C835,Lookups!$A$55:$D$64,3))/(VLOOKUP($C835,Lookups!$A$55:$D$64,4))*VLOOKUP($C835,Lookups!$C$2:$D$11,2))),0),10))</f>
        <v>#N/A</v>
      </c>
      <c r="P835" s="13" t="str">
        <f>IF((SUM(F835:M835)=0),"J",VLOOKUP(O835,Lookups!$A$1:$B$11,2))</f>
        <v>J</v>
      </c>
      <c r="Q835" s="8" t="e">
        <f>VLOOKUP(C835,Lookups!$A$136:$C$144,3)</f>
        <v>#N/A</v>
      </c>
      <c r="R835" s="8" t="e">
        <f>VLOOKUP(C835,Lookups!$A$136:$C$144,2)</f>
        <v>#N/A</v>
      </c>
      <c r="S835" s="4" t="str">
        <f t="shared" si="67"/>
        <v>No</v>
      </c>
      <c r="T835" s="125">
        <f t="shared" si="68"/>
        <v>0</v>
      </c>
      <c r="U835" s="125">
        <f t="shared" si="69"/>
        <v>0</v>
      </c>
      <c r="V835" s="4" t="e">
        <f>IF($Q835&lt;&gt;3,VLOOKUP(F835,'Points Table A'!B$3:$F$33,5),VLOOKUP(F835,'Points Table A'!H$3:$L$33,5))</f>
        <v>#N/A</v>
      </c>
      <c r="W835" s="4" t="e">
        <f>IF($Q835&lt;&gt;3,VLOOKUP(G835,'Points Table A'!C$3:$F$33,4),VLOOKUP(G835,'Points Table A'!I$3:$L$33,4))</f>
        <v>#N/A</v>
      </c>
      <c r="X835" s="4" t="e">
        <f>IF($Q835&lt;&gt;3,VLOOKUP(H835,'Points Table A'!D$3:$F$28,3),VLOOKUP(H835,'Points Table A'!J$3:$L$33,3))</f>
        <v>#N/A</v>
      </c>
      <c r="Y835" s="4" t="e">
        <f>IF($Q835&lt;&gt;3,VLOOKUP(I835,'Points Table A'!E$3:$F$33,2),VLOOKUP(I835,'Points Table A'!K$3:$L$33,2))</f>
        <v>#N/A</v>
      </c>
      <c r="Z835" s="4" t="e">
        <f t="shared" si="70"/>
        <v>#N/A</v>
      </c>
      <c r="AA835" s="4">
        <f>IF($S835=Lookups!$B$113,VLOOKUP(L835,'Points Table C'!A$3:$E$11,5),VLOOKUP(U835,'Points Table C'!B$3:$E$11,4))</f>
        <v>0</v>
      </c>
      <c r="AB835" s="4" t="e">
        <f>IF($Q835=1,0,VLOOKUP($J835,'Points Table C'!$C$3:$E$18,3))</f>
        <v>#N/A</v>
      </c>
      <c r="AC835" s="4">
        <f>VLOOKUP($K835,'Points Table C'!$D$3:$E$18,2)</f>
        <v>0</v>
      </c>
      <c r="AD835" s="4" t="e">
        <f>IF($Z835&lt;Lookups!$C$106,($AA835+AB835+AC835),IF($AA835&gt;=Lookups!$C$120,($AA835+AB835+AC835),$AA835+$AB835))</f>
        <v>#N/A</v>
      </c>
      <c r="AF835" s="7"/>
      <c r="AG835" s="7"/>
      <c r="AH835" s="7"/>
      <c r="AI835" s="7"/>
      <c r="AJ835" s="7"/>
      <c r="AK835" s="7"/>
      <c r="AL835" s="7"/>
      <c r="AM835" s="7"/>
      <c r="AN835" s="7"/>
      <c r="AO835" s="7"/>
      <c r="AP835" s="7"/>
      <c r="AQ835" s="7"/>
      <c r="AR835" s="7"/>
      <c r="AS835" s="7"/>
      <c r="AT835" s="7"/>
      <c r="AU835" s="7"/>
      <c r="AV835" s="7"/>
      <c r="AW835" s="7"/>
      <c r="AY835" s="7"/>
      <c r="AZ835" s="7"/>
      <c r="BA835" s="7"/>
      <c r="BB835" s="7"/>
    </row>
    <row r="836" spans="2:54" x14ac:dyDescent="0.2">
      <c r="B836" s="174"/>
      <c r="C836" s="176"/>
      <c r="F836" s="5">
        <v>0</v>
      </c>
      <c r="G836" s="192">
        <v>0</v>
      </c>
      <c r="H836" s="192">
        <v>0</v>
      </c>
      <c r="I836" s="5">
        <v>0</v>
      </c>
      <c r="J836" s="192">
        <v>0</v>
      </c>
      <c r="K836" s="192">
        <v>0</v>
      </c>
      <c r="L836" s="5">
        <v>0</v>
      </c>
      <c r="M836" s="5">
        <v>0</v>
      </c>
      <c r="N836" s="4" t="e">
        <f t="shared" si="71"/>
        <v>#N/A</v>
      </c>
      <c r="O836" s="4" t="e">
        <f>IF(ROUND(10.499-(((N836-VLOOKUP($C836,Lookups!$A$55:$D$64,3))/(VLOOKUP($C836,Lookups!$A$55:$D$64,4))*VLOOKUP($C836,Lookups!$C$2:$D$11,2))),0)&lt;1,1,IF(ROUND(10.499-(((N836-VLOOKUP($C836,Lookups!$A$55:$D$64,3))/(VLOOKUP($C836,Lookups!$A$55:$D$64,4))*VLOOKUP($C836,Lookups!$C$2:$D$11,2))),0)&lt;11,ROUND(10.499-(((N836-VLOOKUP($C836,Lookups!$A$55:$D$64,3))/(VLOOKUP($C836,Lookups!$A$55:$D$64,4))*VLOOKUP($C836,Lookups!$C$2:$D$11,2))),0),10))</f>
        <v>#N/A</v>
      </c>
      <c r="P836" s="13" t="str">
        <f>IF((SUM(F836:M836)=0),"J",VLOOKUP(O836,Lookups!$A$1:$B$11,2))</f>
        <v>J</v>
      </c>
      <c r="Q836" s="8" t="e">
        <f>VLOOKUP(C836,Lookups!$A$136:$C$144,3)</f>
        <v>#N/A</v>
      </c>
      <c r="R836" s="8" t="e">
        <f>VLOOKUP(C836,Lookups!$A$136:$C$144,2)</f>
        <v>#N/A</v>
      </c>
      <c r="S836" s="4" t="str">
        <f t="shared" si="67"/>
        <v>No</v>
      </c>
      <c r="T836" s="125">
        <f t="shared" si="68"/>
        <v>0</v>
      </c>
      <c r="U836" s="125">
        <f t="shared" si="69"/>
        <v>0</v>
      </c>
      <c r="V836" s="4" t="e">
        <f>IF($Q836&lt;&gt;3,VLOOKUP(F836,'Points Table A'!B$3:$F$33,5),VLOOKUP(F836,'Points Table A'!H$3:$L$33,5))</f>
        <v>#N/A</v>
      </c>
      <c r="W836" s="4" t="e">
        <f>IF($Q836&lt;&gt;3,VLOOKUP(G836,'Points Table A'!C$3:$F$33,4),VLOOKUP(G836,'Points Table A'!I$3:$L$33,4))</f>
        <v>#N/A</v>
      </c>
      <c r="X836" s="4" t="e">
        <f>IF($Q836&lt;&gt;3,VLOOKUP(H836,'Points Table A'!D$3:$F$28,3),VLOOKUP(H836,'Points Table A'!J$3:$L$33,3))</f>
        <v>#N/A</v>
      </c>
      <c r="Y836" s="4" t="e">
        <f>IF($Q836&lt;&gt;3,VLOOKUP(I836,'Points Table A'!E$3:$F$33,2),VLOOKUP(I836,'Points Table A'!K$3:$L$33,2))</f>
        <v>#N/A</v>
      </c>
      <c r="Z836" s="4" t="e">
        <f t="shared" si="70"/>
        <v>#N/A</v>
      </c>
      <c r="AA836" s="4">
        <f>IF($S836=Lookups!$B$113,VLOOKUP(L836,'Points Table C'!A$3:$E$11,5),VLOOKUP(U836,'Points Table C'!B$3:$E$11,4))</f>
        <v>0</v>
      </c>
      <c r="AB836" s="4" t="e">
        <f>IF($Q836=1,0,VLOOKUP($J836,'Points Table C'!$C$3:$E$18,3))</f>
        <v>#N/A</v>
      </c>
      <c r="AC836" s="4">
        <f>VLOOKUP($K836,'Points Table C'!$D$3:$E$18,2)</f>
        <v>0</v>
      </c>
      <c r="AD836" s="4" t="e">
        <f>IF($Z836&lt;Lookups!$C$106,($AA836+AB836+AC836),IF($AA836&gt;=Lookups!$C$120,($AA836+AB836+AC836),$AA836+$AB836))</f>
        <v>#N/A</v>
      </c>
      <c r="AF836" s="7"/>
      <c r="AG836" s="7"/>
      <c r="AH836" s="7"/>
      <c r="AI836" s="7"/>
      <c r="AJ836" s="7"/>
      <c r="AK836" s="7"/>
      <c r="AL836" s="7"/>
      <c r="AM836" s="7"/>
      <c r="AN836" s="7"/>
      <c r="AO836" s="7"/>
      <c r="AP836" s="7"/>
      <c r="AQ836" s="7"/>
      <c r="AR836" s="7"/>
      <c r="AS836" s="7"/>
      <c r="AT836" s="7"/>
      <c r="AU836" s="7"/>
      <c r="AV836" s="7"/>
      <c r="AW836" s="7"/>
      <c r="AY836" s="7"/>
      <c r="AZ836" s="7"/>
      <c r="BA836" s="7"/>
      <c r="BB836" s="7"/>
    </row>
    <row r="837" spans="2:54" x14ac:dyDescent="0.2">
      <c r="B837" s="174"/>
      <c r="C837" s="176"/>
      <c r="F837" s="5">
        <v>0</v>
      </c>
      <c r="G837" s="192">
        <v>0</v>
      </c>
      <c r="H837" s="192">
        <v>0</v>
      </c>
      <c r="I837" s="5">
        <v>0</v>
      </c>
      <c r="J837" s="192">
        <v>0</v>
      </c>
      <c r="K837" s="192">
        <v>0</v>
      </c>
      <c r="L837" s="5">
        <v>0</v>
      </c>
      <c r="M837" s="5">
        <v>0</v>
      </c>
      <c r="N837" s="4" t="e">
        <f t="shared" si="71"/>
        <v>#N/A</v>
      </c>
      <c r="O837" s="4" t="e">
        <f>IF(ROUND(10.499-(((N837-VLOOKUP($C837,Lookups!$A$55:$D$64,3))/(VLOOKUP($C837,Lookups!$A$55:$D$64,4))*VLOOKUP($C837,Lookups!$C$2:$D$11,2))),0)&lt;1,1,IF(ROUND(10.499-(((N837-VLOOKUP($C837,Lookups!$A$55:$D$64,3))/(VLOOKUP($C837,Lookups!$A$55:$D$64,4))*VLOOKUP($C837,Lookups!$C$2:$D$11,2))),0)&lt;11,ROUND(10.499-(((N837-VLOOKUP($C837,Lookups!$A$55:$D$64,3))/(VLOOKUP($C837,Lookups!$A$55:$D$64,4))*VLOOKUP($C837,Lookups!$C$2:$D$11,2))),0),10))</f>
        <v>#N/A</v>
      </c>
      <c r="P837" s="13" t="str">
        <f>IF((SUM(F837:M837)=0),"J",VLOOKUP(O837,Lookups!$A$1:$B$11,2))</f>
        <v>J</v>
      </c>
      <c r="Q837" s="8" t="e">
        <f>VLOOKUP(C837,Lookups!$A$136:$C$144,3)</f>
        <v>#N/A</v>
      </c>
      <c r="R837" s="8" t="e">
        <f>VLOOKUP(C837,Lookups!$A$136:$C$144,2)</f>
        <v>#N/A</v>
      </c>
      <c r="S837" s="4" t="str">
        <f t="shared" si="67"/>
        <v>No</v>
      </c>
      <c r="T837" s="125">
        <f t="shared" si="68"/>
        <v>0</v>
      </c>
      <c r="U837" s="125">
        <f t="shared" si="69"/>
        <v>0</v>
      </c>
      <c r="V837" s="4" t="e">
        <f>IF($Q837&lt;&gt;3,VLOOKUP(F837,'Points Table A'!B$3:$F$33,5),VLOOKUP(F837,'Points Table A'!H$3:$L$33,5))</f>
        <v>#N/A</v>
      </c>
      <c r="W837" s="4" t="e">
        <f>IF($Q837&lt;&gt;3,VLOOKUP(G837,'Points Table A'!C$3:$F$33,4),VLOOKUP(G837,'Points Table A'!I$3:$L$33,4))</f>
        <v>#N/A</v>
      </c>
      <c r="X837" s="4" t="e">
        <f>IF($Q837&lt;&gt;3,VLOOKUP(H837,'Points Table A'!D$3:$F$28,3),VLOOKUP(H837,'Points Table A'!J$3:$L$33,3))</f>
        <v>#N/A</v>
      </c>
      <c r="Y837" s="4" t="e">
        <f>IF($Q837&lt;&gt;3,VLOOKUP(I837,'Points Table A'!E$3:$F$33,2),VLOOKUP(I837,'Points Table A'!K$3:$L$33,2))</f>
        <v>#N/A</v>
      </c>
      <c r="Z837" s="4" t="e">
        <f t="shared" si="70"/>
        <v>#N/A</v>
      </c>
      <c r="AA837" s="4">
        <f>IF($S837=Lookups!$B$113,VLOOKUP(L837,'Points Table C'!A$3:$E$11,5),VLOOKUP(U837,'Points Table C'!B$3:$E$11,4))</f>
        <v>0</v>
      </c>
      <c r="AB837" s="4" t="e">
        <f>IF($Q837=1,0,VLOOKUP($J837,'Points Table C'!$C$3:$E$18,3))</f>
        <v>#N/A</v>
      </c>
      <c r="AC837" s="4">
        <f>VLOOKUP($K837,'Points Table C'!$D$3:$E$18,2)</f>
        <v>0</v>
      </c>
      <c r="AD837" s="4" t="e">
        <f>IF($Z837&lt;Lookups!$C$106,($AA837+AB837+AC837),IF($AA837&gt;=Lookups!$C$120,($AA837+AB837+AC837),$AA837+$AB837))</f>
        <v>#N/A</v>
      </c>
      <c r="AF837" s="7"/>
      <c r="AG837" s="7"/>
      <c r="AH837" s="7"/>
      <c r="AI837" s="7"/>
      <c r="AJ837" s="7"/>
      <c r="AK837" s="7"/>
      <c r="AL837" s="7"/>
      <c r="AM837" s="7"/>
      <c r="AN837" s="7"/>
      <c r="AO837" s="7"/>
      <c r="AP837" s="7"/>
      <c r="AQ837" s="7"/>
      <c r="AR837" s="7"/>
      <c r="AS837" s="7"/>
      <c r="AT837" s="7"/>
      <c r="AU837" s="7"/>
      <c r="AV837" s="7"/>
      <c r="AW837" s="7"/>
      <c r="AY837" s="7"/>
      <c r="AZ837" s="7"/>
      <c r="BA837" s="7"/>
      <c r="BB837" s="7"/>
    </row>
    <row r="838" spans="2:54" x14ac:dyDescent="0.2">
      <c r="B838" s="174"/>
      <c r="C838" s="176"/>
      <c r="F838" s="5">
        <v>0</v>
      </c>
      <c r="G838" s="192">
        <v>0</v>
      </c>
      <c r="H838" s="192">
        <v>0</v>
      </c>
      <c r="I838" s="5">
        <v>0</v>
      </c>
      <c r="J838" s="192">
        <v>0</v>
      </c>
      <c r="K838" s="192">
        <v>0</v>
      </c>
      <c r="L838" s="5">
        <v>0</v>
      </c>
      <c r="M838" s="5">
        <v>0</v>
      </c>
      <c r="N838" s="4" t="e">
        <f t="shared" si="71"/>
        <v>#N/A</v>
      </c>
      <c r="O838" s="4" t="e">
        <f>IF(ROUND(10.499-(((N838-VLOOKUP($C838,Lookups!$A$55:$D$64,3))/(VLOOKUP($C838,Lookups!$A$55:$D$64,4))*VLOOKUP($C838,Lookups!$C$2:$D$11,2))),0)&lt;1,1,IF(ROUND(10.499-(((N838-VLOOKUP($C838,Lookups!$A$55:$D$64,3))/(VLOOKUP($C838,Lookups!$A$55:$D$64,4))*VLOOKUP($C838,Lookups!$C$2:$D$11,2))),0)&lt;11,ROUND(10.499-(((N838-VLOOKUP($C838,Lookups!$A$55:$D$64,3))/(VLOOKUP($C838,Lookups!$A$55:$D$64,4))*VLOOKUP($C838,Lookups!$C$2:$D$11,2))),0),10))</f>
        <v>#N/A</v>
      </c>
      <c r="P838" s="13" t="str">
        <f>IF((SUM(F838:M838)=0),"J",VLOOKUP(O838,Lookups!$A$1:$B$11,2))</f>
        <v>J</v>
      </c>
      <c r="Q838" s="8" t="e">
        <f>VLOOKUP(C838,Lookups!$A$136:$C$144,3)</f>
        <v>#N/A</v>
      </c>
      <c r="R838" s="8" t="e">
        <f>VLOOKUP(C838,Lookups!$A$136:$C$144,2)</f>
        <v>#N/A</v>
      </c>
      <c r="S838" s="4" t="str">
        <f t="shared" si="67"/>
        <v>No</v>
      </c>
      <c r="T838" s="125">
        <f t="shared" si="68"/>
        <v>0</v>
      </c>
      <c r="U838" s="125">
        <f t="shared" si="69"/>
        <v>0</v>
      </c>
      <c r="V838" s="4" t="e">
        <f>IF($Q838&lt;&gt;3,VLOOKUP(F838,'Points Table A'!B$3:$F$33,5),VLOOKUP(F838,'Points Table A'!H$3:$L$33,5))</f>
        <v>#N/A</v>
      </c>
      <c r="W838" s="4" t="e">
        <f>IF($Q838&lt;&gt;3,VLOOKUP(G838,'Points Table A'!C$3:$F$33,4),VLOOKUP(G838,'Points Table A'!I$3:$L$33,4))</f>
        <v>#N/A</v>
      </c>
      <c r="X838" s="4" t="e">
        <f>IF($Q838&lt;&gt;3,VLOOKUP(H838,'Points Table A'!D$3:$F$28,3),VLOOKUP(H838,'Points Table A'!J$3:$L$33,3))</f>
        <v>#N/A</v>
      </c>
      <c r="Y838" s="4" t="e">
        <f>IF($Q838&lt;&gt;3,VLOOKUP(I838,'Points Table A'!E$3:$F$33,2),VLOOKUP(I838,'Points Table A'!K$3:$L$33,2))</f>
        <v>#N/A</v>
      </c>
      <c r="Z838" s="4" t="e">
        <f t="shared" si="70"/>
        <v>#N/A</v>
      </c>
      <c r="AA838" s="4">
        <f>IF($S838=Lookups!$B$113,VLOOKUP(L838,'Points Table C'!A$3:$E$11,5),VLOOKUP(U838,'Points Table C'!B$3:$E$11,4))</f>
        <v>0</v>
      </c>
      <c r="AB838" s="4" t="e">
        <f>IF($Q838=1,0,VLOOKUP($J838,'Points Table C'!$C$3:$E$18,3))</f>
        <v>#N/A</v>
      </c>
      <c r="AC838" s="4">
        <f>VLOOKUP($K838,'Points Table C'!$D$3:$E$18,2)</f>
        <v>0</v>
      </c>
      <c r="AD838" s="4" t="e">
        <f>IF($Z838&lt;Lookups!$C$106,($AA838+AB838+AC838),IF($AA838&gt;=Lookups!$C$120,($AA838+AB838+AC838),$AA838+$AB838))</f>
        <v>#N/A</v>
      </c>
      <c r="AF838" s="7"/>
      <c r="AG838" s="7"/>
      <c r="AH838" s="7"/>
      <c r="AI838" s="7"/>
      <c r="AJ838" s="7"/>
      <c r="AK838" s="7"/>
      <c r="AL838" s="7"/>
      <c r="AM838" s="7"/>
      <c r="AN838" s="7"/>
      <c r="AO838" s="7"/>
      <c r="AP838" s="7"/>
      <c r="AQ838" s="7"/>
      <c r="AR838" s="7"/>
      <c r="AS838" s="7"/>
      <c r="AT838" s="7"/>
      <c r="AU838" s="7"/>
      <c r="AV838" s="7"/>
      <c r="AW838" s="7"/>
      <c r="AY838" s="7"/>
      <c r="AZ838" s="7"/>
      <c r="BA838" s="7"/>
      <c r="BB838" s="7"/>
    </row>
    <row r="839" spans="2:54" x14ac:dyDescent="0.2">
      <c r="B839" s="174"/>
      <c r="C839" s="176"/>
      <c r="F839" s="5">
        <v>0</v>
      </c>
      <c r="G839" s="192">
        <v>0</v>
      </c>
      <c r="H839" s="192">
        <v>0</v>
      </c>
      <c r="I839" s="5">
        <v>0</v>
      </c>
      <c r="J839" s="192">
        <v>0</v>
      </c>
      <c r="K839" s="192">
        <v>0</v>
      </c>
      <c r="L839" s="5">
        <v>0</v>
      </c>
      <c r="M839" s="5">
        <v>0</v>
      </c>
      <c r="N839" s="4" t="e">
        <f t="shared" si="71"/>
        <v>#N/A</v>
      </c>
      <c r="O839" s="4" t="e">
        <f>IF(ROUND(10.499-(((N839-VLOOKUP($C839,Lookups!$A$55:$D$64,3))/(VLOOKUP($C839,Lookups!$A$55:$D$64,4))*VLOOKUP($C839,Lookups!$C$2:$D$11,2))),0)&lt;1,1,IF(ROUND(10.499-(((N839-VLOOKUP($C839,Lookups!$A$55:$D$64,3))/(VLOOKUP($C839,Lookups!$A$55:$D$64,4))*VLOOKUP($C839,Lookups!$C$2:$D$11,2))),0)&lt;11,ROUND(10.499-(((N839-VLOOKUP($C839,Lookups!$A$55:$D$64,3))/(VLOOKUP($C839,Lookups!$A$55:$D$64,4))*VLOOKUP($C839,Lookups!$C$2:$D$11,2))),0),10))</f>
        <v>#N/A</v>
      </c>
      <c r="P839" s="13" t="str">
        <f>IF((SUM(F839:M839)=0),"J",VLOOKUP(O839,Lookups!$A$1:$B$11,2))</f>
        <v>J</v>
      </c>
      <c r="Q839" s="8" t="e">
        <f>VLOOKUP(C839,Lookups!$A$136:$C$144,3)</f>
        <v>#N/A</v>
      </c>
      <c r="R839" s="8" t="e">
        <f>VLOOKUP(C839,Lookups!$A$136:$C$144,2)</f>
        <v>#N/A</v>
      </c>
      <c r="S839" s="4" t="str">
        <f t="shared" si="67"/>
        <v>No</v>
      </c>
      <c r="T839" s="125">
        <f t="shared" si="68"/>
        <v>0</v>
      </c>
      <c r="U839" s="125">
        <f t="shared" si="69"/>
        <v>0</v>
      </c>
      <c r="V839" s="4" t="e">
        <f>IF($Q839&lt;&gt;3,VLOOKUP(F839,'Points Table A'!B$3:$F$33,5),VLOOKUP(F839,'Points Table A'!H$3:$L$33,5))</f>
        <v>#N/A</v>
      </c>
      <c r="W839" s="4" t="e">
        <f>IF($Q839&lt;&gt;3,VLOOKUP(G839,'Points Table A'!C$3:$F$33,4),VLOOKUP(G839,'Points Table A'!I$3:$L$33,4))</f>
        <v>#N/A</v>
      </c>
      <c r="X839" s="4" t="e">
        <f>IF($Q839&lt;&gt;3,VLOOKUP(H839,'Points Table A'!D$3:$F$28,3),VLOOKUP(H839,'Points Table A'!J$3:$L$33,3))</f>
        <v>#N/A</v>
      </c>
      <c r="Y839" s="4" t="e">
        <f>IF($Q839&lt;&gt;3,VLOOKUP(I839,'Points Table A'!E$3:$F$33,2),VLOOKUP(I839,'Points Table A'!K$3:$L$33,2))</f>
        <v>#N/A</v>
      </c>
      <c r="Z839" s="4" t="e">
        <f t="shared" si="70"/>
        <v>#N/A</v>
      </c>
      <c r="AA839" s="4">
        <f>IF($S839=Lookups!$B$113,VLOOKUP(L839,'Points Table C'!A$3:$E$11,5),VLOOKUP(U839,'Points Table C'!B$3:$E$11,4))</f>
        <v>0</v>
      </c>
      <c r="AB839" s="4" t="e">
        <f>IF($Q839=1,0,VLOOKUP($J839,'Points Table C'!$C$3:$E$18,3))</f>
        <v>#N/A</v>
      </c>
      <c r="AC839" s="4">
        <f>VLOOKUP($K839,'Points Table C'!$D$3:$E$18,2)</f>
        <v>0</v>
      </c>
      <c r="AD839" s="4" t="e">
        <f>IF($Z839&lt;Lookups!$C$106,($AA839+AB839+AC839),IF($AA839&gt;=Lookups!$C$120,($AA839+AB839+AC839),$AA839+$AB839))</f>
        <v>#N/A</v>
      </c>
      <c r="AF839" s="7"/>
      <c r="AG839" s="7"/>
      <c r="AH839" s="7"/>
      <c r="AI839" s="7"/>
      <c r="AJ839" s="7"/>
      <c r="AK839" s="7"/>
      <c r="AL839" s="7"/>
      <c r="AM839" s="7"/>
      <c r="AN839" s="7"/>
      <c r="AO839" s="7"/>
      <c r="AP839" s="7"/>
      <c r="AQ839" s="7"/>
      <c r="AR839" s="7"/>
      <c r="AS839" s="7"/>
      <c r="AT839" s="7"/>
      <c r="AU839" s="7"/>
      <c r="AV839" s="7"/>
      <c r="AW839" s="7"/>
      <c r="AY839" s="7"/>
      <c r="AZ839" s="7"/>
      <c r="BA839" s="7"/>
      <c r="BB839" s="7"/>
    </row>
    <row r="840" spans="2:54" x14ac:dyDescent="0.2">
      <c r="B840" s="174"/>
      <c r="C840" s="176"/>
      <c r="F840" s="5">
        <v>0</v>
      </c>
      <c r="G840" s="192">
        <v>0</v>
      </c>
      <c r="H840" s="192">
        <v>0</v>
      </c>
      <c r="I840" s="5">
        <v>0</v>
      </c>
      <c r="J840" s="192">
        <v>0</v>
      </c>
      <c r="K840" s="192">
        <v>0</v>
      </c>
      <c r="L840" s="5">
        <v>0</v>
      </c>
      <c r="M840" s="5">
        <v>0</v>
      </c>
      <c r="N840" s="4" t="e">
        <f t="shared" si="71"/>
        <v>#N/A</v>
      </c>
      <c r="O840" s="4" t="e">
        <f>IF(ROUND(10.499-(((N840-VLOOKUP($C840,Lookups!$A$55:$D$64,3))/(VLOOKUP($C840,Lookups!$A$55:$D$64,4))*VLOOKUP($C840,Lookups!$C$2:$D$11,2))),0)&lt;1,1,IF(ROUND(10.499-(((N840-VLOOKUP($C840,Lookups!$A$55:$D$64,3))/(VLOOKUP($C840,Lookups!$A$55:$D$64,4))*VLOOKUP($C840,Lookups!$C$2:$D$11,2))),0)&lt;11,ROUND(10.499-(((N840-VLOOKUP($C840,Lookups!$A$55:$D$64,3))/(VLOOKUP($C840,Lookups!$A$55:$D$64,4))*VLOOKUP($C840,Lookups!$C$2:$D$11,2))),0),10))</f>
        <v>#N/A</v>
      </c>
      <c r="P840" s="13" t="str">
        <f>IF((SUM(F840:M840)=0),"J",VLOOKUP(O840,Lookups!$A$1:$B$11,2))</f>
        <v>J</v>
      </c>
      <c r="Q840" s="8" t="e">
        <f>VLOOKUP(C840,Lookups!$A$136:$C$144,3)</f>
        <v>#N/A</v>
      </c>
      <c r="R840" s="8" t="e">
        <f>VLOOKUP(C840,Lookups!$A$136:$C$144,2)</f>
        <v>#N/A</v>
      </c>
      <c r="S840" s="4" t="str">
        <f t="shared" si="67"/>
        <v>No</v>
      </c>
      <c r="T840" s="125">
        <f t="shared" si="68"/>
        <v>0</v>
      </c>
      <c r="U840" s="125">
        <f t="shared" si="69"/>
        <v>0</v>
      </c>
      <c r="V840" s="4" t="e">
        <f>IF($Q840&lt;&gt;3,VLOOKUP(F840,'Points Table A'!B$3:$F$33,5),VLOOKUP(F840,'Points Table A'!H$3:$L$33,5))</f>
        <v>#N/A</v>
      </c>
      <c r="W840" s="4" t="e">
        <f>IF($Q840&lt;&gt;3,VLOOKUP(G840,'Points Table A'!C$3:$F$33,4),VLOOKUP(G840,'Points Table A'!I$3:$L$33,4))</f>
        <v>#N/A</v>
      </c>
      <c r="X840" s="4" t="e">
        <f>IF($Q840&lt;&gt;3,VLOOKUP(H840,'Points Table A'!D$3:$F$28,3),VLOOKUP(H840,'Points Table A'!J$3:$L$33,3))</f>
        <v>#N/A</v>
      </c>
      <c r="Y840" s="4" t="e">
        <f>IF($Q840&lt;&gt;3,VLOOKUP(I840,'Points Table A'!E$3:$F$33,2),VLOOKUP(I840,'Points Table A'!K$3:$L$33,2))</f>
        <v>#N/A</v>
      </c>
      <c r="Z840" s="4" t="e">
        <f t="shared" si="70"/>
        <v>#N/A</v>
      </c>
      <c r="AA840" s="4">
        <f>IF($S840=Lookups!$B$113,VLOOKUP(L840,'Points Table C'!A$3:$E$11,5),VLOOKUP(U840,'Points Table C'!B$3:$E$11,4))</f>
        <v>0</v>
      </c>
      <c r="AB840" s="4" t="e">
        <f>IF($Q840=1,0,VLOOKUP($J840,'Points Table C'!$C$3:$E$18,3))</f>
        <v>#N/A</v>
      </c>
      <c r="AC840" s="4">
        <f>VLOOKUP($K840,'Points Table C'!$D$3:$E$18,2)</f>
        <v>0</v>
      </c>
      <c r="AD840" s="4" t="e">
        <f>IF($Z840&lt;Lookups!$C$106,($AA840+AB840+AC840),IF($AA840&gt;=Lookups!$C$120,($AA840+AB840+AC840),$AA840+$AB840))</f>
        <v>#N/A</v>
      </c>
      <c r="AF840" s="7"/>
      <c r="AG840" s="7"/>
      <c r="AH840" s="7"/>
      <c r="AI840" s="7"/>
      <c r="AJ840" s="7"/>
      <c r="AK840" s="7"/>
      <c r="AL840" s="7"/>
      <c r="AM840" s="7"/>
      <c r="AN840" s="7"/>
      <c r="AO840" s="7"/>
      <c r="AP840" s="7"/>
      <c r="AQ840" s="7"/>
      <c r="AR840" s="7"/>
      <c r="AS840" s="7"/>
      <c r="AT840" s="7"/>
      <c r="AU840" s="7"/>
      <c r="AV840" s="7"/>
      <c r="AW840" s="7"/>
      <c r="AY840" s="7"/>
      <c r="AZ840" s="7"/>
      <c r="BA840" s="7"/>
      <c r="BB840" s="7"/>
    </row>
    <row r="841" spans="2:54" x14ac:dyDescent="0.2">
      <c r="B841" s="174"/>
      <c r="C841" s="176"/>
      <c r="F841" s="5">
        <v>0</v>
      </c>
      <c r="G841" s="192">
        <v>0</v>
      </c>
      <c r="H841" s="192">
        <v>0</v>
      </c>
      <c r="I841" s="5">
        <v>0</v>
      </c>
      <c r="J841" s="192">
        <v>0</v>
      </c>
      <c r="K841" s="192">
        <v>0</v>
      </c>
      <c r="L841" s="5">
        <v>0</v>
      </c>
      <c r="M841" s="5">
        <v>0</v>
      </c>
      <c r="N841" s="4" t="e">
        <f t="shared" si="71"/>
        <v>#N/A</v>
      </c>
      <c r="O841" s="4" t="e">
        <f>IF(ROUND(10.499-(((N841-VLOOKUP($C841,Lookups!$A$55:$D$64,3))/(VLOOKUP($C841,Lookups!$A$55:$D$64,4))*VLOOKUP($C841,Lookups!$C$2:$D$11,2))),0)&lt;1,1,IF(ROUND(10.499-(((N841-VLOOKUP($C841,Lookups!$A$55:$D$64,3))/(VLOOKUP($C841,Lookups!$A$55:$D$64,4))*VLOOKUP($C841,Lookups!$C$2:$D$11,2))),0)&lt;11,ROUND(10.499-(((N841-VLOOKUP($C841,Lookups!$A$55:$D$64,3))/(VLOOKUP($C841,Lookups!$A$55:$D$64,4))*VLOOKUP($C841,Lookups!$C$2:$D$11,2))),0),10))</f>
        <v>#N/A</v>
      </c>
      <c r="P841" s="13" t="str">
        <f>IF((SUM(F841:M841)=0),"J",VLOOKUP(O841,Lookups!$A$1:$B$11,2))</f>
        <v>J</v>
      </c>
      <c r="Q841" s="8" t="e">
        <f>VLOOKUP(C841,Lookups!$A$136:$C$144,3)</f>
        <v>#N/A</v>
      </c>
      <c r="R841" s="8" t="e">
        <f>VLOOKUP(C841,Lookups!$A$136:$C$144,2)</f>
        <v>#N/A</v>
      </c>
      <c r="S841" s="4" t="str">
        <f t="shared" si="67"/>
        <v>No</v>
      </c>
      <c r="T841" s="125">
        <f t="shared" si="68"/>
        <v>0</v>
      </c>
      <c r="U841" s="125">
        <f t="shared" si="69"/>
        <v>0</v>
      </c>
      <c r="V841" s="4" t="e">
        <f>IF($Q841&lt;&gt;3,VLOOKUP(F841,'Points Table A'!B$3:$F$33,5),VLOOKUP(F841,'Points Table A'!H$3:$L$33,5))</f>
        <v>#N/A</v>
      </c>
      <c r="W841" s="4" t="e">
        <f>IF($Q841&lt;&gt;3,VLOOKUP(G841,'Points Table A'!C$3:$F$33,4),VLOOKUP(G841,'Points Table A'!I$3:$L$33,4))</f>
        <v>#N/A</v>
      </c>
      <c r="X841" s="4" t="e">
        <f>IF($Q841&lt;&gt;3,VLOOKUP(H841,'Points Table A'!D$3:$F$28,3),VLOOKUP(H841,'Points Table A'!J$3:$L$33,3))</f>
        <v>#N/A</v>
      </c>
      <c r="Y841" s="4" t="e">
        <f>IF($Q841&lt;&gt;3,VLOOKUP(I841,'Points Table A'!E$3:$F$33,2),VLOOKUP(I841,'Points Table A'!K$3:$L$33,2))</f>
        <v>#N/A</v>
      </c>
      <c r="Z841" s="4" t="e">
        <f t="shared" si="70"/>
        <v>#N/A</v>
      </c>
      <c r="AA841" s="4">
        <f>IF($S841=Lookups!$B$113,VLOOKUP(L841,'Points Table C'!A$3:$E$11,5),VLOOKUP(U841,'Points Table C'!B$3:$E$11,4))</f>
        <v>0</v>
      </c>
      <c r="AB841" s="4" t="e">
        <f>IF($Q841=1,0,VLOOKUP($J841,'Points Table C'!$C$3:$E$18,3))</f>
        <v>#N/A</v>
      </c>
      <c r="AC841" s="4">
        <f>VLOOKUP($K841,'Points Table C'!$D$3:$E$18,2)</f>
        <v>0</v>
      </c>
      <c r="AD841" s="4" t="e">
        <f>IF($Z841&lt;Lookups!$C$106,($AA841+AB841+AC841),IF($AA841&gt;=Lookups!$C$120,($AA841+AB841+AC841),$AA841+$AB841))</f>
        <v>#N/A</v>
      </c>
      <c r="AF841" s="7"/>
      <c r="AG841" s="7"/>
      <c r="AH841" s="7"/>
      <c r="AI841" s="7"/>
      <c r="AJ841" s="7"/>
      <c r="AK841" s="7"/>
      <c r="AL841" s="7"/>
      <c r="AM841" s="7"/>
      <c r="AN841" s="7"/>
      <c r="AO841" s="7"/>
      <c r="AP841" s="7"/>
      <c r="AQ841" s="7"/>
      <c r="AR841" s="7"/>
      <c r="AS841" s="7"/>
      <c r="AT841" s="7"/>
      <c r="AU841" s="7"/>
      <c r="AV841" s="7"/>
      <c r="AW841" s="7"/>
      <c r="AY841" s="7"/>
      <c r="AZ841" s="7"/>
      <c r="BA841" s="7"/>
      <c r="BB841" s="7"/>
    </row>
    <row r="842" spans="2:54" x14ac:dyDescent="0.2">
      <c r="B842" s="174"/>
      <c r="C842" s="176"/>
      <c r="F842" s="5">
        <v>0</v>
      </c>
      <c r="G842" s="192">
        <v>0</v>
      </c>
      <c r="H842" s="192">
        <v>0</v>
      </c>
      <c r="I842" s="5">
        <v>0</v>
      </c>
      <c r="J842" s="192">
        <v>0</v>
      </c>
      <c r="K842" s="192">
        <v>0</v>
      </c>
      <c r="L842" s="5">
        <v>0</v>
      </c>
      <c r="M842" s="5">
        <v>0</v>
      </c>
      <c r="N842" s="4" t="e">
        <f t="shared" si="71"/>
        <v>#N/A</v>
      </c>
      <c r="O842" s="4" t="e">
        <f>IF(ROUND(10.499-(((N842-VLOOKUP($C842,Lookups!$A$55:$D$64,3))/(VLOOKUP($C842,Lookups!$A$55:$D$64,4))*VLOOKUP($C842,Lookups!$C$2:$D$11,2))),0)&lt;1,1,IF(ROUND(10.499-(((N842-VLOOKUP($C842,Lookups!$A$55:$D$64,3))/(VLOOKUP($C842,Lookups!$A$55:$D$64,4))*VLOOKUP($C842,Lookups!$C$2:$D$11,2))),0)&lt;11,ROUND(10.499-(((N842-VLOOKUP($C842,Lookups!$A$55:$D$64,3))/(VLOOKUP($C842,Lookups!$A$55:$D$64,4))*VLOOKUP($C842,Lookups!$C$2:$D$11,2))),0),10))</f>
        <v>#N/A</v>
      </c>
      <c r="P842" s="13" t="str">
        <f>IF((SUM(F842:M842)=0),"J",VLOOKUP(O842,Lookups!$A$1:$B$11,2))</f>
        <v>J</v>
      </c>
      <c r="Q842" s="8" t="e">
        <f>VLOOKUP(C842,Lookups!$A$136:$C$144,3)</f>
        <v>#N/A</v>
      </c>
      <c r="R842" s="8" t="e">
        <f>VLOOKUP(C842,Lookups!$A$136:$C$144,2)</f>
        <v>#N/A</v>
      </c>
      <c r="S842" s="4" t="str">
        <f t="shared" si="67"/>
        <v>No</v>
      </c>
      <c r="T842" s="125">
        <f t="shared" si="68"/>
        <v>0</v>
      </c>
      <c r="U842" s="125">
        <f t="shared" si="69"/>
        <v>0</v>
      </c>
      <c r="V842" s="4" t="e">
        <f>IF($Q842&lt;&gt;3,VLOOKUP(F842,'Points Table A'!B$3:$F$33,5),VLOOKUP(F842,'Points Table A'!H$3:$L$33,5))</f>
        <v>#N/A</v>
      </c>
      <c r="W842" s="4" t="e">
        <f>IF($Q842&lt;&gt;3,VLOOKUP(G842,'Points Table A'!C$3:$F$33,4),VLOOKUP(G842,'Points Table A'!I$3:$L$33,4))</f>
        <v>#N/A</v>
      </c>
      <c r="X842" s="4" t="e">
        <f>IF($Q842&lt;&gt;3,VLOOKUP(H842,'Points Table A'!D$3:$F$28,3),VLOOKUP(H842,'Points Table A'!J$3:$L$33,3))</f>
        <v>#N/A</v>
      </c>
      <c r="Y842" s="4" t="e">
        <f>IF($Q842&lt;&gt;3,VLOOKUP(I842,'Points Table A'!E$3:$F$33,2),VLOOKUP(I842,'Points Table A'!K$3:$L$33,2))</f>
        <v>#N/A</v>
      </c>
      <c r="Z842" s="4" t="e">
        <f t="shared" si="70"/>
        <v>#N/A</v>
      </c>
      <c r="AA842" s="4">
        <f>IF($S842=Lookups!$B$113,VLOOKUP(L842,'Points Table C'!A$3:$E$11,5),VLOOKUP(U842,'Points Table C'!B$3:$E$11,4))</f>
        <v>0</v>
      </c>
      <c r="AB842" s="4" t="e">
        <f>IF($Q842=1,0,VLOOKUP($J842,'Points Table C'!$C$3:$E$18,3))</f>
        <v>#N/A</v>
      </c>
      <c r="AC842" s="4">
        <f>VLOOKUP($K842,'Points Table C'!$D$3:$E$18,2)</f>
        <v>0</v>
      </c>
      <c r="AD842" s="4" t="e">
        <f>IF($Z842&lt;Lookups!$C$106,($AA842+AB842+AC842),IF($AA842&gt;=Lookups!$C$120,($AA842+AB842+AC842),$AA842+$AB842))</f>
        <v>#N/A</v>
      </c>
      <c r="AF842" s="7"/>
      <c r="AG842" s="7"/>
      <c r="AH842" s="7"/>
      <c r="AI842" s="7"/>
      <c r="AJ842" s="7"/>
      <c r="AK842" s="7"/>
      <c r="AL842" s="7"/>
      <c r="AM842" s="7"/>
      <c r="AN842" s="7"/>
      <c r="AO842" s="7"/>
      <c r="AP842" s="7"/>
      <c r="AQ842" s="7"/>
      <c r="AR842" s="7"/>
      <c r="AS842" s="7"/>
      <c r="AT842" s="7"/>
      <c r="AU842" s="7"/>
      <c r="AV842" s="7"/>
      <c r="AW842" s="7"/>
      <c r="AY842" s="7"/>
      <c r="AZ842" s="7"/>
      <c r="BA842" s="7"/>
      <c r="BB842" s="7"/>
    </row>
    <row r="843" spans="2:54" x14ac:dyDescent="0.2">
      <c r="B843" s="174"/>
      <c r="C843" s="176"/>
      <c r="F843" s="5">
        <v>0</v>
      </c>
      <c r="G843" s="192">
        <v>0</v>
      </c>
      <c r="H843" s="192">
        <v>0</v>
      </c>
      <c r="I843" s="5">
        <v>0</v>
      </c>
      <c r="J843" s="192">
        <v>0</v>
      </c>
      <c r="K843" s="192">
        <v>0</v>
      </c>
      <c r="L843" s="5">
        <v>0</v>
      </c>
      <c r="M843" s="5">
        <v>0</v>
      </c>
      <c r="N843" s="4" t="e">
        <f t="shared" si="71"/>
        <v>#N/A</v>
      </c>
      <c r="O843" s="4" t="e">
        <f>IF(ROUND(10.499-(((N843-VLOOKUP($C843,Lookups!$A$55:$D$64,3))/(VLOOKUP($C843,Lookups!$A$55:$D$64,4))*VLOOKUP($C843,Lookups!$C$2:$D$11,2))),0)&lt;1,1,IF(ROUND(10.499-(((N843-VLOOKUP($C843,Lookups!$A$55:$D$64,3))/(VLOOKUP($C843,Lookups!$A$55:$D$64,4))*VLOOKUP($C843,Lookups!$C$2:$D$11,2))),0)&lt;11,ROUND(10.499-(((N843-VLOOKUP($C843,Lookups!$A$55:$D$64,3))/(VLOOKUP($C843,Lookups!$A$55:$D$64,4))*VLOOKUP($C843,Lookups!$C$2:$D$11,2))),0),10))</f>
        <v>#N/A</v>
      </c>
      <c r="P843" s="13" t="str">
        <f>IF((SUM(F843:M843)=0),"J",VLOOKUP(O843,Lookups!$A$1:$B$11,2))</f>
        <v>J</v>
      </c>
      <c r="Q843" s="8" t="e">
        <f>VLOOKUP(C843,Lookups!$A$136:$C$144,3)</f>
        <v>#N/A</v>
      </c>
      <c r="R843" s="8" t="e">
        <f>VLOOKUP(C843,Lookups!$A$136:$C$144,2)</f>
        <v>#N/A</v>
      </c>
      <c r="S843" s="4" t="str">
        <f t="shared" si="67"/>
        <v>No</v>
      </c>
      <c r="T843" s="125">
        <f t="shared" si="68"/>
        <v>0</v>
      </c>
      <c r="U843" s="125">
        <f t="shared" si="69"/>
        <v>0</v>
      </c>
      <c r="V843" s="4" t="e">
        <f>IF($Q843&lt;&gt;3,VLOOKUP(F843,'Points Table A'!B$3:$F$33,5),VLOOKUP(F843,'Points Table A'!H$3:$L$33,5))</f>
        <v>#N/A</v>
      </c>
      <c r="W843" s="4" t="e">
        <f>IF($Q843&lt;&gt;3,VLOOKUP(G843,'Points Table A'!C$3:$F$33,4),VLOOKUP(G843,'Points Table A'!I$3:$L$33,4))</f>
        <v>#N/A</v>
      </c>
      <c r="X843" s="4" t="e">
        <f>IF($Q843&lt;&gt;3,VLOOKUP(H843,'Points Table A'!D$3:$F$28,3),VLOOKUP(H843,'Points Table A'!J$3:$L$33,3))</f>
        <v>#N/A</v>
      </c>
      <c r="Y843" s="4" t="e">
        <f>IF($Q843&lt;&gt;3,VLOOKUP(I843,'Points Table A'!E$3:$F$33,2),VLOOKUP(I843,'Points Table A'!K$3:$L$33,2))</f>
        <v>#N/A</v>
      </c>
      <c r="Z843" s="4" t="e">
        <f t="shared" si="70"/>
        <v>#N/A</v>
      </c>
      <c r="AA843" s="4">
        <f>IF($S843=Lookups!$B$113,VLOOKUP(L843,'Points Table C'!A$3:$E$11,5),VLOOKUP(U843,'Points Table C'!B$3:$E$11,4))</f>
        <v>0</v>
      </c>
      <c r="AB843" s="4" t="e">
        <f>IF($Q843=1,0,VLOOKUP($J843,'Points Table C'!$C$3:$E$18,3))</f>
        <v>#N/A</v>
      </c>
      <c r="AC843" s="4">
        <f>VLOOKUP($K843,'Points Table C'!$D$3:$E$18,2)</f>
        <v>0</v>
      </c>
      <c r="AD843" s="4" t="e">
        <f>IF($Z843&lt;Lookups!$C$106,($AA843+AB843+AC843),IF($AA843&gt;=Lookups!$C$120,($AA843+AB843+AC843),$AA843+$AB843))</f>
        <v>#N/A</v>
      </c>
      <c r="AF843" s="7"/>
      <c r="AG843" s="7"/>
      <c r="AH843" s="7"/>
      <c r="AI843" s="7"/>
      <c r="AJ843" s="7"/>
      <c r="AK843" s="7"/>
      <c r="AL843" s="7"/>
      <c r="AM843" s="7"/>
      <c r="AN843" s="7"/>
      <c r="AO843" s="7"/>
      <c r="AP843" s="7"/>
      <c r="AQ843" s="7"/>
      <c r="AR843" s="7"/>
      <c r="AS843" s="7"/>
      <c r="AT843" s="7"/>
      <c r="AU843" s="7"/>
      <c r="AV843" s="7"/>
      <c r="AW843" s="7"/>
      <c r="AY843" s="7"/>
      <c r="AZ843" s="7"/>
      <c r="BA843" s="7"/>
      <c r="BB843" s="7"/>
    </row>
    <row r="844" spans="2:54" x14ac:dyDescent="0.2">
      <c r="B844" s="174"/>
      <c r="C844" s="176"/>
      <c r="F844" s="5">
        <v>0</v>
      </c>
      <c r="G844" s="192">
        <v>0</v>
      </c>
      <c r="H844" s="192">
        <v>0</v>
      </c>
      <c r="I844" s="5">
        <v>0</v>
      </c>
      <c r="J844" s="192">
        <v>0</v>
      </c>
      <c r="K844" s="192">
        <v>0</v>
      </c>
      <c r="L844" s="5">
        <v>0</v>
      </c>
      <c r="M844" s="5">
        <v>0</v>
      </c>
      <c r="N844" s="4" t="e">
        <f t="shared" si="71"/>
        <v>#N/A</v>
      </c>
      <c r="O844" s="4" t="e">
        <f>IF(ROUND(10.499-(((N844-VLOOKUP($C844,Lookups!$A$55:$D$64,3))/(VLOOKUP($C844,Lookups!$A$55:$D$64,4))*VLOOKUP($C844,Lookups!$C$2:$D$11,2))),0)&lt;1,1,IF(ROUND(10.499-(((N844-VLOOKUP($C844,Lookups!$A$55:$D$64,3))/(VLOOKUP($C844,Lookups!$A$55:$D$64,4))*VLOOKUP($C844,Lookups!$C$2:$D$11,2))),0)&lt;11,ROUND(10.499-(((N844-VLOOKUP($C844,Lookups!$A$55:$D$64,3))/(VLOOKUP($C844,Lookups!$A$55:$D$64,4))*VLOOKUP($C844,Lookups!$C$2:$D$11,2))),0),10))</f>
        <v>#N/A</v>
      </c>
      <c r="P844" s="13" t="str">
        <f>IF((SUM(F844:M844)=0),"J",VLOOKUP(O844,Lookups!$A$1:$B$11,2))</f>
        <v>J</v>
      </c>
      <c r="Q844" s="8" t="e">
        <f>VLOOKUP(C844,Lookups!$A$136:$C$144,3)</f>
        <v>#N/A</v>
      </c>
      <c r="R844" s="8" t="e">
        <f>VLOOKUP(C844,Lookups!$A$136:$C$144,2)</f>
        <v>#N/A</v>
      </c>
      <c r="S844" s="4" t="str">
        <f t="shared" si="67"/>
        <v>No</v>
      </c>
      <c r="T844" s="125">
        <f t="shared" si="68"/>
        <v>0</v>
      </c>
      <c r="U844" s="125">
        <f t="shared" si="69"/>
        <v>0</v>
      </c>
      <c r="V844" s="4" t="e">
        <f>IF($Q844&lt;&gt;3,VLOOKUP(F844,'Points Table A'!B$3:$F$33,5),VLOOKUP(F844,'Points Table A'!H$3:$L$33,5))</f>
        <v>#N/A</v>
      </c>
      <c r="W844" s="4" t="e">
        <f>IF($Q844&lt;&gt;3,VLOOKUP(G844,'Points Table A'!C$3:$F$33,4),VLOOKUP(G844,'Points Table A'!I$3:$L$33,4))</f>
        <v>#N/A</v>
      </c>
      <c r="X844" s="4" t="e">
        <f>IF($Q844&lt;&gt;3,VLOOKUP(H844,'Points Table A'!D$3:$F$28,3),VLOOKUP(H844,'Points Table A'!J$3:$L$33,3))</f>
        <v>#N/A</v>
      </c>
      <c r="Y844" s="4" t="e">
        <f>IF($Q844&lt;&gt;3,VLOOKUP(I844,'Points Table A'!E$3:$F$33,2),VLOOKUP(I844,'Points Table A'!K$3:$L$33,2))</f>
        <v>#N/A</v>
      </c>
      <c r="Z844" s="4" t="e">
        <f t="shared" si="70"/>
        <v>#N/A</v>
      </c>
      <c r="AA844" s="4">
        <f>IF($S844=Lookups!$B$113,VLOOKUP(L844,'Points Table C'!A$3:$E$11,5),VLOOKUP(U844,'Points Table C'!B$3:$E$11,4))</f>
        <v>0</v>
      </c>
      <c r="AB844" s="4" t="e">
        <f>IF($Q844=1,0,VLOOKUP($J844,'Points Table C'!$C$3:$E$18,3))</f>
        <v>#N/A</v>
      </c>
      <c r="AC844" s="4">
        <f>VLOOKUP($K844,'Points Table C'!$D$3:$E$18,2)</f>
        <v>0</v>
      </c>
      <c r="AD844" s="4" t="e">
        <f>IF($Z844&lt;Lookups!$C$106,($AA844+AB844+AC844),IF($AA844&gt;=Lookups!$C$120,($AA844+AB844+AC844),$AA844+$AB844))</f>
        <v>#N/A</v>
      </c>
      <c r="AF844" s="7"/>
      <c r="AG844" s="7"/>
      <c r="AH844" s="7"/>
      <c r="AI844" s="7"/>
      <c r="AJ844" s="7"/>
      <c r="AK844" s="7"/>
      <c r="AL844" s="7"/>
      <c r="AM844" s="7"/>
      <c r="AN844" s="7"/>
      <c r="AO844" s="7"/>
      <c r="AP844" s="7"/>
      <c r="AQ844" s="7"/>
      <c r="AR844" s="7"/>
      <c r="AS844" s="7"/>
      <c r="AT844" s="7"/>
      <c r="AU844" s="7"/>
      <c r="AV844" s="7"/>
      <c r="AW844" s="7"/>
      <c r="AY844" s="7"/>
      <c r="AZ844" s="7"/>
      <c r="BA844" s="7"/>
      <c r="BB844" s="7"/>
    </row>
    <row r="845" spans="2:54" x14ac:dyDescent="0.2">
      <c r="B845" s="174"/>
      <c r="C845" s="176"/>
      <c r="F845" s="5">
        <v>0</v>
      </c>
      <c r="G845" s="192">
        <v>0</v>
      </c>
      <c r="H845" s="192">
        <v>0</v>
      </c>
      <c r="I845" s="5">
        <v>0</v>
      </c>
      <c r="J845" s="192">
        <v>0</v>
      </c>
      <c r="K845" s="192">
        <v>0</v>
      </c>
      <c r="L845" s="5">
        <v>0</v>
      </c>
      <c r="M845" s="5">
        <v>0</v>
      </c>
      <c r="N845" s="4" t="e">
        <f t="shared" si="71"/>
        <v>#N/A</v>
      </c>
      <c r="O845" s="4" t="e">
        <f>IF(ROUND(10.499-(((N845-VLOOKUP($C845,Lookups!$A$55:$D$64,3))/(VLOOKUP($C845,Lookups!$A$55:$D$64,4))*VLOOKUP($C845,Lookups!$C$2:$D$11,2))),0)&lt;1,1,IF(ROUND(10.499-(((N845-VLOOKUP($C845,Lookups!$A$55:$D$64,3))/(VLOOKUP($C845,Lookups!$A$55:$D$64,4))*VLOOKUP($C845,Lookups!$C$2:$D$11,2))),0)&lt;11,ROUND(10.499-(((N845-VLOOKUP($C845,Lookups!$A$55:$D$64,3))/(VLOOKUP($C845,Lookups!$A$55:$D$64,4))*VLOOKUP($C845,Lookups!$C$2:$D$11,2))),0),10))</f>
        <v>#N/A</v>
      </c>
      <c r="P845" s="13" t="str">
        <f>IF((SUM(F845:M845)=0),"J",VLOOKUP(O845,Lookups!$A$1:$B$11,2))</f>
        <v>J</v>
      </c>
      <c r="Q845" s="8" t="e">
        <f>VLOOKUP(C845,Lookups!$A$136:$C$144,3)</f>
        <v>#N/A</v>
      </c>
      <c r="R845" s="8" t="e">
        <f>VLOOKUP(C845,Lookups!$A$136:$C$144,2)</f>
        <v>#N/A</v>
      </c>
      <c r="S845" s="4" t="str">
        <f t="shared" si="67"/>
        <v>No</v>
      </c>
      <c r="T845" s="125">
        <f t="shared" si="68"/>
        <v>0</v>
      </c>
      <c r="U845" s="125">
        <f t="shared" si="69"/>
        <v>0</v>
      </c>
      <c r="V845" s="4" t="e">
        <f>IF($Q845&lt;&gt;3,VLOOKUP(F845,'Points Table A'!B$3:$F$33,5),VLOOKUP(F845,'Points Table A'!H$3:$L$33,5))</f>
        <v>#N/A</v>
      </c>
      <c r="W845" s="4" t="e">
        <f>IF($Q845&lt;&gt;3,VLOOKUP(G845,'Points Table A'!C$3:$F$33,4),VLOOKUP(G845,'Points Table A'!I$3:$L$33,4))</f>
        <v>#N/A</v>
      </c>
      <c r="X845" s="4" t="e">
        <f>IF($Q845&lt;&gt;3,VLOOKUP(H845,'Points Table A'!D$3:$F$28,3),VLOOKUP(H845,'Points Table A'!J$3:$L$33,3))</f>
        <v>#N/A</v>
      </c>
      <c r="Y845" s="4" t="e">
        <f>IF($Q845&lt;&gt;3,VLOOKUP(I845,'Points Table A'!E$3:$F$33,2),VLOOKUP(I845,'Points Table A'!K$3:$L$33,2))</f>
        <v>#N/A</v>
      </c>
      <c r="Z845" s="4" t="e">
        <f t="shared" si="70"/>
        <v>#N/A</v>
      </c>
      <c r="AA845" s="4">
        <f>IF($S845=Lookups!$B$113,VLOOKUP(L845,'Points Table C'!A$3:$E$11,5),VLOOKUP(U845,'Points Table C'!B$3:$E$11,4))</f>
        <v>0</v>
      </c>
      <c r="AB845" s="4" t="e">
        <f>IF($Q845=1,0,VLOOKUP($J845,'Points Table C'!$C$3:$E$18,3))</f>
        <v>#N/A</v>
      </c>
      <c r="AC845" s="4">
        <f>VLOOKUP($K845,'Points Table C'!$D$3:$E$18,2)</f>
        <v>0</v>
      </c>
      <c r="AD845" s="4" t="e">
        <f>IF($Z845&lt;Lookups!$C$106,($AA845+AB845+AC845),IF($AA845&gt;=Lookups!$C$120,($AA845+AB845+AC845),$AA845+$AB845))</f>
        <v>#N/A</v>
      </c>
      <c r="AF845" s="7"/>
      <c r="AG845" s="7"/>
      <c r="AH845" s="7"/>
      <c r="AI845" s="7"/>
      <c r="AJ845" s="7"/>
      <c r="AK845" s="7"/>
      <c r="AL845" s="7"/>
      <c r="AM845" s="7"/>
      <c r="AN845" s="7"/>
      <c r="AO845" s="7"/>
      <c r="AP845" s="7"/>
      <c r="AQ845" s="7"/>
      <c r="AR845" s="7"/>
      <c r="AS845" s="7"/>
      <c r="AT845" s="7"/>
      <c r="AU845" s="7"/>
      <c r="AV845" s="7"/>
      <c r="AW845" s="7"/>
      <c r="AY845" s="7"/>
      <c r="AZ845" s="7"/>
      <c r="BA845" s="7"/>
      <c r="BB845" s="7"/>
    </row>
    <row r="846" spans="2:54" x14ac:dyDescent="0.2">
      <c r="B846" s="174"/>
      <c r="C846" s="176"/>
      <c r="F846" s="5">
        <v>0</v>
      </c>
      <c r="G846" s="192">
        <v>0</v>
      </c>
      <c r="H846" s="192">
        <v>0</v>
      </c>
      <c r="I846" s="5">
        <v>0</v>
      </c>
      <c r="J846" s="192">
        <v>0</v>
      </c>
      <c r="K846" s="192">
        <v>0</v>
      </c>
      <c r="L846" s="5">
        <v>0</v>
      </c>
      <c r="M846" s="5">
        <v>0</v>
      </c>
      <c r="N846" s="4" t="e">
        <f t="shared" si="71"/>
        <v>#N/A</v>
      </c>
      <c r="O846" s="4" t="e">
        <f>IF(ROUND(10.499-(((N846-VLOOKUP($C846,Lookups!$A$55:$D$64,3))/(VLOOKUP($C846,Lookups!$A$55:$D$64,4))*VLOOKUP($C846,Lookups!$C$2:$D$11,2))),0)&lt;1,1,IF(ROUND(10.499-(((N846-VLOOKUP($C846,Lookups!$A$55:$D$64,3))/(VLOOKUP($C846,Lookups!$A$55:$D$64,4))*VLOOKUP($C846,Lookups!$C$2:$D$11,2))),0)&lt;11,ROUND(10.499-(((N846-VLOOKUP($C846,Lookups!$A$55:$D$64,3))/(VLOOKUP($C846,Lookups!$A$55:$D$64,4))*VLOOKUP($C846,Lookups!$C$2:$D$11,2))),0),10))</f>
        <v>#N/A</v>
      </c>
      <c r="P846" s="13" t="str">
        <f>IF((SUM(F846:M846)=0),"J",VLOOKUP(O846,Lookups!$A$1:$B$11,2))</f>
        <v>J</v>
      </c>
      <c r="Q846" s="8" t="e">
        <f>VLOOKUP(C846,Lookups!$A$136:$C$144,3)</f>
        <v>#N/A</v>
      </c>
      <c r="R846" s="8" t="e">
        <f>VLOOKUP(C846,Lookups!$A$136:$C$144,2)</f>
        <v>#N/A</v>
      </c>
      <c r="S846" s="4" t="str">
        <f t="shared" si="67"/>
        <v>No</v>
      </c>
      <c r="T846" s="125">
        <f t="shared" si="68"/>
        <v>0</v>
      </c>
      <c r="U846" s="125">
        <f t="shared" si="69"/>
        <v>0</v>
      </c>
      <c r="V846" s="4" t="e">
        <f>IF($Q846&lt;&gt;3,VLOOKUP(F846,'Points Table A'!B$3:$F$33,5),VLOOKUP(F846,'Points Table A'!H$3:$L$33,5))</f>
        <v>#N/A</v>
      </c>
      <c r="W846" s="4" t="e">
        <f>IF($Q846&lt;&gt;3,VLOOKUP(G846,'Points Table A'!C$3:$F$33,4),VLOOKUP(G846,'Points Table A'!I$3:$L$33,4))</f>
        <v>#N/A</v>
      </c>
      <c r="X846" s="4" t="e">
        <f>IF($Q846&lt;&gt;3,VLOOKUP(H846,'Points Table A'!D$3:$F$28,3),VLOOKUP(H846,'Points Table A'!J$3:$L$33,3))</f>
        <v>#N/A</v>
      </c>
      <c r="Y846" s="4" t="e">
        <f>IF($Q846&lt;&gt;3,VLOOKUP(I846,'Points Table A'!E$3:$F$33,2),VLOOKUP(I846,'Points Table A'!K$3:$L$33,2))</f>
        <v>#N/A</v>
      </c>
      <c r="Z846" s="4" t="e">
        <f t="shared" si="70"/>
        <v>#N/A</v>
      </c>
      <c r="AA846" s="4">
        <f>IF($S846=Lookups!$B$113,VLOOKUP(L846,'Points Table C'!A$3:$E$11,5),VLOOKUP(U846,'Points Table C'!B$3:$E$11,4))</f>
        <v>0</v>
      </c>
      <c r="AB846" s="4" t="e">
        <f>IF($Q846=1,0,VLOOKUP($J846,'Points Table C'!$C$3:$E$18,3))</f>
        <v>#N/A</v>
      </c>
      <c r="AC846" s="4">
        <f>VLOOKUP($K846,'Points Table C'!$D$3:$E$18,2)</f>
        <v>0</v>
      </c>
      <c r="AD846" s="4" t="e">
        <f>IF($Z846&lt;Lookups!$C$106,($AA846+AB846+AC846),IF($AA846&gt;=Lookups!$C$120,($AA846+AB846+AC846),$AA846+$AB846))</f>
        <v>#N/A</v>
      </c>
      <c r="AF846" s="7"/>
      <c r="AG846" s="7"/>
      <c r="AH846" s="7"/>
      <c r="AI846" s="7"/>
      <c r="AJ846" s="7"/>
      <c r="AK846" s="7"/>
      <c r="AL846" s="7"/>
      <c r="AM846" s="7"/>
      <c r="AN846" s="7"/>
      <c r="AO846" s="7"/>
      <c r="AP846" s="7"/>
      <c r="AQ846" s="7"/>
      <c r="AR846" s="7"/>
      <c r="AS846" s="7"/>
      <c r="AT846" s="7"/>
      <c r="AU846" s="7"/>
      <c r="AV846" s="7"/>
      <c r="AW846" s="7"/>
      <c r="AY846" s="7"/>
      <c r="AZ846" s="7"/>
      <c r="BA846" s="7"/>
      <c r="BB846" s="7"/>
    </row>
    <row r="847" spans="2:54" x14ac:dyDescent="0.2">
      <c r="B847" s="174"/>
      <c r="C847" s="176"/>
      <c r="F847" s="5">
        <v>0</v>
      </c>
      <c r="G847" s="192">
        <v>0</v>
      </c>
      <c r="H847" s="192">
        <v>0</v>
      </c>
      <c r="I847" s="5">
        <v>0</v>
      </c>
      <c r="J847" s="192">
        <v>0</v>
      </c>
      <c r="K847" s="192">
        <v>0</v>
      </c>
      <c r="L847" s="5">
        <v>0</v>
      </c>
      <c r="M847" s="5">
        <v>0</v>
      </c>
      <c r="N847" s="4" t="e">
        <f t="shared" si="71"/>
        <v>#N/A</v>
      </c>
      <c r="O847" s="4" t="e">
        <f>IF(ROUND(10.499-(((N847-VLOOKUP($C847,Lookups!$A$55:$D$64,3))/(VLOOKUP($C847,Lookups!$A$55:$D$64,4))*VLOOKUP($C847,Lookups!$C$2:$D$11,2))),0)&lt;1,1,IF(ROUND(10.499-(((N847-VLOOKUP($C847,Lookups!$A$55:$D$64,3))/(VLOOKUP($C847,Lookups!$A$55:$D$64,4))*VLOOKUP($C847,Lookups!$C$2:$D$11,2))),0)&lt;11,ROUND(10.499-(((N847-VLOOKUP($C847,Lookups!$A$55:$D$64,3))/(VLOOKUP($C847,Lookups!$A$55:$D$64,4))*VLOOKUP($C847,Lookups!$C$2:$D$11,2))),0),10))</f>
        <v>#N/A</v>
      </c>
      <c r="P847" s="13" t="str">
        <f>IF((SUM(F847:M847)=0),"J",VLOOKUP(O847,Lookups!$A$1:$B$11,2))</f>
        <v>J</v>
      </c>
      <c r="Q847" s="8" t="e">
        <f>VLOOKUP(C847,Lookups!$A$136:$C$144,3)</f>
        <v>#N/A</v>
      </c>
      <c r="R847" s="8" t="e">
        <f>VLOOKUP(C847,Lookups!$A$136:$C$144,2)</f>
        <v>#N/A</v>
      </c>
      <c r="S847" s="4" t="str">
        <f t="shared" ref="S847:S910" si="72">IF(AND(L847&gt;0,M847=0),"Yes","No")</f>
        <v>No</v>
      </c>
      <c r="T847" s="125">
        <f t="shared" ref="T847:T910" si="73">L847+M847</f>
        <v>0</v>
      </c>
      <c r="U847" s="125">
        <f t="shared" ref="U847:U910" si="74">ROUND(100*(M847+2*L847)/(M847+2*L847+(100-L847-M847)),2)</f>
        <v>0</v>
      </c>
      <c r="V847" s="4" t="e">
        <f>IF($Q847&lt;&gt;3,VLOOKUP(F847,'Points Table A'!B$3:$F$33,5),VLOOKUP(F847,'Points Table A'!H$3:$L$33,5))</f>
        <v>#N/A</v>
      </c>
      <c r="W847" s="4" t="e">
        <f>IF($Q847&lt;&gt;3,VLOOKUP(G847,'Points Table A'!C$3:$F$33,4),VLOOKUP(G847,'Points Table A'!I$3:$L$33,4))</f>
        <v>#N/A</v>
      </c>
      <c r="X847" s="4" t="e">
        <f>IF($Q847&lt;&gt;3,VLOOKUP(H847,'Points Table A'!D$3:$F$28,3),VLOOKUP(H847,'Points Table A'!J$3:$L$33,3))</f>
        <v>#N/A</v>
      </c>
      <c r="Y847" s="4" t="e">
        <f>IF($Q847&lt;&gt;3,VLOOKUP(I847,'Points Table A'!E$3:$F$33,2),VLOOKUP(I847,'Points Table A'!K$3:$L$33,2))</f>
        <v>#N/A</v>
      </c>
      <c r="Z847" s="4" t="e">
        <f t="shared" ref="Z847:Z910" si="75">SUM(V847:Y847)</f>
        <v>#N/A</v>
      </c>
      <c r="AA847" s="4">
        <f>IF($S847=Lookups!$B$113,VLOOKUP(L847,'Points Table C'!A$3:$E$11,5),VLOOKUP(U847,'Points Table C'!B$3:$E$11,4))</f>
        <v>0</v>
      </c>
      <c r="AB847" s="4" t="e">
        <f>IF($Q847=1,0,VLOOKUP($J847,'Points Table C'!$C$3:$E$18,3))</f>
        <v>#N/A</v>
      </c>
      <c r="AC847" s="4">
        <f>VLOOKUP($K847,'Points Table C'!$D$3:$E$18,2)</f>
        <v>0</v>
      </c>
      <c r="AD847" s="4" t="e">
        <f>IF($Z847&lt;Lookups!$C$106,($AA847+AB847+AC847),IF($AA847&gt;=Lookups!$C$120,($AA847+AB847+AC847),$AA847+$AB847))</f>
        <v>#N/A</v>
      </c>
      <c r="AF847" s="7"/>
      <c r="AG847" s="7"/>
      <c r="AH847" s="7"/>
      <c r="AI847" s="7"/>
      <c r="AJ847" s="7"/>
      <c r="AK847" s="7"/>
      <c r="AL847" s="7"/>
      <c r="AM847" s="7"/>
      <c r="AN847" s="7"/>
      <c r="AO847" s="7"/>
      <c r="AP847" s="7"/>
      <c r="AQ847" s="7"/>
      <c r="AR847" s="7"/>
      <c r="AS847" s="7"/>
      <c r="AT847" s="7"/>
      <c r="AU847" s="7"/>
      <c r="AV847" s="7"/>
      <c r="AW847" s="7"/>
      <c r="AY847" s="7"/>
      <c r="AZ847" s="7"/>
      <c r="BA847" s="7"/>
      <c r="BB847" s="7"/>
    </row>
    <row r="848" spans="2:54" x14ac:dyDescent="0.2">
      <c r="B848" s="174"/>
      <c r="C848" s="176"/>
      <c r="F848" s="5">
        <v>0</v>
      </c>
      <c r="G848" s="192">
        <v>0</v>
      </c>
      <c r="H848" s="192">
        <v>0</v>
      </c>
      <c r="I848" s="5">
        <v>0</v>
      </c>
      <c r="J848" s="192">
        <v>0</v>
      </c>
      <c r="K848" s="192">
        <v>0</v>
      </c>
      <c r="L848" s="5">
        <v>0</v>
      </c>
      <c r="M848" s="5">
        <v>0</v>
      </c>
      <c r="N848" s="4" t="e">
        <f t="shared" si="71"/>
        <v>#N/A</v>
      </c>
      <c r="O848" s="4" t="e">
        <f>IF(ROUND(10.499-(((N848-VLOOKUP($C848,Lookups!$A$55:$D$64,3))/(VLOOKUP($C848,Lookups!$A$55:$D$64,4))*VLOOKUP($C848,Lookups!$C$2:$D$11,2))),0)&lt;1,1,IF(ROUND(10.499-(((N848-VLOOKUP($C848,Lookups!$A$55:$D$64,3))/(VLOOKUP($C848,Lookups!$A$55:$D$64,4))*VLOOKUP($C848,Lookups!$C$2:$D$11,2))),0)&lt;11,ROUND(10.499-(((N848-VLOOKUP($C848,Lookups!$A$55:$D$64,3))/(VLOOKUP($C848,Lookups!$A$55:$D$64,4))*VLOOKUP($C848,Lookups!$C$2:$D$11,2))),0),10))</f>
        <v>#N/A</v>
      </c>
      <c r="P848" s="13" t="str">
        <f>IF((SUM(F848:M848)=0),"J",VLOOKUP(O848,Lookups!$A$1:$B$11,2))</f>
        <v>J</v>
      </c>
      <c r="Q848" s="8" t="e">
        <f>VLOOKUP(C848,Lookups!$A$136:$C$144,3)</f>
        <v>#N/A</v>
      </c>
      <c r="R848" s="8" t="e">
        <f>VLOOKUP(C848,Lookups!$A$136:$C$144,2)</f>
        <v>#N/A</v>
      </c>
      <c r="S848" s="4" t="str">
        <f t="shared" si="72"/>
        <v>No</v>
      </c>
      <c r="T848" s="125">
        <f t="shared" si="73"/>
        <v>0</v>
      </c>
      <c r="U848" s="125">
        <f t="shared" si="74"/>
        <v>0</v>
      </c>
      <c r="V848" s="4" t="e">
        <f>IF($Q848&lt;&gt;3,VLOOKUP(F848,'Points Table A'!B$3:$F$33,5),VLOOKUP(F848,'Points Table A'!H$3:$L$33,5))</f>
        <v>#N/A</v>
      </c>
      <c r="W848" s="4" t="e">
        <f>IF($Q848&lt;&gt;3,VLOOKUP(G848,'Points Table A'!C$3:$F$33,4),VLOOKUP(G848,'Points Table A'!I$3:$L$33,4))</f>
        <v>#N/A</v>
      </c>
      <c r="X848" s="4" t="e">
        <f>IF($Q848&lt;&gt;3,VLOOKUP(H848,'Points Table A'!D$3:$F$28,3),VLOOKUP(H848,'Points Table A'!J$3:$L$33,3))</f>
        <v>#N/A</v>
      </c>
      <c r="Y848" s="4" t="e">
        <f>IF($Q848&lt;&gt;3,VLOOKUP(I848,'Points Table A'!E$3:$F$33,2),VLOOKUP(I848,'Points Table A'!K$3:$L$33,2))</f>
        <v>#N/A</v>
      </c>
      <c r="Z848" s="4" t="e">
        <f t="shared" si="75"/>
        <v>#N/A</v>
      </c>
      <c r="AA848" s="4">
        <f>IF($S848=Lookups!$B$113,VLOOKUP(L848,'Points Table C'!A$3:$E$11,5),VLOOKUP(U848,'Points Table C'!B$3:$E$11,4))</f>
        <v>0</v>
      </c>
      <c r="AB848" s="4" t="e">
        <f>IF($Q848=1,0,VLOOKUP($J848,'Points Table C'!$C$3:$E$18,3))</f>
        <v>#N/A</v>
      </c>
      <c r="AC848" s="4">
        <f>VLOOKUP($K848,'Points Table C'!$D$3:$E$18,2)</f>
        <v>0</v>
      </c>
      <c r="AD848" s="4" t="e">
        <f>IF($Z848&lt;Lookups!$C$106,($AA848+AB848+AC848),IF($AA848&gt;=Lookups!$C$120,($AA848+AB848+AC848),$AA848+$AB848))</f>
        <v>#N/A</v>
      </c>
      <c r="AF848" s="7"/>
      <c r="AG848" s="7"/>
      <c r="AH848" s="7"/>
      <c r="AI848" s="7"/>
      <c r="AJ848" s="7"/>
      <c r="AK848" s="7"/>
      <c r="AL848" s="7"/>
      <c r="AM848" s="7"/>
      <c r="AN848" s="7"/>
      <c r="AO848" s="7"/>
      <c r="AP848" s="7"/>
      <c r="AQ848" s="7"/>
      <c r="AR848" s="7"/>
      <c r="AS848" s="7"/>
      <c r="AT848" s="7"/>
      <c r="AU848" s="7"/>
      <c r="AV848" s="7"/>
      <c r="AW848" s="7"/>
      <c r="AY848" s="7"/>
      <c r="AZ848" s="7"/>
      <c r="BA848" s="7"/>
      <c r="BB848" s="7"/>
    </row>
    <row r="849" spans="2:54" x14ac:dyDescent="0.2">
      <c r="B849" s="174"/>
      <c r="C849" s="176"/>
      <c r="F849" s="5">
        <v>0</v>
      </c>
      <c r="G849" s="192">
        <v>0</v>
      </c>
      <c r="H849" s="192">
        <v>0</v>
      </c>
      <c r="I849" s="5">
        <v>0</v>
      </c>
      <c r="J849" s="192">
        <v>0</v>
      </c>
      <c r="K849" s="192">
        <v>0</v>
      </c>
      <c r="L849" s="5">
        <v>0</v>
      </c>
      <c r="M849" s="5">
        <v>0</v>
      </c>
      <c r="N849" s="4" t="e">
        <f t="shared" si="71"/>
        <v>#N/A</v>
      </c>
      <c r="O849" s="4" t="e">
        <f>IF(ROUND(10.499-(((N849-VLOOKUP($C849,Lookups!$A$55:$D$64,3))/(VLOOKUP($C849,Lookups!$A$55:$D$64,4))*VLOOKUP($C849,Lookups!$C$2:$D$11,2))),0)&lt;1,1,IF(ROUND(10.499-(((N849-VLOOKUP($C849,Lookups!$A$55:$D$64,3))/(VLOOKUP($C849,Lookups!$A$55:$D$64,4))*VLOOKUP($C849,Lookups!$C$2:$D$11,2))),0)&lt;11,ROUND(10.499-(((N849-VLOOKUP($C849,Lookups!$A$55:$D$64,3))/(VLOOKUP($C849,Lookups!$A$55:$D$64,4))*VLOOKUP($C849,Lookups!$C$2:$D$11,2))),0),10))</f>
        <v>#N/A</v>
      </c>
      <c r="P849" s="13" t="str">
        <f>IF((SUM(F849:M849)=0),"J",VLOOKUP(O849,Lookups!$A$1:$B$11,2))</f>
        <v>J</v>
      </c>
      <c r="Q849" s="8" t="e">
        <f>VLOOKUP(C849,Lookups!$A$136:$C$144,3)</f>
        <v>#N/A</v>
      </c>
      <c r="R849" s="8" t="e">
        <f>VLOOKUP(C849,Lookups!$A$136:$C$144,2)</f>
        <v>#N/A</v>
      </c>
      <c r="S849" s="4" t="str">
        <f t="shared" si="72"/>
        <v>No</v>
      </c>
      <c r="T849" s="125">
        <f t="shared" si="73"/>
        <v>0</v>
      </c>
      <c r="U849" s="125">
        <f t="shared" si="74"/>
        <v>0</v>
      </c>
      <c r="V849" s="4" t="e">
        <f>IF($Q849&lt;&gt;3,VLOOKUP(F849,'Points Table A'!B$3:$F$33,5),VLOOKUP(F849,'Points Table A'!H$3:$L$33,5))</f>
        <v>#N/A</v>
      </c>
      <c r="W849" s="4" t="e">
        <f>IF($Q849&lt;&gt;3,VLOOKUP(G849,'Points Table A'!C$3:$F$33,4),VLOOKUP(G849,'Points Table A'!I$3:$L$33,4))</f>
        <v>#N/A</v>
      </c>
      <c r="X849" s="4" t="e">
        <f>IF($Q849&lt;&gt;3,VLOOKUP(H849,'Points Table A'!D$3:$F$28,3),VLOOKUP(H849,'Points Table A'!J$3:$L$33,3))</f>
        <v>#N/A</v>
      </c>
      <c r="Y849" s="4" t="e">
        <f>IF($Q849&lt;&gt;3,VLOOKUP(I849,'Points Table A'!E$3:$F$33,2),VLOOKUP(I849,'Points Table A'!K$3:$L$33,2))</f>
        <v>#N/A</v>
      </c>
      <c r="Z849" s="4" t="e">
        <f t="shared" si="75"/>
        <v>#N/A</v>
      </c>
      <c r="AA849" s="4">
        <f>IF($S849=Lookups!$B$113,VLOOKUP(L849,'Points Table C'!A$3:$E$11,5),VLOOKUP(U849,'Points Table C'!B$3:$E$11,4))</f>
        <v>0</v>
      </c>
      <c r="AB849" s="4" t="e">
        <f>IF($Q849=1,0,VLOOKUP($J849,'Points Table C'!$C$3:$E$18,3))</f>
        <v>#N/A</v>
      </c>
      <c r="AC849" s="4">
        <f>VLOOKUP($K849,'Points Table C'!$D$3:$E$18,2)</f>
        <v>0</v>
      </c>
      <c r="AD849" s="4" t="e">
        <f>IF($Z849&lt;Lookups!$C$106,($AA849+AB849+AC849),IF($AA849&gt;=Lookups!$C$120,($AA849+AB849+AC849),$AA849+$AB849))</f>
        <v>#N/A</v>
      </c>
      <c r="AF849" s="7"/>
      <c r="AG849" s="7"/>
      <c r="AH849" s="7"/>
      <c r="AI849" s="7"/>
      <c r="AJ849" s="7"/>
      <c r="AK849" s="7"/>
      <c r="AL849" s="7"/>
      <c r="AM849" s="7"/>
      <c r="AN849" s="7"/>
      <c r="AO849" s="7"/>
      <c r="AP849" s="7"/>
      <c r="AQ849" s="7"/>
      <c r="AR849" s="7"/>
      <c r="AS849" s="7"/>
      <c r="AT849" s="7"/>
      <c r="AU849" s="7"/>
      <c r="AV849" s="7"/>
      <c r="AW849" s="7"/>
      <c r="AY849" s="7"/>
      <c r="AZ849" s="7"/>
      <c r="BA849" s="7"/>
      <c r="BB849" s="7"/>
    </row>
    <row r="850" spans="2:54" x14ac:dyDescent="0.2">
      <c r="B850" s="174"/>
      <c r="C850" s="176"/>
      <c r="F850" s="5">
        <v>0</v>
      </c>
      <c r="G850" s="192">
        <v>0</v>
      </c>
      <c r="H850" s="192">
        <v>0</v>
      </c>
      <c r="I850" s="5">
        <v>0</v>
      </c>
      <c r="J850" s="192">
        <v>0</v>
      </c>
      <c r="K850" s="192">
        <v>0</v>
      </c>
      <c r="L850" s="5">
        <v>0</v>
      </c>
      <c r="M850" s="5">
        <v>0</v>
      </c>
      <c r="N850" s="4" t="e">
        <f t="shared" si="71"/>
        <v>#N/A</v>
      </c>
      <c r="O850" s="4" t="e">
        <f>IF(ROUND(10.499-(((N850-VLOOKUP($C850,Lookups!$A$55:$D$64,3))/(VLOOKUP($C850,Lookups!$A$55:$D$64,4))*VLOOKUP($C850,Lookups!$C$2:$D$11,2))),0)&lt;1,1,IF(ROUND(10.499-(((N850-VLOOKUP($C850,Lookups!$A$55:$D$64,3))/(VLOOKUP($C850,Lookups!$A$55:$D$64,4))*VLOOKUP($C850,Lookups!$C$2:$D$11,2))),0)&lt;11,ROUND(10.499-(((N850-VLOOKUP($C850,Lookups!$A$55:$D$64,3))/(VLOOKUP($C850,Lookups!$A$55:$D$64,4))*VLOOKUP($C850,Lookups!$C$2:$D$11,2))),0),10))</f>
        <v>#N/A</v>
      </c>
      <c r="P850" s="13" t="str">
        <f>IF((SUM(F850:M850)=0),"J",VLOOKUP(O850,Lookups!$A$1:$B$11,2))</f>
        <v>J</v>
      </c>
      <c r="Q850" s="8" t="e">
        <f>VLOOKUP(C850,Lookups!$A$136:$C$144,3)</f>
        <v>#N/A</v>
      </c>
      <c r="R850" s="8" t="e">
        <f>VLOOKUP(C850,Lookups!$A$136:$C$144,2)</f>
        <v>#N/A</v>
      </c>
      <c r="S850" s="4" t="str">
        <f t="shared" si="72"/>
        <v>No</v>
      </c>
      <c r="T850" s="125">
        <f t="shared" si="73"/>
        <v>0</v>
      </c>
      <c r="U850" s="125">
        <f t="shared" si="74"/>
        <v>0</v>
      </c>
      <c r="V850" s="4" t="e">
        <f>IF($Q850&lt;&gt;3,VLOOKUP(F850,'Points Table A'!B$3:$F$33,5),VLOOKUP(F850,'Points Table A'!H$3:$L$33,5))</f>
        <v>#N/A</v>
      </c>
      <c r="W850" s="4" t="e">
        <f>IF($Q850&lt;&gt;3,VLOOKUP(G850,'Points Table A'!C$3:$F$33,4),VLOOKUP(G850,'Points Table A'!I$3:$L$33,4))</f>
        <v>#N/A</v>
      </c>
      <c r="X850" s="4" t="e">
        <f>IF($Q850&lt;&gt;3,VLOOKUP(H850,'Points Table A'!D$3:$F$28,3),VLOOKUP(H850,'Points Table A'!J$3:$L$33,3))</f>
        <v>#N/A</v>
      </c>
      <c r="Y850" s="4" t="e">
        <f>IF($Q850&lt;&gt;3,VLOOKUP(I850,'Points Table A'!E$3:$F$33,2),VLOOKUP(I850,'Points Table A'!K$3:$L$33,2))</f>
        <v>#N/A</v>
      </c>
      <c r="Z850" s="4" t="e">
        <f t="shared" si="75"/>
        <v>#N/A</v>
      </c>
      <c r="AA850" s="4">
        <f>IF($S850=Lookups!$B$113,VLOOKUP(L850,'Points Table C'!A$3:$E$11,5),VLOOKUP(U850,'Points Table C'!B$3:$E$11,4))</f>
        <v>0</v>
      </c>
      <c r="AB850" s="4" t="e">
        <f>IF($Q850=1,0,VLOOKUP($J850,'Points Table C'!$C$3:$E$18,3))</f>
        <v>#N/A</v>
      </c>
      <c r="AC850" s="4">
        <f>VLOOKUP($K850,'Points Table C'!$D$3:$E$18,2)</f>
        <v>0</v>
      </c>
      <c r="AD850" s="4" t="e">
        <f>IF($Z850&lt;Lookups!$C$106,($AA850+AB850+AC850),IF($AA850&gt;=Lookups!$C$120,($AA850+AB850+AC850),$AA850+$AB850))</f>
        <v>#N/A</v>
      </c>
      <c r="AF850" s="7"/>
      <c r="AG850" s="7"/>
      <c r="AH850" s="7"/>
      <c r="AI850" s="7"/>
      <c r="AJ850" s="7"/>
      <c r="AK850" s="7"/>
      <c r="AL850" s="7"/>
      <c r="AM850" s="7"/>
      <c r="AN850" s="7"/>
      <c r="AO850" s="7"/>
      <c r="AP850" s="7"/>
      <c r="AQ850" s="7"/>
      <c r="AR850" s="7"/>
      <c r="AS850" s="7"/>
      <c r="AT850" s="7"/>
      <c r="AU850" s="7"/>
      <c r="AV850" s="7"/>
      <c r="AW850" s="7"/>
      <c r="AY850" s="7"/>
      <c r="AZ850" s="7"/>
      <c r="BA850" s="7"/>
      <c r="BB850" s="7"/>
    </row>
    <row r="851" spans="2:54" x14ac:dyDescent="0.2">
      <c r="B851" s="174"/>
      <c r="C851" s="176"/>
      <c r="F851" s="5">
        <v>0</v>
      </c>
      <c r="G851" s="192">
        <v>0</v>
      </c>
      <c r="H851" s="192">
        <v>0</v>
      </c>
      <c r="I851" s="5">
        <v>0</v>
      </c>
      <c r="J851" s="192">
        <v>0</v>
      </c>
      <c r="K851" s="192">
        <v>0</v>
      </c>
      <c r="L851" s="5">
        <v>0</v>
      </c>
      <c r="M851" s="5">
        <v>0</v>
      </c>
      <c r="N851" s="4" t="e">
        <f t="shared" si="71"/>
        <v>#N/A</v>
      </c>
      <c r="O851" s="4" t="e">
        <f>IF(ROUND(10.499-(((N851-VLOOKUP($C851,Lookups!$A$55:$D$64,3))/(VLOOKUP($C851,Lookups!$A$55:$D$64,4))*VLOOKUP($C851,Lookups!$C$2:$D$11,2))),0)&lt;1,1,IF(ROUND(10.499-(((N851-VLOOKUP($C851,Lookups!$A$55:$D$64,3))/(VLOOKUP($C851,Lookups!$A$55:$D$64,4))*VLOOKUP($C851,Lookups!$C$2:$D$11,2))),0)&lt;11,ROUND(10.499-(((N851-VLOOKUP($C851,Lookups!$A$55:$D$64,3))/(VLOOKUP($C851,Lookups!$A$55:$D$64,4))*VLOOKUP($C851,Lookups!$C$2:$D$11,2))),0),10))</f>
        <v>#N/A</v>
      </c>
      <c r="P851" s="13" t="str">
        <f>IF((SUM(F851:M851)=0),"J",VLOOKUP(O851,Lookups!$A$1:$B$11,2))</f>
        <v>J</v>
      </c>
      <c r="Q851" s="8" t="e">
        <f>VLOOKUP(C851,Lookups!$A$136:$C$144,3)</f>
        <v>#N/A</v>
      </c>
      <c r="R851" s="8" t="e">
        <f>VLOOKUP(C851,Lookups!$A$136:$C$144,2)</f>
        <v>#N/A</v>
      </c>
      <c r="S851" s="4" t="str">
        <f t="shared" si="72"/>
        <v>No</v>
      </c>
      <c r="T851" s="125">
        <f t="shared" si="73"/>
        <v>0</v>
      </c>
      <c r="U851" s="125">
        <f t="shared" si="74"/>
        <v>0</v>
      </c>
      <c r="V851" s="4" t="e">
        <f>IF($Q851&lt;&gt;3,VLOOKUP(F851,'Points Table A'!B$3:$F$33,5),VLOOKUP(F851,'Points Table A'!H$3:$L$33,5))</f>
        <v>#N/A</v>
      </c>
      <c r="W851" s="4" t="e">
        <f>IF($Q851&lt;&gt;3,VLOOKUP(G851,'Points Table A'!C$3:$F$33,4),VLOOKUP(G851,'Points Table A'!I$3:$L$33,4))</f>
        <v>#N/A</v>
      </c>
      <c r="X851" s="4" t="e">
        <f>IF($Q851&lt;&gt;3,VLOOKUP(H851,'Points Table A'!D$3:$F$28,3),VLOOKUP(H851,'Points Table A'!J$3:$L$33,3))</f>
        <v>#N/A</v>
      </c>
      <c r="Y851" s="4" t="e">
        <f>IF($Q851&lt;&gt;3,VLOOKUP(I851,'Points Table A'!E$3:$F$33,2),VLOOKUP(I851,'Points Table A'!K$3:$L$33,2))</f>
        <v>#N/A</v>
      </c>
      <c r="Z851" s="4" t="e">
        <f t="shared" si="75"/>
        <v>#N/A</v>
      </c>
      <c r="AA851" s="4">
        <f>IF($S851=Lookups!$B$113,VLOOKUP(L851,'Points Table C'!A$3:$E$11,5),VLOOKUP(U851,'Points Table C'!B$3:$E$11,4))</f>
        <v>0</v>
      </c>
      <c r="AB851" s="4" t="e">
        <f>IF($Q851=1,0,VLOOKUP($J851,'Points Table C'!$C$3:$E$18,3))</f>
        <v>#N/A</v>
      </c>
      <c r="AC851" s="4">
        <f>VLOOKUP($K851,'Points Table C'!$D$3:$E$18,2)</f>
        <v>0</v>
      </c>
      <c r="AD851" s="4" t="e">
        <f>IF($Z851&lt;Lookups!$C$106,($AA851+AB851+AC851),IF($AA851&gt;=Lookups!$C$120,($AA851+AB851+AC851),$AA851+$AB851))</f>
        <v>#N/A</v>
      </c>
      <c r="AF851" s="7"/>
      <c r="AG851" s="7"/>
      <c r="AH851" s="7"/>
      <c r="AI851" s="7"/>
      <c r="AJ851" s="7"/>
      <c r="AK851" s="7"/>
      <c r="AL851" s="7"/>
      <c r="AM851" s="7"/>
      <c r="AN851" s="7"/>
      <c r="AO851" s="7"/>
      <c r="AP851" s="7"/>
      <c r="AQ851" s="7"/>
      <c r="AR851" s="7"/>
      <c r="AS851" s="7"/>
      <c r="AT851" s="7"/>
      <c r="AU851" s="7"/>
      <c r="AV851" s="7"/>
      <c r="AW851" s="7"/>
      <c r="AY851" s="7"/>
      <c r="AZ851" s="7"/>
      <c r="BA851" s="7"/>
      <c r="BB851" s="7"/>
    </row>
    <row r="852" spans="2:54" x14ac:dyDescent="0.2">
      <c r="B852" s="174"/>
      <c r="C852" s="176"/>
      <c r="F852" s="5">
        <v>0</v>
      </c>
      <c r="G852" s="192">
        <v>0</v>
      </c>
      <c r="H852" s="192">
        <v>0</v>
      </c>
      <c r="I852" s="5">
        <v>0</v>
      </c>
      <c r="J852" s="192">
        <v>0</v>
      </c>
      <c r="K852" s="192">
        <v>0</v>
      </c>
      <c r="L852" s="5">
        <v>0</v>
      </c>
      <c r="M852" s="5">
        <v>0</v>
      </c>
      <c r="N852" s="4" t="e">
        <f t="shared" si="71"/>
        <v>#N/A</v>
      </c>
      <c r="O852" s="4" t="e">
        <f>IF(ROUND(10.499-(((N852-VLOOKUP($C852,Lookups!$A$55:$D$64,3))/(VLOOKUP($C852,Lookups!$A$55:$D$64,4))*VLOOKUP($C852,Lookups!$C$2:$D$11,2))),0)&lt;1,1,IF(ROUND(10.499-(((N852-VLOOKUP($C852,Lookups!$A$55:$D$64,3))/(VLOOKUP($C852,Lookups!$A$55:$D$64,4))*VLOOKUP($C852,Lookups!$C$2:$D$11,2))),0)&lt;11,ROUND(10.499-(((N852-VLOOKUP($C852,Lookups!$A$55:$D$64,3))/(VLOOKUP($C852,Lookups!$A$55:$D$64,4))*VLOOKUP($C852,Lookups!$C$2:$D$11,2))),0),10))</f>
        <v>#N/A</v>
      </c>
      <c r="P852" s="13" t="str">
        <f>IF((SUM(F852:M852)=0),"J",VLOOKUP(O852,Lookups!$A$1:$B$11,2))</f>
        <v>J</v>
      </c>
      <c r="Q852" s="8" t="e">
        <f>VLOOKUP(C852,Lookups!$A$136:$C$144,3)</f>
        <v>#N/A</v>
      </c>
      <c r="R852" s="8" t="e">
        <f>VLOOKUP(C852,Lookups!$A$136:$C$144,2)</f>
        <v>#N/A</v>
      </c>
      <c r="S852" s="4" t="str">
        <f t="shared" si="72"/>
        <v>No</v>
      </c>
      <c r="T852" s="125">
        <f t="shared" si="73"/>
        <v>0</v>
      </c>
      <c r="U852" s="125">
        <f t="shared" si="74"/>
        <v>0</v>
      </c>
      <c r="V852" s="4" t="e">
        <f>IF($Q852&lt;&gt;3,VLOOKUP(F852,'Points Table A'!B$3:$F$33,5),VLOOKUP(F852,'Points Table A'!H$3:$L$33,5))</f>
        <v>#N/A</v>
      </c>
      <c r="W852" s="4" t="e">
        <f>IF($Q852&lt;&gt;3,VLOOKUP(G852,'Points Table A'!C$3:$F$33,4),VLOOKUP(G852,'Points Table A'!I$3:$L$33,4))</f>
        <v>#N/A</v>
      </c>
      <c r="X852" s="4" t="e">
        <f>IF($Q852&lt;&gt;3,VLOOKUP(H852,'Points Table A'!D$3:$F$28,3),VLOOKUP(H852,'Points Table A'!J$3:$L$33,3))</f>
        <v>#N/A</v>
      </c>
      <c r="Y852" s="4" t="e">
        <f>IF($Q852&lt;&gt;3,VLOOKUP(I852,'Points Table A'!E$3:$F$33,2),VLOOKUP(I852,'Points Table A'!K$3:$L$33,2))</f>
        <v>#N/A</v>
      </c>
      <c r="Z852" s="4" t="e">
        <f t="shared" si="75"/>
        <v>#N/A</v>
      </c>
      <c r="AA852" s="4">
        <f>IF($S852=Lookups!$B$113,VLOOKUP(L852,'Points Table C'!A$3:$E$11,5),VLOOKUP(U852,'Points Table C'!B$3:$E$11,4))</f>
        <v>0</v>
      </c>
      <c r="AB852" s="4" t="e">
        <f>IF($Q852=1,0,VLOOKUP($J852,'Points Table C'!$C$3:$E$18,3))</f>
        <v>#N/A</v>
      </c>
      <c r="AC852" s="4">
        <f>VLOOKUP($K852,'Points Table C'!$D$3:$E$18,2)</f>
        <v>0</v>
      </c>
      <c r="AD852" s="4" t="e">
        <f>IF($Z852&lt;Lookups!$C$106,($AA852+AB852+AC852),IF($AA852&gt;=Lookups!$C$120,($AA852+AB852+AC852),$AA852+$AB852))</f>
        <v>#N/A</v>
      </c>
      <c r="AF852" s="7"/>
      <c r="AG852" s="7"/>
      <c r="AH852" s="7"/>
      <c r="AI852" s="7"/>
      <c r="AJ852" s="7"/>
      <c r="AK852" s="7"/>
      <c r="AL852" s="7"/>
      <c r="AM852" s="7"/>
      <c r="AN852" s="7"/>
      <c r="AO852" s="7"/>
      <c r="AP852" s="7"/>
      <c r="AQ852" s="7"/>
      <c r="AR852" s="7"/>
      <c r="AS852" s="7"/>
      <c r="AT852" s="7"/>
      <c r="AU852" s="7"/>
      <c r="AV852" s="7"/>
      <c r="AW852" s="7"/>
      <c r="AY852" s="7"/>
      <c r="AZ852" s="7"/>
      <c r="BA852" s="7"/>
      <c r="BB852" s="7"/>
    </row>
    <row r="853" spans="2:54" x14ac:dyDescent="0.2">
      <c r="B853" s="174"/>
      <c r="C853" s="176"/>
      <c r="F853" s="5">
        <v>0</v>
      </c>
      <c r="G853" s="192">
        <v>0</v>
      </c>
      <c r="H853" s="192">
        <v>0</v>
      </c>
      <c r="I853" s="5">
        <v>0</v>
      </c>
      <c r="J853" s="192">
        <v>0</v>
      </c>
      <c r="K853" s="192">
        <v>0</v>
      </c>
      <c r="L853" s="5">
        <v>0</v>
      </c>
      <c r="M853" s="5">
        <v>0</v>
      </c>
      <c r="N853" s="4" t="e">
        <f t="shared" si="71"/>
        <v>#N/A</v>
      </c>
      <c r="O853" s="4" t="e">
        <f>IF(ROUND(10.499-(((N853-VLOOKUP($C853,Lookups!$A$55:$D$64,3))/(VLOOKUP($C853,Lookups!$A$55:$D$64,4))*VLOOKUP($C853,Lookups!$C$2:$D$11,2))),0)&lt;1,1,IF(ROUND(10.499-(((N853-VLOOKUP($C853,Lookups!$A$55:$D$64,3))/(VLOOKUP($C853,Lookups!$A$55:$D$64,4))*VLOOKUP($C853,Lookups!$C$2:$D$11,2))),0)&lt;11,ROUND(10.499-(((N853-VLOOKUP($C853,Lookups!$A$55:$D$64,3))/(VLOOKUP($C853,Lookups!$A$55:$D$64,4))*VLOOKUP($C853,Lookups!$C$2:$D$11,2))),0),10))</f>
        <v>#N/A</v>
      </c>
      <c r="P853" s="13" t="str">
        <f>IF((SUM(F853:M853)=0),"J",VLOOKUP(O853,Lookups!$A$1:$B$11,2))</f>
        <v>J</v>
      </c>
      <c r="Q853" s="8" t="e">
        <f>VLOOKUP(C853,Lookups!$A$136:$C$144,3)</f>
        <v>#N/A</v>
      </c>
      <c r="R853" s="8" t="e">
        <f>VLOOKUP(C853,Lookups!$A$136:$C$144,2)</f>
        <v>#N/A</v>
      </c>
      <c r="S853" s="4" t="str">
        <f t="shared" si="72"/>
        <v>No</v>
      </c>
      <c r="T853" s="125">
        <f t="shared" si="73"/>
        <v>0</v>
      </c>
      <c r="U853" s="125">
        <f t="shared" si="74"/>
        <v>0</v>
      </c>
      <c r="V853" s="4" t="e">
        <f>IF($Q853&lt;&gt;3,VLOOKUP(F853,'Points Table A'!B$3:$F$33,5),VLOOKUP(F853,'Points Table A'!H$3:$L$33,5))</f>
        <v>#N/A</v>
      </c>
      <c r="W853" s="4" t="e">
        <f>IF($Q853&lt;&gt;3,VLOOKUP(G853,'Points Table A'!C$3:$F$33,4),VLOOKUP(G853,'Points Table A'!I$3:$L$33,4))</f>
        <v>#N/A</v>
      </c>
      <c r="X853" s="4" t="e">
        <f>IF($Q853&lt;&gt;3,VLOOKUP(H853,'Points Table A'!D$3:$F$28,3),VLOOKUP(H853,'Points Table A'!J$3:$L$33,3))</f>
        <v>#N/A</v>
      </c>
      <c r="Y853" s="4" t="e">
        <f>IF($Q853&lt;&gt;3,VLOOKUP(I853,'Points Table A'!E$3:$F$33,2),VLOOKUP(I853,'Points Table A'!K$3:$L$33,2))</f>
        <v>#N/A</v>
      </c>
      <c r="Z853" s="4" t="e">
        <f t="shared" si="75"/>
        <v>#N/A</v>
      </c>
      <c r="AA853" s="4">
        <f>IF($S853=Lookups!$B$113,VLOOKUP(L853,'Points Table C'!A$3:$E$11,5),VLOOKUP(U853,'Points Table C'!B$3:$E$11,4))</f>
        <v>0</v>
      </c>
      <c r="AB853" s="4" t="e">
        <f>IF($Q853=1,0,VLOOKUP($J853,'Points Table C'!$C$3:$E$18,3))</f>
        <v>#N/A</v>
      </c>
      <c r="AC853" s="4">
        <f>VLOOKUP($K853,'Points Table C'!$D$3:$E$18,2)</f>
        <v>0</v>
      </c>
      <c r="AD853" s="4" t="e">
        <f>IF($Z853&lt;Lookups!$C$106,($AA853+AB853+AC853),IF($AA853&gt;=Lookups!$C$120,($AA853+AB853+AC853),$AA853+$AB853))</f>
        <v>#N/A</v>
      </c>
      <c r="AF853" s="7"/>
      <c r="AG853" s="7"/>
      <c r="AH853" s="7"/>
      <c r="AI853" s="7"/>
      <c r="AJ853" s="7"/>
      <c r="AK853" s="7"/>
      <c r="AL853" s="7"/>
      <c r="AM853" s="7"/>
      <c r="AN853" s="7"/>
      <c r="AO853" s="7"/>
      <c r="AP853" s="7"/>
      <c r="AQ853" s="7"/>
      <c r="AR853" s="7"/>
      <c r="AS853" s="7"/>
      <c r="AT853" s="7"/>
      <c r="AU853" s="7"/>
      <c r="AV853" s="7"/>
      <c r="AW853" s="7"/>
      <c r="AY853" s="7"/>
      <c r="AZ853" s="7"/>
      <c r="BA853" s="7"/>
      <c r="BB853" s="7"/>
    </row>
    <row r="854" spans="2:54" x14ac:dyDescent="0.2">
      <c r="B854" s="174"/>
      <c r="C854" s="176"/>
      <c r="F854" s="5">
        <v>0</v>
      </c>
      <c r="G854" s="192">
        <v>0</v>
      </c>
      <c r="H854" s="192">
        <v>0</v>
      </c>
      <c r="I854" s="5">
        <v>0</v>
      </c>
      <c r="J854" s="192">
        <v>0</v>
      </c>
      <c r="K854" s="192">
        <v>0</v>
      </c>
      <c r="L854" s="5">
        <v>0</v>
      </c>
      <c r="M854" s="5">
        <v>0</v>
      </c>
      <c r="N854" s="4" t="e">
        <f t="shared" si="71"/>
        <v>#N/A</v>
      </c>
      <c r="O854" s="4" t="e">
        <f>IF(ROUND(10.499-(((N854-VLOOKUP($C854,Lookups!$A$55:$D$64,3))/(VLOOKUP($C854,Lookups!$A$55:$D$64,4))*VLOOKUP($C854,Lookups!$C$2:$D$11,2))),0)&lt;1,1,IF(ROUND(10.499-(((N854-VLOOKUP($C854,Lookups!$A$55:$D$64,3))/(VLOOKUP($C854,Lookups!$A$55:$D$64,4))*VLOOKUP($C854,Lookups!$C$2:$D$11,2))),0)&lt;11,ROUND(10.499-(((N854-VLOOKUP($C854,Lookups!$A$55:$D$64,3))/(VLOOKUP($C854,Lookups!$A$55:$D$64,4))*VLOOKUP($C854,Lookups!$C$2:$D$11,2))),0),10))</f>
        <v>#N/A</v>
      </c>
      <c r="P854" s="13" t="str">
        <f>IF((SUM(F854:M854)=0),"J",VLOOKUP(O854,Lookups!$A$1:$B$11,2))</f>
        <v>J</v>
      </c>
      <c r="Q854" s="8" t="e">
        <f>VLOOKUP(C854,Lookups!$A$136:$C$144,3)</f>
        <v>#N/A</v>
      </c>
      <c r="R854" s="8" t="e">
        <f>VLOOKUP(C854,Lookups!$A$136:$C$144,2)</f>
        <v>#N/A</v>
      </c>
      <c r="S854" s="4" t="str">
        <f t="shared" si="72"/>
        <v>No</v>
      </c>
      <c r="T854" s="125">
        <f t="shared" si="73"/>
        <v>0</v>
      </c>
      <c r="U854" s="125">
        <f t="shared" si="74"/>
        <v>0</v>
      </c>
      <c r="V854" s="4" t="e">
        <f>IF($Q854&lt;&gt;3,VLOOKUP(F854,'Points Table A'!B$3:$F$33,5),VLOOKUP(F854,'Points Table A'!H$3:$L$33,5))</f>
        <v>#N/A</v>
      </c>
      <c r="W854" s="4" t="e">
        <f>IF($Q854&lt;&gt;3,VLOOKUP(G854,'Points Table A'!C$3:$F$33,4),VLOOKUP(G854,'Points Table A'!I$3:$L$33,4))</f>
        <v>#N/A</v>
      </c>
      <c r="X854" s="4" t="e">
        <f>IF($Q854&lt;&gt;3,VLOOKUP(H854,'Points Table A'!D$3:$F$28,3),VLOOKUP(H854,'Points Table A'!J$3:$L$33,3))</f>
        <v>#N/A</v>
      </c>
      <c r="Y854" s="4" t="e">
        <f>IF($Q854&lt;&gt;3,VLOOKUP(I854,'Points Table A'!E$3:$F$33,2),VLOOKUP(I854,'Points Table A'!K$3:$L$33,2))</f>
        <v>#N/A</v>
      </c>
      <c r="Z854" s="4" t="e">
        <f t="shared" si="75"/>
        <v>#N/A</v>
      </c>
      <c r="AA854" s="4">
        <f>IF($S854=Lookups!$B$113,VLOOKUP(L854,'Points Table C'!A$3:$E$11,5),VLOOKUP(U854,'Points Table C'!B$3:$E$11,4))</f>
        <v>0</v>
      </c>
      <c r="AB854" s="4" t="e">
        <f>IF($Q854=1,0,VLOOKUP($J854,'Points Table C'!$C$3:$E$18,3))</f>
        <v>#N/A</v>
      </c>
      <c r="AC854" s="4">
        <f>VLOOKUP($K854,'Points Table C'!$D$3:$E$18,2)</f>
        <v>0</v>
      </c>
      <c r="AD854" s="4" t="e">
        <f>IF($Z854&lt;Lookups!$C$106,($AA854+AB854+AC854),IF($AA854&gt;=Lookups!$C$120,($AA854+AB854+AC854),$AA854+$AB854))</f>
        <v>#N/A</v>
      </c>
      <c r="AF854" s="7"/>
      <c r="AG854" s="7"/>
      <c r="AH854" s="7"/>
      <c r="AI854" s="7"/>
      <c r="AJ854" s="7"/>
      <c r="AK854" s="7"/>
      <c r="AL854" s="7"/>
      <c r="AM854" s="7"/>
      <c r="AN854" s="7"/>
      <c r="AO854" s="7"/>
      <c r="AP854" s="7"/>
      <c r="AQ854" s="7"/>
      <c r="AR854" s="7"/>
      <c r="AS854" s="7"/>
      <c r="AT854" s="7"/>
      <c r="AU854" s="7"/>
      <c r="AV854" s="7"/>
      <c r="AW854" s="7"/>
      <c r="AY854" s="7"/>
      <c r="AZ854" s="7"/>
      <c r="BA854" s="7"/>
      <c r="BB854" s="7"/>
    </row>
    <row r="855" spans="2:54" x14ac:dyDescent="0.2">
      <c r="B855" s="174"/>
      <c r="C855" s="176"/>
      <c r="F855" s="5">
        <v>0</v>
      </c>
      <c r="G855" s="192">
        <v>0</v>
      </c>
      <c r="H855" s="192">
        <v>0</v>
      </c>
      <c r="I855" s="5">
        <v>0</v>
      </c>
      <c r="J855" s="192">
        <v>0</v>
      </c>
      <c r="K855" s="192">
        <v>0</v>
      </c>
      <c r="L855" s="5">
        <v>0</v>
      </c>
      <c r="M855" s="5">
        <v>0</v>
      </c>
      <c r="N855" s="4" t="e">
        <f t="shared" si="71"/>
        <v>#N/A</v>
      </c>
      <c r="O855" s="4" t="e">
        <f>IF(ROUND(10.499-(((N855-VLOOKUP($C855,Lookups!$A$55:$D$64,3))/(VLOOKUP($C855,Lookups!$A$55:$D$64,4))*VLOOKUP($C855,Lookups!$C$2:$D$11,2))),0)&lt;1,1,IF(ROUND(10.499-(((N855-VLOOKUP($C855,Lookups!$A$55:$D$64,3))/(VLOOKUP($C855,Lookups!$A$55:$D$64,4))*VLOOKUP($C855,Lookups!$C$2:$D$11,2))),0)&lt;11,ROUND(10.499-(((N855-VLOOKUP($C855,Lookups!$A$55:$D$64,3))/(VLOOKUP($C855,Lookups!$A$55:$D$64,4))*VLOOKUP($C855,Lookups!$C$2:$D$11,2))),0),10))</f>
        <v>#N/A</v>
      </c>
      <c r="P855" s="13" t="str">
        <f>IF((SUM(F855:M855)=0),"J",VLOOKUP(O855,Lookups!$A$1:$B$11,2))</f>
        <v>J</v>
      </c>
      <c r="Q855" s="8" t="e">
        <f>VLOOKUP(C855,Lookups!$A$136:$C$144,3)</f>
        <v>#N/A</v>
      </c>
      <c r="R855" s="8" t="e">
        <f>VLOOKUP(C855,Lookups!$A$136:$C$144,2)</f>
        <v>#N/A</v>
      </c>
      <c r="S855" s="4" t="str">
        <f t="shared" si="72"/>
        <v>No</v>
      </c>
      <c r="T855" s="125">
        <f t="shared" si="73"/>
        <v>0</v>
      </c>
      <c r="U855" s="125">
        <f t="shared" si="74"/>
        <v>0</v>
      </c>
      <c r="V855" s="4" t="e">
        <f>IF($Q855&lt;&gt;3,VLOOKUP(F855,'Points Table A'!B$3:$F$33,5),VLOOKUP(F855,'Points Table A'!H$3:$L$33,5))</f>
        <v>#N/A</v>
      </c>
      <c r="W855" s="4" t="e">
        <f>IF($Q855&lt;&gt;3,VLOOKUP(G855,'Points Table A'!C$3:$F$33,4),VLOOKUP(G855,'Points Table A'!I$3:$L$33,4))</f>
        <v>#N/A</v>
      </c>
      <c r="X855" s="4" t="e">
        <f>IF($Q855&lt;&gt;3,VLOOKUP(H855,'Points Table A'!D$3:$F$28,3),VLOOKUP(H855,'Points Table A'!J$3:$L$33,3))</f>
        <v>#N/A</v>
      </c>
      <c r="Y855" s="4" t="e">
        <f>IF($Q855&lt;&gt;3,VLOOKUP(I855,'Points Table A'!E$3:$F$33,2),VLOOKUP(I855,'Points Table A'!K$3:$L$33,2))</f>
        <v>#N/A</v>
      </c>
      <c r="Z855" s="4" t="e">
        <f t="shared" si="75"/>
        <v>#N/A</v>
      </c>
      <c r="AA855" s="4">
        <f>IF($S855=Lookups!$B$113,VLOOKUP(L855,'Points Table C'!A$3:$E$11,5),VLOOKUP(U855,'Points Table C'!B$3:$E$11,4))</f>
        <v>0</v>
      </c>
      <c r="AB855" s="4" t="e">
        <f>IF($Q855=1,0,VLOOKUP($J855,'Points Table C'!$C$3:$E$18,3))</f>
        <v>#N/A</v>
      </c>
      <c r="AC855" s="4">
        <f>VLOOKUP($K855,'Points Table C'!$D$3:$E$18,2)</f>
        <v>0</v>
      </c>
      <c r="AD855" s="4" t="e">
        <f>IF($Z855&lt;Lookups!$C$106,($AA855+AB855+AC855),IF($AA855&gt;=Lookups!$C$120,($AA855+AB855+AC855),$AA855+$AB855))</f>
        <v>#N/A</v>
      </c>
      <c r="AF855" s="7"/>
      <c r="AG855" s="7"/>
      <c r="AH855" s="7"/>
      <c r="AI855" s="7"/>
      <c r="AJ855" s="7"/>
      <c r="AK855" s="7"/>
      <c r="AL855" s="7"/>
      <c r="AM855" s="7"/>
      <c r="AN855" s="7"/>
      <c r="AO855" s="7"/>
      <c r="AP855" s="7"/>
      <c r="AQ855" s="7"/>
      <c r="AR855" s="7"/>
      <c r="AS855" s="7"/>
      <c r="AT855" s="7"/>
      <c r="AU855" s="7"/>
      <c r="AV855" s="7"/>
      <c r="AW855" s="7"/>
      <c r="AY855" s="7"/>
      <c r="AZ855" s="7"/>
      <c r="BA855" s="7"/>
      <c r="BB855" s="7"/>
    </row>
    <row r="856" spans="2:54" x14ac:dyDescent="0.2">
      <c r="B856" s="174"/>
      <c r="C856" s="176"/>
      <c r="F856" s="5">
        <v>0</v>
      </c>
      <c r="G856" s="192">
        <v>0</v>
      </c>
      <c r="H856" s="192">
        <v>0</v>
      </c>
      <c r="I856" s="5">
        <v>0</v>
      </c>
      <c r="J856" s="192">
        <v>0</v>
      </c>
      <c r="K856" s="192">
        <v>0</v>
      </c>
      <c r="L856" s="5">
        <v>0</v>
      </c>
      <c r="M856" s="5">
        <v>0</v>
      </c>
      <c r="N856" s="4" t="e">
        <f t="shared" si="71"/>
        <v>#N/A</v>
      </c>
      <c r="O856" s="4" t="e">
        <f>IF(ROUND(10.499-(((N856-VLOOKUP($C856,Lookups!$A$55:$D$64,3))/(VLOOKUP($C856,Lookups!$A$55:$D$64,4))*VLOOKUP($C856,Lookups!$C$2:$D$11,2))),0)&lt;1,1,IF(ROUND(10.499-(((N856-VLOOKUP($C856,Lookups!$A$55:$D$64,3))/(VLOOKUP($C856,Lookups!$A$55:$D$64,4))*VLOOKUP($C856,Lookups!$C$2:$D$11,2))),0)&lt;11,ROUND(10.499-(((N856-VLOOKUP($C856,Lookups!$A$55:$D$64,3))/(VLOOKUP($C856,Lookups!$A$55:$D$64,4))*VLOOKUP($C856,Lookups!$C$2:$D$11,2))),0),10))</f>
        <v>#N/A</v>
      </c>
      <c r="P856" s="13" t="str">
        <f>IF((SUM(F856:M856)=0),"J",VLOOKUP(O856,Lookups!$A$1:$B$11,2))</f>
        <v>J</v>
      </c>
      <c r="Q856" s="8" t="e">
        <f>VLOOKUP(C856,Lookups!$A$136:$C$144,3)</f>
        <v>#N/A</v>
      </c>
      <c r="R856" s="8" t="e">
        <f>VLOOKUP(C856,Lookups!$A$136:$C$144,2)</f>
        <v>#N/A</v>
      </c>
      <c r="S856" s="4" t="str">
        <f t="shared" si="72"/>
        <v>No</v>
      </c>
      <c r="T856" s="125">
        <f t="shared" si="73"/>
        <v>0</v>
      </c>
      <c r="U856" s="125">
        <f t="shared" si="74"/>
        <v>0</v>
      </c>
      <c r="V856" s="4" t="e">
        <f>IF($Q856&lt;&gt;3,VLOOKUP(F856,'Points Table A'!B$3:$F$33,5),VLOOKUP(F856,'Points Table A'!H$3:$L$33,5))</f>
        <v>#N/A</v>
      </c>
      <c r="W856" s="4" t="e">
        <f>IF($Q856&lt;&gt;3,VLOOKUP(G856,'Points Table A'!C$3:$F$33,4),VLOOKUP(G856,'Points Table A'!I$3:$L$33,4))</f>
        <v>#N/A</v>
      </c>
      <c r="X856" s="4" t="e">
        <f>IF($Q856&lt;&gt;3,VLOOKUP(H856,'Points Table A'!D$3:$F$28,3),VLOOKUP(H856,'Points Table A'!J$3:$L$33,3))</f>
        <v>#N/A</v>
      </c>
      <c r="Y856" s="4" t="e">
        <f>IF($Q856&lt;&gt;3,VLOOKUP(I856,'Points Table A'!E$3:$F$33,2),VLOOKUP(I856,'Points Table A'!K$3:$L$33,2))</f>
        <v>#N/A</v>
      </c>
      <c r="Z856" s="4" t="e">
        <f t="shared" si="75"/>
        <v>#N/A</v>
      </c>
      <c r="AA856" s="4">
        <f>IF($S856=Lookups!$B$113,VLOOKUP(L856,'Points Table C'!A$3:$E$11,5),VLOOKUP(U856,'Points Table C'!B$3:$E$11,4))</f>
        <v>0</v>
      </c>
      <c r="AB856" s="4" t="e">
        <f>IF($Q856=1,0,VLOOKUP($J856,'Points Table C'!$C$3:$E$18,3))</f>
        <v>#N/A</v>
      </c>
      <c r="AC856" s="4">
        <f>VLOOKUP($K856,'Points Table C'!$D$3:$E$18,2)</f>
        <v>0</v>
      </c>
      <c r="AD856" s="4" t="e">
        <f>IF($Z856&lt;Lookups!$C$106,($AA856+AB856+AC856),IF($AA856&gt;=Lookups!$C$120,($AA856+AB856+AC856),$AA856+$AB856))</f>
        <v>#N/A</v>
      </c>
      <c r="AF856" s="7"/>
      <c r="AG856" s="7"/>
      <c r="AH856" s="7"/>
      <c r="AI856" s="7"/>
      <c r="AJ856" s="7"/>
      <c r="AK856" s="7"/>
      <c r="AL856" s="7"/>
      <c r="AM856" s="7"/>
      <c r="AN856" s="7"/>
      <c r="AO856" s="7"/>
      <c r="AP856" s="7"/>
      <c r="AQ856" s="7"/>
      <c r="AR856" s="7"/>
      <c r="AS856" s="7"/>
      <c r="AT856" s="7"/>
      <c r="AU856" s="7"/>
      <c r="AV856" s="7"/>
      <c r="AW856" s="7"/>
      <c r="AY856" s="7"/>
      <c r="AZ856" s="7"/>
      <c r="BA856" s="7"/>
      <c r="BB856" s="7"/>
    </row>
    <row r="857" spans="2:54" x14ac:dyDescent="0.2">
      <c r="B857" s="174"/>
      <c r="C857" s="176"/>
      <c r="F857" s="5">
        <v>0</v>
      </c>
      <c r="G857" s="192">
        <v>0</v>
      </c>
      <c r="H857" s="192">
        <v>0</v>
      </c>
      <c r="I857" s="5">
        <v>0</v>
      </c>
      <c r="J857" s="192">
        <v>0</v>
      </c>
      <c r="K857" s="192">
        <v>0</v>
      </c>
      <c r="L857" s="5">
        <v>0</v>
      </c>
      <c r="M857" s="5">
        <v>0</v>
      </c>
      <c r="N857" s="4" t="e">
        <f t="shared" si="71"/>
        <v>#N/A</v>
      </c>
      <c r="O857" s="4" t="e">
        <f>IF(ROUND(10.499-(((N857-VLOOKUP($C857,Lookups!$A$55:$D$64,3))/(VLOOKUP($C857,Lookups!$A$55:$D$64,4))*VLOOKUP($C857,Lookups!$C$2:$D$11,2))),0)&lt;1,1,IF(ROUND(10.499-(((N857-VLOOKUP($C857,Lookups!$A$55:$D$64,3))/(VLOOKUP($C857,Lookups!$A$55:$D$64,4))*VLOOKUP($C857,Lookups!$C$2:$D$11,2))),0)&lt;11,ROUND(10.499-(((N857-VLOOKUP($C857,Lookups!$A$55:$D$64,3))/(VLOOKUP($C857,Lookups!$A$55:$D$64,4))*VLOOKUP($C857,Lookups!$C$2:$D$11,2))),0),10))</f>
        <v>#N/A</v>
      </c>
      <c r="P857" s="13" t="str">
        <f>IF((SUM(F857:M857)=0),"J",VLOOKUP(O857,Lookups!$A$1:$B$11,2))</f>
        <v>J</v>
      </c>
      <c r="Q857" s="8" t="e">
        <f>VLOOKUP(C857,Lookups!$A$136:$C$144,3)</f>
        <v>#N/A</v>
      </c>
      <c r="R857" s="8" t="e">
        <f>VLOOKUP(C857,Lookups!$A$136:$C$144,2)</f>
        <v>#N/A</v>
      </c>
      <c r="S857" s="4" t="str">
        <f t="shared" si="72"/>
        <v>No</v>
      </c>
      <c r="T857" s="125">
        <f t="shared" si="73"/>
        <v>0</v>
      </c>
      <c r="U857" s="125">
        <f t="shared" si="74"/>
        <v>0</v>
      </c>
      <c r="V857" s="4" t="e">
        <f>IF($Q857&lt;&gt;3,VLOOKUP(F857,'Points Table A'!B$3:$F$33,5),VLOOKUP(F857,'Points Table A'!H$3:$L$33,5))</f>
        <v>#N/A</v>
      </c>
      <c r="W857" s="4" t="e">
        <f>IF($Q857&lt;&gt;3,VLOOKUP(G857,'Points Table A'!C$3:$F$33,4),VLOOKUP(G857,'Points Table A'!I$3:$L$33,4))</f>
        <v>#N/A</v>
      </c>
      <c r="X857" s="4" t="e">
        <f>IF($Q857&lt;&gt;3,VLOOKUP(H857,'Points Table A'!D$3:$F$28,3),VLOOKUP(H857,'Points Table A'!J$3:$L$33,3))</f>
        <v>#N/A</v>
      </c>
      <c r="Y857" s="4" t="e">
        <f>IF($Q857&lt;&gt;3,VLOOKUP(I857,'Points Table A'!E$3:$F$33,2),VLOOKUP(I857,'Points Table A'!K$3:$L$33,2))</f>
        <v>#N/A</v>
      </c>
      <c r="Z857" s="4" t="e">
        <f t="shared" si="75"/>
        <v>#N/A</v>
      </c>
      <c r="AA857" s="4">
        <f>IF($S857=Lookups!$B$113,VLOOKUP(L857,'Points Table C'!A$3:$E$11,5),VLOOKUP(U857,'Points Table C'!B$3:$E$11,4))</f>
        <v>0</v>
      </c>
      <c r="AB857" s="4" t="e">
        <f>IF($Q857=1,0,VLOOKUP($J857,'Points Table C'!$C$3:$E$18,3))</f>
        <v>#N/A</v>
      </c>
      <c r="AC857" s="4">
        <f>VLOOKUP($K857,'Points Table C'!$D$3:$E$18,2)</f>
        <v>0</v>
      </c>
      <c r="AD857" s="4" t="e">
        <f>IF($Z857&lt;Lookups!$C$106,($AA857+AB857+AC857),IF($AA857&gt;=Lookups!$C$120,($AA857+AB857+AC857),$AA857+$AB857))</f>
        <v>#N/A</v>
      </c>
      <c r="AF857" s="7"/>
      <c r="AG857" s="7"/>
      <c r="AH857" s="7"/>
      <c r="AI857" s="7"/>
      <c r="AJ857" s="7"/>
      <c r="AK857" s="7"/>
      <c r="AL857" s="7"/>
      <c r="AM857" s="7"/>
      <c r="AN857" s="7"/>
      <c r="AO857" s="7"/>
      <c r="AP857" s="7"/>
      <c r="AQ857" s="7"/>
      <c r="AR857" s="7"/>
      <c r="AS857" s="7"/>
      <c r="AT857" s="7"/>
      <c r="AU857" s="7"/>
      <c r="AV857" s="7"/>
      <c r="AW857" s="7"/>
      <c r="AY857" s="7"/>
      <c r="AZ857" s="7"/>
      <c r="BA857" s="7"/>
      <c r="BB857" s="7"/>
    </row>
    <row r="858" spans="2:54" x14ac:dyDescent="0.2">
      <c r="B858" s="174"/>
      <c r="C858" s="176"/>
      <c r="F858" s="5">
        <v>0</v>
      </c>
      <c r="G858" s="192">
        <v>0</v>
      </c>
      <c r="H858" s="192">
        <v>0</v>
      </c>
      <c r="I858" s="5">
        <v>0</v>
      </c>
      <c r="J858" s="192">
        <v>0</v>
      </c>
      <c r="K858" s="192">
        <v>0</v>
      </c>
      <c r="L858" s="5">
        <v>0</v>
      </c>
      <c r="M858" s="5">
        <v>0</v>
      </c>
      <c r="N858" s="4" t="e">
        <f t="shared" si="71"/>
        <v>#N/A</v>
      </c>
      <c r="O858" s="4" t="e">
        <f>IF(ROUND(10.499-(((N858-VLOOKUP($C858,Lookups!$A$55:$D$64,3))/(VLOOKUP($C858,Lookups!$A$55:$D$64,4))*VLOOKUP($C858,Lookups!$C$2:$D$11,2))),0)&lt;1,1,IF(ROUND(10.499-(((N858-VLOOKUP($C858,Lookups!$A$55:$D$64,3))/(VLOOKUP($C858,Lookups!$A$55:$D$64,4))*VLOOKUP($C858,Lookups!$C$2:$D$11,2))),0)&lt;11,ROUND(10.499-(((N858-VLOOKUP($C858,Lookups!$A$55:$D$64,3))/(VLOOKUP($C858,Lookups!$A$55:$D$64,4))*VLOOKUP($C858,Lookups!$C$2:$D$11,2))),0),10))</f>
        <v>#N/A</v>
      </c>
      <c r="P858" s="13" t="str">
        <f>IF((SUM(F858:M858)=0),"J",VLOOKUP(O858,Lookups!$A$1:$B$11,2))</f>
        <v>J</v>
      </c>
      <c r="Q858" s="8" t="e">
        <f>VLOOKUP(C858,Lookups!$A$136:$C$144,3)</f>
        <v>#N/A</v>
      </c>
      <c r="R858" s="8" t="e">
        <f>VLOOKUP(C858,Lookups!$A$136:$C$144,2)</f>
        <v>#N/A</v>
      </c>
      <c r="S858" s="4" t="str">
        <f t="shared" si="72"/>
        <v>No</v>
      </c>
      <c r="T858" s="125">
        <f t="shared" si="73"/>
        <v>0</v>
      </c>
      <c r="U858" s="125">
        <f t="shared" si="74"/>
        <v>0</v>
      </c>
      <c r="V858" s="4" t="e">
        <f>IF($Q858&lt;&gt;3,VLOOKUP(F858,'Points Table A'!B$3:$F$33,5),VLOOKUP(F858,'Points Table A'!H$3:$L$33,5))</f>
        <v>#N/A</v>
      </c>
      <c r="W858" s="4" t="e">
        <f>IF($Q858&lt;&gt;3,VLOOKUP(G858,'Points Table A'!C$3:$F$33,4),VLOOKUP(G858,'Points Table A'!I$3:$L$33,4))</f>
        <v>#N/A</v>
      </c>
      <c r="X858" s="4" t="e">
        <f>IF($Q858&lt;&gt;3,VLOOKUP(H858,'Points Table A'!D$3:$F$28,3),VLOOKUP(H858,'Points Table A'!J$3:$L$33,3))</f>
        <v>#N/A</v>
      </c>
      <c r="Y858" s="4" t="e">
        <f>IF($Q858&lt;&gt;3,VLOOKUP(I858,'Points Table A'!E$3:$F$33,2),VLOOKUP(I858,'Points Table A'!K$3:$L$33,2))</f>
        <v>#N/A</v>
      </c>
      <c r="Z858" s="4" t="e">
        <f t="shared" si="75"/>
        <v>#N/A</v>
      </c>
      <c r="AA858" s="4">
        <f>IF($S858=Lookups!$B$113,VLOOKUP(L858,'Points Table C'!A$3:$E$11,5),VLOOKUP(U858,'Points Table C'!B$3:$E$11,4))</f>
        <v>0</v>
      </c>
      <c r="AB858" s="4" t="e">
        <f>IF($Q858=1,0,VLOOKUP($J858,'Points Table C'!$C$3:$E$18,3))</f>
        <v>#N/A</v>
      </c>
      <c r="AC858" s="4">
        <f>VLOOKUP($K858,'Points Table C'!$D$3:$E$18,2)</f>
        <v>0</v>
      </c>
      <c r="AD858" s="4" t="e">
        <f>IF($Z858&lt;Lookups!$C$106,($AA858+AB858+AC858),IF($AA858&gt;=Lookups!$C$120,($AA858+AB858+AC858),$AA858+$AB858))</f>
        <v>#N/A</v>
      </c>
      <c r="AF858" s="7"/>
      <c r="AG858" s="7"/>
      <c r="AH858" s="7"/>
      <c r="AI858" s="7"/>
      <c r="AJ858" s="7"/>
      <c r="AK858" s="7"/>
      <c r="AL858" s="7"/>
      <c r="AM858" s="7"/>
      <c r="AN858" s="7"/>
      <c r="AO858" s="7"/>
      <c r="AP858" s="7"/>
      <c r="AQ858" s="7"/>
      <c r="AR858" s="7"/>
      <c r="AS858" s="7"/>
      <c r="AT858" s="7"/>
      <c r="AU858" s="7"/>
      <c r="AV858" s="7"/>
      <c r="AW858" s="7"/>
      <c r="AY858" s="7"/>
      <c r="AZ858" s="7"/>
      <c r="BA858" s="7"/>
      <c r="BB858" s="7"/>
    </row>
    <row r="859" spans="2:54" x14ac:dyDescent="0.2">
      <c r="B859" s="174"/>
      <c r="C859" s="176"/>
      <c r="F859" s="5">
        <v>0</v>
      </c>
      <c r="G859" s="192">
        <v>0</v>
      </c>
      <c r="H859" s="192">
        <v>0</v>
      </c>
      <c r="I859" s="5">
        <v>0</v>
      </c>
      <c r="J859" s="192">
        <v>0</v>
      </c>
      <c r="K859" s="192">
        <v>0</v>
      </c>
      <c r="L859" s="5">
        <v>0</v>
      </c>
      <c r="M859" s="5">
        <v>0</v>
      </c>
      <c r="N859" s="4" t="e">
        <f t="shared" si="71"/>
        <v>#N/A</v>
      </c>
      <c r="O859" s="4" t="e">
        <f>IF(ROUND(10.499-(((N859-VLOOKUP($C859,Lookups!$A$55:$D$64,3))/(VLOOKUP($C859,Lookups!$A$55:$D$64,4))*VLOOKUP($C859,Lookups!$C$2:$D$11,2))),0)&lt;1,1,IF(ROUND(10.499-(((N859-VLOOKUP($C859,Lookups!$A$55:$D$64,3))/(VLOOKUP($C859,Lookups!$A$55:$D$64,4))*VLOOKUP($C859,Lookups!$C$2:$D$11,2))),0)&lt;11,ROUND(10.499-(((N859-VLOOKUP($C859,Lookups!$A$55:$D$64,3))/(VLOOKUP($C859,Lookups!$A$55:$D$64,4))*VLOOKUP($C859,Lookups!$C$2:$D$11,2))),0),10))</f>
        <v>#N/A</v>
      </c>
      <c r="P859" s="13" t="str">
        <f>IF((SUM(F859:M859)=0),"J",VLOOKUP(O859,Lookups!$A$1:$B$11,2))</f>
        <v>J</v>
      </c>
      <c r="Q859" s="8" t="e">
        <f>VLOOKUP(C859,Lookups!$A$136:$C$144,3)</f>
        <v>#N/A</v>
      </c>
      <c r="R859" s="8" t="e">
        <f>VLOOKUP(C859,Lookups!$A$136:$C$144,2)</f>
        <v>#N/A</v>
      </c>
      <c r="S859" s="4" t="str">
        <f t="shared" si="72"/>
        <v>No</v>
      </c>
      <c r="T859" s="125">
        <f t="shared" si="73"/>
        <v>0</v>
      </c>
      <c r="U859" s="125">
        <f t="shared" si="74"/>
        <v>0</v>
      </c>
      <c r="V859" s="4" t="e">
        <f>IF($Q859&lt;&gt;3,VLOOKUP(F859,'Points Table A'!B$3:$F$33,5),VLOOKUP(F859,'Points Table A'!H$3:$L$33,5))</f>
        <v>#N/A</v>
      </c>
      <c r="W859" s="4" t="e">
        <f>IF($Q859&lt;&gt;3,VLOOKUP(G859,'Points Table A'!C$3:$F$33,4),VLOOKUP(G859,'Points Table A'!I$3:$L$33,4))</f>
        <v>#N/A</v>
      </c>
      <c r="X859" s="4" t="e">
        <f>IF($Q859&lt;&gt;3,VLOOKUP(H859,'Points Table A'!D$3:$F$28,3),VLOOKUP(H859,'Points Table A'!J$3:$L$33,3))</f>
        <v>#N/A</v>
      </c>
      <c r="Y859" s="4" t="e">
        <f>IF($Q859&lt;&gt;3,VLOOKUP(I859,'Points Table A'!E$3:$F$33,2),VLOOKUP(I859,'Points Table A'!K$3:$L$33,2))</f>
        <v>#N/A</v>
      </c>
      <c r="Z859" s="4" t="e">
        <f t="shared" si="75"/>
        <v>#N/A</v>
      </c>
      <c r="AA859" s="4">
        <f>IF($S859=Lookups!$B$113,VLOOKUP(L859,'Points Table C'!A$3:$E$11,5),VLOOKUP(U859,'Points Table C'!B$3:$E$11,4))</f>
        <v>0</v>
      </c>
      <c r="AB859" s="4" t="e">
        <f>IF($Q859=1,0,VLOOKUP($J859,'Points Table C'!$C$3:$E$18,3))</f>
        <v>#N/A</v>
      </c>
      <c r="AC859" s="4">
        <f>VLOOKUP($K859,'Points Table C'!$D$3:$E$18,2)</f>
        <v>0</v>
      </c>
      <c r="AD859" s="4" t="e">
        <f>IF($Z859&lt;Lookups!$C$106,($AA859+AB859+AC859),IF($AA859&gt;=Lookups!$C$120,($AA859+AB859+AC859),$AA859+$AB859))</f>
        <v>#N/A</v>
      </c>
      <c r="AF859" s="7"/>
      <c r="AG859" s="7"/>
      <c r="AH859" s="7"/>
      <c r="AI859" s="7"/>
      <c r="AJ859" s="7"/>
      <c r="AK859" s="7"/>
      <c r="AL859" s="7"/>
      <c r="AM859" s="7"/>
      <c r="AN859" s="7"/>
      <c r="AO859" s="7"/>
      <c r="AP859" s="7"/>
      <c r="AQ859" s="7"/>
      <c r="AR859" s="7"/>
      <c r="AS859" s="7"/>
      <c r="AT859" s="7"/>
      <c r="AU859" s="7"/>
      <c r="AV859" s="7"/>
      <c r="AW859" s="7"/>
      <c r="AY859" s="7"/>
      <c r="AZ859" s="7"/>
      <c r="BA859" s="7"/>
      <c r="BB859" s="7"/>
    </row>
    <row r="860" spans="2:54" x14ac:dyDescent="0.2">
      <c r="B860" s="174"/>
      <c r="C860" s="176"/>
      <c r="F860" s="5">
        <v>0</v>
      </c>
      <c r="G860" s="192">
        <v>0</v>
      </c>
      <c r="H860" s="192">
        <v>0</v>
      </c>
      <c r="I860" s="5">
        <v>0</v>
      </c>
      <c r="J860" s="192">
        <v>0</v>
      </c>
      <c r="K860" s="192">
        <v>0</v>
      </c>
      <c r="L860" s="5">
        <v>0</v>
      </c>
      <c r="M860" s="5">
        <v>0</v>
      </c>
      <c r="N860" s="4" t="e">
        <f t="shared" si="71"/>
        <v>#N/A</v>
      </c>
      <c r="O860" s="4" t="e">
        <f>IF(ROUND(10.499-(((N860-VLOOKUP($C860,Lookups!$A$55:$D$64,3))/(VLOOKUP($C860,Lookups!$A$55:$D$64,4))*VLOOKUP($C860,Lookups!$C$2:$D$11,2))),0)&lt;1,1,IF(ROUND(10.499-(((N860-VLOOKUP($C860,Lookups!$A$55:$D$64,3))/(VLOOKUP($C860,Lookups!$A$55:$D$64,4))*VLOOKUP($C860,Lookups!$C$2:$D$11,2))),0)&lt;11,ROUND(10.499-(((N860-VLOOKUP($C860,Lookups!$A$55:$D$64,3))/(VLOOKUP($C860,Lookups!$A$55:$D$64,4))*VLOOKUP($C860,Lookups!$C$2:$D$11,2))),0),10))</f>
        <v>#N/A</v>
      </c>
      <c r="P860" s="13" t="str">
        <f>IF((SUM(F860:M860)=0),"J",VLOOKUP(O860,Lookups!$A$1:$B$11,2))</f>
        <v>J</v>
      </c>
      <c r="Q860" s="8" t="e">
        <f>VLOOKUP(C860,Lookups!$A$136:$C$144,3)</f>
        <v>#N/A</v>
      </c>
      <c r="R860" s="8" t="e">
        <f>VLOOKUP(C860,Lookups!$A$136:$C$144,2)</f>
        <v>#N/A</v>
      </c>
      <c r="S860" s="4" t="str">
        <f t="shared" si="72"/>
        <v>No</v>
      </c>
      <c r="T860" s="125">
        <f t="shared" si="73"/>
        <v>0</v>
      </c>
      <c r="U860" s="125">
        <f t="shared" si="74"/>
        <v>0</v>
      </c>
      <c r="V860" s="4" t="e">
        <f>IF($Q860&lt;&gt;3,VLOOKUP(F860,'Points Table A'!B$3:$F$33,5),VLOOKUP(F860,'Points Table A'!H$3:$L$33,5))</f>
        <v>#N/A</v>
      </c>
      <c r="W860" s="4" t="e">
        <f>IF($Q860&lt;&gt;3,VLOOKUP(G860,'Points Table A'!C$3:$F$33,4),VLOOKUP(G860,'Points Table A'!I$3:$L$33,4))</f>
        <v>#N/A</v>
      </c>
      <c r="X860" s="4" t="e">
        <f>IF($Q860&lt;&gt;3,VLOOKUP(H860,'Points Table A'!D$3:$F$28,3),VLOOKUP(H860,'Points Table A'!J$3:$L$33,3))</f>
        <v>#N/A</v>
      </c>
      <c r="Y860" s="4" t="e">
        <f>IF($Q860&lt;&gt;3,VLOOKUP(I860,'Points Table A'!E$3:$F$33,2),VLOOKUP(I860,'Points Table A'!K$3:$L$33,2))</f>
        <v>#N/A</v>
      </c>
      <c r="Z860" s="4" t="e">
        <f t="shared" si="75"/>
        <v>#N/A</v>
      </c>
      <c r="AA860" s="4">
        <f>IF($S860=Lookups!$B$113,VLOOKUP(L860,'Points Table C'!A$3:$E$11,5),VLOOKUP(U860,'Points Table C'!B$3:$E$11,4))</f>
        <v>0</v>
      </c>
      <c r="AB860" s="4" t="e">
        <f>IF($Q860=1,0,VLOOKUP($J860,'Points Table C'!$C$3:$E$18,3))</f>
        <v>#N/A</v>
      </c>
      <c r="AC860" s="4">
        <f>VLOOKUP($K860,'Points Table C'!$D$3:$E$18,2)</f>
        <v>0</v>
      </c>
      <c r="AD860" s="4" t="e">
        <f>IF($Z860&lt;Lookups!$C$106,($AA860+AB860+AC860),IF($AA860&gt;=Lookups!$C$120,($AA860+AB860+AC860),$AA860+$AB860))</f>
        <v>#N/A</v>
      </c>
      <c r="AF860" s="7"/>
      <c r="AG860" s="7"/>
      <c r="AH860" s="7"/>
      <c r="AI860" s="7"/>
      <c r="AJ860" s="7"/>
      <c r="AK860" s="7"/>
      <c r="AL860" s="7"/>
      <c r="AM860" s="7"/>
      <c r="AN860" s="7"/>
      <c r="AO860" s="7"/>
      <c r="AP860" s="7"/>
      <c r="AQ860" s="7"/>
      <c r="AR860" s="7"/>
      <c r="AS860" s="7"/>
      <c r="AT860" s="7"/>
      <c r="AU860" s="7"/>
      <c r="AV860" s="7"/>
      <c r="AW860" s="7"/>
      <c r="AY860" s="7"/>
      <c r="AZ860" s="7"/>
      <c r="BA860" s="7"/>
      <c r="BB860" s="7"/>
    </row>
    <row r="861" spans="2:54" x14ac:dyDescent="0.2">
      <c r="B861" s="174"/>
      <c r="C861" s="176"/>
      <c r="F861" s="5">
        <v>0</v>
      </c>
      <c r="G861" s="192">
        <v>0</v>
      </c>
      <c r="H861" s="192">
        <v>0</v>
      </c>
      <c r="I861" s="5">
        <v>0</v>
      </c>
      <c r="J861" s="192">
        <v>0</v>
      </c>
      <c r="K861" s="192">
        <v>0</v>
      </c>
      <c r="L861" s="5">
        <v>0</v>
      </c>
      <c r="M861" s="5">
        <v>0</v>
      </c>
      <c r="N861" s="4" t="e">
        <f t="shared" si="71"/>
        <v>#N/A</v>
      </c>
      <c r="O861" s="4" t="e">
        <f>IF(ROUND(10.499-(((N861-VLOOKUP($C861,Lookups!$A$55:$D$64,3))/(VLOOKUP($C861,Lookups!$A$55:$D$64,4))*VLOOKUP($C861,Lookups!$C$2:$D$11,2))),0)&lt;1,1,IF(ROUND(10.499-(((N861-VLOOKUP($C861,Lookups!$A$55:$D$64,3))/(VLOOKUP($C861,Lookups!$A$55:$D$64,4))*VLOOKUP($C861,Lookups!$C$2:$D$11,2))),0)&lt;11,ROUND(10.499-(((N861-VLOOKUP($C861,Lookups!$A$55:$D$64,3))/(VLOOKUP($C861,Lookups!$A$55:$D$64,4))*VLOOKUP($C861,Lookups!$C$2:$D$11,2))),0),10))</f>
        <v>#N/A</v>
      </c>
      <c r="P861" s="13" t="str">
        <f>IF((SUM(F861:M861)=0),"J",VLOOKUP(O861,Lookups!$A$1:$B$11,2))</f>
        <v>J</v>
      </c>
      <c r="Q861" s="8" t="e">
        <f>VLOOKUP(C861,Lookups!$A$136:$C$144,3)</f>
        <v>#N/A</v>
      </c>
      <c r="R861" s="8" t="e">
        <f>VLOOKUP(C861,Lookups!$A$136:$C$144,2)</f>
        <v>#N/A</v>
      </c>
      <c r="S861" s="4" t="str">
        <f t="shared" si="72"/>
        <v>No</v>
      </c>
      <c r="T861" s="125">
        <f t="shared" si="73"/>
        <v>0</v>
      </c>
      <c r="U861" s="125">
        <f t="shared" si="74"/>
        <v>0</v>
      </c>
      <c r="V861" s="4" t="e">
        <f>IF($Q861&lt;&gt;3,VLOOKUP(F861,'Points Table A'!B$3:$F$33,5),VLOOKUP(F861,'Points Table A'!H$3:$L$33,5))</f>
        <v>#N/A</v>
      </c>
      <c r="W861" s="4" t="e">
        <f>IF($Q861&lt;&gt;3,VLOOKUP(G861,'Points Table A'!C$3:$F$33,4),VLOOKUP(G861,'Points Table A'!I$3:$L$33,4))</f>
        <v>#N/A</v>
      </c>
      <c r="X861" s="4" t="e">
        <f>IF($Q861&lt;&gt;3,VLOOKUP(H861,'Points Table A'!D$3:$F$28,3),VLOOKUP(H861,'Points Table A'!J$3:$L$33,3))</f>
        <v>#N/A</v>
      </c>
      <c r="Y861" s="4" t="e">
        <f>IF($Q861&lt;&gt;3,VLOOKUP(I861,'Points Table A'!E$3:$F$33,2),VLOOKUP(I861,'Points Table A'!K$3:$L$33,2))</f>
        <v>#N/A</v>
      </c>
      <c r="Z861" s="4" t="e">
        <f t="shared" si="75"/>
        <v>#N/A</v>
      </c>
      <c r="AA861" s="4">
        <f>IF($S861=Lookups!$B$113,VLOOKUP(L861,'Points Table C'!A$3:$E$11,5),VLOOKUP(U861,'Points Table C'!B$3:$E$11,4))</f>
        <v>0</v>
      </c>
      <c r="AB861" s="4" t="e">
        <f>IF($Q861=1,0,VLOOKUP($J861,'Points Table C'!$C$3:$E$18,3))</f>
        <v>#N/A</v>
      </c>
      <c r="AC861" s="4">
        <f>VLOOKUP($K861,'Points Table C'!$D$3:$E$18,2)</f>
        <v>0</v>
      </c>
      <c r="AD861" s="4" t="e">
        <f>IF($Z861&lt;Lookups!$C$106,($AA861+AB861+AC861),IF($AA861&gt;=Lookups!$C$120,($AA861+AB861+AC861),$AA861+$AB861))</f>
        <v>#N/A</v>
      </c>
      <c r="AF861" s="7"/>
      <c r="AG861" s="7"/>
      <c r="AH861" s="7"/>
      <c r="AI861" s="7"/>
      <c r="AJ861" s="7"/>
      <c r="AK861" s="7"/>
      <c r="AL861" s="7"/>
      <c r="AM861" s="7"/>
      <c r="AN861" s="7"/>
      <c r="AO861" s="7"/>
      <c r="AP861" s="7"/>
      <c r="AQ861" s="7"/>
      <c r="AR861" s="7"/>
      <c r="AS861" s="7"/>
      <c r="AT861" s="7"/>
      <c r="AU861" s="7"/>
      <c r="AV861" s="7"/>
      <c r="AW861" s="7"/>
      <c r="AY861" s="7"/>
      <c r="AZ861" s="7"/>
      <c r="BA861" s="7"/>
      <c r="BB861" s="7"/>
    </row>
    <row r="862" spans="2:54" x14ac:dyDescent="0.2">
      <c r="B862" s="174"/>
      <c r="C862" s="176"/>
      <c r="F862" s="5">
        <v>0</v>
      </c>
      <c r="G862" s="192">
        <v>0</v>
      </c>
      <c r="H862" s="192">
        <v>0</v>
      </c>
      <c r="I862" s="5">
        <v>0</v>
      </c>
      <c r="J862" s="192">
        <v>0</v>
      </c>
      <c r="K862" s="192">
        <v>0</v>
      </c>
      <c r="L862" s="5">
        <v>0</v>
      </c>
      <c r="M862" s="5">
        <v>0</v>
      </c>
      <c r="N862" s="4" t="e">
        <f t="shared" si="71"/>
        <v>#N/A</v>
      </c>
      <c r="O862" s="4" t="e">
        <f>IF(ROUND(10.499-(((N862-VLOOKUP($C862,Lookups!$A$55:$D$64,3))/(VLOOKUP($C862,Lookups!$A$55:$D$64,4))*VLOOKUP($C862,Lookups!$C$2:$D$11,2))),0)&lt;1,1,IF(ROUND(10.499-(((N862-VLOOKUP($C862,Lookups!$A$55:$D$64,3))/(VLOOKUP($C862,Lookups!$A$55:$D$64,4))*VLOOKUP($C862,Lookups!$C$2:$D$11,2))),0)&lt;11,ROUND(10.499-(((N862-VLOOKUP($C862,Lookups!$A$55:$D$64,3))/(VLOOKUP($C862,Lookups!$A$55:$D$64,4))*VLOOKUP($C862,Lookups!$C$2:$D$11,2))),0),10))</f>
        <v>#N/A</v>
      </c>
      <c r="P862" s="13" t="str">
        <f>IF((SUM(F862:M862)=0),"J",VLOOKUP(O862,Lookups!$A$1:$B$11,2))</f>
        <v>J</v>
      </c>
      <c r="Q862" s="8" t="e">
        <f>VLOOKUP(C862,Lookups!$A$136:$C$144,3)</f>
        <v>#N/A</v>
      </c>
      <c r="R862" s="8" t="e">
        <f>VLOOKUP(C862,Lookups!$A$136:$C$144,2)</f>
        <v>#N/A</v>
      </c>
      <c r="S862" s="4" t="str">
        <f t="shared" si="72"/>
        <v>No</v>
      </c>
      <c r="T862" s="125">
        <f t="shared" si="73"/>
        <v>0</v>
      </c>
      <c r="U862" s="125">
        <f t="shared" si="74"/>
        <v>0</v>
      </c>
      <c r="V862" s="4" t="e">
        <f>IF($Q862&lt;&gt;3,VLOOKUP(F862,'Points Table A'!B$3:$F$33,5),VLOOKUP(F862,'Points Table A'!H$3:$L$33,5))</f>
        <v>#N/A</v>
      </c>
      <c r="W862" s="4" t="e">
        <f>IF($Q862&lt;&gt;3,VLOOKUP(G862,'Points Table A'!C$3:$F$33,4),VLOOKUP(G862,'Points Table A'!I$3:$L$33,4))</f>
        <v>#N/A</v>
      </c>
      <c r="X862" s="4" t="e">
        <f>IF($Q862&lt;&gt;3,VLOOKUP(H862,'Points Table A'!D$3:$F$28,3),VLOOKUP(H862,'Points Table A'!J$3:$L$33,3))</f>
        <v>#N/A</v>
      </c>
      <c r="Y862" s="4" t="e">
        <f>IF($Q862&lt;&gt;3,VLOOKUP(I862,'Points Table A'!E$3:$F$33,2),VLOOKUP(I862,'Points Table A'!K$3:$L$33,2))</f>
        <v>#N/A</v>
      </c>
      <c r="Z862" s="4" t="e">
        <f t="shared" si="75"/>
        <v>#N/A</v>
      </c>
      <c r="AA862" s="4">
        <f>IF($S862=Lookups!$B$113,VLOOKUP(L862,'Points Table C'!A$3:$E$11,5),VLOOKUP(U862,'Points Table C'!B$3:$E$11,4))</f>
        <v>0</v>
      </c>
      <c r="AB862" s="4" t="e">
        <f>IF($Q862=1,0,VLOOKUP($J862,'Points Table C'!$C$3:$E$18,3))</f>
        <v>#N/A</v>
      </c>
      <c r="AC862" s="4">
        <f>VLOOKUP($K862,'Points Table C'!$D$3:$E$18,2)</f>
        <v>0</v>
      </c>
      <c r="AD862" s="4" t="e">
        <f>IF($Z862&lt;Lookups!$C$106,($AA862+AB862+AC862),IF($AA862&gt;=Lookups!$C$120,($AA862+AB862+AC862),$AA862+$AB862))</f>
        <v>#N/A</v>
      </c>
      <c r="AF862" s="7"/>
      <c r="AG862" s="7"/>
      <c r="AH862" s="7"/>
      <c r="AI862" s="7"/>
      <c r="AJ862" s="7"/>
      <c r="AK862" s="7"/>
      <c r="AL862" s="7"/>
      <c r="AM862" s="7"/>
      <c r="AN862" s="7"/>
      <c r="AO862" s="7"/>
      <c r="AP862" s="7"/>
      <c r="AQ862" s="7"/>
      <c r="AR862" s="7"/>
      <c r="AS862" s="7"/>
      <c r="AT862" s="7"/>
      <c r="AU862" s="7"/>
      <c r="AV862" s="7"/>
      <c r="AW862" s="7"/>
      <c r="AY862" s="7"/>
      <c r="AZ862" s="7"/>
      <c r="BA862" s="7"/>
      <c r="BB862" s="7"/>
    </row>
    <row r="863" spans="2:54" x14ac:dyDescent="0.2">
      <c r="B863" s="174"/>
      <c r="C863" s="176"/>
      <c r="F863" s="5">
        <v>0</v>
      </c>
      <c r="G863" s="192">
        <v>0</v>
      </c>
      <c r="H863" s="192">
        <v>0</v>
      </c>
      <c r="I863" s="5">
        <v>0</v>
      </c>
      <c r="J863" s="192">
        <v>0</v>
      </c>
      <c r="K863" s="192">
        <v>0</v>
      </c>
      <c r="L863" s="5">
        <v>0</v>
      </c>
      <c r="M863" s="5">
        <v>0</v>
      </c>
      <c r="N863" s="4" t="e">
        <f t="shared" si="71"/>
        <v>#N/A</v>
      </c>
      <c r="O863" s="4" t="e">
        <f>IF(ROUND(10.499-(((N863-VLOOKUP($C863,Lookups!$A$55:$D$64,3))/(VLOOKUP($C863,Lookups!$A$55:$D$64,4))*VLOOKUP($C863,Lookups!$C$2:$D$11,2))),0)&lt;1,1,IF(ROUND(10.499-(((N863-VLOOKUP($C863,Lookups!$A$55:$D$64,3))/(VLOOKUP($C863,Lookups!$A$55:$D$64,4))*VLOOKUP($C863,Lookups!$C$2:$D$11,2))),0)&lt;11,ROUND(10.499-(((N863-VLOOKUP($C863,Lookups!$A$55:$D$64,3))/(VLOOKUP($C863,Lookups!$A$55:$D$64,4))*VLOOKUP($C863,Lookups!$C$2:$D$11,2))),0),10))</f>
        <v>#N/A</v>
      </c>
      <c r="P863" s="13" t="str">
        <f>IF((SUM(F863:M863)=0),"J",VLOOKUP(O863,Lookups!$A$1:$B$11,2))</f>
        <v>J</v>
      </c>
      <c r="Q863" s="8" t="e">
        <f>VLOOKUP(C863,Lookups!$A$136:$C$144,3)</f>
        <v>#N/A</v>
      </c>
      <c r="R863" s="8" t="e">
        <f>VLOOKUP(C863,Lookups!$A$136:$C$144,2)</f>
        <v>#N/A</v>
      </c>
      <c r="S863" s="4" t="str">
        <f t="shared" si="72"/>
        <v>No</v>
      </c>
      <c r="T863" s="125">
        <f t="shared" si="73"/>
        <v>0</v>
      </c>
      <c r="U863" s="125">
        <f t="shared" si="74"/>
        <v>0</v>
      </c>
      <c r="V863" s="4" t="e">
        <f>IF($Q863&lt;&gt;3,VLOOKUP(F863,'Points Table A'!B$3:$F$33,5),VLOOKUP(F863,'Points Table A'!H$3:$L$33,5))</f>
        <v>#N/A</v>
      </c>
      <c r="W863" s="4" t="e">
        <f>IF($Q863&lt;&gt;3,VLOOKUP(G863,'Points Table A'!C$3:$F$33,4),VLOOKUP(G863,'Points Table A'!I$3:$L$33,4))</f>
        <v>#N/A</v>
      </c>
      <c r="X863" s="4" t="e">
        <f>IF($Q863&lt;&gt;3,VLOOKUP(H863,'Points Table A'!D$3:$F$28,3),VLOOKUP(H863,'Points Table A'!J$3:$L$33,3))</f>
        <v>#N/A</v>
      </c>
      <c r="Y863" s="4" t="e">
        <f>IF($Q863&lt;&gt;3,VLOOKUP(I863,'Points Table A'!E$3:$F$33,2),VLOOKUP(I863,'Points Table A'!K$3:$L$33,2))</f>
        <v>#N/A</v>
      </c>
      <c r="Z863" s="4" t="e">
        <f t="shared" si="75"/>
        <v>#N/A</v>
      </c>
      <c r="AA863" s="4">
        <f>IF($S863=Lookups!$B$113,VLOOKUP(L863,'Points Table C'!A$3:$E$11,5),VLOOKUP(U863,'Points Table C'!B$3:$E$11,4))</f>
        <v>0</v>
      </c>
      <c r="AB863" s="4" t="e">
        <f>IF($Q863=1,0,VLOOKUP($J863,'Points Table C'!$C$3:$E$18,3))</f>
        <v>#N/A</v>
      </c>
      <c r="AC863" s="4">
        <f>VLOOKUP($K863,'Points Table C'!$D$3:$E$18,2)</f>
        <v>0</v>
      </c>
      <c r="AD863" s="4" t="e">
        <f>IF($Z863&lt;Lookups!$C$106,($AA863+AB863+AC863),IF($AA863&gt;=Lookups!$C$120,($AA863+AB863+AC863),$AA863+$AB863))</f>
        <v>#N/A</v>
      </c>
      <c r="AF863" s="7"/>
      <c r="AG863" s="7"/>
      <c r="AH863" s="7"/>
      <c r="AI863" s="7"/>
      <c r="AJ863" s="7"/>
      <c r="AK863" s="7"/>
      <c r="AL863" s="7"/>
      <c r="AM863" s="7"/>
      <c r="AN863" s="7"/>
      <c r="AO863" s="7"/>
      <c r="AP863" s="7"/>
      <c r="AQ863" s="7"/>
      <c r="AR863" s="7"/>
      <c r="AS863" s="7"/>
      <c r="AT863" s="7"/>
      <c r="AU863" s="7"/>
      <c r="AV863" s="7"/>
      <c r="AW863" s="7"/>
      <c r="AY863" s="7"/>
      <c r="AZ863" s="7"/>
      <c r="BA863" s="7"/>
      <c r="BB863" s="7"/>
    </row>
    <row r="864" spans="2:54" x14ac:dyDescent="0.2">
      <c r="B864" s="174"/>
      <c r="C864" s="176"/>
      <c r="F864" s="5">
        <v>0</v>
      </c>
      <c r="G864" s="192">
        <v>0</v>
      </c>
      <c r="H864" s="192">
        <v>0</v>
      </c>
      <c r="I864" s="5">
        <v>0</v>
      </c>
      <c r="J864" s="192">
        <v>0</v>
      </c>
      <c r="K864" s="192">
        <v>0</v>
      </c>
      <c r="L864" s="5">
        <v>0</v>
      </c>
      <c r="M864" s="5">
        <v>0</v>
      </c>
      <c r="N864" s="4" t="e">
        <f t="shared" si="71"/>
        <v>#N/A</v>
      </c>
      <c r="O864" s="4" t="e">
        <f>IF(ROUND(10.499-(((N864-VLOOKUP($C864,Lookups!$A$55:$D$64,3))/(VLOOKUP($C864,Lookups!$A$55:$D$64,4))*VLOOKUP($C864,Lookups!$C$2:$D$11,2))),0)&lt;1,1,IF(ROUND(10.499-(((N864-VLOOKUP($C864,Lookups!$A$55:$D$64,3))/(VLOOKUP($C864,Lookups!$A$55:$D$64,4))*VLOOKUP($C864,Lookups!$C$2:$D$11,2))),0)&lt;11,ROUND(10.499-(((N864-VLOOKUP($C864,Lookups!$A$55:$D$64,3))/(VLOOKUP($C864,Lookups!$A$55:$D$64,4))*VLOOKUP($C864,Lookups!$C$2:$D$11,2))),0),10))</f>
        <v>#N/A</v>
      </c>
      <c r="P864" s="13" t="str">
        <f>IF((SUM(F864:M864)=0),"J",VLOOKUP(O864,Lookups!$A$1:$B$11,2))</f>
        <v>J</v>
      </c>
      <c r="Q864" s="8" t="e">
        <f>VLOOKUP(C864,Lookups!$A$136:$C$144,3)</f>
        <v>#N/A</v>
      </c>
      <c r="R864" s="8" t="e">
        <f>VLOOKUP(C864,Lookups!$A$136:$C$144,2)</f>
        <v>#N/A</v>
      </c>
      <c r="S864" s="4" t="str">
        <f t="shared" si="72"/>
        <v>No</v>
      </c>
      <c r="T864" s="125">
        <f t="shared" si="73"/>
        <v>0</v>
      </c>
      <c r="U864" s="125">
        <f t="shared" si="74"/>
        <v>0</v>
      </c>
      <c r="V864" s="4" t="e">
        <f>IF($Q864&lt;&gt;3,VLOOKUP(F864,'Points Table A'!B$3:$F$33,5),VLOOKUP(F864,'Points Table A'!H$3:$L$33,5))</f>
        <v>#N/A</v>
      </c>
      <c r="W864" s="4" t="e">
        <f>IF($Q864&lt;&gt;3,VLOOKUP(G864,'Points Table A'!C$3:$F$33,4),VLOOKUP(G864,'Points Table A'!I$3:$L$33,4))</f>
        <v>#N/A</v>
      </c>
      <c r="X864" s="4" t="e">
        <f>IF($Q864&lt;&gt;3,VLOOKUP(H864,'Points Table A'!D$3:$F$28,3),VLOOKUP(H864,'Points Table A'!J$3:$L$33,3))</f>
        <v>#N/A</v>
      </c>
      <c r="Y864" s="4" t="e">
        <f>IF($Q864&lt;&gt;3,VLOOKUP(I864,'Points Table A'!E$3:$F$33,2),VLOOKUP(I864,'Points Table A'!K$3:$L$33,2))</f>
        <v>#N/A</v>
      </c>
      <c r="Z864" s="4" t="e">
        <f t="shared" si="75"/>
        <v>#N/A</v>
      </c>
      <c r="AA864" s="4">
        <f>IF($S864=Lookups!$B$113,VLOOKUP(L864,'Points Table C'!A$3:$E$11,5),VLOOKUP(U864,'Points Table C'!B$3:$E$11,4))</f>
        <v>0</v>
      </c>
      <c r="AB864" s="4" t="e">
        <f>IF($Q864=1,0,VLOOKUP($J864,'Points Table C'!$C$3:$E$18,3))</f>
        <v>#N/A</v>
      </c>
      <c r="AC864" s="4">
        <f>VLOOKUP($K864,'Points Table C'!$D$3:$E$18,2)</f>
        <v>0</v>
      </c>
      <c r="AD864" s="4" t="e">
        <f>IF($Z864&lt;Lookups!$C$106,($AA864+AB864+AC864),IF($AA864&gt;=Lookups!$C$120,($AA864+AB864+AC864),$AA864+$AB864))</f>
        <v>#N/A</v>
      </c>
      <c r="AF864" s="7"/>
      <c r="AG864" s="7"/>
      <c r="AH864" s="7"/>
      <c r="AI864" s="7"/>
      <c r="AJ864" s="7"/>
      <c r="AK864" s="7"/>
      <c r="AL864" s="7"/>
      <c r="AM864" s="7"/>
      <c r="AN864" s="7"/>
      <c r="AO864" s="7"/>
      <c r="AP864" s="7"/>
      <c r="AQ864" s="7"/>
      <c r="AR864" s="7"/>
      <c r="AS864" s="7"/>
      <c r="AT864" s="7"/>
      <c r="AU864" s="7"/>
      <c r="AV864" s="7"/>
      <c r="AW864" s="7"/>
      <c r="AY864" s="7"/>
      <c r="AZ864" s="7"/>
      <c r="BA864" s="7"/>
      <c r="BB864" s="7"/>
    </row>
    <row r="865" spans="2:54" x14ac:dyDescent="0.2">
      <c r="B865" s="174"/>
      <c r="C865" s="176"/>
      <c r="F865" s="5">
        <v>0</v>
      </c>
      <c r="G865" s="192">
        <v>0</v>
      </c>
      <c r="H865" s="192">
        <v>0</v>
      </c>
      <c r="I865" s="5">
        <v>0</v>
      </c>
      <c r="J865" s="192">
        <v>0</v>
      </c>
      <c r="K865" s="192">
        <v>0</v>
      </c>
      <c r="L865" s="5">
        <v>0</v>
      </c>
      <c r="M865" s="5">
        <v>0</v>
      </c>
      <c r="N865" s="4" t="e">
        <f t="shared" si="71"/>
        <v>#N/A</v>
      </c>
      <c r="O865" s="4" t="e">
        <f>IF(ROUND(10.499-(((N865-VLOOKUP($C865,Lookups!$A$55:$D$64,3))/(VLOOKUP($C865,Lookups!$A$55:$D$64,4))*VLOOKUP($C865,Lookups!$C$2:$D$11,2))),0)&lt;1,1,IF(ROUND(10.499-(((N865-VLOOKUP($C865,Lookups!$A$55:$D$64,3))/(VLOOKUP($C865,Lookups!$A$55:$D$64,4))*VLOOKUP($C865,Lookups!$C$2:$D$11,2))),0)&lt;11,ROUND(10.499-(((N865-VLOOKUP($C865,Lookups!$A$55:$D$64,3))/(VLOOKUP($C865,Lookups!$A$55:$D$64,4))*VLOOKUP($C865,Lookups!$C$2:$D$11,2))),0),10))</f>
        <v>#N/A</v>
      </c>
      <c r="P865" s="13" t="str">
        <f>IF((SUM(F865:M865)=0),"J",VLOOKUP(O865,Lookups!$A$1:$B$11,2))</f>
        <v>J</v>
      </c>
      <c r="Q865" s="8" t="e">
        <f>VLOOKUP(C865,Lookups!$A$136:$C$144,3)</f>
        <v>#N/A</v>
      </c>
      <c r="R865" s="8" t="e">
        <f>VLOOKUP(C865,Lookups!$A$136:$C$144,2)</f>
        <v>#N/A</v>
      </c>
      <c r="S865" s="4" t="str">
        <f t="shared" si="72"/>
        <v>No</v>
      </c>
      <c r="T865" s="125">
        <f t="shared" si="73"/>
        <v>0</v>
      </c>
      <c r="U865" s="125">
        <f t="shared" si="74"/>
        <v>0</v>
      </c>
      <c r="V865" s="4" t="e">
        <f>IF($Q865&lt;&gt;3,VLOOKUP(F865,'Points Table A'!B$3:$F$33,5),VLOOKUP(F865,'Points Table A'!H$3:$L$33,5))</f>
        <v>#N/A</v>
      </c>
      <c r="W865" s="4" t="e">
        <f>IF($Q865&lt;&gt;3,VLOOKUP(G865,'Points Table A'!C$3:$F$33,4),VLOOKUP(G865,'Points Table A'!I$3:$L$33,4))</f>
        <v>#N/A</v>
      </c>
      <c r="X865" s="4" t="e">
        <f>IF($Q865&lt;&gt;3,VLOOKUP(H865,'Points Table A'!D$3:$F$28,3),VLOOKUP(H865,'Points Table A'!J$3:$L$33,3))</f>
        <v>#N/A</v>
      </c>
      <c r="Y865" s="4" t="e">
        <f>IF($Q865&lt;&gt;3,VLOOKUP(I865,'Points Table A'!E$3:$F$33,2),VLOOKUP(I865,'Points Table A'!K$3:$L$33,2))</f>
        <v>#N/A</v>
      </c>
      <c r="Z865" s="4" t="e">
        <f t="shared" si="75"/>
        <v>#N/A</v>
      </c>
      <c r="AA865" s="4">
        <f>IF($S865=Lookups!$B$113,VLOOKUP(L865,'Points Table C'!A$3:$E$11,5),VLOOKUP(U865,'Points Table C'!B$3:$E$11,4))</f>
        <v>0</v>
      </c>
      <c r="AB865" s="4" t="e">
        <f>IF($Q865=1,0,VLOOKUP($J865,'Points Table C'!$C$3:$E$18,3))</f>
        <v>#N/A</v>
      </c>
      <c r="AC865" s="4">
        <f>VLOOKUP($K865,'Points Table C'!$D$3:$E$18,2)</f>
        <v>0</v>
      </c>
      <c r="AD865" s="4" t="e">
        <f>IF($Z865&lt;Lookups!$C$106,($AA865+AB865+AC865),IF($AA865&gt;=Lookups!$C$120,($AA865+AB865+AC865),$AA865+$AB865))</f>
        <v>#N/A</v>
      </c>
      <c r="AF865" s="7"/>
      <c r="AG865" s="7"/>
      <c r="AH865" s="7"/>
      <c r="AI865" s="7"/>
      <c r="AJ865" s="7"/>
      <c r="AK865" s="7"/>
      <c r="AL865" s="7"/>
      <c r="AM865" s="7"/>
      <c r="AN865" s="7"/>
      <c r="AO865" s="7"/>
      <c r="AP865" s="7"/>
      <c r="AQ865" s="7"/>
      <c r="AR865" s="7"/>
      <c r="AS865" s="7"/>
      <c r="AT865" s="7"/>
      <c r="AU865" s="7"/>
      <c r="AV865" s="7"/>
      <c r="AW865" s="7"/>
      <c r="AY865" s="7"/>
      <c r="AZ865" s="7"/>
      <c r="BA865" s="7"/>
      <c r="BB865" s="7"/>
    </row>
    <row r="866" spans="2:54" x14ac:dyDescent="0.2">
      <c r="B866" s="174"/>
      <c r="C866" s="176"/>
      <c r="F866" s="5">
        <v>0</v>
      </c>
      <c r="G866" s="192">
        <v>0</v>
      </c>
      <c r="H866" s="192">
        <v>0</v>
      </c>
      <c r="I866" s="5">
        <v>0</v>
      </c>
      <c r="J866" s="192">
        <v>0</v>
      </c>
      <c r="K866" s="192">
        <v>0</v>
      </c>
      <c r="L866" s="5">
        <v>0</v>
      </c>
      <c r="M866" s="5">
        <v>0</v>
      </c>
      <c r="N866" s="4" t="e">
        <f t="shared" si="71"/>
        <v>#N/A</v>
      </c>
      <c r="O866" s="4" t="e">
        <f>IF(ROUND(10.499-(((N866-VLOOKUP($C866,Lookups!$A$55:$D$64,3))/(VLOOKUP($C866,Lookups!$A$55:$D$64,4))*VLOOKUP($C866,Lookups!$C$2:$D$11,2))),0)&lt;1,1,IF(ROUND(10.499-(((N866-VLOOKUP($C866,Lookups!$A$55:$D$64,3))/(VLOOKUP($C866,Lookups!$A$55:$D$64,4))*VLOOKUP($C866,Lookups!$C$2:$D$11,2))),0)&lt;11,ROUND(10.499-(((N866-VLOOKUP($C866,Lookups!$A$55:$D$64,3))/(VLOOKUP($C866,Lookups!$A$55:$D$64,4))*VLOOKUP($C866,Lookups!$C$2:$D$11,2))),0),10))</f>
        <v>#N/A</v>
      </c>
      <c r="P866" s="13" t="str">
        <f>IF((SUM(F866:M866)=0),"J",VLOOKUP(O866,Lookups!$A$1:$B$11,2))</f>
        <v>J</v>
      </c>
      <c r="Q866" s="8" t="e">
        <f>VLOOKUP(C866,Lookups!$A$136:$C$144,3)</f>
        <v>#N/A</v>
      </c>
      <c r="R866" s="8" t="e">
        <f>VLOOKUP(C866,Lookups!$A$136:$C$144,2)</f>
        <v>#N/A</v>
      </c>
      <c r="S866" s="4" t="str">
        <f t="shared" si="72"/>
        <v>No</v>
      </c>
      <c r="T866" s="125">
        <f t="shared" si="73"/>
        <v>0</v>
      </c>
      <c r="U866" s="125">
        <f t="shared" si="74"/>
        <v>0</v>
      </c>
      <c r="V866" s="4" t="e">
        <f>IF($Q866&lt;&gt;3,VLOOKUP(F866,'Points Table A'!B$3:$F$33,5),VLOOKUP(F866,'Points Table A'!H$3:$L$33,5))</f>
        <v>#N/A</v>
      </c>
      <c r="W866" s="4" t="e">
        <f>IF($Q866&lt;&gt;3,VLOOKUP(G866,'Points Table A'!C$3:$F$33,4),VLOOKUP(G866,'Points Table A'!I$3:$L$33,4))</f>
        <v>#N/A</v>
      </c>
      <c r="X866" s="4" t="e">
        <f>IF($Q866&lt;&gt;3,VLOOKUP(H866,'Points Table A'!D$3:$F$28,3),VLOOKUP(H866,'Points Table A'!J$3:$L$33,3))</f>
        <v>#N/A</v>
      </c>
      <c r="Y866" s="4" t="e">
        <f>IF($Q866&lt;&gt;3,VLOOKUP(I866,'Points Table A'!E$3:$F$33,2),VLOOKUP(I866,'Points Table A'!K$3:$L$33,2))</f>
        <v>#N/A</v>
      </c>
      <c r="Z866" s="4" t="e">
        <f t="shared" si="75"/>
        <v>#N/A</v>
      </c>
      <c r="AA866" s="4">
        <f>IF($S866=Lookups!$B$113,VLOOKUP(L866,'Points Table C'!A$3:$E$11,5),VLOOKUP(U866,'Points Table C'!B$3:$E$11,4))</f>
        <v>0</v>
      </c>
      <c r="AB866" s="4" t="e">
        <f>IF($Q866=1,0,VLOOKUP($J866,'Points Table C'!$C$3:$E$18,3))</f>
        <v>#N/A</v>
      </c>
      <c r="AC866" s="4">
        <f>VLOOKUP($K866,'Points Table C'!$D$3:$E$18,2)</f>
        <v>0</v>
      </c>
      <c r="AD866" s="4" t="e">
        <f>IF($Z866&lt;Lookups!$C$106,($AA866+AB866+AC866),IF($AA866&gt;=Lookups!$C$120,($AA866+AB866+AC866),$AA866+$AB866))</f>
        <v>#N/A</v>
      </c>
      <c r="AF866" s="7"/>
      <c r="AG866" s="7"/>
      <c r="AH866" s="7"/>
      <c r="AI866" s="7"/>
      <c r="AJ866" s="7"/>
      <c r="AK866" s="7"/>
      <c r="AL866" s="7"/>
      <c r="AM866" s="7"/>
      <c r="AN866" s="7"/>
      <c r="AO866" s="7"/>
      <c r="AP866" s="7"/>
      <c r="AQ866" s="7"/>
      <c r="AR866" s="7"/>
      <c r="AS866" s="7"/>
      <c r="AT866" s="7"/>
      <c r="AU866" s="7"/>
      <c r="AV866" s="7"/>
      <c r="AW866" s="7"/>
      <c r="AY866" s="7"/>
      <c r="AZ866" s="7"/>
      <c r="BA866" s="7"/>
      <c r="BB866" s="7"/>
    </row>
    <row r="867" spans="2:54" x14ac:dyDescent="0.2">
      <c r="B867" s="174"/>
      <c r="C867" s="176"/>
      <c r="F867" s="5">
        <v>0</v>
      </c>
      <c r="G867" s="192">
        <v>0</v>
      </c>
      <c r="H867" s="192">
        <v>0</v>
      </c>
      <c r="I867" s="5">
        <v>0</v>
      </c>
      <c r="J867" s="192">
        <v>0</v>
      </c>
      <c r="K867" s="192">
        <v>0</v>
      </c>
      <c r="L867" s="5">
        <v>0</v>
      </c>
      <c r="M867" s="5">
        <v>0</v>
      </c>
      <c r="N867" s="4" t="e">
        <f t="shared" si="71"/>
        <v>#N/A</v>
      </c>
      <c r="O867" s="4" t="e">
        <f>IF(ROUND(10.499-(((N867-VLOOKUP($C867,Lookups!$A$55:$D$64,3))/(VLOOKUP($C867,Lookups!$A$55:$D$64,4))*VLOOKUP($C867,Lookups!$C$2:$D$11,2))),0)&lt;1,1,IF(ROUND(10.499-(((N867-VLOOKUP($C867,Lookups!$A$55:$D$64,3))/(VLOOKUP($C867,Lookups!$A$55:$D$64,4))*VLOOKUP($C867,Lookups!$C$2:$D$11,2))),0)&lt;11,ROUND(10.499-(((N867-VLOOKUP($C867,Lookups!$A$55:$D$64,3))/(VLOOKUP($C867,Lookups!$A$55:$D$64,4))*VLOOKUP($C867,Lookups!$C$2:$D$11,2))),0),10))</f>
        <v>#N/A</v>
      </c>
      <c r="P867" s="13" t="str">
        <f>IF((SUM(F867:M867)=0),"J",VLOOKUP(O867,Lookups!$A$1:$B$11,2))</f>
        <v>J</v>
      </c>
      <c r="Q867" s="8" t="e">
        <f>VLOOKUP(C867,Lookups!$A$136:$C$144,3)</f>
        <v>#N/A</v>
      </c>
      <c r="R867" s="8" t="e">
        <f>VLOOKUP(C867,Lookups!$A$136:$C$144,2)</f>
        <v>#N/A</v>
      </c>
      <c r="S867" s="4" t="str">
        <f t="shared" si="72"/>
        <v>No</v>
      </c>
      <c r="T867" s="125">
        <f t="shared" si="73"/>
        <v>0</v>
      </c>
      <c r="U867" s="125">
        <f t="shared" si="74"/>
        <v>0</v>
      </c>
      <c r="V867" s="4" t="e">
        <f>IF($Q867&lt;&gt;3,VLOOKUP(F867,'Points Table A'!B$3:$F$33,5),VLOOKUP(F867,'Points Table A'!H$3:$L$33,5))</f>
        <v>#N/A</v>
      </c>
      <c r="W867" s="4" t="e">
        <f>IF($Q867&lt;&gt;3,VLOOKUP(G867,'Points Table A'!C$3:$F$33,4),VLOOKUP(G867,'Points Table A'!I$3:$L$33,4))</f>
        <v>#N/A</v>
      </c>
      <c r="X867" s="4" t="e">
        <f>IF($Q867&lt;&gt;3,VLOOKUP(H867,'Points Table A'!D$3:$F$28,3),VLOOKUP(H867,'Points Table A'!J$3:$L$33,3))</f>
        <v>#N/A</v>
      </c>
      <c r="Y867" s="4" t="e">
        <f>IF($Q867&lt;&gt;3,VLOOKUP(I867,'Points Table A'!E$3:$F$33,2),VLOOKUP(I867,'Points Table A'!K$3:$L$33,2))</f>
        <v>#N/A</v>
      </c>
      <c r="Z867" s="4" t="e">
        <f t="shared" si="75"/>
        <v>#N/A</v>
      </c>
      <c r="AA867" s="4">
        <f>IF($S867=Lookups!$B$113,VLOOKUP(L867,'Points Table C'!A$3:$E$11,5),VLOOKUP(U867,'Points Table C'!B$3:$E$11,4))</f>
        <v>0</v>
      </c>
      <c r="AB867" s="4" t="e">
        <f>IF($Q867=1,0,VLOOKUP($J867,'Points Table C'!$C$3:$E$18,3))</f>
        <v>#N/A</v>
      </c>
      <c r="AC867" s="4">
        <f>VLOOKUP($K867,'Points Table C'!$D$3:$E$18,2)</f>
        <v>0</v>
      </c>
      <c r="AD867" s="4" t="e">
        <f>IF($Z867&lt;Lookups!$C$106,($AA867+AB867+AC867),IF($AA867&gt;=Lookups!$C$120,($AA867+AB867+AC867),$AA867+$AB867))</f>
        <v>#N/A</v>
      </c>
      <c r="AF867" s="7"/>
      <c r="AG867" s="7"/>
      <c r="AH867" s="7"/>
      <c r="AI867" s="7"/>
      <c r="AJ867" s="7"/>
      <c r="AK867" s="7"/>
      <c r="AL867" s="7"/>
      <c r="AM867" s="7"/>
      <c r="AN867" s="7"/>
      <c r="AO867" s="7"/>
      <c r="AP867" s="7"/>
      <c r="AQ867" s="7"/>
      <c r="AR867" s="7"/>
      <c r="AS867" s="7"/>
      <c r="AT867" s="7"/>
      <c r="AU867" s="7"/>
      <c r="AV867" s="7"/>
      <c r="AW867" s="7"/>
      <c r="AY867" s="7"/>
      <c r="AZ867" s="7"/>
      <c r="BA867" s="7"/>
      <c r="BB867" s="7"/>
    </row>
    <row r="868" spans="2:54" x14ac:dyDescent="0.2">
      <c r="B868" s="174"/>
      <c r="C868" s="176"/>
      <c r="F868" s="5">
        <v>0</v>
      </c>
      <c r="G868" s="192">
        <v>0</v>
      </c>
      <c r="H868" s="192">
        <v>0</v>
      </c>
      <c r="I868" s="5">
        <v>0</v>
      </c>
      <c r="J868" s="192">
        <v>0</v>
      </c>
      <c r="K868" s="192">
        <v>0</v>
      </c>
      <c r="L868" s="5">
        <v>0</v>
      </c>
      <c r="M868" s="5">
        <v>0</v>
      </c>
      <c r="N868" s="4" t="e">
        <f t="shared" si="71"/>
        <v>#N/A</v>
      </c>
      <c r="O868" s="4" t="e">
        <f>IF(ROUND(10.499-(((N868-VLOOKUP($C868,Lookups!$A$55:$D$64,3))/(VLOOKUP($C868,Lookups!$A$55:$D$64,4))*VLOOKUP($C868,Lookups!$C$2:$D$11,2))),0)&lt;1,1,IF(ROUND(10.499-(((N868-VLOOKUP($C868,Lookups!$A$55:$D$64,3))/(VLOOKUP($C868,Lookups!$A$55:$D$64,4))*VLOOKUP($C868,Lookups!$C$2:$D$11,2))),0)&lt;11,ROUND(10.499-(((N868-VLOOKUP($C868,Lookups!$A$55:$D$64,3))/(VLOOKUP($C868,Lookups!$A$55:$D$64,4))*VLOOKUP($C868,Lookups!$C$2:$D$11,2))),0),10))</f>
        <v>#N/A</v>
      </c>
      <c r="P868" s="13" t="str">
        <f>IF((SUM(F868:M868)=0),"J",VLOOKUP(O868,Lookups!$A$1:$B$11,2))</f>
        <v>J</v>
      </c>
      <c r="Q868" s="8" t="e">
        <f>VLOOKUP(C868,Lookups!$A$136:$C$144,3)</f>
        <v>#N/A</v>
      </c>
      <c r="R868" s="8" t="e">
        <f>VLOOKUP(C868,Lookups!$A$136:$C$144,2)</f>
        <v>#N/A</v>
      </c>
      <c r="S868" s="4" t="str">
        <f t="shared" si="72"/>
        <v>No</v>
      </c>
      <c r="T868" s="125">
        <f t="shared" si="73"/>
        <v>0</v>
      </c>
      <c r="U868" s="125">
        <f t="shared" si="74"/>
        <v>0</v>
      </c>
      <c r="V868" s="4" t="e">
        <f>IF($Q868&lt;&gt;3,VLOOKUP(F868,'Points Table A'!B$3:$F$33,5),VLOOKUP(F868,'Points Table A'!H$3:$L$33,5))</f>
        <v>#N/A</v>
      </c>
      <c r="W868" s="4" t="e">
        <f>IF($Q868&lt;&gt;3,VLOOKUP(G868,'Points Table A'!C$3:$F$33,4),VLOOKUP(G868,'Points Table A'!I$3:$L$33,4))</f>
        <v>#N/A</v>
      </c>
      <c r="X868" s="4" t="e">
        <f>IF($Q868&lt;&gt;3,VLOOKUP(H868,'Points Table A'!D$3:$F$28,3),VLOOKUP(H868,'Points Table A'!J$3:$L$33,3))</f>
        <v>#N/A</v>
      </c>
      <c r="Y868" s="4" t="e">
        <f>IF($Q868&lt;&gt;3,VLOOKUP(I868,'Points Table A'!E$3:$F$33,2),VLOOKUP(I868,'Points Table A'!K$3:$L$33,2))</f>
        <v>#N/A</v>
      </c>
      <c r="Z868" s="4" t="e">
        <f t="shared" si="75"/>
        <v>#N/A</v>
      </c>
      <c r="AA868" s="4">
        <f>IF($S868=Lookups!$B$113,VLOOKUP(L868,'Points Table C'!A$3:$E$11,5),VLOOKUP(U868,'Points Table C'!B$3:$E$11,4))</f>
        <v>0</v>
      </c>
      <c r="AB868" s="4" t="e">
        <f>IF($Q868=1,0,VLOOKUP($J868,'Points Table C'!$C$3:$E$18,3))</f>
        <v>#N/A</v>
      </c>
      <c r="AC868" s="4">
        <f>VLOOKUP($K868,'Points Table C'!$D$3:$E$18,2)</f>
        <v>0</v>
      </c>
      <c r="AD868" s="4" t="e">
        <f>IF($Z868&lt;Lookups!$C$106,($AA868+AB868+AC868),IF($AA868&gt;=Lookups!$C$120,($AA868+AB868+AC868),$AA868+$AB868))</f>
        <v>#N/A</v>
      </c>
      <c r="AF868" s="7"/>
      <c r="AG868" s="7"/>
      <c r="AH868" s="7"/>
      <c r="AI868" s="7"/>
      <c r="AJ868" s="7"/>
      <c r="AK868" s="7"/>
      <c r="AL868" s="7"/>
      <c r="AM868" s="7"/>
      <c r="AN868" s="7"/>
      <c r="AO868" s="7"/>
      <c r="AP868" s="7"/>
      <c r="AQ868" s="7"/>
      <c r="AR868" s="7"/>
      <c r="AS868" s="7"/>
      <c r="AT868" s="7"/>
      <c r="AU868" s="7"/>
      <c r="AV868" s="7"/>
      <c r="AW868" s="7"/>
      <c r="AY868" s="7"/>
      <c r="AZ868" s="7"/>
      <c r="BA868" s="7"/>
      <c r="BB868" s="7"/>
    </row>
    <row r="869" spans="2:54" x14ac:dyDescent="0.2">
      <c r="B869" s="174"/>
      <c r="C869" s="176"/>
      <c r="F869" s="5">
        <v>0</v>
      </c>
      <c r="G869" s="192">
        <v>0</v>
      </c>
      <c r="H869" s="192">
        <v>0</v>
      </c>
      <c r="I869" s="5">
        <v>0</v>
      </c>
      <c r="J869" s="192">
        <v>0</v>
      </c>
      <c r="K869" s="192">
        <v>0</v>
      </c>
      <c r="L869" s="5">
        <v>0</v>
      </c>
      <c r="M869" s="5">
        <v>0</v>
      </c>
      <c r="N869" s="4" t="e">
        <f t="shared" si="71"/>
        <v>#N/A</v>
      </c>
      <c r="O869" s="4" t="e">
        <f>IF(ROUND(10.499-(((N869-VLOOKUP($C869,Lookups!$A$55:$D$64,3))/(VLOOKUP($C869,Lookups!$A$55:$D$64,4))*VLOOKUP($C869,Lookups!$C$2:$D$11,2))),0)&lt;1,1,IF(ROUND(10.499-(((N869-VLOOKUP($C869,Lookups!$A$55:$D$64,3))/(VLOOKUP($C869,Lookups!$A$55:$D$64,4))*VLOOKUP($C869,Lookups!$C$2:$D$11,2))),0)&lt;11,ROUND(10.499-(((N869-VLOOKUP($C869,Lookups!$A$55:$D$64,3))/(VLOOKUP($C869,Lookups!$A$55:$D$64,4))*VLOOKUP($C869,Lookups!$C$2:$D$11,2))),0),10))</f>
        <v>#N/A</v>
      </c>
      <c r="P869" s="13" t="str">
        <f>IF((SUM(F869:M869)=0),"J",VLOOKUP(O869,Lookups!$A$1:$B$11,2))</f>
        <v>J</v>
      </c>
      <c r="Q869" s="8" t="e">
        <f>VLOOKUP(C869,Lookups!$A$136:$C$144,3)</f>
        <v>#N/A</v>
      </c>
      <c r="R869" s="8" t="e">
        <f>VLOOKUP(C869,Lookups!$A$136:$C$144,2)</f>
        <v>#N/A</v>
      </c>
      <c r="S869" s="4" t="str">
        <f t="shared" si="72"/>
        <v>No</v>
      </c>
      <c r="T869" s="125">
        <f t="shared" si="73"/>
        <v>0</v>
      </c>
      <c r="U869" s="125">
        <f t="shared" si="74"/>
        <v>0</v>
      </c>
      <c r="V869" s="4" t="e">
        <f>IF($Q869&lt;&gt;3,VLOOKUP(F869,'Points Table A'!B$3:$F$33,5),VLOOKUP(F869,'Points Table A'!H$3:$L$33,5))</f>
        <v>#N/A</v>
      </c>
      <c r="W869" s="4" t="e">
        <f>IF($Q869&lt;&gt;3,VLOOKUP(G869,'Points Table A'!C$3:$F$33,4),VLOOKUP(G869,'Points Table A'!I$3:$L$33,4))</f>
        <v>#N/A</v>
      </c>
      <c r="X869" s="4" t="e">
        <f>IF($Q869&lt;&gt;3,VLOOKUP(H869,'Points Table A'!D$3:$F$28,3),VLOOKUP(H869,'Points Table A'!J$3:$L$33,3))</f>
        <v>#N/A</v>
      </c>
      <c r="Y869" s="4" t="e">
        <f>IF($Q869&lt;&gt;3,VLOOKUP(I869,'Points Table A'!E$3:$F$33,2),VLOOKUP(I869,'Points Table A'!K$3:$L$33,2))</f>
        <v>#N/A</v>
      </c>
      <c r="Z869" s="4" t="e">
        <f t="shared" si="75"/>
        <v>#N/A</v>
      </c>
      <c r="AA869" s="4">
        <f>IF($S869=Lookups!$B$113,VLOOKUP(L869,'Points Table C'!A$3:$E$11,5),VLOOKUP(U869,'Points Table C'!B$3:$E$11,4))</f>
        <v>0</v>
      </c>
      <c r="AB869" s="4" t="e">
        <f>IF($Q869=1,0,VLOOKUP($J869,'Points Table C'!$C$3:$E$18,3))</f>
        <v>#N/A</v>
      </c>
      <c r="AC869" s="4">
        <f>VLOOKUP($K869,'Points Table C'!$D$3:$E$18,2)</f>
        <v>0</v>
      </c>
      <c r="AD869" s="4" t="e">
        <f>IF($Z869&lt;Lookups!$C$106,($AA869+AB869+AC869),IF($AA869&gt;=Lookups!$C$120,($AA869+AB869+AC869),$AA869+$AB869))</f>
        <v>#N/A</v>
      </c>
      <c r="AF869" s="7"/>
      <c r="AG869" s="7"/>
      <c r="AH869" s="7"/>
      <c r="AI869" s="7"/>
      <c r="AJ869" s="7"/>
      <c r="AK869" s="7"/>
      <c r="AL869" s="7"/>
      <c r="AM869" s="7"/>
      <c r="AN869" s="7"/>
      <c r="AO869" s="7"/>
      <c r="AP869" s="7"/>
      <c r="AQ869" s="7"/>
      <c r="AR869" s="7"/>
      <c r="AS869" s="7"/>
      <c r="AT869" s="7"/>
      <c r="AU869" s="7"/>
      <c r="AV869" s="7"/>
      <c r="AW869" s="7"/>
      <c r="AY869" s="7"/>
      <c r="AZ869" s="7"/>
      <c r="BA869" s="7"/>
      <c r="BB869" s="7"/>
    </row>
    <row r="870" spans="2:54" x14ac:dyDescent="0.2">
      <c r="B870" s="174"/>
      <c r="C870" s="176"/>
      <c r="F870" s="5">
        <v>0</v>
      </c>
      <c r="G870" s="192">
        <v>0</v>
      </c>
      <c r="H870" s="192">
        <v>0</v>
      </c>
      <c r="I870" s="5">
        <v>0</v>
      </c>
      <c r="J870" s="192">
        <v>0</v>
      </c>
      <c r="K870" s="192">
        <v>0</v>
      </c>
      <c r="L870" s="5">
        <v>0</v>
      </c>
      <c r="M870" s="5">
        <v>0</v>
      </c>
      <c r="N870" s="4" t="e">
        <f t="shared" si="71"/>
        <v>#N/A</v>
      </c>
      <c r="O870" s="4" t="e">
        <f>IF(ROUND(10.499-(((N870-VLOOKUP($C870,Lookups!$A$55:$D$64,3))/(VLOOKUP($C870,Lookups!$A$55:$D$64,4))*VLOOKUP($C870,Lookups!$C$2:$D$11,2))),0)&lt;1,1,IF(ROUND(10.499-(((N870-VLOOKUP($C870,Lookups!$A$55:$D$64,3))/(VLOOKUP($C870,Lookups!$A$55:$D$64,4))*VLOOKUP($C870,Lookups!$C$2:$D$11,2))),0)&lt;11,ROUND(10.499-(((N870-VLOOKUP($C870,Lookups!$A$55:$D$64,3))/(VLOOKUP($C870,Lookups!$A$55:$D$64,4))*VLOOKUP($C870,Lookups!$C$2:$D$11,2))),0),10))</f>
        <v>#N/A</v>
      </c>
      <c r="P870" s="13" t="str">
        <f>IF((SUM(F870:M870)=0),"J",VLOOKUP(O870,Lookups!$A$1:$B$11,2))</f>
        <v>J</v>
      </c>
      <c r="Q870" s="8" t="e">
        <f>VLOOKUP(C870,Lookups!$A$136:$C$144,3)</f>
        <v>#N/A</v>
      </c>
      <c r="R870" s="8" t="e">
        <f>VLOOKUP(C870,Lookups!$A$136:$C$144,2)</f>
        <v>#N/A</v>
      </c>
      <c r="S870" s="4" t="str">
        <f t="shared" si="72"/>
        <v>No</v>
      </c>
      <c r="T870" s="125">
        <f t="shared" si="73"/>
        <v>0</v>
      </c>
      <c r="U870" s="125">
        <f t="shared" si="74"/>
        <v>0</v>
      </c>
      <c r="V870" s="4" t="e">
        <f>IF($Q870&lt;&gt;3,VLOOKUP(F870,'Points Table A'!B$3:$F$33,5),VLOOKUP(F870,'Points Table A'!H$3:$L$33,5))</f>
        <v>#N/A</v>
      </c>
      <c r="W870" s="4" t="e">
        <f>IF($Q870&lt;&gt;3,VLOOKUP(G870,'Points Table A'!C$3:$F$33,4),VLOOKUP(G870,'Points Table A'!I$3:$L$33,4))</f>
        <v>#N/A</v>
      </c>
      <c r="X870" s="4" t="e">
        <f>IF($Q870&lt;&gt;3,VLOOKUP(H870,'Points Table A'!D$3:$F$28,3),VLOOKUP(H870,'Points Table A'!J$3:$L$33,3))</f>
        <v>#N/A</v>
      </c>
      <c r="Y870" s="4" t="e">
        <f>IF($Q870&lt;&gt;3,VLOOKUP(I870,'Points Table A'!E$3:$F$33,2),VLOOKUP(I870,'Points Table A'!K$3:$L$33,2))</f>
        <v>#N/A</v>
      </c>
      <c r="Z870" s="4" t="e">
        <f t="shared" si="75"/>
        <v>#N/A</v>
      </c>
      <c r="AA870" s="4">
        <f>IF($S870=Lookups!$B$113,VLOOKUP(L870,'Points Table C'!A$3:$E$11,5),VLOOKUP(U870,'Points Table C'!B$3:$E$11,4))</f>
        <v>0</v>
      </c>
      <c r="AB870" s="4" t="e">
        <f>IF($Q870=1,0,VLOOKUP($J870,'Points Table C'!$C$3:$E$18,3))</f>
        <v>#N/A</v>
      </c>
      <c r="AC870" s="4">
        <f>VLOOKUP($K870,'Points Table C'!$D$3:$E$18,2)</f>
        <v>0</v>
      </c>
      <c r="AD870" s="4" t="e">
        <f>IF($Z870&lt;Lookups!$C$106,($AA870+AB870+AC870),IF($AA870&gt;=Lookups!$C$120,($AA870+AB870+AC870),$AA870+$AB870))</f>
        <v>#N/A</v>
      </c>
      <c r="AF870" s="7"/>
      <c r="AG870" s="7"/>
      <c r="AH870" s="7"/>
      <c r="AI870" s="7"/>
      <c r="AJ870" s="7"/>
      <c r="AK870" s="7"/>
      <c r="AL870" s="7"/>
      <c r="AM870" s="7"/>
      <c r="AN870" s="7"/>
      <c r="AO870" s="7"/>
      <c r="AP870" s="7"/>
      <c r="AQ870" s="7"/>
      <c r="AR870" s="7"/>
      <c r="AS870" s="7"/>
      <c r="AT870" s="7"/>
      <c r="AU870" s="7"/>
      <c r="AV870" s="7"/>
      <c r="AW870" s="7"/>
      <c r="AY870" s="7"/>
      <c r="AZ870" s="7"/>
      <c r="BA870" s="7"/>
      <c r="BB870" s="7"/>
    </row>
    <row r="871" spans="2:54" x14ac:dyDescent="0.2">
      <c r="B871" s="174"/>
      <c r="C871" s="176"/>
      <c r="F871" s="5">
        <v>0</v>
      </c>
      <c r="G871" s="192">
        <v>0</v>
      </c>
      <c r="H871" s="192">
        <v>0</v>
      </c>
      <c r="I871" s="5">
        <v>0</v>
      </c>
      <c r="J871" s="192">
        <v>0</v>
      </c>
      <c r="K871" s="192">
        <v>0</v>
      </c>
      <c r="L871" s="5">
        <v>0</v>
      </c>
      <c r="M871" s="5">
        <v>0</v>
      </c>
      <c r="N871" s="4" t="e">
        <f t="shared" si="71"/>
        <v>#N/A</v>
      </c>
      <c r="O871" s="4" t="e">
        <f>IF(ROUND(10.499-(((N871-VLOOKUP($C871,Lookups!$A$55:$D$64,3))/(VLOOKUP($C871,Lookups!$A$55:$D$64,4))*VLOOKUP($C871,Lookups!$C$2:$D$11,2))),0)&lt;1,1,IF(ROUND(10.499-(((N871-VLOOKUP($C871,Lookups!$A$55:$D$64,3))/(VLOOKUP($C871,Lookups!$A$55:$D$64,4))*VLOOKUP($C871,Lookups!$C$2:$D$11,2))),0)&lt;11,ROUND(10.499-(((N871-VLOOKUP($C871,Lookups!$A$55:$D$64,3))/(VLOOKUP($C871,Lookups!$A$55:$D$64,4))*VLOOKUP($C871,Lookups!$C$2:$D$11,2))),0),10))</f>
        <v>#N/A</v>
      </c>
      <c r="P871" s="13" t="str">
        <f>IF((SUM(F871:M871)=0),"J",VLOOKUP(O871,Lookups!$A$1:$B$11,2))</f>
        <v>J</v>
      </c>
      <c r="Q871" s="8" t="e">
        <f>VLOOKUP(C871,Lookups!$A$136:$C$144,3)</f>
        <v>#N/A</v>
      </c>
      <c r="R871" s="8" t="e">
        <f>VLOOKUP(C871,Lookups!$A$136:$C$144,2)</f>
        <v>#N/A</v>
      </c>
      <c r="S871" s="4" t="str">
        <f t="shared" si="72"/>
        <v>No</v>
      </c>
      <c r="T871" s="125">
        <f t="shared" si="73"/>
        <v>0</v>
      </c>
      <c r="U871" s="125">
        <f t="shared" si="74"/>
        <v>0</v>
      </c>
      <c r="V871" s="4" t="e">
        <f>IF($Q871&lt;&gt;3,VLOOKUP(F871,'Points Table A'!B$3:$F$33,5),VLOOKUP(F871,'Points Table A'!H$3:$L$33,5))</f>
        <v>#N/A</v>
      </c>
      <c r="W871" s="4" t="e">
        <f>IF($Q871&lt;&gt;3,VLOOKUP(G871,'Points Table A'!C$3:$F$33,4),VLOOKUP(G871,'Points Table A'!I$3:$L$33,4))</f>
        <v>#N/A</v>
      </c>
      <c r="X871" s="4" t="e">
        <f>IF($Q871&lt;&gt;3,VLOOKUP(H871,'Points Table A'!D$3:$F$28,3),VLOOKUP(H871,'Points Table A'!J$3:$L$33,3))</f>
        <v>#N/A</v>
      </c>
      <c r="Y871" s="4" t="e">
        <f>IF($Q871&lt;&gt;3,VLOOKUP(I871,'Points Table A'!E$3:$F$33,2),VLOOKUP(I871,'Points Table A'!K$3:$L$33,2))</f>
        <v>#N/A</v>
      </c>
      <c r="Z871" s="4" t="e">
        <f t="shared" si="75"/>
        <v>#N/A</v>
      </c>
      <c r="AA871" s="4">
        <f>IF($S871=Lookups!$B$113,VLOOKUP(L871,'Points Table C'!A$3:$E$11,5),VLOOKUP(U871,'Points Table C'!B$3:$E$11,4))</f>
        <v>0</v>
      </c>
      <c r="AB871" s="4" t="e">
        <f>IF($Q871=1,0,VLOOKUP($J871,'Points Table C'!$C$3:$E$18,3))</f>
        <v>#N/A</v>
      </c>
      <c r="AC871" s="4">
        <f>VLOOKUP($K871,'Points Table C'!$D$3:$E$18,2)</f>
        <v>0</v>
      </c>
      <c r="AD871" s="4" t="e">
        <f>IF($Z871&lt;Lookups!$C$106,($AA871+AB871+AC871),IF($AA871&gt;=Lookups!$C$120,($AA871+AB871+AC871),$AA871+$AB871))</f>
        <v>#N/A</v>
      </c>
      <c r="AF871" s="7"/>
      <c r="AG871" s="7"/>
      <c r="AH871" s="7"/>
      <c r="AI871" s="7"/>
      <c r="AJ871" s="7"/>
      <c r="AK871" s="7"/>
      <c r="AL871" s="7"/>
      <c r="AM871" s="7"/>
      <c r="AN871" s="7"/>
      <c r="AO871" s="7"/>
      <c r="AP871" s="7"/>
      <c r="AQ871" s="7"/>
      <c r="AR871" s="7"/>
      <c r="AS871" s="7"/>
      <c r="AT871" s="7"/>
      <c r="AU871" s="7"/>
      <c r="AV871" s="7"/>
      <c r="AW871" s="7"/>
      <c r="AY871" s="7"/>
      <c r="AZ871" s="7"/>
      <c r="BA871" s="7"/>
      <c r="BB871" s="7"/>
    </row>
    <row r="872" spans="2:54" x14ac:dyDescent="0.2">
      <c r="B872" s="174"/>
      <c r="C872" s="176"/>
      <c r="F872" s="5">
        <v>0</v>
      </c>
      <c r="G872" s="192">
        <v>0</v>
      </c>
      <c r="H872" s="192">
        <v>0</v>
      </c>
      <c r="I872" s="5">
        <v>0</v>
      </c>
      <c r="J872" s="192">
        <v>0</v>
      </c>
      <c r="K872" s="192">
        <v>0</v>
      </c>
      <c r="L872" s="5">
        <v>0</v>
      </c>
      <c r="M872" s="5">
        <v>0</v>
      </c>
      <c r="N872" s="4" t="e">
        <f t="shared" si="71"/>
        <v>#N/A</v>
      </c>
      <c r="O872" s="4" t="e">
        <f>IF(ROUND(10.499-(((N872-VLOOKUP($C872,Lookups!$A$55:$D$64,3))/(VLOOKUP($C872,Lookups!$A$55:$D$64,4))*VLOOKUP($C872,Lookups!$C$2:$D$11,2))),0)&lt;1,1,IF(ROUND(10.499-(((N872-VLOOKUP($C872,Lookups!$A$55:$D$64,3))/(VLOOKUP($C872,Lookups!$A$55:$D$64,4))*VLOOKUP($C872,Lookups!$C$2:$D$11,2))),0)&lt;11,ROUND(10.499-(((N872-VLOOKUP($C872,Lookups!$A$55:$D$64,3))/(VLOOKUP($C872,Lookups!$A$55:$D$64,4))*VLOOKUP($C872,Lookups!$C$2:$D$11,2))),0),10))</f>
        <v>#N/A</v>
      </c>
      <c r="P872" s="13" t="str">
        <f>IF((SUM(F872:M872)=0),"J",VLOOKUP(O872,Lookups!$A$1:$B$11,2))</f>
        <v>J</v>
      </c>
      <c r="Q872" s="8" t="e">
        <f>VLOOKUP(C872,Lookups!$A$136:$C$144,3)</f>
        <v>#N/A</v>
      </c>
      <c r="R872" s="8" t="e">
        <f>VLOOKUP(C872,Lookups!$A$136:$C$144,2)</f>
        <v>#N/A</v>
      </c>
      <c r="S872" s="4" t="str">
        <f t="shared" si="72"/>
        <v>No</v>
      </c>
      <c r="T872" s="125">
        <f t="shared" si="73"/>
        <v>0</v>
      </c>
      <c r="U872" s="125">
        <f t="shared" si="74"/>
        <v>0</v>
      </c>
      <c r="V872" s="4" t="e">
        <f>IF($Q872&lt;&gt;3,VLOOKUP(F872,'Points Table A'!B$3:$F$33,5),VLOOKUP(F872,'Points Table A'!H$3:$L$33,5))</f>
        <v>#N/A</v>
      </c>
      <c r="W872" s="4" t="e">
        <f>IF($Q872&lt;&gt;3,VLOOKUP(G872,'Points Table A'!C$3:$F$33,4),VLOOKUP(G872,'Points Table A'!I$3:$L$33,4))</f>
        <v>#N/A</v>
      </c>
      <c r="X872" s="4" t="e">
        <f>IF($Q872&lt;&gt;3,VLOOKUP(H872,'Points Table A'!D$3:$F$28,3),VLOOKUP(H872,'Points Table A'!J$3:$L$33,3))</f>
        <v>#N/A</v>
      </c>
      <c r="Y872" s="4" t="e">
        <f>IF($Q872&lt;&gt;3,VLOOKUP(I872,'Points Table A'!E$3:$F$33,2),VLOOKUP(I872,'Points Table A'!K$3:$L$33,2))</f>
        <v>#N/A</v>
      </c>
      <c r="Z872" s="4" t="e">
        <f t="shared" si="75"/>
        <v>#N/A</v>
      </c>
      <c r="AA872" s="4">
        <f>IF($S872=Lookups!$B$113,VLOOKUP(L872,'Points Table C'!A$3:$E$11,5),VLOOKUP(U872,'Points Table C'!B$3:$E$11,4))</f>
        <v>0</v>
      </c>
      <c r="AB872" s="4" t="e">
        <f>IF($Q872=1,0,VLOOKUP($J872,'Points Table C'!$C$3:$E$18,3))</f>
        <v>#N/A</v>
      </c>
      <c r="AC872" s="4">
        <f>VLOOKUP($K872,'Points Table C'!$D$3:$E$18,2)</f>
        <v>0</v>
      </c>
      <c r="AD872" s="4" t="e">
        <f>IF($Z872&lt;Lookups!$C$106,($AA872+AB872+AC872),IF($AA872&gt;=Lookups!$C$120,($AA872+AB872+AC872),$AA872+$AB872))</f>
        <v>#N/A</v>
      </c>
      <c r="AF872" s="7"/>
      <c r="AG872" s="7"/>
      <c r="AH872" s="7"/>
      <c r="AI872" s="7"/>
      <c r="AJ872" s="7"/>
      <c r="AK872" s="7"/>
      <c r="AL872" s="7"/>
      <c r="AM872" s="7"/>
      <c r="AN872" s="7"/>
      <c r="AO872" s="7"/>
      <c r="AP872" s="7"/>
      <c r="AQ872" s="7"/>
      <c r="AR872" s="7"/>
      <c r="AS872" s="7"/>
      <c r="AT872" s="7"/>
      <c r="AU872" s="7"/>
      <c r="AV872" s="7"/>
      <c r="AW872" s="7"/>
      <c r="AY872" s="7"/>
      <c r="AZ872" s="7"/>
      <c r="BA872" s="7"/>
      <c r="BB872" s="7"/>
    </row>
    <row r="873" spans="2:54" x14ac:dyDescent="0.2">
      <c r="B873" s="174"/>
      <c r="C873" s="176"/>
      <c r="F873" s="5">
        <v>0</v>
      </c>
      <c r="G873" s="192">
        <v>0</v>
      </c>
      <c r="H873" s="192">
        <v>0</v>
      </c>
      <c r="I873" s="5">
        <v>0</v>
      </c>
      <c r="J873" s="192">
        <v>0</v>
      </c>
      <c r="K873" s="192">
        <v>0</v>
      </c>
      <c r="L873" s="5">
        <v>0</v>
      </c>
      <c r="M873" s="5">
        <v>0</v>
      </c>
      <c r="N873" s="4" t="e">
        <f t="shared" si="71"/>
        <v>#N/A</v>
      </c>
      <c r="O873" s="4" t="e">
        <f>IF(ROUND(10.499-(((N873-VLOOKUP($C873,Lookups!$A$55:$D$64,3))/(VLOOKUP($C873,Lookups!$A$55:$D$64,4))*VLOOKUP($C873,Lookups!$C$2:$D$11,2))),0)&lt;1,1,IF(ROUND(10.499-(((N873-VLOOKUP($C873,Lookups!$A$55:$D$64,3))/(VLOOKUP($C873,Lookups!$A$55:$D$64,4))*VLOOKUP($C873,Lookups!$C$2:$D$11,2))),0)&lt;11,ROUND(10.499-(((N873-VLOOKUP($C873,Lookups!$A$55:$D$64,3))/(VLOOKUP($C873,Lookups!$A$55:$D$64,4))*VLOOKUP($C873,Lookups!$C$2:$D$11,2))),0),10))</f>
        <v>#N/A</v>
      </c>
      <c r="P873" s="13" t="str">
        <f>IF((SUM(F873:M873)=0),"J",VLOOKUP(O873,Lookups!$A$1:$B$11,2))</f>
        <v>J</v>
      </c>
      <c r="Q873" s="8" t="e">
        <f>VLOOKUP(C873,Lookups!$A$136:$C$144,3)</f>
        <v>#N/A</v>
      </c>
      <c r="R873" s="8" t="e">
        <f>VLOOKUP(C873,Lookups!$A$136:$C$144,2)</f>
        <v>#N/A</v>
      </c>
      <c r="S873" s="4" t="str">
        <f t="shared" si="72"/>
        <v>No</v>
      </c>
      <c r="T873" s="125">
        <f t="shared" si="73"/>
        <v>0</v>
      </c>
      <c r="U873" s="125">
        <f t="shared" si="74"/>
        <v>0</v>
      </c>
      <c r="V873" s="4" t="e">
        <f>IF($Q873&lt;&gt;3,VLOOKUP(F873,'Points Table A'!B$3:$F$33,5),VLOOKUP(F873,'Points Table A'!H$3:$L$33,5))</f>
        <v>#N/A</v>
      </c>
      <c r="W873" s="4" t="e">
        <f>IF($Q873&lt;&gt;3,VLOOKUP(G873,'Points Table A'!C$3:$F$33,4),VLOOKUP(G873,'Points Table A'!I$3:$L$33,4))</f>
        <v>#N/A</v>
      </c>
      <c r="X873" s="4" t="e">
        <f>IF($Q873&lt;&gt;3,VLOOKUP(H873,'Points Table A'!D$3:$F$28,3),VLOOKUP(H873,'Points Table A'!J$3:$L$33,3))</f>
        <v>#N/A</v>
      </c>
      <c r="Y873" s="4" t="e">
        <f>IF($Q873&lt;&gt;3,VLOOKUP(I873,'Points Table A'!E$3:$F$33,2),VLOOKUP(I873,'Points Table A'!K$3:$L$33,2))</f>
        <v>#N/A</v>
      </c>
      <c r="Z873" s="4" t="e">
        <f t="shared" si="75"/>
        <v>#N/A</v>
      </c>
      <c r="AA873" s="4">
        <f>IF($S873=Lookups!$B$113,VLOOKUP(L873,'Points Table C'!A$3:$E$11,5),VLOOKUP(U873,'Points Table C'!B$3:$E$11,4))</f>
        <v>0</v>
      </c>
      <c r="AB873" s="4" t="e">
        <f>IF($Q873=1,0,VLOOKUP($J873,'Points Table C'!$C$3:$E$18,3))</f>
        <v>#N/A</v>
      </c>
      <c r="AC873" s="4">
        <f>VLOOKUP($K873,'Points Table C'!$D$3:$E$18,2)</f>
        <v>0</v>
      </c>
      <c r="AD873" s="4" t="e">
        <f>IF($Z873&lt;Lookups!$C$106,($AA873+AB873+AC873),IF($AA873&gt;=Lookups!$C$120,($AA873+AB873+AC873),$AA873+$AB873))</f>
        <v>#N/A</v>
      </c>
      <c r="AF873" s="7"/>
      <c r="AG873" s="7"/>
      <c r="AH873" s="7"/>
      <c r="AI873" s="7"/>
      <c r="AJ873" s="7"/>
      <c r="AK873" s="7"/>
      <c r="AL873" s="7"/>
      <c r="AM873" s="7"/>
      <c r="AN873" s="7"/>
      <c r="AO873" s="7"/>
      <c r="AP873" s="7"/>
      <c r="AQ873" s="7"/>
      <c r="AR873" s="7"/>
      <c r="AS873" s="7"/>
      <c r="AT873" s="7"/>
      <c r="AU873" s="7"/>
      <c r="AV873" s="7"/>
      <c r="AW873" s="7"/>
      <c r="AY873" s="7"/>
      <c r="AZ873" s="7"/>
      <c r="BA873" s="7"/>
      <c r="BB873" s="7"/>
    </row>
    <row r="874" spans="2:54" x14ac:dyDescent="0.2">
      <c r="B874" s="174"/>
      <c r="C874" s="176"/>
      <c r="F874" s="5">
        <v>0</v>
      </c>
      <c r="G874" s="192">
        <v>0</v>
      </c>
      <c r="H874" s="192">
        <v>0</v>
      </c>
      <c r="I874" s="5">
        <v>0</v>
      </c>
      <c r="J874" s="192">
        <v>0</v>
      </c>
      <c r="K874" s="192">
        <v>0</v>
      </c>
      <c r="L874" s="5">
        <v>0</v>
      </c>
      <c r="M874" s="5">
        <v>0</v>
      </c>
      <c r="N874" s="4" t="e">
        <f t="shared" si="71"/>
        <v>#N/A</v>
      </c>
      <c r="O874" s="4" t="e">
        <f>IF(ROUND(10.499-(((N874-VLOOKUP($C874,Lookups!$A$55:$D$64,3))/(VLOOKUP($C874,Lookups!$A$55:$D$64,4))*VLOOKUP($C874,Lookups!$C$2:$D$11,2))),0)&lt;1,1,IF(ROUND(10.499-(((N874-VLOOKUP($C874,Lookups!$A$55:$D$64,3))/(VLOOKUP($C874,Lookups!$A$55:$D$64,4))*VLOOKUP($C874,Lookups!$C$2:$D$11,2))),0)&lt;11,ROUND(10.499-(((N874-VLOOKUP($C874,Lookups!$A$55:$D$64,3))/(VLOOKUP($C874,Lookups!$A$55:$D$64,4))*VLOOKUP($C874,Lookups!$C$2:$D$11,2))),0),10))</f>
        <v>#N/A</v>
      </c>
      <c r="P874" s="13" t="str">
        <f>IF((SUM(F874:M874)=0),"J",VLOOKUP(O874,Lookups!$A$1:$B$11,2))</f>
        <v>J</v>
      </c>
      <c r="Q874" s="8" t="e">
        <f>VLOOKUP(C874,Lookups!$A$136:$C$144,3)</f>
        <v>#N/A</v>
      </c>
      <c r="R874" s="8" t="e">
        <f>VLOOKUP(C874,Lookups!$A$136:$C$144,2)</f>
        <v>#N/A</v>
      </c>
      <c r="S874" s="4" t="str">
        <f t="shared" si="72"/>
        <v>No</v>
      </c>
      <c r="T874" s="125">
        <f t="shared" si="73"/>
        <v>0</v>
      </c>
      <c r="U874" s="125">
        <f t="shared" si="74"/>
        <v>0</v>
      </c>
      <c r="V874" s="4" t="e">
        <f>IF($Q874&lt;&gt;3,VLOOKUP(F874,'Points Table A'!B$3:$F$33,5),VLOOKUP(F874,'Points Table A'!H$3:$L$33,5))</f>
        <v>#N/A</v>
      </c>
      <c r="W874" s="4" t="e">
        <f>IF($Q874&lt;&gt;3,VLOOKUP(G874,'Points Table A'!C$3:$F$33,4),VLOOKUP(G874,'Points Table A'!I$3:$L$33,4))</f>
        <v>#N/A</v>
      </c>
      <c r="X874" s="4" t="e">
        <f>IF($Q874&lt;&gt;3,VLOOKUP(H874,'Points Table A'!D$3:$F$28,3),VLOOKUP(H874,'Points Table A'!J$3:$L$33,3))</f>
        <v>#N/A</v>
      </c>
      <c r="Y874" s="4" t="e">
        <f>IF($Q874&lt;&gt;3,VLOOKUP(I874,'Points Table A'!E$3:$F$33,2),VLOOKUP(I874,'Points Table A'!K$3:$L$33,2))</f>
        <v>#N/A</v>
      </c>
      <c r="Z874" s="4" t="e">
        <f t="shared" si="75"/>
        <v>#N/A</v>
      </c>
      <c r="AA874" s="4">
        <f>IF($S874=Lookups!$B$113,VLOOKUP(L874,'Points Table C'!A$3:$E$11,5),VLOOKUP(U874,'Points Table C'!B$3:$E$11,4))</f>
        <v>0</v>
      </c>
      <c r="AB874" s="4" t="e">
        <f>IF($Q874=1,0,VLOOKUP($J874,'Points Table C'!$C$3:$E$18,3))</f>
        <v>#N/A</v>
      </c>
      <c r="AC874" s="4">
        <f>VLOOKUP($K874,'Points Table C'!$D$3:$E$18,2)</f>
        <v>0</v>
      </c>
      <c r="AD874" s="4" t="e">
        <f>IF($Z874&lt;Lookups!$C$106,($AA874+AB874+AC874),IF($AA874&gt;=Lookups!$C$120,($AA874+AB874+AC874),$AA874+$AB874))</f>
        <v>#N/A</v>
      </c>
      <c r="AF874" s="7"/>
      <c r="AG874" s="7"/>
      <c r="AH874" s="7"/>
      <c r="AI874" s="7"/>
      <c r="AJ874" s="7"/>
      <c r="AK874" s="7"/>
      <c r="AL874" s="7"/>
      <c r="AM874" s="7"/>
      <c r="AN874" s="7"/>
      <c r="AO874" s="7"/>
      <c r="AP874" s="7"/>
      <c r="AQ874" s="7"/>
      <c r="AR874" s="7"/>
      <c r="AS874" s="7"/>
      <c r="AT874" s="7"/>
      <c r="AU874" s="7"/>
      <c r="AV874" s="7"/>
      <c r="AW874" s="7"/>
      <c r="AY874" s="7"/>
      <c r="AZ874" s="7"/>
      <c r="BA874" s="7"/>
      <c r="BB874" s="7"/>
    </row>
    <row r="875" spans="2:54" x14ac:dyDescent="0.2">
      <c r="B875" s="174"/>
      <c r="C875" s="176"/>
      <c r="F875" s="5">
        <v>0</v>
      </c>
      <c r="G875" s="192">
        <v>0</v>
      </c>
      <c r="H875" s="192">
        <v>0</v>
      </c>
      <c r="I875" s="5">
        <v>0</v>
      </c>
      <c r="J875" s="192">
        <v>0</v>
      </c>
      <c r="K875" s="192">
        <v>0</v>
      </c>
      <c r="L875" s="5">
        <v>0</v>
      </c>
      <c r="M875" s="5">
        <v>0</v>
      </c>
      <c r="N875" s="4" t="e">
        <f t="shared" si="71"/>
        <v>#N/A</v>
      </c>
      <c r="O875" s="4" t="e">
        <f>IF(ROUND(10.499-(((N875-VLOOKUP($C875,Lookups!$A$55:$D$64,3))/(VLOOKUP($C875,Lookups!$A$55:$D$64,4))*VLOOKUP($C875,Lookups!$C$2:$D$11,2))),0)&lt;1,1,IF(ROUND(10.499-(((N875-VLOOKUP($C875,Lookups!$A$55:$D$64,3))/(VLOOKUP($C875,Lookups!$A$55:$D$64,4))*VLOOKUP($C875,Lookups!$C$2:$D$11,2))),0)&lt;11,ROUND(10.499-(((N875-VLOOKUP($C875,Lookups!$A$55:$D$64,3))/(VLOOKUP($C875,Lookups!$A$55:$D$64,4))*VLOOKUP($C875,Lookups!$C$2:$D$11,2))),0),10))</f>
        <v>#N/A</v>
      </c>
      <c r="P875" s="13" t="str">
        <f>IF((SUM(F875:M875)=0),"J",VLOOKUP(O875,Lookups!$A$1:$B$11,2))</f>
        <v>J</v>
      </c>
      <c r="Q875" s="8" t="e">
        <f>VLOOKUP(C875,Lookups!$A$136:$C$144,3)</f>
        <v>#N/A</v>
      </c>
      <c r="R875" s="8" t="e">
        <f>VLOOKUP(C875,Lookups!$A$136:$C$144,2)</f>
        <v>#N/A</v>
      </c>
      <c r="S875" s="4" t="str">
        <f t="shared" si="72"/>
        <v>No</v>
      </c>
      <c r="T875" s="125">
        <f t="shared" si="73"/>
        <v>0</v>
      </c>
      <c r="U875" s="125">
        <f t="shared" si="74"/>
        <v>0</v>
      </c>
      <c r="V875" s="4" t="e">
        <f>IF($Q875&lt;&gt;3,VLOOKUP(F875,'Points Table A'!B$3:$F$33,5),VLOOKUP(F875,'Points Table A'!H$3:$L$33,5))</f>
        <v>#N/A</v>
      </c>
      <c r="W875" s="4" t="e">
        <f>IF($Q875&lt;&gt;3,VLOOKUP(G875,'Points Table A'!C$3:$F$33,4),VLOOKUP(G875,'Points Table A'!I$3:$L$33,4))</f>
        <v>#N/A</v>
      </c>
      <c r="X875" s="4" t="e">
        <f>IF($Q875&lt;&gt;3,VLOOKUP(H875,'Points Table A'!D$3:$F$28,3),VLOOKUP(H875,'Points Table A'!J$3:$L$33,3))</f>
        <v>#N/A</v>
      </c>
      <c r="Y875" s="4" t="e">
        <f>IF($Q875&lt;&gt;3,VLOOKUP(I875,'Points Table A'!E$3:$F$33,2),VLOOKUP(I875,'Points Table A'!K$3:$L$33,2))</f>
        <v>#N/A</v>
      </c>
      <c r="Z875" s="4" t="e">
        <f t="shared" si="75"/>
        <v>#N/A</v>
      </c>
      <c r="AA875" s="4">
        <f>IF($S875=Lookups!$B$113,VLOOKUP(L875,'Points Table C'!A$3:$E$11,5),VLOOKUP(U875,'Points Table C'!B$3:$E$11,4))</f>
        <v>0</v>
      </c>
      <c r="AB875" s="4" t="e">
        <f>IF($Q875=1,0,VLOOKUP($J875,'Points Table C'!$C$3:$E$18,3))</f>
        <v>#N/A</v>
      </c>
      <c r="AC875" s="4">
        <f>VLOOKUP($K875,'Points Table C'!$D$3:$E$18,2)</f>
        <v>0</v>
      </c>
      <c r="AD875" s="4" t="e">
        <f>IF($Z875&lt;Lookups!$C$106,($AA875+AB875+AC875),IF($AA875&gt;=Lookups!$C$120,($AA875+AB875+AC875),$AA875+$AB875))</f>
        <v>#N/A</v>
      </c>
      <c r="AF875" s="7"/>
      <c r="AG875" s="7"/>
      <c r="AH875" s="7"/>
      <c r="AI875" s="7"/>
      <c r="AJ875" s="7"/>
      <c r="AK875" s="7"/>
      <c r="AL875" s="7"/>
      <c r="AM875" s="7"/>
      <c r="AN875" s="7"/>
      <c r="AO875" s="7"/>
      <c r="AP875" s="7"/>
      <c r="AQ875" s="7"/>
      <c r="AR875" s="7"/>
      <c r="AS875" s="7"/>
      <c r="AT875" s="7"/>
      <c r="AU875" s="7"/>
      <c r="AV875" s="7"/>
      <c r="AW875" s="7"/>
      <c r="AY875" s="7"/>
      <c r="AZ875" s="7"/>
      <c r="BA875" s="7"/>
      <c r="BB875" s="7"/>
    </row>
    <row r="876" spans="2:54" x14ac:dyDescent="0.2">
      <c r="B876" s="174"/>
      <c r="C876" s="176"/>
      <c r="F876" s="5">
        <v>0</v>
      </c>
      <c r="G876" s="192">
        <v>0</v>
      </c>
      <c r="H876" s="192">
        <v>0</v>
      </c>
      <c r="I876" s="5">
        <v>0</v>
      </c>
      <c r="J876" s="192">
        <v>0</v>
      </c>
      <c r="K876" s="192">
        <v>0</v>
      </c>
      <c r="L876" s="5">
        <v>0</v>
      </c>
      <c r="M876" s="5">
        <v>0</v>
      </c>
      <c r="N876" s="4" t="e">
        <f t="shared" si="71"/>
        <v>#N/A</v>
      </c>
      <c r="O876" s="4" t="e">
        <f>IF(ROUND(10.499-(((N876-VLOOKUP($C876,Lookups!$A$55:$D$64,3))/(VLOOKUP($C876,Lookups!$A$55:$D$64,4))*VLOOKUP($C876,Lookups!$C$2:$D$11,2))),0)&lt;1,1,IF(ROUND(10.499-(((N876-VLOOKUP($C876,Lookups!$A$55:$D$64,3))/(VLOOKUP($C876,Lookups!$A$55:$D$64,4))*VLOOKUP($C876,Lookups!$C$2:$D$11,2))),0)&lt;11,ROUND(10.499-(((N876-VLOOKUP($C876,Lookups!$A$55:$D$64,3))/(VLOOKUP($C876,Lookups!$A$55:$D$64,4))*VLOOKUP($C876,Lookups!$C$2:$D$11,2))),0),10))</f>
        <v>#N/A</v>
      </c>
      <c r="P876" s="13" t="str">
        <f>IF((SUM(F876:M876)=0),"J",VLOOKUP(O876,Lookups!$A$1:$B$11,2))</f>
        <v>J</v>
      </c>
      <c r="Q876" s="8" t="e">
        <f>VLOOKUP(C876,Lookups!$A$136:$C$144,3)</f>
        <v>#N/A</v>
      </c>
      <c r="R876" s="8" t="e">
        <f>VLOOKUP(C876,Lookups!$A$136:$C$144,2)</f>
        <v>#N/A</v>
      </c>
      <c r="S876" s="4" t="str">
        <f t="shared" si="72"/>
        <v>No</v>
      </c>
      <c r="T876" s="125">
        <f t="shared" si="73"/>
        <v>0</v>
      </c>
      <c r="U876" s="125">
        <f t="shared" si="74"/>
        <v>0</v>
      </c>
      <c r="V876" s="4" t="e">
        <f>IF($Q876&lt;&gt;3,VLOOKUP(F876,'Points Table A'!B$3:$F$33,5),VLOOKUP(F876,'Points Table A'!H$3:$L$33,5))</f>
        <v>#N/A</v>
      </c>
      <c r="W876" s="4" t="e">
        <f>IF($Q876&lt;&gt;3,VLOOKUP(G876,'Points Table A'!C$3:$F$33,4),VLOOKUP(G876,'Points Table A'!I$3:$L$33,4))</f>
        <v>#N/A</v>
      </c>
      <c r="X876" s="4" t="e">
        <f>IF($Q876&lt;&gt;3,VLOOKUP(H876,'Points Table A'!D$3:$F$28,3),VLOOKUP(H876,'Points Table A'!J$3:$L$33,3))</f>
        <v>#N/A</v>
      </c>
      <c r="Y876" s="4" t="e">
        <f>IF($Q876&lt;&gt;3,VLOOKUP(I876,'Points Table A'!E$3:$F$33,2),VLOOKUP(I876,'Points Table A'!K$3:$L$33,2))</f>
        <v>#N/A</v>
      </c>
      <c r="Z876" s="4" t="e">
        <f t="shared" si="75"/>
        <v>#N/A</v>
      </c>
      <c r="AA876" s="4">
        <f>IF($S876=Lookups!$B$113,VLOOKUP(L876,'Points Table C'!A$3:$E$11,5),VLOOKUP(U876,'Points Table C'!B$3:$E$11,4))</f>
        <v>0</v>
      </c>
      <c r="AB876" s="4" t="e">
        <f>IF($Q876=1,0,VLOOKUP($J876,'Points Table C'!$C$3:$E$18,3))</f>
        <v>#N/A</v>
      </c>
      <c r="AC876" s="4">
        <f>VLOOKUP($K876,'Points Table C'!$D$3:$E$18,2)</f>
        <v>0</v>
      </c>
      <c r="AD876" s="4" t="e">
        <f>IF($Z876&lt;Lookups!$C$106,($AA876+AB876+AC876),IF($AA876&gt;=Lookups!$C$120,($AA876+AB876+AC876),$AA876+$AB876))</f>
        <v>#N/A</v>
      </c>
      <c r="AF876" s="7"/>
      <c r="AG876" s="7"/>
      <c r="AH876" s="7"/>
      <c r="AI876" s="7"/>
      <c r="AJ876" s="7"/>
      <c r="AK876" s="7"/>
      <c r="AL876" s="7"/>
      <c r="AM876" s="7"/>
      <c r="AN876" s="7"/>
      <c r="AO876" s="7"/>
      <c r="AP876" s="7"/>
      <c r="AQ876" s="7"/>
      <c r="AR876" s="7"/>
      <c r="AS876" s="7"/>
      <c r="AT876" s="7"/>
      <c r="AU876" s="7"/>
      <c r="AV876" s="7"/>
      <c r="AW876" s="7"/>
      <c r="AY876" s="7"/>
      <c r="AZ876" s="7"/>
      <c r="BA876" s="7"/>
      <c r="BB876" s="7"/>
    </row>
    <row r="877" spans="2:54" x14ac:dyDescent="0.2">
      <c r="B877" s="174"/>
      <c r="C877" s="176"/>
      <c r="F877" s="5">
        <v>0</v>
      </c>
      <c r="G877" s="192">
        <v>0</v>
      </c>
      <c r="H877" s="192">
        <v>0</v>
      </c>
      <c r="I877" s="5">
        <v>0</v>
      </c>
      <c r="J877" s="192">
        <v>0</v>
      </c>
      <c r="K877" s="192">
        <v>0</v>
      </c>
      <c r="L877" s="5">
        <v>0</v>
      </c>
      <c r="M877" s="5">
        <v>0</v>
      </c>
      <c r="N877" s="4" t="e">
        <f t="shared" si="71"/>
        <v>#N/A</v>
      </c>
      <c r="O877" s="4" t="e">
        <f>IF(ROUND(10.499-(((N877-VLOOKUP($C877,Lookups!$A$55:$D$64,3))/(VLOOKUP($C877,Lookups!$A$55:$D$64,4))*VLOOKUP($C877,Lookups!$C$2:$D$11,2))),0)&lt;1,1,IF(ROUND(10.499-(((N877-VLOOKUP($C877,Lookups!$A$55:$D$64,3))/(VLOOKUP($C877,Lookups!$A$55:$D$64,4))*VLOOKUP($C877,Lookups!$C$2:$D$11,2))),0)&lt;11,ROUND(10.499-(((N877-VLOOKUP($C877,Lookups!$A$55:$D$64,3))/(VLOOKUP($C877,Lookups!$A$55:$D$64,4))*VLOOKUP($C877,Lookups!$C$2:$D$11,2))),0),10))</f>
        <v>#N/A</v>
      </c>
      <c r="P877" s="13" t="str">
        <f>IF((SUM(F877:M877)=0),"J",VLOOKUP(O877,Lookups!$A$1:$B$11,2))</f>
        <v>J</v>
      </c>
      <c r="Q877" s="8" t="e">
        <f>VLOOKUP(C877,Lookups!$A$136:$C$144,3)</f>
        <v>#N/A</v>
      </c>
      <c r="R877" s="8" t="e">
        <f>VLOOKUP(C877,Lookups!$A$136:$C$144,2)</f>
        <v>#N/A</v>
      </c>
      <c r="S877" s="4" t="str">
        <f t="shared" si="72"/>
        <v>No</v>
      </c>
      <c r="T877" s="125">
        <f t="shared" si="73"/>
        <v>0</v>
      </c>
      <c r="U877" s="125">
        <f t="shared" si="74"/>
        <v>0</v>
      </c>
      <c r="V877" s="4" t="e">
        <f>IF($Q877&lt;&gt;3,VLOOKUP(F877,'Points Table A'!B$3:$F$33,5),VLOOKUP(F877,'Points Table A'!H$3:$L$33,5))</f>
        <v>#N/A</v>
      </c>
      <c r="W877" s="4" t="e">
        <f>IF($Q877&lt;&gt;3,VLOOKUP(G877,'Points Table A'!C$3:$F$33,4),VLOOKUP(G877,'Points Table A'!I$3:$L$33,4))</f>
        <v>#N/A</v>
      </c>
      <c r="X877" s="4" t="e">
        <f>IF($Q877&lt;&gt;3,VLOOKUP(H877,'Points Table A'!D$3:$F$28,3),VLOOKUP(H877,'Points Table A'!J$3:$L$33,3))</f>
        <v>#N/A</v>
      </c>
      <c r="Y877" s="4" t="e">
        <f>IF($Q877&lt;&gt;3,VLOOKUP(I877,'Points Table A'!E$3:$F$33,2),VLOOKUP(I877,'Points Table A'!K$3:$L$33,2))</f>
        <v>#N/A</v>
      </c>
      <c r="Z877" s="4" t="e">
        <f t="shared" si="75"/>
        <v>#N/A</v>
      </c>
      <c r="AA877" s="4">
        <f>IF($S877=Lookups!$B$113,VLOOKUP(L877,'Points Table C'!A$3:$E$11,5),VLOOKUP(U877,'Points Table C'!B$3:$E$11,4))</f>
        <v>0</v>
      </c>
      <c r="AB877" s="4" t="e">
        <f>IF($Q877=1,0,VLOOKUP($J877,'Points Table C'!$C$3:$E$18,3))</f>
        <v>#N/A</v>
      </c>
      <c r="AC877" s="4">
        <f>VLOOKUP($K877,'Points Table C'!$D$3:$E$18,2)</f>
        <v>0</v>
      </c>
      <c r="AD877" s="4" t="e">
        <f>IF($Z877&lt;Lookups!$C$106,($AA877+AB877+AC877),IF($AA877&gt;=Lookups!$C$120,($AA877+AB877+AC877),$AA877+$AB877))</f>
        <v>#N/A</v>
      </c>
      <c r="AF877" s="7"/>
      <c r="AG877" s="7"/>
      <c r="AH877" s="7"/>
      <c r="AI877" s="7"/>
      <c r="AJ877" s="7"/>
      <c r="AK877" s="7"/>
      <c r="AL877" s="7"/>
      <c r="AM877" s="7"/>
      <c r="AN877" s="7"/>
      <c r="AO877" s="7"/>
      <c r="AP877" s="7"/>
      <c r="AQ877" s="7"/>
      <c r="AR877" s="7"/>
      <c r="AS877" s="7"/>
      <c r="AT877" s="7"/>
      <c r="AU877" s="7"/>
      <c r="AV877" s="7"/>
      <c r="AW877" s="7"/>
      <c r="AY877" s="7"/>
      <c r="AZ877" s="7"/>
      <c r="BA877" s="7"/>
      <c r="BB877" s="7"/>
    </row>
    <row r="878" spans="2:54" x14ac:dyDescent="0.2">
      <c r="B878" s="174"/>
      <c r="C878" s="176"/>
      <c r="F878" s="5">
        <v>0</v>
      </c>
      <c r="G878" s="192">
        <v>0</v>
      </c>
      <c r="H878" s="192">
        <v>0</v>
      </c>
      <c r="I878" s="5">
        <v>0</v>
      </c>
      <c r="J878" s="192">
        <v>0</v>
      </c>
      <c r="K878" s="192">
        <v>0</v>
      </c>
      <c r="L878" s="5">
        <v>0</v>
      </c>
      <c r="M878" s="5">
        <v>0</v>
      </c>
      <c r="N878" s="4" t="e">
        <f t="shared" si="71"/>
        <v>#N/A</v>
      </c>
      <c r="O878" s="4" t="e">
        <f>IF(ROUND(10.499-(((N878-VLOOKUP($C878,Lookups!$A$55:$D$64,3))/(VLOOKUP($C878,Lookups!$A$55:$D$64,4))*VLOOKUP($C878,Lookups!$C$2:$D$11,2))),0)&lt;1,1,IF(ROUND(10.499-(((N878-VLOOKUP($C878,Lookups!$A$55:$D$64,3))/(VLOOKUP($C878,Lookups!$A$55:$D$64,4))*VLOOKUP($C878,Lookups!$C$2:$D$11,2))),0)&lt;11,ROUND(10.499-(((N878-VLOOKUP($C878,Lookups!$A$55:$D$64,3))/(VLOOKUP($C878,Lookups!$A$55:$D$64,4))*VLOOKUP($C878,Lookups!$C$2:$D$11,2))),0),10))</f>
        <v>#N/A</v>
      </c>
      <c r="P878" s="13" t="str">
        <f>IF((SUM(F878:M878)=0),"J",VLOOKUP(O878,Lookups!$A$1:$B$11,2))</f>
        <v>J</v>
      </c>
      <c r="Q878" s="8" t="e">
        <f>VLOOKUP(C878,Lookups!$A$136:$C$144,3)</f>
        <v>#N/A</v>
      </c>
      <c r="R878" s="8" t="e">
        <f>VLOOKUP(C878,Lookups!$A$136:$C$144,2)</f>
        <v>#N/A</v>
      </c>
      <c r="S878" s="4" t="str">
        <f t="shared" si="72"/>
        <v>No</v>
      </c>
      <c r="T878" s="125">
        <f t="shared" si="73"/>
        <v>0</v>
      </c>
      <c r="U878" s="125">
        <f t="shared" si="74"/>
        <v>0</v>
      </c>
      <c r="V878" s="4" t="e">
        <f>IF($Q878&lt;&gt;3,VLOOKUP(F878,'Points Table A'!B$3:$F$33,5),VLOOKUP(F878,'Points Table A'!H$3:$L$33,5))</f>
        <v>#N/A</v>
      </c>
      <c r="W878" s="4" t="e">
        <f>IF($Q878&lt;&gt;3,VLOOKUP(G878,'Points Table A'!C$3:$F$33,4),VLOOKUP(G878,'Points Table A'!I$3:$L$33,4))</f>
        <v>#N/A</v>
      </c>
      <c r="X878" s="4" t="e">
        <f>IF($Q878&lt;&gt;3,VLOOKUP(H878,'Points Table A'!D$3:$F$28,3),VLOOKUP(H878,'Points Table A'!J$3:$L$33,3))</f>
        <v>#N/A</v>
      </c>
      <c r="Y878" s="4" t="e">
        <f>IF($Q878&lt;&gt;3,VLOOKUP(I878,'Points Table A'!E$3:$F$33,2),VLOOKUP(I878,'Points Table A'!K$3:$L$33,2))</f>
        <v>#N/A</v>
      </c>
      <c r="Z878" s="4" t="e">
        <f t="shared" si="75"/>
        <v>#N/A</v>
      </c>
      <c r="AA878" s="4">
        <f>IF($S878=Lookups!$B$113,VLOOKUP(L878,'Points Table C'!A$3:$E$11,5),VLOOKUP(U878,'Points Table C'!B$3:$E$11,4))</f>
        <v>0</v>
      </c>
      <c r="AB878" s="4" t="e">
        <f>IF($Q878=1,0,VLOOKUP($J878,'Points Table C'!$C$3:$E$18,3))</f>
        <v>#N/A</v>
      </c>
      <c r="AC878" s="4">
        <f>VLOOKUP($K878,'Points Table C'!$D$3:$E$18,2)</f>
        <v>0</v>
      </c>
      <c r="AD878" s="4" t="e">
        <f>IF($Z878&lt;Lookups!$C$106,($AA878+AB878+AC878),IF($AA878&gt;=Lookups!$C$120,($AA878+AB878+AC878),$AA878+$AB878))</f>
        <v>#N/A</v>
      </c>
      <c r="AF878" s="7"/>
      <c r="AG878" s="7"/>
      <c r="AH878" s="7"/>
      <c r="AI878" s="7"/>
      <c r="AJ878" s="7"/>
      <c r="AK878" s="7"/>
      <c r="AL878" s="7"/>
      <c r="AM878" s="7"/>
      <c r="AN878" s="7"/>
      <c r="AO878" s="7"/>
      <c r="AP878" s="7"/>
      <c r="AQ878" s="7"/>
      <c r="AR878" s="7"/>
      <c r="AS878" s="7"/>
      <c r="AT878" s="7"/>
      <c r="AU878" s="7"/>
      <c r="AV878" s="7"/>
      <c r="AW878" s="7"/>
      <c r="AY878" s="7"/>
      <c r="AZ878" s="7"/>
      <c r="BA878" s="7"/>
      <c r="BB878" s="7"/>
    </row>
    <row r="879" spans="2:54" x14ac:dyDescent="0.2">
      <c r="B879" s="174"/>
      <c r="C879" s="176"/>
      <c r="F879" s="5">
        <v>0</v>
      </c>
      <c r="G879" s="192">
        <v>0</v>
      </c>
      <c r="H879" s="192">
        <v>0</v>
      </c>
      <c r="I879" s="5">
        <v>0</v>
      </c>
      <c r="J879" s="192">
        <v>0</v>
      </c>
      <c r="K879" s="192">
        <v>0</v>
      </c>
      <c r="L879" s="5">
        <v>0</v>
      </c>
      <c r="M879" s="5">
        <v>0</v>
      </c>
      <c r="N879" s="4" t="e">
        <f t="shared" si="71"/>
        <v>#N/A</v>
      </c>
      <c r="O879" s="4" t="e">
        <f>IF(ROUND(10.499-(((N879-VLOOKUP($C879,Lookups!$A$55:$D$64,3))/(VLOOKUP($C879,Lookups!$A$55:$D$64,4))*VLOOKUP($C879,Lookups!$C$2:$D$11,2))),0)&lt;1,1,IF(ROUND(10.499-(((N879-VLOOKUP($C879,Lookups!$A$55:$D$64,3))/(VLOOKUP($C879,Lookups!$A$55:$D$64,4))*VLOOKUP($C879,Lookups!$C$2:$D$11,2))),0)&lt;11,ROUND(10.499-(((N879-VLOOKUP($C879,Lookups!$A$55:$D$64,3))/(VLOOKUP($C879,Lookups!$A$55:$D$64,4))*VLOOKUP($C879,Lookups!$C$2:$D$11,2))),0),10))</f>
        <v>#N/A</v>
      </c>
      <c r="P879" s="13" t="str">
        <f>IF((SUM(F879:M879)=0),"J",VLOOKUP(O879,Lookups!$A$1:$B$11,2))</f>
        <v>J</v>
      </c>
      <c r="Q879" s="8" t="e">
        <f>VLOOKUP(C879,Lookups!$A$136:$C$144,3)</f>
        <v>#N/A</v>
      </c>
      <c r="R879" s="8" t="e">
        <f>VLOOKUP(C879,Lookups!$A$136:$C$144,2)</f>
        <v>#N/A</v>
      </c>
      <c r="S879" s="4" t="str">
        <f t="shared" si="72"/>
        <v>No</v>
      </c>
      <c r="T879" s="125">
        <f t="shared" si="73"/>
        <v>0</v>
      </c>
      <c r="U879" s="125">
        <f t="shared" si="74"/>
        <v>0</v>
      </c>
      <c r="V879" s="4" t="e">
        <f>IF($Q879&lt;&gt;3,VLOOKUP(F879,'Points Table A'!B$3:$F$33,5),VLOOKUP(F879,'Points Table A'!H$3:$L$33,5))</f>
        <v>#N/A</v>
      </c>
      <c r="W879" s="4" t="e">
        <f>IF($Q879&lt;&gt;3,VLOOKUP(G879,'Points Table A'!C$3:$F$33,4),VLOOKUP(G879,'Points Table A'!I$3:$L$33,4))</f>
        <v>#N/A</v>
      </c>
      <c r="X879" s="4" t="e">
        <f>IF($Q879&lt;&gt;3,VLOOKUP(H879,'Points Table A'!D$3:$F$28,3),VLOOKUP(H879,'Points Table A'!J$3:$L$33,3))</f>
        <v>#N/A</v>
      </c>
      <c r="Y879" s="4" t="e">
        <f>IF($Q879&lt;&gt;3,VLOOKUP(I879,'Points Table A'!E$3:$F$33,2),VLOOKUP(I879,'Points Table A'!K$3:$L$33,2))</f>
        <v>#N/A</v>
      </c>
      <c r="Z879" s="4" t="e">
        <f t="shared" si="75"/>
        <v>#N/A</v>
      </c>
      <c r="AA879" s="4">
        <f>IF($S879=Lookups!$B$113,VLOOKUP(L879,'Points Table C'!A$3:$E$11,5),VLOOKUP(U879,'Points Table C'!B$3:$E$11,4))</f>
        <v>0</v>
      </c>
      <c r="AB879" s="4" t="e">
        <f>IF($Q879=1,0,VLOOKUP($J879,'Points Table C'!$C$3:$E$18,3))</f>
        <v>#N/A</v>
      </c>
      <c r="AC879" s="4">
        <f>VLOOKUP($K879,'Points Table C'!$D$3:$E$18,2)</f>
        <v>0</v>
      </c>
      <c r="AD879" s="4" t="e">
        <f>IF($Z879&lt;Lookups!$C$106,($AA879+AB879+AC879),IF($AA879&gt;=Lookups!$C$120,($AA879+AB879+AC879),$AA879+$AB879))</f>
        <v>#N/A</v>
      </c>
      <c r="AF879" s="7"/>
      <c r="AG879" s="7"/>
      <c r="AH879" s="7"/>
      <c r="AI879" s="7"/>
      <c r="AJ879" s="7"/>
      <c r="AK879" s="7"/>
      <c r="AL879" s="7"/>
      <c r="AM879" s="7"/>
      <c r="AN879" s="7"/>
      <c r="AO879" s="7"/>
      <c r="AP879" s="7"/>
      <c r="AQ879" s="7"/>
      <c r="AR879" s="7"/>
      <c r="AS879" s="7"/>
      <c r="AT879" s="7"/>
      <c r="AU879" s="7"/>
      <c r="AV879" s="7"/>
      <c r="AW879" s="7"/>
      <c r="AY879" s="7"/>
      <c r="AZ879" s="7"/>
      <c r="BA879" s="7"/>
      <c r="BB879" s="7"/>
    </row>
    <row r="880" spans="2:54" x14ac:dyDescent="0.2">
      <c r="B880" s="174"/>
      <c r="C880" s="176"/>
      <c r="F880" s="5">
        <v>0</v>
      </c>
      <c r="G880" s="192">
        <v>0</v>
      </c>
      <c r="H880" s="192">
        <v>0</v>
      </c>
      <c r="I880" s="5">
        <v>0</v>
      </c>
      <c r="J880" s="192">
        <v>0</v>
      </c>
      <c r="K880" s="192">
        <v>0</v>
      </c>
      <c r="L880" s="5">
        <v>0</v>
      </c>
      <c r="M880" s="5">
        <v>0</v>
      </c>
      <c r="N880" s="4" t="e">
        <f t="shared" si="71"/>
        <v>#N/A</v>
      </c>
      <c r="O880" s="4" t="e">
        <f>IF(ROUND(10.499-(((N880-VLOOKUP($C880,Lookups!$A$55:$D$64,3))/(VLOOKUP($C880,Lookups!$A$55:$D$64,4))*VLOOKUP($C880,Lookups!$C$2:$D$11,2))),0)&lt;1,1,IF(ROUND(10.499-(((N880-VLOOKUP($C880,Lookups!$A$55:$D$64,3))/(VLOOKUP($C880,Lookups!$A$55:$D$64,4))*VLOOKUP($C880,Lookups!$C$2:$D$11,2))),0)&lt;11,ROUND(10.499-(((N880-VLOOKUP($C880,Lookups!$A$55:$D$64,3))/(VLOOKUP($C880,Lookups!$A$55:$D$64,4))*VLOOKUP($C880,Lookups!$C$2:$D$11,2))),0),10))</f>
        <v>#N/A</v>
      </c>
      <c r="P880" s="13" t="str">
        <f>IF((SUM(F880:M880)=0),"J",VLOOKUP(O880,Lookups!$A$1:$B$11,2))</f>
        <v>J</v>
      </c>
      <c r="Q880" s="8" t="e">
        <f>VLOOKUP(C880,Lookups!$A$136:$C$144,3)</f>
        <v>#N/A</v>
      </c>
      <c r="R880" s="8" t="e">
        <f>VLOOKUP(C880,Lookups!$A$136:$C$144,2)</f>
        <v>#N/A</v>
      </c>
      <c r="S880" s="4" t="str">
        <f t="shared" si="72"/>
        <v>No</v>
      </c>
      <c r="T880" s="125">
        <f t="shared" si="73"/>
        <v>0</v>
      </c>
      <c r="U880" s="125">
        <f t="shared" si="74"/>
        <v>0</v>
      </c>
      <c r="V880" s="4" t="e">
        <f>IF($Q880&lt;&gt;3,VLOOKUP(F880,'Points Table A'!B$3:$F$33,5),VLOOKUP(F880,'Points Table A'!H$3:$L$33,5))</f>
        <v>#N/A</v>
      </c>
      <c r="W880" s="4" t="e">
        <f>IF($Q880&lt;&gt;3,VLOOKUP(G880,'Points Table A'!C$3:$F$33,4),VLOOKUP(G880,'Points Table A'!I$3:$L$33,4))</f>
        <v>#N/A</v>
      </c>
      <c r="X880" s="4" t="e">
        <f>IF($Q880&lt;&gt;3,VLOOKUP(H880,'Points Table A'!D$3:$F$28,3),VLOOKUP(H880,'Points Table A'!J$3:$L$33,3))</f>
        <v>#N/A</v>
      </c>
      <c r="Y880" s="4" t="e">
        <f>IF($Q880&lt;&gt;3,VLOOKUP(I880,'Points Table A'!E$3:$F$33,2),VLOOKUP(I880,'Points Table A'!K$3:$L$33,2))</f>
        <v>#N/A</v>
      </c>
      <c r="Z880" s="4" t="e">
        <f t="shared" si="75"/>
        <v>#N/A</v>
      </c>
      <c r="AA880" s="4">
        <f>IF($S880=Lookups!$B$113,VLOOKUP(L880,'Points Table C'!A$3:$E$11,5),VLOOKUP(U880,'Points Table C'!B$3:$E$11,4))</f>
        <v>0</v>
      </c>
      <c r="AB880" s="4" t="e">
        <f>IF($Q880=1,0,VLOOKUP($J880,'Points Table C'!$C$3:$E$18,3))</f>
        <v>#N/A</v>
      </c>
      <c r="AC880" s="4">
        <f>VLOOKUP($K880,'Points Table C'!$D$3:$E$18,2)</f>
        <v>0</v>
      </c>
      <c r="AD880" s="4" t="e">
        <f>IF($Z880&lt;Lookups!$C$106,($AA880+AB880+AC880),IF($AA880&gt;=Lookups!$C$120,($AA880+AB880+AC880),$AA880+$AB880))</f>
        <v>#N/A</v>
      </c>
      <c r="AF880" s="7"/>
      <c r="AG880" s="7"/>
      <c r="AH880" s="7"/>
      <c r="AI880" s="7"/>
      <c r="AJ880" s="7"/>
      <c r="AK880" s="7"/>
      <c r="AL880" s="7"/>
      <c r="AM880" s="7"/>
      <c r="AN880" s="7"/>
      <c r="AO880" s="7"/>
      <c r="AP880" s="7"/>
      <c r="AQ880" s="7"/>
      <c r="AR880" s="7"/>
      <c r="AS880" s="7"/>
      <c r="AT880" s="7"/>
      <c r="AU880" s="7"/>
      <c r="AV880" s="7"/>
      <c r="AW880" s="7"/>
      <c r="AY880" s="7"/>
      <c r="AZ880" s="7"/>
      <c r="BA880" s="7"/>
      <c r="BB880" s="7"/>
    </row>
    <row r="881" spans="2:54" x14ac:dyDescent="0.2">
      <c r="B881" s="174"/>
      <c r="C881" s="176"/>
      <c r="F881" s="5">
        <v>0</v>
      </c>
      <c r="G881" s="192">
        <v>0</v>
      </c>
      <c r="H881" s="192">
        <v>0</v>
      </c>
      <c r="I881" s="5">
        <v>0</v>
      </c>
      <c r="J881" s="192">
        <v>0</v>
      </c>
      <c r="K881" s="192">
        <v>0</v>
      </c>
      <c r="L881" s="5">
        <v>0</v>
      </c>
      <c r="M881" s="5">
        <v>0</v>
      </c>
      <c r="N881" s="4" t="e">
        <f t="shared" si="71"/>
        <v>#N/A</v>
      </c>
      <c r="O881" s="4" t="e">
        <f>IF(ROUND(10.499-(((N881-VLOOKUP($C881,Lookups!$A$55:$D$64,3))/(VLOOKUP($C881,Lookups!$A$55:$D$64,4))*VLOOKUP($C881,Lookups!$C$2:$D$11,2))),0)&lt;1,1,IF(ROUND(10.499-(((N881-VLOOKUP($C881,Lookups!$A$55:$D$64,3))/(VLOOKUP($C881,Lookups!$A$55:$D$64,4))*VLOOKUP($C881,Lookups!$C$2:$D$11,2))),0)&lt;11,ROUND(10.499-(((N881-VLOOKUP($C881,Lookups!$A$55:$D$64,3))/(VLOOKUP($C881,Lookups!$A$55:$D$64,4))*VLOOKUP($C881,Lookups!$C$2:$D$11,2))),0),10))</f>
        <v>#N/A</v>
      </c>
      <c r="P881" s="13" t="str">
        <f>IF((SUM(F881:M881)=0),"J",VLOOKUP(O881,Lookups!$A$1:$B$11,2))</f>
        <v>J</v>
      </c>
      <c r="Q881" s="8" t="e">
        <f>VLOOKUP(C881,Lookups!$A$136:$C$144,3)</f>
        <v>#N/A</v>
      </c>
      <c r="R881" s="8" t="e">
        <f>VLOOKUP(C881,Lookups!$A$136:$C$144,2)</f>
        <v>#N/A</v>
      </c>
      <c r="S881" s="4" t="str">
        <f t="shared" si="72"/>
        <v>No</v>
      </c>
      <c r="T881" s="125">
        <f t="shared" si="73"/>
        <v>0</v>
      </c>
      <c r="U881" s="125">
        <f t="shared" si="74"/>
        <v>0</v>
      </c>
      <c r="V881" s="4" t="e">
        <f>IF($Q881&lt;&gt;3,VLOOKUP(F881,'Points Table A'!B$3:$F$33,5),VLOOKUP(F881,'Points Table A'!H$3:$L$33,5))</f>
        <v>#N/A</v>
      </c>
      <c r="W881" s="4" t="e">
        <f>IF($Q881&lt;&gt;3,VLOOKUP(G881,'Points Table A'!C$3:$F$33,4),VLOOKUP(G881,'Points Table A'!I$3:$L$33,4))</f>
        <v>#N/A</v>
      </c>
      <c r="X881" s="4" t="e">
        <f>IF($Q881&lt;&gt;3,VLOOKUP(H881,'Points Table A'!D$3:$F$28,3),VLOOKUP(H881,'Points Table A'!J$3:$L$33,3))</f>
        <v>#N/A</v>
      </c>
      <c r="Y881" s="4" t="e">
        <f>IF($Q881&lt;&gt;3,VLOOKUP(I881,'Points Table A'!E$3:$F$33,2),VLOOKUP(I881,'Points Table A'!K$3:$L$33,2))</f>
        <v>#N/A</v>
      </c>
      <c r="Z881" s="4" t="e">
        <f t="shared" si="75"/>
        <v>#N/A</v>
      </c>
      <c r="AA881" s="4">
        <f>IF($S881=Lookups!$B$113,VLOOKUP(L881,'Points Table C'!A$3:$E$11,5),VLOOKUP(U881,'Points Table C'!B$3:$E$11,4))</f>
        <v>0</v>
      </c>
      <c r="AB881" s="4" t="e">
        <f>IF($Q881=1,0,VLOOKUP($J881,'Points Table C'!$C$3:$E$18,3))</f>
        <v>#N/A</v>
      </c>
      <c r="AC881" s="4">
        <f>VLOOKUP($K881,'Points Table C'!$D$3:$E$18,2)</f>
        <v>0</v>
      </c>
      <c r="AD881" s="4" t="e">
        <f>IF($Z881&lt;Lookups!$C$106,($AA881+AB881+AC881),IF($AA881&gt;=Lookups!$C$120,($AA881+AB881+AC881),$AA881+$AB881))</f>
        <v>#N/A</v>
      </c>
      <c r="AF881" s="7"/>
      <c r="AG881" s="7"/>
      <c r="AH881" s="7"/>
      <c r="AI881" s="7"/>
      <c r="AJ881" s="7"/>
      <c r="AK881" s="7"/>
      <c r="AL881" s="7"/>
      <c r="AM881" s="7"/>
      <c r="AN881" s="7"/>
      <c r="AO881" s="7"/>
      <c r="AP881" s="7"/>
      <c r="AQ881" s="7"/>
      <c r="AR881" s="7"/>
      <c r="AS881" s="7"/>
      <c r="AT881" s="7"/>
      <c r="AU881" s="7"/>
      <c r="AV881" s="7"/>
      <c r="AW881" s="7"/>
      <c r="AY881" s="7"/>
      <c r="AZ881" s="7"/>
      <c r="BA881" s="7"/>
      <c r="BB881" s="7"/>
    </row>
    <row r="882" spans="2:54" x14ac:dyDescent="0.2">
      <c r="B882" s="174"/>
      <c r="C882" s="176"/>
      <c r="F882" s="5">
        <v>0</v>
      </c>
      <c r="G882" s="192">
        <v>0</v>
      </c>
      <c r="H882" s="192">
        <v>0</v>
      </c>
      <c r="I882" s="5">
        <v>0</v>
      </c>
      <c r="J882" s="192">
        <v>0</v>
      </c>
      <c r="K882" s="192">
        <v>0</v>
      </c>
      <c r="L882" s="5">
        <v>0</v>
      </c>
      <c r="M882" s="5">
        <v>0</v>
      </c>
      <c r="N882" s="4" t="e">
        <f t="shared" si="71"/>
        <v>#N/A</v>
      </c>
      <c r="O882" s="4" t="e">
        <f>IF(ROUND(10.499-(((N882-VLOOKUP($C882,Lookups!$A$55:$D$64,3))/(VLOOKUP($C882,Lookups!$A$55:$D$64,4))*VLOOKUP($C882,Lookups!$C$2:$D$11,2))),0)&lt;1,1,IF(ROUND(10.499-(((N882-VLOOKUP($C882,Lookups!$A$55:$D$64,3))/(VLOOKUP($C882,Lookups!$A$55:$D$64,4))*VLOOKUP($C882,Lookups!$C$2:$D$11,2))),0)&lt;11,ROUND(10.499-(((N882-VLOOKUP($C882,Lookups!$A$55:$D$64,3))/(VLOOKUP($C882,Lookups!$A$55:$D$64,4))*VLOOKUP($C882,Lookups!$C$2:$D$11,2))),0),10))</f>
        <v>#N/A</v>
      </c>
      <c r="P882" s="13" t="str">
        <f>IF((SUM(F882:M882)=0),"J",VLOOKUP(O882,Lookups!$A$1:$B$11,2))</f>
        <v>J</v>
      </c>
      <c r="Q882" s="8" t="e">
        <f>VLOOKUP(C882,Lookups!$A$136:$C$144,3)</f>
        <v>#N/A</v>
      </c>
      <c r="R882" s="8" t="e">
        <f>VLOOKUP(C882,Lookups!$A$136:$C$144,2)</f>
        <v>#N/A</v>
      </c>
      <c r="S882" s="4" t="str">
        <f t="shared" si="72"/>
        <v>No</v>
      </c>
      <c r="T882" s="125">
        <f t="shared" si="73"/>
        <v>0</v>
      </c>
      <c r="U882" s="125">
        <f t="shared" si="74"/>
        <v>0</v>
      </c>
      <c r="V882" s="4" t="e">
        <f>IF($Q882&lt;&gt;3,VLOOKUP(F882,'Points Table A'!B$3:$F$33,5),VLOOKUP(F882,'Points Table A'!H$3:$L$33,5))</f>
        <v>#N/A</v>
      </c>
      <c r="W882" s="4" t="e">
        <f>IF($Q882&lt;&gt;3,VLOOKUP(G882,'Points Table A'!C$3:$F$33,4),VLOOKUP(G882,'Points Table A'!I$3:$L$33,4))</f>
        <v>#N/A</v>
      </c>
      <c r="X882" s="4" t="e">
        <f>IF($Q882&lt;&gt;3,VLOOKUP(H882,'Points Table A'!D$3:$F$28,3),VLOOKUP(H882,'Points Table A'!J$3:$L$33,3))</f>
        <v>#N/A</v>
      </c>
      <c r="Y882" s="4" t="e">
        <f>IF($Q882&lt;&gt;3,VLOOKUP(I882,'Points Table A'!E$3:$F$33,2),VLOOKUP(I882,'Points Table A'!K$3:$L$33,2))</f>
        <v>#N/A</v>
      </c>
      <c r="Z882" s="4" t="e">
        <f t="shared" si="75"/>
        <v>#N/A</v>
      </c>
      <c r="AA882" s="4">
        <f>IF($S882=Lookups!$B$113,VLOOKUP(L882,'Points Table C'!A$3:$E$11,5),VLOOKUP(U882,'Points Table C'!B$3:$E$11,4))</f>
        <v>0</v>
      </c>
      <c r="AB882" s="4" t="e">
        <f>IF($Q882=1,0,VLOOKUP($J882,'Points Table C'!$C$3:$E$18,3))</f>
        <v>#N/A</v>
      </c>
      <c r="AC882" s="4">
        <f>VLOOKUP($K882,'Points Table C'!$D$3:$E$18,2)</f>
        <v>0</v>
      </c>
      <c r="AD882" s="4" t="e">
        <f>IF($Z882&lt;Lookups!$C$106,($AA882+AB882+AC882),IF($AA882&gt;=Lookups!$C$120,($AA882+AB882+AC882),$AA882+$AB882))</f>
        <v>#N/A</v>
      </c>
      <c r="AF882" s="7"/>
      <c r="AG882" s="7"/>
      <c r="AH882" s="7"/>
      <c r="AI882" s="7"/>
      <c r="AJ882" s="7"/>
      <c r="AK882" s="7"/>
      <c r="AL882" s="7"/>
      <c r="AM882" s="7"/>
      <c r="AN882" s="7"/>
      <c r="AO882" s="7"/>
      <c r="AP882" s="7"/>
      <c r="AQ882" s="7"/>
      <c r="AR882" s="7"/>
      <c r="AS882" s="7"/>
      <c r="AT882" s="7"/>
      <c r="AU882" s="7"/>
      <c r="AV882" s="7"/>
      <c r="AW882" s="7"/>
      <c r="AY882" s="7"/>
      <c r="AZ882" s="7"/>
      <c r="BA882" s="7"/>
      <c r="BB882" s="7"/>
    </row>
    <row r="883" spans="2:54" x14ac:dyDescent="0.2">
      <c r="B883" s="174"/>
      <c r="C883" s="176"/>
      <c r="F883" s="5">
        <v>0</v>
      </c>
      <c r="G883" s="192">
        <v>0</v>
      </c>
      <c r="H883" s="192">
        <v>0</v>
      </c>
      <c r="I883" s="5">
        <v>0</v>
      </c>
      <c r="J883" s="192">
        <v>0</v>
      </c>
      <c r="K883" s="192">
        <v>0</v>
      </c>
      <c r="L883" s="5">
        <v>0</v>
      </c>
      <c r="M883" s="5">
        <v>0</v>
      </c>
      <c r="N883" s="4" t="e">
        <f t="shared" si="71"/>
        <v>#N/A</v>
      </c>
      <c r="O883" s="4" t="e">
        <f>IF(ROUND(10.499-(((N883-VLOOKUP($C883,Lookups!$A$55:$D$64,3))/(VLOOKUP($C883,Lookups!$A$55:$D$64,4))*VLOOKUP($C883,Lookups!$C$2:$D$11,2))),0)&lt;1,1,IF(ROUND(10.499-(((N883-VLOOKUP($C883,Lookups!$A$55:$D$64,3))/(VLOOKUP($C883,Lookups!$A$55:$D$64,4))*VLOOKUP($C883,Lookups!$C$2:$D$11,2))),0)&lt;11,ROUND(10.499-(((N883-VLOOKUP($C883,Lookups!$A$55:$D$64,3))/(VLOOKUP($C883,Lookups!$A$55:$D$64,4))*VLOOKUP($C883,Lookups!$C$2:$D$11,2))),0),10))</f>
        <v>#N/A</v>
      </c>
      <c r="P883" s="13" t="str">
        <f>IF((SUM(F883:M883)=0),"J",VLOOKUP(O883,Lookups!$A$1:$B$11,2))</f>
        <v>J</v>
      </c>
      <c r="Q883" s="8" t="e">
        <f>VLOOKUP(C883,Lookups!$A$136:$C$144,3)</f>
        <v>#N/A</v>
      </c>
      <c r="R883" s="8" t="e">
        <f>VLOOKUP(C883,Lookups!$A$136:$C$144,2)</f>
        <v>#N/A</v>
      </c>
      <c r="S883" s="4" t="str">
        <f t="shared" si="72"/>
        <v>No</v>
      </c>
      <c r="T883" s="125">
        <f t="shared" si="73"/>
        <v>0</v>
      </c>
      <c r="U883" s="125">
        <f t="shared" si="74"/>
        <v>0</v>
      </c>
      <c r="V883" s="4" t="e">
        <f>IF($Q883&lt;&gt;3,VLOOKUP(F883,'Points Table A'!B$3:$F$33,5),VLOOKUP(F883,'Points Table A'!H$3:$L$33,5))</f>
        <v>#N/A</v>
      </c>
      <c r="W883" s="4" t="e">
        <f>IF($Q883&lt;&gt;3,VLOOKUP(G883,'Points Table A'!C$3:$F$33,4),VLOOKUP(G883,'Points Table A'!I$3:$L$33,4))</f>
        <v>#N/A</v>
      </c>
      <c r="X883" s="4" t="e">
        <f>IF($Q883&lt;&gt;3,VLOOKUP(H883,'Points Table A'!D$3:$F$28,3),VLOOKUP(H883,'Points Table A'!J$3:$L$33,3))</f>
        <v>#N/A</v>
      </c>
      <c r="Y883" s="4" t="e">
        <f>IF($Q883&lt;&gt;3,VLOOKUP(I883,'Points Table A'!E$3:$F$33,2),VLOOKUP(I883,'Points Table A'!K$3:$L$33,2))</f>
        <v>#N/A</v>
      </c>
      <c r="Z883" s="4" t="e">
        <f t="shared" si="75"/>
        <v>#N/A</v>
      </c>
      <c r="AA883" s="4">
        <f>IF($S883=Lookups!$B$113,VLOOKUP(L883,'Points Table C'!A$3:$E$11,5),VLOOKUP(U883,'Points Table C'!B$3:$E$11,4))</f>
        <v>0</v>
      </c>
      <c r="AB883" s="4" t="e">
        <f>IF($Q883=1,0,VLOOKUP($J883,'Points Table C'!$C$3:$E$18,3))</f>
        <v>#N/A</v>
      </c>
      <c r="AC883" s="4">
        <f>VLOOKUP($K883,'Points Table C'!$D$3:$E$18,2)</f>
        <v>0</v>
      </c>
      <c r="AD883" s="4" t="e">
        <f>IF($Z883&lt;Lookups!$C$106,($AA883+AB883+AC883),IF($AA883&gt;=Lookups!$C$120,($AA883+AB883+AC883),$AA883+$AB883))</f>
        <v>#N/A</v>
      </c>
      <c r="AF883" s="7"/>
      <c r="AG883" s="7"/>
      <c r="AH883" s="7"/>
      <c r="AI883" s="7"/>
      <c r="AJ883" s="7"/>
      <c r="AK883" s="7"/>
      <c r="AL883" s="7"/>
      <c r="AM883" s="7"/>
      <c r="AN883" s="7"/>
      <c r="AO883" s="7"/>
      <c r="AP883" s="7"/>
      <c r="AQ883" s="7"/>
      <c r="AR883" s="7"/>
      <c r="AS883" s="7"/>
      <c r="AT883" s="7"/>
      <c r="AU883" s="7"/>
      <c r="AV883" s="7"/>
      <c r="AW883" s="7"/>
      <c r="AY883" s="7"/>
      <c r="AZ883" s="7"/>
      <c r="BA883" s="7"/>
      <c r="BB883" s="7"/>
    </row>
    <row r="884" spans="2:54" x14ac:dyDescent="0.2">
      <c r="B884" s="174"/>
      <c r="C884" s="176"/>
      <c r="F884" s="5">
        <v>0</v>
      </c>
      <c r="G884" s="192">
        <v>0</v>
      </c>
      <c r="H884" s="192">
        <v>0</v>
      </c>
      <c r="I884" s="5">
        <v>0</v>
      </c>
      <c r="J884" s="192">
        <v>0</v>
      </c>
      <c r="K884" s="192">
        <v>0</v>
      </c>
      <c r="L884" s="5">
        <v>0</v>
      </c>
      <c r="M884" s="5">
        <v>0</v>
      </c>
      <c r="N884" s="4" t="e">
        <f t="shared" si="71"/>
        <v>#N/A</v>
      </c>
      <c r="O884" s="4" t="e">
        <f>IF(ROUND(10.499-(((N884-VLOOKUP($C884,Lookups!$A$55:$D$64,3))/(VLOOKUP($C884,Lookups!$A$55:$D$64,4))*VLOOKUP($C884,Lookups!$C$2:$D$11,2))),0)&lt;1,1,IF(ROUND(10.499-(((N884-VLOOKUP($C884,Lookups!$A$55:$D$64,3))/(VLOOKUP($C884,Lookups!$A$55:$D$64,4))*VLOOKUP($C884,Lookups!$C$2:$D$11,2))),0)&lt;11,ROUND(10.499-(((N884-VLOOKUP($C884,Lookups!$A$55:$D$64,3))/(VLOOKUP($C884,Lookups!$A$55:$D$64,4))*VLOOKUP($C884,Lookups!$C$2:$D$11,2))),0),10))</f>
        <v>#N/A</v>
      </c>
      <c r="P884" s="13" t="str">
        <f>IF((SUM(F884:M884)=0),"J",VLOOKUP(O884,Lookups!$A$1:$B$11,2))</f>
        <v>J</v>
      </c>
      <c r="Q884" s="8" t="e">
        <f>VLOOKUP(C884,Lookups!$A$136:$C$144,3)</f>
        <v>#N/A</v>
      </c>
      <c r="R884" s="8" t="e">
        <f>VLOOKUP(C884,Lookups!$A$136:$C$144,2)</f>
        <v>#N/A</v>
      </c>
      <c r="S884" s="4" t="str">
        <f t="shared" si="72"/>
        <v>No</v>
      </c>
      <c r="T884" s="125">
        <f t="shared" si="73"/>
        <v>0</v>
      </c>
      <c r="U884" s="125">
        <f t="shared" si="74"/>
        <v>0</v>
      </c>
      <c r="V884" s="4" t="e">
        <f>IF($Q884&lt;&gt;3,VLOOKUP(F884,'Points Table A'!B$3:$F$33,5),VLOOKUP(F884,'Points Table A'!H$3:$L$33,5))</f>
        <v>#N/A</v>
      </c>
      <c r="W884" s="4" t="e">
        <f>IF($Q884&lt;&gt;3,VLOOKUP(G884,'Points Table A'!C$3:$F$33,4),VLOOKUP(G884,'Points Table A'!I$3:$L$33,4))</f>
        <v>#N/A</v>
      </c>
      <c r="X884" s="4" t="e">
        <f>IF($Q884&lt;&gt;3,VLOOKUP(H884,'Points Table A'!D$3:$F$28,3),VLOOKUP(H884,'Points Table A'!J$3:$L$33,3))</f>
        <v>#N/A</v>
      </c>
      <c r="Y884" s="4" t="e">
        <f>IF($Q884&lt;&gt;3,VLOOKUP(I884,'Points Table A'!E$3:$F$33,2),VLOOKUP(I884,'Points Table A'!K$3:$L$33,2))</f>
        <v>#N/A</v>
      </c>
      <c r="Z884" s="4" t="e">
        <f t="shared" si="75"/>
        <v>#N/A</v>
      </c>
      <c r="AA884" s="4">
        <f>IF($S884=Lookups!$B$113,VLOOKUP(L884,'Points Table C'!A$3:$E$11,5),VLOOKUP(U884,'Points Table C'!B$3:$E$11,4))</f>
        <v>0</v>
      </c>
      <c r="AB884" s="4" t="e">
        <f>IF($Q884=1,0,VLOOKUP($J884,'Points Table C'!$C$3:$E$18,3))</f>
        <v>#N/A</v>
      </c>
      <c r="AC884" s="4">
        <f>VLOOKUP($K884,'Points Table C'!$D$3:$E$18,2)</f>
        <v>0</v>
      </c>
      <c r="AD884" s="4" t="e">
        <f>IF($Z884&lt;Lookups!$C$106,($AA884+AB884+AC884),IF($AA884&gt;=Lookups!$C$120,($AA884+AB884+AC884),$AA884+$AB884))</f>
        <v>#N/A</v>
      </c>
      <c r="AF884" s="7"/>
      <c r="AG884" s="7"/>
      <c r="AH884" s="7"/>
      <c r="AI884" s="7"/>
      <c r="AJ884" s="7"/>
      <c r="AK884" s="7"/>
      <c r="AL884" s="7"/>
      <c r="AM884" s="7"/>
      <c r="AN884" s="7"/>
      <c r="AO884" s="7"/>
      <c r="AP884" s="7"/>
      <c r="AQ884" s="7"/>
      <c r="AR884" s="7"/>
      <c r="AS884" s="7"/>
      <c r="AT884" s="7"/>
      <c r="AU884" s="7"/>
      <c r="AV884" s="7"/>
      <c r="AW884" s="7"/>
      <c r="AY884" s="7"/>
      <c r="AZ884" s="7"/>
      <c r="BA884" s="7"/>
      <c r="BB884" s="7"/>
    </row>
    <row r="885" spans="2:54" x14ac:dyDescent="0.2">
      <c r="B885" s="174"/>
      <c r="C885" s="176"/>
      <c r="F885" s="5">
        <v>0</v>
      </c>
      <c r="G885" s="192">
        <v>0</v>
      </c>
      <c r="H885" s="192">
        <v>0</v>
      </c>
      <c r="I885" s="5">
        <v>0</v>
      </c>
      <c r="J885" s="192">
        <v>0</v>
      </c>
      <c r="K885" s="192">
        <v>0</v>
      </c>
      <c r="L885" s="5">
        <v>0</v>
      </c>
      <c r="M885" s="5">
        <v>0</v>
      </c>
      <c r="N885" s="4" t="e">
        <f t="shared" si="71"/>
        <v>#N/A</v>
      </c>
      <c r="O885" s="4" t="e">
        <f>IF(ROUND(10.499-(((N885-VLOOKUP($C885,Lookups!$A$55:$D$64,3))/(VLOOKUP($C885,Lookups!$A$55:$D$64,4))*VLOOKUP($C885,Lookups!$C$2:$D$11,2))),0)&lt;1,1,IF(ROUND(10.499-(((N885-VLOOKUP($C885,Lookups!$A$55:$D$64,3))/(VLOOKUP($C885,Lookups!$A$55:$D$64,4))*VLOOKUP($C885,Lookups!$C$2:$D$11,2))),0)&lt;11,ROUND(10.499-(((N885-VLOOKUP($C885,Lookups!$A$55:$D$64,3))/(VLOOKUP($C885,Lookups!$A$55:$D$64,4))*VLOOKUP($C885,Lookups!$C$2:$D$11,2))),0),10))</f>
        <v>#N/A</v>
      </c>
      <c r="P885" s="13" t="str">
        <f>IF((SUM(F885:M885)=0),"J",VLOOKUP(O885,Lookups!$A$1:$B$11,2))</f>
        <v>J</v>
      </c>
      <c r="Q885" s="8" t="e">
        <f>VLOOKUP(C885,Lookups!$A$136:$C$144,3)</f>
        <v>#N/A</v>
      </c>
      <c r="R885" s="8" t="e">
        <f>VLOOKUP(C885,Lookups!$A$136:$C$144,2)</f>
        <v>#N/A</v>
      </c>
      <c r="S885" s="4" t="str">
        <f t="shared" si="72"/>
        <v>No</v>
      </c>
      <c r="T885" s="125">
        <f t="shared" si="73"/>
        <v>0</v>
      </c>
      <c r="U885" s="125">
        <f t="shared" si="74"/>
        <v>0</v>
      </c>
      <c r="V885" s="4" t="e">
        <f>IF($Q885&lt;&gt;3,VLOOKUP(F885,'Points Table A'!B$3:$F$33,5),VLOOKUP(F885,'Points Table A'!H$3:$L$33,5))</f>
        <v>#N/A</v>
      </c>
      <c r="W885" s="4" t="e">
        <f>IF($Q885&lt;&gt;3,VLOOKUP(G885,'Points Table A'!C$3:$F$33,4),VLOOKUP(G885,'Points Table A'!I$3:$L$33,4))</f>
        <v>#N/A</v>
      </c>
      <c r="X885" s="4" t="e">
        <f>IF($Q885&lt;&gt;3,VLOOKUP(H885,'Points Table A'!D$3:$F$28,3),VLOOKUP(H885,'Points Table A'!J$3:$L$33,3))</f>
        <v>#N/A</v>
      </c>
      <c r="Y885" s="4" t="e">
        <f>IF($Q885&lt;&gt;3,VLOOKUP(I885,'Points Table A'!E$3:$F$33,2),VLOOKUP(I885,'Points Table A'!K$3:$L$33,2))</f>
        <v>#N/A</v>
      </c>
      <c r="Z885" s="4" t="e">
        <f t="shared" si="75"/>
        <v>#N/A</v>
      </c>
      <c r="AA885" s="4">
        <f>IF($S885=Lookups!$B$113,VLOOKUP(L885,'Points Table C'!A$3:$E$11,5),VLOOKUP(U885,'Points Table C'!B$3:$E$11,4))</f>
        <v>0</v>
      </c>
      <c r="AB885" s="4" t="e">
        <f>IF($Q885=1,0,VLOOKUP($J885,'Points Table C'!$C$3:$E$18,3))</f>
        <v>#N/A</v>
      </c>
      <c r="AC885" s="4">
        <f>VLOOKUP($K885,'Points Table C'!$D$3:$E$18,2)</f>
        <v>0</v>
      </c>
      <c r="AD885" s="4" t="e">
        <f>IF($Z885&lt;Lookups!$C$106,($AA885+AB885+AC885),IF($AA885&gt;=Lookups!$C$120,($AA885+AB885+AC885),$AA885+$AB885))</f>
        <v>#N/A</v>
      </c>
      <c r="AF885" s="7"/>
      <c r="AG885" s="7"/>
      <c r="AH885" s="7"/>
      <c r="AI885" s="7"/>
      <c r="AJ885" s="7"/>
      <c r="AK885" s="7"/>
      <c r="AL885" s="7"/>
      <c r="AM885" s="7"/>
      <c r="AN885" s="7"/>
      <c r="AO885" s="7"/>
      <c r="AP885" s="7"/>
      <c r="AQ885" s="7"/>
      <c r="AR885" s="7"/>
      <c r="AS885" s="7"/>
      <c r="AT885" s="7"/>
      <c r="AU885" s="7"/>
      <c r="AV885" s="7"/>
      <c r="AW885" s="7"/>
      <c r="AY885" s="7"/>
      <c r="AZ885" s="7"/>
      <c r="BA885" s="7"/>
      <c r="BB885" s="7"/>
    </row>
    <row r="886" spans="2:54" x14ac:dyDescent="0.2">
      <c r="B886" s="174"/>
      <c r="C886" s="176"/>
      <c r="F886" s="5">
        <v>0</v>
      </c>
      <c r="G886" s="192">
        <v>0</v>
      </c>
      <c r="H886" s="192">
        <v>0</v>
      </c>
      <c r="I886" s="5">
        <v>0</v>
      </c>
      <c r="J886" s="192">
        <v>0</v>
      </c>
      <c r="K886" s="192">
        <v>0</v>
      </c>
      <c r="L886" s="5">
        <v>0</v>
      </c>
      <c r="M886" s="5">
        <v>0</v>
      </c>
      <c r="N886" s="4" t="e">
        <f t="shared" si="71"/>
        <v>#N/A</v>
      </c>
      <c r="O886" s="4" t="e">
        <f>IF(ROUND(10.499-(((N886-VLOOKUP($C886,Lookups!$A$55:$D$64,3))/(VLOOKUP($C886,Lookups!$A$55:$D$64,4))*VLOOKUP($C886,Lookups!$C$2:$D$11,2))),0)&lt;1,1,IF(ROUND(10.499-(((N886-VLOOKUP($C886,Lookups!$A$55:$D$64,3))/(VLOOKUP($C886,Lookups!$A$55:$D$64,4))*VLOOKUP($C886,Lookups!$C$2:$D$11,2))),0)&lt;11,ROUND(10.499-(((N886-VLOOKUP($C886,Lookups!$A$55:$D$64,3))/(VLOOKUP($C886,Lookups!$A$55:$D$64,4))*VLOOKUP($C886,Lookups!$C$2:$D$11,2))),0),10))</f>
        <v>#N/A</v>
      </c>
      <c r="P886" s="13" t="str">
        <f>IF((SUM(F886:M886)=0),"J",VLOOKUP(O886,Lookups!$A$1:$B$11,2))</f>
        <v>J</v>
      </c>
      <c r="Q886" s="8" t="e">
        <f>VLOOKUP(C886,Lookups!$A$136:$C$144,3)</f>
        <v>#N/A</v>
      </c>
      <c r="R886" s="8" t="e">
        <f>VLOOKUP(C886,Lookups!$A$136:$C$144,2)</f>
        <v>#N/A</v>
      </c>
      <c r="S886" s="4" t="str">
        <f t="shared" si="72"/>
        <v>No</v>
      </c>
      <c r="T886" s="125">
        <f t="shared" si="73"/>
        <v>0</v>
      </c>
      <c r="U886" s="125">
        <f t="shared" si="74"/>
        <v>0</v>
      </c>
      <c r="V886" s="4" t="e">
        <f>IF($Q886&lt;&gt;3,VLOOKUP(F886,'Points Table A'!B$3:$F$33,5),VLOOKUP(F886,'Points Table A'!H$3:$L$33,5))</f>
        <v>#N/A</v>
      </c>
      <c r="W886" s="4" t="e">
        <f>IF($Q886&lt;&gt;3,VLOOKUP(G886,'Points Table A'!C$3:$F$33,4),VLOOKUP(G886,'Points Table A'!I$3:$L$33,4))</f>
        <v>#N/A</v>
      </c>
      <c r="X886" s="4" t="e">
        <f>IF($Q886&lt;&gt;3,VLOOKUP(H886,'Points Table A'!D$3:$F$28,3),VLOOKUP(H886,'Points Table A'!J$3:$L$33,3))</f>
        <v>#N/A</v>
      </c>
      <c r="Y886" s="4" t="e">
        <f>IF($Q886&lt;&gt;3,VLOOKUP(I886,'Points Table A'!E$3:$F$33,2),VLOOKUP(I886,'Points Table A'!K$3:$L$33,2))</f>
        <v>#N/A</v>
      </c>
      <c r="Z886" s="4" t="e">
        <f t="shared" si="75"/>
        <v>#N/A</v>
      </c>
      <c r="AA886" s="4">
        <f>IF($S886=Lookups!$B$113,VLOOKUP(L886,'Points Table C'!A$3:$E$11,5),VLOOKUP(U886,'Points Table C'!B$3:$E$11,4))</f>
        <v>0</v>
      </c>
      <c r="AB886" s="4" t="e">
        <f>IF($Q886=1,0,VLOOKUP($J886,'Points Table C'!$C$3:$E$18,3))</f>
        <v>#N/A</v>
      </c>
      <c r="AC886" s="4">
        <f>VLOOKUP($K886,'Points Table C'!$D$3:$E$18,2)</f>
        <v>0</v>
      </c>
      <c r="AD886" s="4" t="e">
        <f>IF($Z886&lt;Lookups!$C$106,($AA886+AB886+AC886),IF($AA886&gt;=Lookups!$C$120,($AA886+AB886+AC886),$AA886+$AB886))</f>
        <v>#N/A</v>
      </c>
      <c r="AF886" s="7"/>
      <c r="AG886" s="7"/>
      <c r="AH886" s="7"/>
      <c r="AI886" s="7"/>
      <c r="AJ886" s="7"/>
      <c r="AK886" s="7"/>
      <c r="AL886" s="7"/>
      <c r="AM886" s="7"/>
      <c r="AN886" s="7"/>
      <c r="AO886" s="7"/>
      <c r="AP886" s="7"/>
      <c r="AQ886" s="7"/>
      <c r="AR886" s="7"/>
      <c r="AS886" s="7"/>
      <c r="AT886" s="7"/>
      <c r="AU886" s="7"/>
      <c r="AV886" s="7"/>
      <c r="AW886" s="7"/>
      <c r="AY886" s="7"/>
      <c r="AZ886" s="7"/>
      <c r="BA886" s="7"/>
      <c r="BB886" s="7"/>
    </row>
    <row r="887" spans="2:54" x14ac:dyDescent="0.2">
      <c r="B887" s="174"/>
      <c r="C887" s="176"/>
      <c r="F887" s="5">
        <v>0</v>
      </c>
      <c r="G887" s="192">
        <v>0</v>
      </c>
      <c r="H887" s="192">
        <v>0</v>
      </c>
      <c r="I887" s="5">
        <v>0</v>
      </c>
      <c r="J887" s="192">
        <v>0</v>
      </c>
      <c r="K887" s="192">
        <v>0</v>
      </c>
      <c r="L887" s="5">
        <v>0</v>
      </c>
      <c r="M887" s="5">
        <v>0</v>
      </c>
      <c r="N887" s="4" t="e">
        <f t="shared" si="71"/>
        <v>#N/A</v>
      </c>
      <c r="O887" s="4" t="e">
        <f>IF(ROUND(10.499-(((N887-VLOOKUP($C887,Lookups!$A$55:$D$64,3))/(VLOOKUP($C887,Lookups!$A$55:$D$64,4))*VLOOKUP($C887,Lookups!$C$2:$D$11,2))),0)&lt;1,1,IF(ROUND(10.499-(((N887-VLOOKUP($C887,Lookups!$A$55:$D$64,3))/(VLOOKUP($C887,Lookups!$A$55:$D$64,4))*VLOOKUP($C887,Lookups!$C$2:$D$11,2))),0)&lt;11,ROUND(10.499-(((N887-VLOOKUP($C887,Lookups!$A$55:$D$64,3))/(VLOOKUP($C887,Lookups!$A$55:$D$64,4))*VLOOKUP($C887,Lookups!$C$2:$D$11,2))),0),10))</f>
        <v>#N/A</v>
      </c>
      <c r="P887" s="13" t="str">
        <f>IF((SUM(F887:M887)=0),"J",VLOOKUP(O887,Lookups!$A$1:$B$11,2))</f>
        <v>J</v>
      </c>
      <c r="Q887" s="8" t="e">
        <f>VLOOKUP(C887,Lookups!$A$136:$C$144,3)</f>
        <v>#N/A</v>
      </c>
      <c r="R887" s="8" t="e">
        <f>VLOOKUP(C887,Lookups!$A$136:$C$144,2)</f>
        <v>#N/A</v>
      </c>
      <c r="S887" s="4" t="str">
        <f t="shared" si="72"/>
        <v>No</v>
      </c>
      <c r="T887" s="125">
        <f t="shared" si="73"/>
        <v>0</v>
      </c>
      <c r="U887" s="125">
        <f t="shared" si="74"/>
        <v>0</v>
      </c>
      <c r="V887" s="4" t="e">
        <f>IF($Q887&lt;&gt;3,VLOOKUP(F887,'Points Table A'!B$3:$F$33,5),VLOOKUP(F887,'Points Table A'!H$3:$L$33,5))</f>
        <v>#N/A</v>
      </c>
      <c r="W887" s="4" t="e">
        <f>IF($Q887&lt;&gt;3,VLOOKUP(G887,'Points Table A'!C$3:$F$33,4),VLOOKUP(G887,'Points Table A'!I$3:$L$33,4))</f>
        <v>#N/A</v>
      </c>
      <c r="X887" s="4" t="e">
        <f>IF($Q887&lt;&gt;3,VLOOKUP(H887,'Points Table A'!D$3:$F$28,3),VLOOKUP(H887,'Points Table A'!J$3:$L$33,3))</f>
        <v>#N/A</v>
      </c>
      <c r="Y887" s="4" t="e">
        <f>IF($Q887&lt;&gt;3,VLOOKUP(I887,'Points Table A'!E$3:$F$33,2),VLOOKUP(I887,'Points Table A'!K$3:$L$33,2))</f>
        <v>#N/A</v>
      </c>
      <c r="Z887" s="4" t="e">
        <f t="shared" si="75"/>
        <v>#N/A</v>
      </c>
      <c r="AA887" s="4">
        <f>IF($S887=Lookups!$B$113,VLOOKUP(L887,'Points Table C'!A$3:$E$11,5),VLOOKUP(U887,'Points Table C'!B$3:$E$11,4))</f>
        <v>0</v>
      </c>
      <c r="AB887" s="4" t="e">
        <f>IF($Q887=1,0,VLOOKUP($J887,'Points Table C'!$C$3:$E$18,3))</f>
        <v>#N/A</v>
      </c>
      <c r="AC887" s="4">
        <f>VLOOKUP($K887,'Points Table C'!$D$3:$E$18,2)</f>
        <v>0</v>
      </c>
      <c r="AD887" s="4" t="e">
        <f>IF($Z887&lt;Lookups!$C$106,($AA887+AB887+AC887),IF($AA887&gt;=Lookups!$C$120,($AA887+AB887+AC887),$AA887+$AB887))</f>
        <v>#N/A</v>
      </c>
      <c r="AF887" s="7"/>
      <c r="AG887" s="7"/>
      <c r="AH887" s="7"/>
      <c r="AI887" s="7"/>
      <c r="AJ887" s="7"/>
      <c r="AK887" s="7"/>
      <c r="AL887" s="7"/>
      <c r="AM887" s="7"/>
      <c r="AN887" s="7"/>
      <c r="AO887" s="7"/>
      <c r="AP887" s="7"/>
      <c r="AQ887" s="7"/>
      <c r="AR887" s="7"/>
      <c r="AS887" s="7"/>
      <c r="AT887" s="7"/>
      <c r="AU887" s="7"/>
      <c r="AV887" s="7"/>
      <c r="AW887" s="7"/>
      <c r="AY887" s="7"/>
      <c r="AZ887" s="7"/>
      <c r="BA887" s="7"/>
      <c r="BB887" s="7"/>
    </row>
    <row r="888" spans="2:54" x14ac:dyDescent="0.2">
      <c r="B888" s="174"/>
      <c r="C888" s="176"/>
      <c r="F888" s="5">
        <v>0</v>
      </c>
      <c r="G888" s="192">
        <v>0</v>
      </c>
      <c r="H888" s="192">
        <v>0</v>
      </c>
      <c r="I888" s="5">
        <v>0</v>
      </c>
      <c r="J888" s="192">
        <v>0</v>
      </c>
      <c r="K888" s="192">
        <v>0</v>
      </c>
      <c r="L888" s="5">
        <v>0</v>
      </c>
      <c r="M888" s="5">
        <v>0</v>
      </c>
      <c r="N888" s="4" t="e">
        <f t="shared" si="71"/>
        <v>#N/A</v>
      </c>
      <c r="O888" s="4" t="e">
        <f>IF(ROUND(10.499-(((N888-VLOOKUP($C888,Lookups!$A$55:$D$64,3))/(VLOOKUP($C888,Lookups!$A$55:$D$64,4))*VLOOKUP($C888,Lookups!$C$2:$D$11,2))),0)&lt;1,1,IF(ROUND(10.499-(((N888-VLOOKUP($C888,Lookups!$A$55:$D$64,3))/(VLOOKUP($C888,Lookups!$A$55:$D$64,4))*VLOOKUP($C888,Lookups!$C$2:$D$11,2))),0)&lt;11,ROUND(10.499-(((N888-VLOOKUP($C888,Lookups!$A$55:$D$64,3))/(VLOOKUP($C888,Lookups!$A$55:$D$64,4))*VLOOKUP($C888,Lookups!$C$2:$D$11,2))),0),10))</f>
        <v>#N/A</v>
      </c>
      <c r="P888" s="13" t="str">
        <f>IF((SUM(F888:M888)=0),"J",VLOOKUP(O888,Lookups!$A$1:$B$11,2))</f>
        <v>J</v>
      </c>
      <c r="Q888" s="8" t="e">
        <f>VLOOKUP(C888,Lookups!$A$136:$C$144,3)</f>
        <v>#N/A</v>
      </c>
      <c r="R888" s="8" t="e">
        <f>VLOOKUP(C888,Lookups!$A$136:$C$144,2)</f>
        <v>#N/A</v>
      </c>
      <c r="S888" s="4" t="str">
        <f t="shared" si="72"/>
        <v>No</v>
      </c>
      <c r="T888" s="125">
        <f t="shared" si="73"/>
        <v>0</v>
      </c>
      <c r="U888" s="125">
        <f t="shared" si="74"/>
        <v>0</v>
      </c>
      <c r="V888" s="4" t="e">
        <f>IF($Q888&lt;&gt;3,VLOOKUP(F888,'Points Table A'!B$3:$F$33,5),VLOOKUP(F888,'Points Table A'!H$3:$L$33,5))</f>
        <v>#N/A</v>
      </c>
      <c r="W888" s="4" t="e">
        <f>IF($Q888&lt;&gt;3,VLOOKUP(G888,'Points Table A'!C$3:$F$33,4),VLOOKUP(G888,'Points Table A'!I$3:$L$33,4))</f>
        <v>#N/A</v>
      </c>
      <c r="X888" s="4" t="e">
        <f>IF($Q888&lt;&gt;3,VLOOKUP(H888,'Points Table A'!D$3:$F$28,3),VLOOKUP(H888,'Points Table A'!J$3:$L$33,3))</f>
        <v>#N/A</v>
      </c>
      <c r="Y888" s="4" t="e">
        <f>IF($Q888&lt;&gt;3,VLOOKUP(I888,'Points Table A'!E$3:$F$33,2),VLOOKUP(I888,'Points Table A'!K$3:$L$33,2))</f>
        <v>#N/A</v>
      </c>
      <c r="Z888" s="4" t="e">
        <f t="shared" si="75"/>
        <v>#N/A</v>
      </c>
      <c r="AA888" s="4">
        <f>IF($S888=Lookups!$B$113,VLOOKUP(L888,'Points Table C'!A$3:$E$11,5),VLOOKUP(U888,'Points Table C'!B$3:$E$11,4))</f>
        <v>0</v>
      </c>
      <c r="AB888" s="4" t="e">
        <f>IF($Q888=1,0,VLOOKUP($J888,'Points Table C'!$C$3:$E$18,3))</f>
        <v>#N/A</v>
      </c>
      <c r="AC888" s="4">
        <f>VLOOKUP($K888,'Points Table C'!$D$3:$E$18,2)</f>
        <v>0</v>
      </c>
      <c r="AD888" s="4" t="e">
        <f>IF($Z888&lt;Lookups!$C$106,($AA888+AB888+AC888),IF($AA888&gt;=Lookups!$C$120,($AA888+AB888+AC888),$AA888+$AB888))</f>
        <v>#N/A</v>
      </c>
      <c r="AF888" s="7"/>
      <c r="AG888" s="7"/>
      <c r="AH888" s="7"/>
      <c r="AI888" s="7"/>
      <c r="AJ888" s="7"/>
      <c r="AK888" s="7"/>
      <c r="AL888" s="7"/>
      <c r="AM888" s="7"/>
      <c r="AN888" s="7"/>
      <c r="AO888" s="7"/>
      <c r="AP888" s="7"/>
      <c r="AQ888" s="7"/>
      <c r="AR888" s="7"/>
      <c r="AS888" s="7"/>
      <c r="AT888" s="7"/>
      <c r="AU888" s="7"/>
      <c r="AV888" s="7"/>
      <c r="AW888" s="7"/>
      <c r="AY888" s="7"/>
      <c r="AZ888" s="7"/>
      <c r="BA888" s="7"/>
      <c r="BB888" s="7"/>
    </row>
    <row r="889" spans="2:54" x14ac:dyDescent="0.2">
      <c r="B889" s="174"/>
      <c r="C889" s="176"/>
      <c r="F889" s="5">
        <v>0</v>
      </c>
      <c r="G889" s="192">
        <v>0</v>
      </c>
      <c r="H889" s="192">
        <v>0</v>
      </c>
      <c r="I889" s="5">
        <v>0</v>
      </c>
      <c r="J889" s="192">
        <v>0</v>
      </c>
      <c r="K889" s="192">
        <v>0</v>
      </c>
      <c r="L889" s="5">
        <v>0</v>
      </c>
      <c r="M889" s="5">
        <v>0</v>
      </c>
      <c r="N889" s="4" t="e">
        <f t="shared" ref="N889:N952" si="76">$Z889-$AD889</f>
        <v>#N/A</v>
      </c>
      <c r="O889" s="4" t="e">
        <f>IF(ROUND(10.499-(((N889-VLOOKUP($C889,Lookups!$A$55:$D$64,3))/(VLOOKUP($C889,Lookups!$A$55:$D$64,4))*VLOOKUP($C889,Lookups!$C$2:$D$11,2))),0)&lt;1,1,IF(ROUND(10.499-(((N889-VLOOKUP($C889,Lookups!$A$55:$D$64,3))/(VLOOKUP($C889,Lookups!$A$55:$D$64,4))*VLOOKUP($C889,Lookups!$C$2:$D$11,2))),0)&lt;11,ROUND(10.499-(((N889-VLOOKUP($C889,Lookups!$A$55:$D$64,3))/(VLOOKUP($C889,Lookups!$A$55:$D$64,4))*VLOOKUP($C889,Lookups!$C$2:$D$11,2))),0),10))</f>
        <v>#N/A</v>
      </c>
      <c r="P889" s="13" t="str">
        <f>IF((SUM(F889:M889)=0),"J",VLOOKUP(O889,Lookups!$A$1:$B$11,2))</f>
        <v>J</v>
      </c>
      <c r="Q889" s="8" t="e">
        <f>VLOOKUP(C889,Lookups!$A$136:$C$144,3)</f>
        <v>#N/A</v>
      </c>
      <c r="R889" s="8" t="e">
        <f>VLOOKUP(C889,Lookups!$A$136:$C$144,2)</f>
        <v>#N/A</v>
      </c>
      <c r="S889" s="4" t="str">
        <f t="shared" si="72"/>
        <v>No</v>
      </c>
      <c r="T889" s="125">
        <f t="shared" si="73"/>
        <v>0</v>
      </c>
      <c r="U889" s="125">
        <f t="shared" si="74"/>
        <v>0</v>
      </c>
      <c r="V889" s="4" t="e">
        <f>IF($Q889&lt;&gt;3,VLOOKUP(F889,'Points Table A'!B$3:$F$33,5),VLOOKUP(F889,'Points Table A'!H$3:$L$33,5))</f>
        <v>#N/A</v>
      </c>
      <c r="W889" s="4" t="e">
        <f>IF($Q889&lt;&gt;3,VLOOKUP(G889,'Points Table A'!C$3:$F$33,4),VLOOKUP(G889,'Points Table A'!I$3:$L$33,4))</f>
        <v>#N/A</v>
      </c>
      <c r="X889" s="4" t="e">
        <f>IF($Q889&lt;&gt;3,VLOOKUP(H889,'Points Table A'!D$3:$F$28,3),VLOOKUP(H889,'Points Table A'!J$3:$L$33,3))</f>
        <v>#N/A</v>
      </c>
      <c r="Y889" s="4" t="e">
        <f>IF($Q889&lt;&gt;3,VLOOKUP(I889,'Points Table A'!E$3:$F$33,2),VLOOKUP(I889,'Points Table A'!K$3:$L$33,2))</f>
        <v>#N/A</v>
      </c>
      <c r="Z889" s="4" t="e">
        <f t="shared" si="75"/>
        <v>#N/A</v>
      </c>
      <c r="AA889" s="4">
        <f>IF($S889=Lookups!$B$113,VLOOKUP(L889,'Points Table C'!A$3:$E$11,5),VLOOKUP(U889,'Points Table C'!B$3:$E$11,4))</f>
        <v>0</v>
      </c>
      <c r="AB889" s="4" t="e">
        <f>IF($Q889=1,0,VLOOKUP($J889,'Points Table C'!$C$3:$E$18,3))</f>
        <v>#N/A</v>
      </c>
      <c r="AC889" s="4">
        <f>VLOOKUP($K889,'Points Table C'!$D$3:$E$18,2)</f>
        <v>0</v>
      </c>
      <c r="AD889" s="4" t="e">
        <f>IF($Z889&lt;Lookups!$C$106,($AA889+AB889+AC889),IF($AA889&gt;=Lookups!$C$120,($AA889+AB889+AC889),$AA889+$AB889))</f>
        <v>#N/A</v>
      </c>
      <c r="AF889" s="7"/>
      <c r="AG889" s="7"/>
      <c r="AH889" s="7"/>
      <c r="AI889" s="7"/>
      <c r="AJ889" s="7"/>
      <c r="AK889" s="7"/>
      <c r="AL889" s="7"/>
      <c r="AM889" s="7"/>
      <c r="AN889" s="7"/>
      <c r="AO889" s="7"/>
      <c r="AP889" s="7"/>
      <c r="AQ889" s="7"/>
      <c r="AR889" s="7"/>
      <c r="AS889" s="7"/>
      <c r="AT889" s="7"/>
      <c r="AU889" s="7"/>
      <c r="AV889" s="7"/>
      <c r="AW889" s="7"/>
      <c r="AY889" s="7"/>
      <c r="AZ889" s="7"/>
      <c r="BA889" s="7"/>
      <c r="BB889" s="7"/>
    </row>
    <row r="890" spans="2:54" x14ac:dyDescent="0.2">
      <c r="B890" s="174"/>
      <c r="C890" s="176"/>
      <c r="F890" s="5">
        <v>0</v>
      </c>
      <c r="G890" s="192">
        <v>0</v>
      </c>
      <c r="H890" s="192">
        <v>0</v>
      </c>
      <c r="I890" s="5">
        <v>0</v>
      </c>
      <c r="J890" s="192">
        <v>0</v>
      </c>
      <c r="K890" s="192">
        <v>0</v>
      </c>
      <c r="L890" s="5">
        <v>0</v>
      </c>
      <c r="M890" s="5">
        <v>0</v>
      </c>
      <c r="N890" s="4" t="e">
        <f t="shared" si="76"/>
        <v>#N/A</v>
      </c>
      <c r="O890" s="4" t="e">
        <f>IF(ROUND(10.499-(((N890-VLOOKUP($C890,Lookups!$A$55:$D$64,3))/(VLOOKUP($C890,Lookups!$A$55:$D$64,4))*VLOOKUP($C890,Lookups!$C$2:$D$11,2))),0)&lt;1,1,IF(ROUND(10.499-(((N890-VLOOKUP($C890,Lookups!$A$55:$D$64,3))/(VLOOKUP($C890,Lookups!$A$55:$D$64,4))*VLOOKUP($C890,Lookups!$C$2:$D$11,2))),0)&lt;11,ROUND(10.499-(((N890-VLOOKUP($C890,Lookups!$A$55:$D$64,3))/(VLOOKUP($C890,Lookups!$A$55:$D$64,4))*VLOOKUP($C890,Lookups!$C$2:$D$11,2))),0),10))</f>
        <v>#N/A</v>
      </c>
      <c r="P890" s="13" t="str">
        <f>IF((SUM(F890:M890)=0),"J",VLOOKUP(O890,Lookups!$A$1:$B$11,2))</f>
        <v>J</v>
      </c>
      <c r="Q890" s="8" t="e">
        <f>VLOOKUP(C890,Lookups!$A$136:$C$144,3)</f>
        <v>#N/A</v>
      </c>
      <c r="R890" s="8" t="e">
        <f>VLOOKUP(C890,Lookups!$A$136:$C$144,2)</f>
        <v>#N/A</v>
      </c>
      <c r="S890" s="4" t="str">
        <f t="shared" si="72"/>
        <v>No</v>
      </c>
      <c r="T890" s="125">
        <f t="shared" si="73"/>
        <v>0</v>
      </c>
      <c r="U890" s="125">
        <f t="shared" si="74"/>
        <v>0</v>
      </c>
      <c r="V890" s="4" t="e">
        <f>IF($Q890&lt;&gt;3,VLOOKUP(F890,'Points Table A'!B$3:$F$33,5),VLOOKUP(F890,'Points Table A'!H$3:$L$33,5))</f>
        <v>#N/A</v>
      </c>
      <c r="W890" s="4" t="e">
        <f>IF($Q890&lt;&gt;3,VLOOKUP(G890,'Points Table A'!C$3:$F$33,4),VLOOKUP(G890,'Points Table A'!I$3:$L$33,4))</f>
        <v>#N/A</v>
      </c>
      <c r="X890" s="4" t="e">
        <f>IF($Q890&lt;&gt;3,VLOOKUP(H890,'Points Table A'!D$3:$F$28,3),VLOOKUP(H890,'Points Table A'!J$3:$L$33,3))</f>
        <v>#N/A</v>
      </c>
      <c r="Y890" s="4" t="e">
        <f>IF($Q890&lt;&gt;3,VLOOKUP(I890,'Points Table A'!E$3:$F$33,2),VLOOKUP(I890,'Points Table A'!K$3:$L$33,2))</f>
        <v>#N/A</v>
      </c>
      <c r="Z890" s="4" t="e">
        <f t="shared" si="75"/>
        <v>#N/A</v>
      </c>
      <c r="AA890" s="4">
        <f>IF($S890=Lookups!$B$113,VLOOKUP(L890,'Points Table C'!A$3:$E$11,5),VLOOKUP(U890,'Points Table C'!B$3:$E$11,4))</f>
        <v>0</v>
      </c>
      <c r="AB890" s="4" t="e">
        <f>IF($Q890=1,0,VLOOKUP($J890,'Points Table C'!$C$3:$E$18,3))</f>
        <v>#N/A</v>
      </c>
      <c r="AC890" s="4">
        <f>VLOOKUP($K890,'Points Table C'!$D$3:$E$18,2)</f>
        <v>0</v>
      </c>
      <c r="AD890" s="4" t="e">
        <f>IF($Z890&lt;Lookups!$C$106,($AA890+AB890+AC890),IF($AA890&gt;=Lookups!$C$120,($AA890+AB890+AC890),$AA890+$AB890))</f>
        <v>#N/A</v>
      </c>
      <c r="AF890" s="7"/>
      <c r="AG890" s="7"/>
      <c r="AH890" s="7"/>
      <c r="AI890" s="7"/>
      <c r="AJ890" s="7"/>
      <c r="AK890" s="7"/>
      <c r="AL890" s="7"/>
      <c r="AM890" s="7"/>
      <c r="AN890" s="7"/>
      <c r="AO890" s="7"/>
      <c r="AP890" s="7"/>
      <c r="AQ890" s="7"/>
      <c r="AR890" s="7"/>
      <c r="AS890" s="7"/>
      <c r="AT890" s="7"/>
      <c r="AU890" s="7"/>
      <c r="AV890" s="7"/>
      <c r="AW890" s="7"/>
      <c r="AY890" s="7"/>
      <c r="AZ890" s="7"/>
      <c r="BA890" s="7"/>
      <c r="BB890" s="7"/>
    </row>
    <row r="891" spans="2:54" x14ac:dyDescent="0.2">
      <c r="B891" s="174"/>
      <c r="C891" s="176"/>
      <c r="F891" s="5">
        <v>0</v>
      </c>
      <c r="G891" s="192">
        <v>0</v>
      </c>
      <c r="H891" s="192">
        <v>0</v>
      </c>
      <c r="I891" s="5">
        <v>0</v>
      </c>
      <c r="J891" s="192">
        <v>0</v>
      </c>
      <c r="K891" s="192">
        <v>0</v>
      </c>
      <c r="L891" s="5">
        <v>0</v>
      </c>
      <c r="M891" s="5">
        <v>0</v>
      </c>
      <c r="N891" s="4" t="e">
        <f t="shared" si="76"/>
        <v>#N/A</v>
      </c>
      <c r="O891" s="4" t="e">
        <f>IF(ROUND(10.499-(((N891-VLOOKUP($C891,Lookups!$A$55:$D$64,3))/(VLOOKUP($C891,Lookups!$A$55:$D$64,4))*VLOOKUP($C891,Lookups!$C$2:$D$11,2))),0)&lt;1,1,IF(ROUND(10.499-(((N891-VLOOKUP($C891,Lookups!$A$55:$D$64,3))/(VLOOKUP($C891,Lookups!$A$55:$D$64,4))*VLOOKUP($C891,Lookups!$C$2:$D$11,2))),0)&lt;11,ROUND(10.499-(((N891-VLOOKUP($C891,Lookups!$A$55:$D$64,3))/(VLOOKUP($C891,Lookups!$A$55:$D$64,4))*VLOOKUP($C891,Lookups!$C$2:$D$11,2))),0),10))</f>
        <v>#N/A</v>
      </c>
      <c r="P891" s="13" t="str">
        <f>IF((SUM(F891:M891)=0),"J",VLOOKUP(O891,Lookups!$A$1:$B$11,2))</f>
        <v>J</v>
      </c>
      <c r="Q891" s="8" t="e">
        <f>VLOOKUP(C891,Lookups!$A$136:$C$144,3)</f>
        <v>#N/A</v>
      </c>
      <c r="R891" s="8" t="e">
        <f>VLOOKUP(C891,Lookups!$A$136:$C$144,2)</f>
        <v>#N/A</v>
      </c>
      <c r="S891" s="4" t="str">
        <f t="shared" si="72"/>
        <v>No</v>
      </c>
      <c r="T891" s="125">
        <f t="shared" si="73"/>
        <v>0</v>
      </c>
      <c r="U891" s="125">
        <f t="shared" si="74"/>
        <v>0</v>
      </c>
      <c r="V891" s="4" t="e">
        <f>IF($Q891&lt;&gt;3,VLOOKUP(F891,'Points Table A'!B$3:$F$33,5),VLOOKUP(F891,'Points Table A'!H$3:$L$33,5))</f>
        <v>#N/A</v>
      </c>
      <c r="W891" s="4" t="e">
        <f>IF($Q891&lt;&gt;3,VLOOKUP(G891,'Points Table A'!C$3:$F$33,4),VLOOKUP(G891,'Points Table A'!I$3:$L$33,4))</f>
        <v>#N/A</v>
      </c>
      <c r="X891" s="4" t="e">
        <f>IF($Q891&lt;&gt;3,VLOOKUP(H891,'Points Table A'!D$3:$F$28,3),VLOOKUP(H891,'Points Table A'!J$3:$L$33,3))</f>
        <v>#N/A</v>
      </c>
      <c r="Y891" s="4" t="e">
        <f>IF($Q891&lt;&gt;3,VLOOKUP(I891,'Points Table A'!E$3:$F$33,2),VLOOKUP(I891,'Points Table A'!K$3:$L$33,2))</f>
        <v>#N/A</v>
      </c>
      <c r="Z891" s="4" t="e">
        <f t="shared" si="75"/>
        <v>#N/A</v>
      </c>
      <c r="AA891" s="4">
        <f>IF($S891=Lookups!$B$113,VLOOKUP(L891,'Points Table C'!A$3:$E$11,5),VLOOKUP(U891,'Points Table C'!B$3:$E$11,4))</f>
        <v>0</v>
      </c>
      <c r="AB891" s="4" t="e">
        <f>IF($Q891=1,0,VLOOKUP($J891,'Points Table C'!$C$3:$E$18,3))</f>
        <v>#N/A</v>
      </c>
      <c r="AC891" s="4">
        <f>VLOOKUP($K891,'Points Table C'!$D$3:$E$18,2)</f>
        <v>0</v>
      </c>
      <c r="AD891" s="4" t="e">
        <f>IF($Z891&lt;Lookups!$C$106,($AA891+AB891+AC891),IF($AA891&gt;=Lookups!$C$120,($AA891+AB891+AC891),$AA891+$AB891))</f>
        <v>#N/A</v>
      </c>
      <c r="AF891" s="7"/>
      <c r="AG891" s="7"/>
      <c r="AH891" s="7"/>
      <c r="AI891" s="7"/>
      <c r="AJ891" s="7"/>
      <c r="AK891" s="7"/>
      <c r="AL891" s="7"/>
      <c r="AM891" s="7"/>
      <c r="AN891" s="7"/>
      <c r="AO891" s="7"/>
      <c r="AP891" s="7"/>
      <c r="AQ891" s="7"/>
      <c r="AR891" s="7"/>
      <c r="AS891" s="7"/>
      <c r="AT891" s="7"/>
      <c r="AU891" s="7"/>
      <c r="AV891" s="7"/>
      <c r="AW891" s="7"/>
      <c r="AY891" s="7"/>
      <c r="AZ891" s="7"/>
      <c r="BA891" s="7"/>
      <c r="BB891" s="7"/>
    </row>
    <row r="892" spans="2:54" x14ac:dyDescent="0.2">
      <c r="B892" s="174"/>
      <c r="C892" s="176"/>
      <c r="F892" s="5">
        <v>0</v>
      </c>
      <c r="G892" s="192">
        <v>0</v>
      </c>
      <c r="H892" s="192">
        <v>0</v>
      </c>
      <c r="I892" s="5">
        <v>0</v>
      </c>
      <c r="J892" s="192">
        <v>0</v>
      </c>
      <c r="K892" s="192">
        <v>0</v>
      </c>
      <c r="L892" s="5">
        <v>0</v>
      </c>
      <c r="M892" s="5">
        <v>0</v>
      </c>
      <c r="N892" s="4" t="e">
        <f t="shared" si="76"/>
        <v>#N/A</v>
      </c>
      <c r="O892" s="4" t="e">
        <f>IF(ROUND(10.499-(((N892-VLOOKUP($C892,Lookups!$A$55:$D$64,3))/(VLOOKUP($C892,Lookups!$A$55:$D$64,4))*VLOOKUP($C892,Lookups!$C$2:$D$11,2))),0)&lt;1,1,IF(ROUND(10.499-(((N892-VLOOKUP($C892,Lookups!$A$55:$D$64,3))/(VLOOKUP($C892,Lookups!$A$55:$D$64,4))*VLOOKUP($C892,Lookups!$C$2:$D$11,2))),0)&lt;11,ROUND(10.499-(((N892-VLOOKUP($C892,Lookups!$A$55:$D$64,3))/(VLOOKUP($C892,Lookups!$A$55:$D$64,4))*VLOOKUP($C892,Lookups!$C$2:$D$11,2))),0),10))</f>
        <v>#N/A</v>
      </c>
      <c r="P892" s="13" t="str">
        <f>IF((SUM(F892:M892)=0),"J",VLOOKUP(O892,Lookups!$A$1:$B$11,2))</f>
        <v>J</v>
      </c>
      <c r="Q892" s="8" t="e">
        <f>VLOOKUP(C892,Lookups!$A$136:$C$144,3)</f>
        <v>#N/A</v>
      </c>
      <c r="R892" s="8" t="e">
        <f>VLOOKUP(C892,Lookups!$A$136:$C$144,2)</f>
        <v>#N/A</v>
      </c>
      <c r="S892" s="4" t="str">
        <f t="shared" si="72"/>
        <v>No</v>
      </c>
      <c r="T892" s="125">
        <f t="shared" si="73"/>
        <v>0</v>
      </c>
      <c r="U892" s="125">
        <f t="shared" si="74"/>
        <v>0</v>
      </c>
      <c r="V892" s="4" t="e">
        <f>IF($Q892&lt;&gt;3,VLOOKUP(F892,'Points Table A'!B$3:$F$33,5),VLOOKUP(F892,'Points Table A'!H$3:$L$33,5))</f>
        <v>#N/A</v>
      </c>
      <c r="W892" s="4" t="e">
        <f>IF($Q892&lt;&gt;3,VLOOKUP(G892,'Points Table A'!C$3:$F$33,4),VLOOKUP(G892,'Points Table A'!I$3:$L$33,4))</f>
        <v>#N/A</v>
      </c>
      <c r="X892" s="4" t="e">
        <f>IF($Q892&lt;&gt;3,VLOOKUP(H892,'Points Table A'!D$3:$F$28,3),VLOOKUP(H892,'Points Table A'!J$3:$L$33,3))</f>
        <v>#N/A</v>
      </c>
      <c r="Y892" s="4" t="e">
        <f>IF($Q892&lt;&gt;3,VLOOKUP(I892,'Points Table A'!E$3:$F$33,2),VLOOKUP(I892,'Points Table A'!K$3:$L$33,2))</f>
        <v>#N/A</v>
      </c>
      <c r="Z892" s="4" t="e">
        <f t="shared" si="75"/>
        <v>#N/A</v>
      </c>
      <c r="AA892" s="4">
        <f>IF($S892=Lookups!$B$113,VLOOKUP(L892,'Points Table C'!A$3:$E$11,5),VLOOKUP(U892,'Points Table C'!B$3:$E$11,4))</f>
        <v>0</v>
      </c>
      <c r="AB892" s="4" t="e">
        <f>IF($Q892=1,0,VLOOKUP($J892,'Points Table C'!$C$3:$E$18,3))</f>
        <v>#N/A</v>
      </c>
      <c r="AC892" s="4">
        <f>VLOOKUP($K892,'Points Table C'!$D$3:$E$18,2)</f>
        <v>0</v>
      </c>
      <c r="AD892" s="4" t="e">
        <f>IF($Z892&lt;Lookups!$C$106,($AA892+AB892+AC892),IF($AA892&gt;=Lookups!$C$120,($AA892+AB892+AC892),$AA892+$AB892))</f>
        <v>#N/A</v>
      </c>
      <c r="AF892" s="7"/>
      <c r="AG892" s="7"/>
      <c r="AH892" s="7"/>
      <c r="AI892" s="7"/>
      <c r="AJ892" s="7"/>
      <c r="AK892" s="7"/>
      <c r="AL892" s="7"/>
      <c r="AM892" s="7"/>
      <c r="AN892" s="7"/>
      <c r="AO892" s="7"/>
      <c r="AP892" s="7"/>
      <c r="AQ892" s="7"/>
      <c r="AR892" s="7"/>
      <c r="AS892" s="7"/>
      <c r="AT892" s="7"/>
      <c r="AU892" s="7"/>
      <c r="AV892" s="7"/>
      <c r="AW892" s="7"/>
      <c r="AY892" s="7"/>
      <c r="AZ892" s="7"/>
      <c r="BA892" s="7"/>
      <c r="BB892" s="7"/>
    </row>
    <row r="893" spans="2:54" x14ac:dyDescent="0.2">
      <c r="B893" s="174"/>
      <c r="C893" s="176"/>
      <c r="F893" s="5">
        <v>0</v>
      </c>
      <c r="G893" s="192">
        <v>0</v>
      </c>
      <c r="H893" s="192">
        <v>0</v>
      </c>
      <c r="I893" s="5">
        <v>0</v>
      </c>
      <c r="J893" s="192">
        <v>0</v>
      </c>
      <c r="K893" s="192">
        <v>0</v>
      </c>
      <c r="L893" s="5">
        <v>0</v>
      </c>
      <c r="M893" s="5">
        <v>0</v>
      </c>
      <c r="N893" s="4" t="e">
        <f t="shared" si="76"/>
        <v>#N/A</v>
      </c>
      <c r="O893" s="4" t="e">
        <f>IF(ROUND(10.499-(((N893-VLOOKUP($C893,Lookups!$A$55:$D$64,3))/(VLOOKUP($C893,Lookups!$A$55:$D$64,4))*VLOOKUP($C893,Lookups!$C$2:$D$11,2))),0)&lt;1,1,IF(ROUND(10.499-(((N893-VLOOKUP($C893,Lookups!$A$55:$D$64,3))/(VLOOKUP($C893,Lookups!$A$55:$D$64,4))*VLOOKUP($C893,Lookups!$C$2:$D$11,2))),0)&lt;11,ROUND(10.499-(((N893-VLOOKUP($C893,Lookups!$A$55:$D$64,3))/(VLOOKUP($C893,Lookups!$A$55:$D$64,4))*VLOOKUP($C893,Lookups!$C$2:$D$11,2))),0),10))</f>
        <v>#N/A</v>
      </c>
      <c r="P893" s="13" t="str">
        <f>IF((SUM(F893:M893)=0),"J",VLOOKUP(O893,Lookups!$A$1:$B$11,2))</f>
        <v>J</v>
      </c>
      <c r="Q893" s="8" t="e">
        <f>VLOOKUP(C893,Lookups!$A$136:$C$144,3)</f>
        <v>#N/A</v>
      </c>
      <c r="R893" s="8" t="e">
        <f>VLOOKUP(C893,Lookups!$A$136:$C$144,2)</f>
        <v>#N/A</v>
      </c>
      <c r="S893" s="4" t="str">
        <f t="shared" si="72"/>
        <v>No</v>
      </c>
      <c r="T893" s="125">
        <f t="shared" si="73"/>
        <v>0</v>
      </c>
      <c r="U893" s="125">
        <f t="shared" si="74"/>
        <v>0</v>
      </c>
      <c r="V893" s="4" t="e">
        <f>IF($Q893&lt;&gt;3,VLOOKUP(F893,'Points Table A'!B$3:$F$33,5),VLOOKUP(F893,'Points Table A'!H$3:$L$33,5))</f>
        <v>#N/A</v>
      </c>
      <c r="W893" s="4" t="e">
        <f>IF($Q893&lt;&gt;3,VLOOKUP(G893,'Points Table A'!C$3:$F$33,4),VLOOKUP(G893,'Points Table A'!I$3:$L$33,4))</f>
        <v>#N/A</v>
      </c>
      <c r="X893" s="4" t="e">
        <f>IF($Q893&lt;&gt;3,VLOOKUP(H893,'Points Table A'!D$3:$F$28,3),VLOOKUP(H893,'Points Table A'!J$3:$L$33,3))</f>
        <v>#N/A</v>
      </c>
      <c r="Y893" s="4" t="e">
        <f>IF($Q893&lt;&gt;3,VLOOKUP(I893,'Points Table A'!E$3:$F$33,2),VLOOKUP(I893,'Points Table A'!K$3:$L$33,2))</f>
        <v>#N/A</v>
      </c>
      <c r="Z893" s="4" t="e">
        <f t="shared" si="75"/>
        <v>#N/A</v>
      </c>
      <c r="AA893" s="4">
        <f>IF($S893=Lookups!$B$113,VLOOKUP(L893,'Points Table C'!A$3:$E$11,5),VLOOKUP(U893,'Points Table C'!B$3:$E$11,4))</f>
        <v>0</v>
      </c>
      <c r="AB893" s="4" t="e">
        <f>IF($Q893=1,0,VLOOKUP($J893,'Points Table C'!$C$3:$E$18,3))</f>
        <v>#N/A</v>
      </c>
      <c r="AC893" s="4">
        <f>VLOOKUP($K893,'Points Table C'!$D$3:$E$18,2)</f>
        <v>0</v>
      </c>
      <c r="AD893" s="4" t="e">
        <f>IF($Z893&lt;Lookups!$C$106,($AA893+AB893+AC893),IF($AA893&gt;=Lookups!$C$120,($AA893+AB893+AC893),$AA893+$AB893))</f>
        <v>#N/A</v>
      </c>
      <c r="AF893" s="7"/>
      <c r="AG893" s="7"/>
      <c r="AH893" s="7"/>
      <c r="AI893" s="7"/>
      <c r="AJ893" s="7"/>
      <c r="AK893" s="7"/>
      <c r="AL893" s="7"/>
      <c r="AM893" s="7"/>
      <c r="AN893" s="7"/>
      <c r="AO893" s="7"/>
      <c r="AP893" s="7"/>
      <c r="AQ893" s="7"/>
      <c r="AR893" s="7"/>
      <c r="AS893" s="7"/>
      <c r="AT893" s="7"/>
      <c r="AU893" s="7"/>
      <c r="AV893" s="7"/>
      <c r="AW893" s="7"/>
      <c r="AY893" s="7"/>
      <c r="AZ893" s="7"/>
      <c r="BA893" s="7"/>
      <c r="BB893" s="7"/>
    </row>
    <row r="894" spans="2:54" x14ac:dyDescent="0.2">
      <c r="B894" s="174"/>
      <c r="C894" s="176"/>
      <c r="F894" s="5">
        <v>0</v>
      </c>
      <c r="G894" s="192">
        <v>0</v>
      </c>
      <c r="H894" s="192">
        <v>0</v>
      </c>
      <c r="I894" s="5">
        <v>0</v>
      </c>
      <c r="J894" s="192">
        <v>0</v>
      </c>
      <c r="K894" s="192">
        <v>0</v>
      </c>
      <c r="L894" s="5">
        <v>0</v>
      </c>
      <c r="M894" s="5">
        <v>0</v>
      </c>
      <c r="N894" s="4" t="e">
        <f t="shared" si="76"/>
        <v>#N/A</v>
      </c>
      <c r="O894" s="4" t="e">
        <f>IF(ROUND(10.499-(((N894-VLOOKUP($C894,Lookups!$A$55:$D$64,3))/(VLOOKUP($C894,Lookups!$A$55:$D$64,4))*VLOOKUP($C894,Lookups!$C$2:$D$11,2))),0)&lt;1,1,IF(ROUND(10.499-(((N894-VLOOKUP($C894,Lookups!$A$55:$D$64,3))/(VLOOKUP($C894,Lookups!$A$55:$D$64,4))*VLOOKUP($C894,Lookups!$C$2:$D$11,2))),0)&lt;11,ROUND(10.499-(((N894-VLOOKUP($C894,Lookups!$A$55:$D$64,3))/(VLOOKUP($C894,Lookups!$A$55:$D$64,4))*VLOOKUP($C894,Lookups!$C$2:$D$11,2))),0),10))</f>
        <v>#N/A</v>
      </c>
      <c r="P894" s="13" t="str">
        <f>IF((SUM(F894:M894)=0),"J",VLOOKUP(O894,Lookups!$A$1:$B$11,2))</f>
        <v>J</v>
      </c>
      <c r="Q894" s="8" t="e">
        <f>VLOOKUP(C894,Lookups!$A$136:$C$144,3)</f>
        <v>#N/A</v>
      </c>
      <c r="R894" s="8" t="e">
        <f>VLOOKUP(C894,Lookups!$A$136:$C$144,2)</f>
        <v>#N/A</v>
      </c>
      <c r="S894" s="4" t="str">
        <f t="shared" si="72"/>
        <v>No</v>
      </c>
      <c r="T894" s="125">
        <f t="shared" si="73"/>
        <v>0</v>
      </c>
      <c r="U894" s="125">
        <f t="shared" si="74"/>
        <v>0</v>
      </c>
      <c r="V894" s="4" t="e">
        <f>IF($Q894&lt;&gt;3,VLOOKUP(F894,'Points Table A'!B$3:$F$33,5),VLOOKUP(F894,'Points Table A'!H$3:$L$33,5))</f>
        <v>#N/A</v>
      </c>
      <c r="W894" s="4" t="e">
        <f>IF($Q894&lt;&gt;3,VLOOKUP(G894,'Points Table A'!C$3:$F$33,4),VLOOKUP(G894,'Points Table A'!I$3:$L$33,4))</f>
        <v>#N/A</v>
      </c>
      <c r="X894" s="4" t="e">
        <f>IF($Q894&lt;&gt;3,VLOOKUP(H894,'Points Table A'!D$3:$F$28,3),VLOOKUP(H894,'Points Table A'!J$3:$L$33,3))</f>
        <v>#N/A</v>
      </c>
      <c r="Y894" s="4" t="e">
        <f>IF($Q894&lt;&gt;3,VLOOKUP(I894,'Points Table A'!E$3:$F$33,2),VLOOKUP(I894,'Points Table A'!K$3:$L$33,2))</f>
        <v>#N/A</v>
      </c>
      <c r="Z894" s="4" t="e">
        <f t="shared" si="75"/>
        <v>#N/A</v>
      </c>
      <c r="AA894" s="4">
        <f>IF($S894=Lookups!$B$113,VLOOKUP(L894,'Points Table C'!A$3:$E$11,5),VLOOKUP(U894,'Points Table C'!B$3:$E$11,4))</f>
        <v>0</v>
      </c>
      <c r="AB894" s="4" t="e">
        <f>IF($Q894=1,0,VLOOKUP($J894,'Points Table C'!$C$3:$E$18,3))</f>
        <v>#N/A</v>
      </c>
      <c r="AC894" s="4">
        <f>VLOOKUP($K894,'Points Table C'!$D$3:$E$18,2)</f>
        <v>0</v>
      </c>
      <c r="AD894" s="4" t="e">
        <f>IF($Z894&lt;Lookups!$C$106,($AA894+AB894+AC894),IF($AA894&gt;=Lookups!$C$120,($AA894+AB894+AC894),$AA894+$AB894))</f>
        <v>#N/A</v>
      </c>
      <c r="AF894" s="7"/>
      <c r="AG894" s="7"/>
      <c r="AH894" s="7"/>
      <c r="AI894" s="7"/>
      <c r="AJ894" s="7"/>
      <c r="AK894" s="7"/>
      <c r="AL894" s="7"/>
      <c r="AM894" s="7"/>
      <c r="AN894" s="7"/>
      <c r="AO894" s="7"/>
      <c r="AP894" s="7"/>
      <c r="AQ894" s="7"/>
      <c r="AR894" s="7"/>
      <c r="AS894" s="7"/>
      <c r="AT894" s="7"/>
      <c r="AU894" s="7"/>
      <c r="AV894" s="7"/>
      <c r="AW894" s="7"/>
      <c r="AY894" s="7"/>
      <c r="AZ894" s="7"/>
      <c r="BA894" s="7"/>
      <c r="BB894" s="7"/>
    </row>
    <row r="895" spans="2:54" x14ac:dyDescent="0.2">
      <c r="B895" s="174"/>
      <c r="C895" s="176"/>
      <c r="F895" s="5">
        <v>0</v>
      </c>
      <c r="G895" s="192">
        <v>0</v>
      </c>
      <c r="H895" s="192">
        <v>0</v>
      </c>
      <c r="I895" s="5">
        <v>0</v>
      </c>
      <c r="J895" s="192">
        <v>0</v>
      </c>
      <c r="K895" s="192">
        <v>0</v>
      </c>
      <c r="L895" s="5">
        <v>0</v>
      </c>
      <c r="M895" s="5">
        <v>0</v>
      </c>
      <c r="N895" s="4" t="e">
        <f t="shared" si="76"/>
        <v>#N/A</v>
      </c>
      <c r="O895" s="4" t="e">
        <f>IF(ROUND(10.499-(((N895-VLOOKUP($C895,Lookups!$A$55:$D$64,3))/(VLOOKUP($C895,Lookups!$A$55:$D$64,4))*VLOOKUP($C895,Lookups!$C$2:$D$11,2))),0)&lt;1,1,IF(ROUND(10.499-(((N895-VLOOKUP($C895,Lookups!$A$55:$D$64,3))/(VLOOKUP($C895,Lookups!$A$55:$D$64,4))*VLOOKUP($C895,Lookups!$C$2:$D$11,2))),0)&lt;11,ROUND(10.499-(((N895-VLOOKUP($C895,Lookups!$A$55:$D$64,3))/(VLOOKUP($C895,Lookups!$A$55:$D$64,4))*VLOOKUP($C895,Lookups!$C$2:$D$11,2))),0),10))</f>
        <v>#N/A</v>
      </c>
      <c r="P895" s="13" t="str">
        <f>IF((SUM(F895:M895)=0),"J",VLOOKUP(O895,Lookups!$A$1:$B$11,2))</f>
        <v>J</v>
      </c>
      <c r="Q895" s="8" t="e">
        <f>VLOOKUP(C895,Lookups!$A$136:$C$144,3)</f>
        <v>#N/A</v>
      </c>
      <c r="R895" s="8" t="e">
        <f>VLOOKUP(C895,Lookups!$A$136:$C$144,2)</f>
        <v>#N/A</v>
      </c>
      <c r="S895" s="4" t="str">
        <f t="shared" si="72"/>
        <v>No</v>
      </c>
      <c r="T895" s="125">
        <f t="shared" si="73"/>
        <v>0</v>
      </c>
      <c r="U895" s="125">
        <f t="shared" si="74"/>
        <v>0</v>
      </c>
      <c r="V895" s="4" t="e">
        <f>IF($Q895&lt;&gt;3,VLOOKUP(F895,'Points Table A'!B$3:$F$33,5),VLOOKUP(F895,'Points Table A'!H$3:$L$33,5))</f>
        <v>#N/A</v>
      </c>
      <c r="W895" s="4" t="e">
        <f>IF($Q895&lt;&gt;3,VLOOKUP(G895,'Points Table A'!C$3:$F$33,4),VLOOKUP(G895,'Points Table A'!I$3:$L$33,4))</f>
        <v>#N/A</v>
      </c>
      <c r="X895" s="4" t="e">
        <f>IF($Q895&lt;&gt;3,VLOOKUP(H895,'Points Table A'!D$3:$F$28,3),VLOOKUP(H895,'Points Table A'!J$3:$L$33,3))</f>
        <v>#N/A</v>
      </c>
      <c r="Y895" s="4" t="e">
        <f>IF($Q895&lt;&gt;3,VLOOKUP(I895,'Points Table A'!E$3:$F$33,2),VLOOKUP(I895,'Points Table A'!K$3:$L$33,2))</f>
        <v>#N/A</v>
      </c>
      <c r="Z895" s="4" t="e">
        <f t="shared" si="75"/>
        <v>#N/A</v>
      </c>
      <c r="AA895" s="4">
        <f>IF($S895=Lookups!$B$113,VLOOKUP(L895,'Points Table C'!A$3:$E$11,5),VLOOKUP(U895,'Points Table C'!B$3:$E$11,4))</f>
        <v>0</v>
      </c>
      <c r="AB895" s="4" t="e">
        <f>IF($Q895=1,0,VLOOKUP($J895,'Points Table C'!$C$3:$E$18,3))</f>
        <v>#N/A</v>
      </c>
      <c r="AC895" s="4">
        <f>VLOOKUP($K895,'Points Table C'!$D$3:$E$18,2)</f>
        <v>0</v>
      </c>
      <c r="AD895" s="4" t="e">
        <f>IF($Z895&lt;Lookups!$C$106,($AA895+AB895+AC895),IF($AA895&gt;=Lookups!$C$120,($AA895+AB895+AC895),$AA895+$AB895))</f>
        <v>#N/A</v>
      </c>
      <c r="AF895" s="7"/>
      <c r="AG895" s="7"/>
      <c r="AH895" s="7"/>
      <c r="AI895" s="7"/>
      <c r="AJ895" s="7"/>
      <c r="AK895" s="7"/>
      <c r="AL895" s="7"/>
      <c r="AM895" s="7"/>
      <c r="AN895" s="7"/>
      <c r="AO895" s="7"/>
      <c r="AP895" s="7"/>
      <c r="AQ895" s="7"/>
      <c r="AR895" s="7"/>
      <c r="AS895" s="7"/>
      <c r="AT895" s="7"/>
      <c r="AU895" s="7"/>
      <c r="AV895" s="7"/>
      <c r="AW895" s="7"/>
      <c r="AY895" s="7"/>
      <c r="AZ895" s="7"/>
      <c r="BA895" s="7"/>
      <c r="BB895" s="7"/>
    </row>
    <row r="896" spans="2:54" x14ac:dyDescent="0.2">
      <c r="B896" s="174"/>
      <c r="C896" s="176"/>
      <c r="F896" s="5">
        <v>0</v>
      </c>
      <c r="G896" s="192">
        <v>0</v>
      </c>
      <c r="H896" s="192">
        <v>0</v>
      </c>
      <c r="I896" s="5">
        <v>0</v>
      </c>
      <c r="J896" s="192">
        <v>0</v>
      </c>
      <c r="K896" s="192">
        <v>0</v>
      </c>
      <c r="L896" s="5">
        <v>0</v>
      </c>
      <c r="M896" s="5">
        <v>0</v>
      </c>
      <c r="N896" s="4" t="e">
        <f t="shared" si="76"/>
        <v>#N/A</v>
      </c>
      <c r="O896" s="4" t="e">
        <f>IF(ROUND(10.499-(((N896-VLOOKUP($C896,Lookups!$A$55:$D$64,3))/(VLOOKUP($C896,Lookups!$A$55:$D$64,4))*VLOOKUP($C896,Lookups!$C$2:$D$11,2))),0)&lt;1,1,IF(ROUND(10.499-(((N896-VLOOKUP($C896,Lookups!$A$55:$D$64,3))/(VLOOKUP($C896,Lookups!$A$55:$D$64,4))*VLOOKUP($C896,Lookups!$C$2:$D$11,2))),0)&lt;11,ROUND(10.499-(((N896-VLOOKUP($C896,Lookups!$A$55:$D$64,3))/(VLOOKUP($C896,Lookups!$A$55:$D$64,4))*VLOOKUP($C896,Lookups!$C$2:$D$11,2))),0),10))</f>
        <v>#N/A</v>
      </c>
      <c r="P896" s="13" t="str">
        <f>IF((SUM(F896:M896)=0),"J",VLOOKUP(O896,Lookups!$A$1:$B$11,2))</f>
        <v>J</v>
      </c>
      <c r="Q896" s="8" t="e">
        <f>VLOOKUP(C896,Lookups!$A$136:$C$144,3)</f>
        <v>#N/A</v>
      </c>
      <c r="R896" s="8" t="e">
        <f>VLOOKUP(C896,Lookups!$A$136:$C$144,2)</f>
        <v>#N/A</v>
      </c>
      <c r="S896" s="4" t="str">
        <f t="shared" si="72"/>
        <v>No</v>
      </c>
      <c r="T896" s="125">
        <f t="shared" si="73"/>
        <v>0</v>
      </c>
      <c r="U896" s="125">
        <f t="shared" si="74"/>
        <v>0</v>
      </c>
      <c r="V896" s="4" t="e">
        <f>IF($Q896&lt;&gt;3,VLOOKUP(F896,'Points Table A'!B$3:$F$33,5),VLOOKUP(F896,'Points Table A'!H$3:$L$33,5))</f>
        <v>#N/A</v>
      </c>
      <c r="W896" s="4" t="e">
        <f>IF($Q896&lt;&gt;3,VLOOKUP(G896,'Points Table A'!C$3:$F$33,4),VLOOKUP(G896,'Points Table A'!I$3:$L$33,4))</f>
        <v>#N/A</v>
      </c>
      <c r="X896" s="4" t="e">
        <f>IF($Q896&lt;&gt;3,VLOOKUP(H896,'Points Table A'!D$3:$F$28,3),VLOOKUP(H896,'Points Table A'!J$3:$L$33,3))</f>
        <v>#N/A</v>
      </c>
      <c r="Y896" s="4" t="e">
        <f>IF($Q896&lt;&gt;3,VLOOKUP(I896,'Points Table A'!E$3:$F$33,2),VLOOKUP(I896,'Points Table A'!K$3:$L$33,2))</f>
        <v>#N/A</v>
      </c>
      <c r="Z896" s="4" t="e">
        <f t="shared" si="75"/>
        <v>#N/A</v>
      </c>
      <c r="AA896" s="4">
        <f>IF($S896=Lookups!$B$113,VLOOKUP(L896,'Points Table C'!A$3:$E$11,5),VLOOKUP(U896,'Points Table C'!B$3:$E$11,4))</f>
        <v>0</v>
      </c>
      <c r="AB896" s="4" t="e">
        <f>IF($Q896=1,0,VLOOKUP($J896,'Points Table C'!$C$3:$E$18,3))</f>
        <v>#N/A</v>
      </c>
      <c r="AC896" s="4">
        <f>VLOOKUP($K896,'Points Table C'!$D$3:$E$18,2)</f>
        <v>0</v>
      </c>
      <c r="AD896" s="4" t="e">
        <f>IF($Z896&lt;Lookups!$C$106,($AA896+AB896+AC896),IF($AA896&gt;=Lookups!$C$120,($AA896+AB896+AC896),$AA896+$AB896))</f>
        <v>#N/A</v>
      </c>
      <c r="AF896" s="7"/>
      <c r="AG896" s="7"/>
      <c r="AH896" s="7"/>
      <c r="AI896" s="7"/>
      <c r="AJ896" s="7"/>
      <c r="AK896" s="7"/>
      <c r="AL896" s="7"/>
      <c r="AM896" s="7"/>
      <c r="AN896" s="7"/>
      <c r="AO896" s="7"/>
      <c r="AP896" s="7"/>
      <c r="AQ896" s="7"/>
      <c r="AR896" s="7"/>
      <c r="AS896" s="7"/>
      <c r="AT896" s="7"/>
      <c r="AU896" s="7"/>
      <c r="AV896" s="7"/>
      <c r="AW896" s="7"/>
      <c r="AY896" s="7"/>
      <c r="AZ896" s="7"/>
      <c r="BA896" s="7"/>
      <c r="BB896" s="7"/>
    </row>
    <row r="897" spans="2:54" x14ac:dyDescent="0.2">
      <c r="B897" s="174"/>
      <c r="C897" s="176"/>
      <c r="F897" s="5">
        <v>0</v>
      </c>
      <c r="G897" s="192">
        <v>0</v>
      </c>
      <c r="H897" s="192">
        <v>0</v>
      </c>
      <c r="I897" s="5">
        <v>0</v>
      </c>
      <c r="J897" s="192">
        <v>0</v>
      </c>
      <c r="K897" s="192">
        <v>0</v>
      </c>
      <c r="L897" s="5">
        <v>0</v>
      </c>
      <c r="M897" s="5">
        <v>0</v>
      </c>
      <c r="N897" s="4" t="e">
        <f t="shared" si="76"/>
        <v>#N/A</v>
      </c>
      <c r="O897" s="4" t="e">
        <f>IF(ROUND(10.499-(((N897-VLOOKUP($C897,Lookups!$A$55:$D$64,3))/(VLOOKUP($C897,Lookups!$A$55:$D$64,4))*VLOOKUP($C897,Lookups!$C$2:$D$11,2))),0)&lt;1,1,IF(ROUND(10.499-(((N897-VLOOKUP($C897,Lookups!$A$55:$D$64,3))/(VLOOKUP($C897,Lookups!$A$55:$D$64,4))*VLOOKUP($C897,Lookups!$C$2:$D$11,2))),0)&lt;11,ROUND(10.499-(((N897-VLOOKUP($C897,Lookups!$A$55:$D$64,3))/(VLOOKUP($C897,Lookups!$A$55:$D$64,4))*VLOOKUP($C897,Lookups!$C$2:$D$11,2))),0),10))</f>
        <v>#N/A</v>
      </c>
      <c r="P897" s="13" t="str">
        <f>IF((SUM(F897:M897)=0),"J",VLOOKUP(O897,Lookups!$A$1:$B$11,2))</f>
        <v>J</v>
      </c>
      <c r="Q897" s="8" t="e">
        <f>VLOOKUP(C897,Lookups!$A$136:$C$144,3)</f>
        <v>#N/A</v>
      </c>
      <c r="R897" s="8" t="e">
        <f>VLOOKUP(C897,Lookups!$A$136:$C$144,2)</f>
        <v>#N/A</v>
      </c>
      <c r="S897" s="4" t="str">
        <f t="shared" si="72"/>
        <v>No</v>
      </c>
      <c r="T897" s="125">
        <f t="shared" si="73"/>
        <v>0</v>
      </c>
      <c r="U897" s="125">
        <f t="shared" si="74"/>
        <v>0</v>
      </c>
      <c r="V897" s="4" t="e">
        <f>IF($Q897&lt;&gt;3,VLOOKUP(F897,'Points Table A'!B$3:$F$33,5),VLOOKUP(F897,'Points Table A'!H$3:$L$33,5))</f>
        <v>#N/A</v>
      </c>
      <c r="W897" s="4" t="e">
        <f>IF($Q897&lt;&gt;3,VLOOKUP(G897,'Points Table A'!C$3:$F$33,4),VLOOKUP(G897,'Points Table A'!I$3:$L$33,4))</f>
        <v>#N/A</v>
      </c>
      <c r="X897" s="4" t="e">
        <f>IF($Q897&lt;&gt;3,VLOOKUP(H897,'Points Table A'!D$3:$F$28,3),VLOOKUP(H897,'Points Table A'!J$3:$L$33,3))</f>
        <v>#N/A</v>
      </c>
      <c r="Y897" s="4" t="e">
        <f>IF($Q897&lt;&gt;3,VLOOKUP(I897,'Points Table A'!E$3:$F$33,2),VLOOKUP(I897,'Points Table A'!K$3:$L$33,2))</f>
        <v>#N/A</v>
      </c>
      <c r="Z897" s="4" t="e">
        <f t="shared" si="75"/>
        <v>#N/A</v>
      </c>
      <c r="AA897" s="4">
        <f>IF($S897=Lookups!$B$113,VLOOKUP(L897,'Points Table C'!A$3:$E$11,5),VLOOKUP(U897,'Points Table C'!B$3:$E$11,4))</f>
        <v>0</v>
      </c>
      <c r="AB897" s="4" t="e">
        <f>IF($Q897=1,0,VLOOKUP($J897,'Points Table C'!$C$3:$E$18,3))</f>
        <v>#N/A</v>
      </c>
      <c r="AC897" s="4">
        <f>VLOOKUP($K897,'Points Table C'!$D$3:$E$18,2)</f>
        <v>0</v>
      </c>
      <c r="AD897" s="4" t="e">
        <f>IF($Z897&lt;Lookups!$C$106,($AA897+AB897+AC897),IF($AA897&gt;=Lookups!$C$120,($AA897+AB897+AC897),$AA897+$AB897))</f>
        <v>#N/A</v>
      </c>
      <c r="AF897" s="7"/>
      <c r="AG897" s="7"/>
      <c r="AH897" s="7"/>
      <c r="AI897" s="7"/>
      <c r="AJ897" s="7"/>
      <c r="AK897" s="7"/>
      <c r="AL897" s="7"/>
      <c r="AM897" s="7"/>
      <c r="AN897" s="7"/>
      <c r="AO897" s="7"/>
      <c r="AP897" s="7"/>
      <c r="AQ897" s="7"/>
      <c r="AR897" s="7"/>
      <c r="AS897" s="7"/>
      <c r="AT897" s="7"/>
      <c r="AU897" s="7"/>
      <c r="AV897" s="7"/>
      <c r="AW897" s="7"/>
      <c r="AY897" s="7"/>
      <c r="AZ897" s="7"/>
      <c r="BA897" s="7"/>
      <c r="BB897" s="7"/>
    </row>
    <row r="898" spans="2:54" x14ac:dyDescent="0.2">
      <c r="B898" s="174"/>
      <c r="C898" s="176"/>
      <c r="F898" s="5">
        <v>0</v>
      </c>
      <c r="G898" s="192">
        <v>0</v>
      </c>
      <c r="H898" s="192">
        <v>0</v>
      </c>
      <c r="I898" s="5">
        <v>0</v>
      </c>
      <c r="J898" s="192">
        <v>0</v>
      </c>
      <c r="K898" s="192">
        <v>0</v>
      </c>
      <c r="L898" s="5">
        <v>0</v>
      </c>
      <c r="M898" s="5">
        <v>0</v>
      </c>
      <c r="N898" s="4" t="e">
        <f t="shared" si="76"/>
        <v>#N/A</v>
      </c>
      <c r="O898" s="4" t="e">
        <f>IF(ROUND(10.499-(((N898-VLOOKUP($C898,Lookups!$A$55:$D$64,3))/(VLOOKUP($C898,Lookups!$A$55:$D$64,4))*VLOOKUP($C898,Lookups!$C$2:$D$11,2))),0)&lt;1,1,IF(ROUND(10.499-(((N898-VLOOKUP($C898,Lookups!$A$55:$D$64,3))/(VLOOKUP($C898,Lookups!$A$55:$D$64,4))*VLOOKUP($C898,Lookups!$C$2:$D$11,2))),0)&lt;11,ROUND(10.499-(((N898-VLOOKUP($C898,Lookups!$A$55:$D$64,3))/(VLOOKUP($C898,Lookups!$A$55:$D$64,4))*VLOOKUP($C898,Lookups!$C$2:$D$11,2))),0),10))</f>
        <v>#N/A</v>
      </c>
      <c r="P898" s="13" t="str">
        <f>IF((SUM(F898:M898)=0),"J",VLOOKUP(O898,Lookups!$A$1:$B$11,2))</f>
        <v>J</v>
      </c>
      <c r="Q898" s="8" t="e">
        <f>VLOOKUP(C898,Lookups!$A$136:$C$144,3)</f>
        <v>#N/A</v>
      </c>
      <c r="R898" s="8" t="e">
        <f>VLOOKUP(C898,Lookups!$A$136:$C$144,2)</f>
        <v>#N/A</v>
      </c>
      <c r="S898" s="4" t="str">
        <f t="shared" si="72"/>
        <v>No</v>
      </c>
      <c r="T898" s="125">
        <f t="shared" si="73"/>
        <v>0</v>
      </c>
      <c r="U898" s="125">
        <f t="shared" si="74"/>
        <v>0</v>
      </c>
      <c r="V898" s="4" t="e">
        <f>IF($Q898&lt;&gt;3,VLOOKUP(F898,'Points Table A'!B$3:$F$33,5),VLOOKUP(F898,'Points Table A'!H$3:$L$33,5))</f>
        <v>#N/A</v>
      </c>
      <c r="W898" s="4" t="e">
        <f>IF($Q898&lt;&gt;3,VLOOKUP(G898,'Points Table A'!C$3:$F$33,4),VLOOKUP(G898,'Points Table A'!I$3:$L$33,4))</f>
        <v>#N/A</v>
      </c>
      <c r="X898" s="4" t="e">
        <f>IF($Q898&lt;&gt;3,VLOOKUP(H898,'Points Table A'!D$3:$F$28,3),VLOOKUP(H898,'Points Table A'!J$3:$L$33,3))</f>
        <v>#N/A</v>
      </c>
      <c r="Y898" s="4" t="e">
        <f>IF($Q898&lt;&gt;3,VLOOKUP(I898,'Points Table A'!E$3:$F$33,2),VLOOKUP(I898,'Points Table A'!K$3:$L$33,2))</f>
        <v>#N/A</v>
      </c>
      <c r="Z898" s="4" t="e">
        <f t="shared" si="75"/>
        <v>#N/A</v>
      </c>
      <c r="AA898" s="4">
        <f>IF($S898=Lookups!$B$113,VLOOKUP(L898,'Points Table C'!A$3:$E$11,5),VLOOKUP(U898,'Points Table C'!B$3:$E$11,4))</f>
        <v>0</v>
      </c>
      <c r="AB898" s="4" t="e">
        <f>IF($Q898=1,0,VLOOKUP($J898,'Points Table C'!$C$3:$E$18,3))</f>
        <v>#N/A</v>
      </c>
      <c r="AC898" s="4">
        <f>VLOOKUP($K898,'Points Table C'!$D$3:$E$18,2)</f>
        <v>0</v>
      </c>
      <c r="AD898" s="4" t="e">
        <f>IF($Z898&lt;Lookups!$C$106,($AA898+AB898+AC898),IF($AA898&gt;=Lookups!$C$120,($AA898+AB898+AC898),$AA898+$AB898))</f>
        <v>#N/A</v>
      </c>
      <c r="AF898" s="7"/>
      <c r="AG898" s="7"/>
      <c r="AH898" s="7"/>
      <c r="AI898" s="7"/>
      <c r="AJ898" s="7"/>
      <c r="AK898" s="7"/>
      <c r="AL898" s="7"/>
      <c r="AM898" s="7"/>
      <c r="AN898" s="7"/>
      <c r="AO898" s="7"/>
      <c r="AP898" s="7"/>
      <c r="AQ898" s="7"/>
      <c r="AR898" s="7"/>
      <c r="AS898" s="7"/>
      <c r="AT898" s="7"/>
      <c r="AU898" s="7"/>
      <c r="AV898" s="7"/>
      <c r="AW898" s="7"/>
      <c r="AY898" s="7"/>
      <c r="AZ898" s="7"/>
      <c r="BA898" s="7"/>
      <c r="BB898" s="7"/>
    </row>
    <row r="899" spans="2:54" x14ac:dyDescent="0.2">
      <c r="B899" s="174"/>
      <c r="C899" s="176"/>
      <c r="F899" s="5">
        <v>0</v>
      </c>
      <c r="G899" s="192">
        <v>0</v>
      </c>
      <c r="H899" s="192">
        <v>0</v>
      </c>
      <c r="I899" s="5">
        <v>0</v>
      </c>
      <c r="J899" s="192">
        <v>0</v>
      </c>
      <c r="K899" s="192">
        <v>0</v>
      </c>
      <c r="L899" s="5">
        <v>0</v>
      </c>
      <c r="M899" s="5">
        <v>0</v>
      </c>
      <c r="N899" s="4" t="e">
        <f t="shared" si="76"/>
        <v>#N/A</v>
      </c>
      <c r="O899" s="4" t="e">
        <f>IF(ROUND(10.499-(((N899-VLOOKUP($C899,Lookups!$A$55:$D$64,3))/(VLOOKUP($C899,Lookups!$A$55:$D$64,4))*VLOOKUP($C899,Lookups!$C$2:$D$11,2))),0)&lt;1,1,IF(ROUND(10.499-(((N899-VLOOKUP($C899,Lookups!$A$55:$D$64,3))/(VLOOKUP($C899,Lookups!$A$55:$D$64,4))*VLOOKUP($C899,Lookups!$C$2:$D$11,2))),0)&lt;11,ROUND(10.499-(((N899-VLOOKUP($C899,Lookups!$A$55:$D$64,3))/(VLOOKUP($C899,Lookups!$A$55:$D$64,4))*VLOOKUP($C899,Lookups!$C$2:$D$11,2))),0),10))</f>
        <v>#N/A</v>
      </c>
      <c r="P899" s="13" t="str">
        <f>IF((SUM(F899:M899)=0),"J",VLOOKUP(O899,Lookups!$A$1:$B$11,2))</f>
        <v>J</v>
      </c>
      <c r="Q899" s="8" t="e">
        <f>VLOOKUP(C899,Lookups!$A$136:$C$144,3)</f>
        <v>#N/A</v>
      </c>
      <c r="R899" s="8" t="e">
        <f>VLOOKUP(C899,Lookups!$A$136:$C$144,2)</f>
        <v>#N/A</v>
      </c>
      <c r="S899" s="4" t="str">
        <f t="shared" si="72"/>
        <v>No</v>
      </c>
      <c r="T899" s="125">
        <f t="shared" si="73"/>
        <v>0</v>
      </c>
      <c r="U899" s="125">
        <f t="shared" si="74"/>
        <v>0</v>
      </c>
      <c r="V899" s="4" t="e">
        <f>IF($Q899&lt;&gt;3,VLOOKUP(F899,'Points Table A'!B$3:$F$33,5),VLOOKUP(F899,'Points Table A'!H$3:$L$33,5))</f>
        <v>#N/A</v>
      </c>
      <c r="W899" s="4" t="e">
        <f>IF($Q899&lt;&gt;3,VLOOKUP(G899,'Points Table A'!C$3:$F$33,4),VLOOKUP(G899,'Points Table A'!I$3:$L$33,4))</f>
        <v>#N/A</v>
      </c>
      <c r="X899" s="4" t="e">
        <f>IF($Q899&lt;&gt;3,VLOOKUP(H899,'Points Table A'!D$3:$F$28,3),VLOOKUP(H899,'Points Table A'!J$3:$L$33,3))</f>
        <v>#N/A</v>
      </c>
      <c r="Y899" s="4" t="e">
        <f>IF($Q899&lt;&gt;3,VLOOKUP(I899,'Points Table A'!E$3:$F$33,2),VLOOKUP(I899,'Points Table A'!K$3:$L$33,2))</f>
        <v>#N/A</v>
      </c>
      <c r="Z899" s="4" t="e">
        <f t="shared" si="75"/>
        <v>#N/A</v>
      </c>
      <c r="AA899" s="4">
        <f>IF($S899=Lookups!$B$113,VLOOKUP(L899,'Points Table C'!A$3:$E$11,5),VLOOKUP(U899,'Points Table C'!B$3:$E$11,4))</f>
        <v>0</v>
      </c>
      <c r="AB899" s="4" t="e">
        <f>IF($Q899=1,0,VLOOKUP($J899,'Points Table C'!$C$3:$E$18,3))</f>
        <v>#N/A</v>
      </c>
      <c r="AC899" s="4">
        <f>VLOOKUP($K899,'Points Table C'!$D$3:$E$18,2)</f>
        <v>0</v>
      </c>
      <c r="AD899" s="4" t="e">
        <f>IF($Z899&lt;Lookups!$C$106,($AA899+AB899+AC899),IF($AA899&gt;=Lookups!$C$120,($AA899+AB899+AC899),$AA899+$AB899))</f>
        <v>#N/A</v>
      </c>
      <c r="AF899" s="7"/>
      <c r="AG899" s="7"/>
      <c r="AH899" s="7"/>
      <c r="AI899" s="7"/>
      <c r="AJ899" s="7"/>
      <c r="AK899" s="7"/>
      <c r="AL899" s="7"/>
      <c r="AM899" s="7"/>
      <c r="AN899" s="7"/>
      <c r="AO899" s="7"/>
      <c r="AP899" s="7"/>
      <c r="AQ899" s="7"/>
      <c r="AR899" s="7"/>
      <c r="AS899" s="7"/>
      <c r="AT899" s="7"/>
      <c r="AU899" s="7"/>
      <c r="AV899" s="7"/>
      <c r="AW899" s="7"/>
      <c r="AY899" s="7"/>
      <c r="AZ899" s="7"/>
      <c r="BA899" s="7"/>
      <c r="BB899" s="7"/>
    </row>
    <row r="900" spans="2:54" x14ac:dyDescent="0.2">
      <c r="B900" s="174"/>
      <c r="C900" s="176"/>
      <c r="F900" s="5">
        <v>0</v>
      </c>
      <c r="G900" s="192">
        <v>0</v>
      </c>
      <c r="H900" s="192">
        <v>0</v>
      </c>
      <c r="I900" s="5">
        <v>0</v>
      </c>
      <c r="J900" s="192">
        <v>0</v>
      </c>
      <c r="K900" s="192">
        <v>0</v>
      </c>
      <c r="L900" s="5">
        <v>0</v>
      </c>
      <c r="M900" s="5">
        <v>0</v>
      </c>
      <c r="N900" s="4" t="e">
        <f t="shared" si="76"/>
        <v>#N/A</v>
      </c>
      <c r="O900" s="4" t="e">
        <f>IF(ROUND(10.499-(((N900-VLOOKUP($C900,Lookups!$A$55:$D$64,3))/(VLOOKUP($C900,Lookups!$A$55:$D$64,4))*VLOOKUP($C900,Lookups!$C$2:$D$11,2))),0)&lt;1,1,IF(ROUND(10.499-(((N900-VLOOKUP($C900,Lookups!$A$55:$D$64,3))/(VLOOKUP($C900,Lookups!$A$55:$D$64,4))*VLOOKUP($C900,Lookups!$C$2:$D$11,2))),0)&lt;11,ROUND(10.499-(((N900-VLOOKUP($C900,Lookups!$A$55:$D$64,3))/(VLOOKUP($C900,Lookups!$A$55:$D$64,4))*VLOOKUP($C900,Lookups!$C$2:$D$11,2))),0),10))</f>
        <v>#N/A</v>
      </c>
      <c r="P900" s="13" t="str">
        <f>IF((SUM(F900:M900)=0),"J",VLOOKUP(O900,Lookups!$A$1:$B$11,2))</f>
        <v>J</v>
      </c>
      <c r="Q900" s="8" t="e">
        <f>VLOOKUP(C900,Lookups!$A$136:$C$144,3)</f>
        <v>#N/A</v>
      </c>
      <c r="R900" s="8" t="e">
        <f>VLOOKUP(C900,Lookups!$A$136:$C$144,2)</f>
        <v>#N/A</v>
      </c>
      <c r="S900" s="4" t="str">
        <f t="shared" si="72"/>
        <v>No</v>
      </c>
      <c r="T900" s="125">
        <f t="shared" si="73"/>
        <v>0</v>
      </c>
      <c r="U900" s="125">
        <f t="shared" si="74"/>
        <v>0</v>
      </c>
      <c r="V900" s="4" t="e">
        <f>IF($Q900&lt;&gt;3,VLOOKUP(F900,'Points Table A'!B$3:$F$33,5),VLOOKUP(F900,'Points Table A'!H$3:$L$33,5))</f>
        <v>#N/A</v>
      </c>
      <c r="W900" s="4" t="e">
        <f>IF($Q900&lt;&gt;3,VLOOKUP(G900,'Points Table A'!C$3:$F$33,4),VLOOKUP(G900,'Points Table A'!I$3:$L$33,4))</f>
        <v>#N/A</v>
      </c>
      <c r="X900" s="4" t="e">
        <f>IF($Q900&lt;&gt;3,VLOOKUP(H900,'Points Table A'!D$3:$F$28,3),VLOOKUP(H900,'Points Table A'!J$3:$L$33,3))</f>
        <v>#N/A</v>
      </c>
      <c r="Y900" s="4" t="e">
        <f>IF($Q900&lt;&gt;3,VLOOKUP(I900,'Points Table A'!E$3:$F$33,2),VLOOKUP(I900,'Points Table A'!K$3:$L$33,2))</f>
        <v>#N/A</v>
      </c>
      <c r="Z900" s="4" t="e">
        <f t="shared" si="75"/>
        <v>#N/A</v>
      </c>
      <c r="AA900" s="4">
        <f>IF($S900=Lookups!$B$113,VLOOKUP(L900,'Points Table C'!A$3:$E$11,5),VLOOKUP(U900,'Points Table C'!B$3:$E$11,4))</f>
        <v>0</v>
      </c>
      <c r="AB900" s="4" t="e">
        <f>IF($Q900=1,0,VLOOKUP($J900,'Points Table C'!$C$3:$E$18,3))</f>
        <v>#N/A</v>
      </c>
      <c r="AC900" s="4">
        <f>VLOOKUP($K900,'Points Table C'!$D$3:$E$18,2)</f>
        <v>0</v>
      </c>
      <c r="AD900" s="4" t="e">
        <f>IF($Z900&lt;Lookups!$C$106,($AA900+AB900+AC900),IF($AA900&gt;=Lookups!$C$120,($AA900+AB900+AC900),$AA900+$AB900))</f>
        <v>#N/A</v>
      </c>
      <c r="AF900" s="7"/>
      <c r="AG900" s="7"/>
      <c r="AH900" s="7"/>
      <c r="AI900" s="7"/>
      <c r="AJ900" s="7"/>
      <c r="AK900" s="7"/>
      <c r="AL900" s="7"/>
      <c r="AM900" s="7"/>
      <c r="AN900" s="7"/>
      <c r="AO900" s="7"/>
      <c r="AP900" s="7"/>
      <c r="AQ900" s="7"/>
      <c r="AR900" s="7"/>
      <c r="AS900" s="7"/>
      <c r="AT900" s="7"/>
      <c r="AU900" s="7"/>
      <c r="AV900" s="7"/>
      <c r="AW900" s="7"/>
      <c r="AY900" s="7"/>
      <c r="AZ900" s="7"/>
      <c r="BA900" s="7"/>
      <c r="BB900" s="7"/>
    </row>
    <row r="901" spans="2:54" x14ac:dyDescent="0.2">
      <c r="B901" s="174"/>
      <c r="C901" s="176"/>
      <c r="F901" s="5">
        <v>0</v>
      </c>
      <c r="G901" s="192">
        <v>0</v>
      </c>
      <c r="H901" s="192">
        <v>0</v>
      </c>
      <c r="I901" s="5">
        <v>0</v>
      </c>
      <c r="J901" s="192">
        <v>0</v>
      </c>
      <c r="K901" s="192">
        <v>0</v>
      </c>
      <c r="L901" s="5">
        <v>0</v>
      </c>
      <c r="M901" s="5">
        <v>0</v>
      </c>
      <c r="N901" s="4" t="e">
        <f t="shared" si="76"/>
        <v>#N/A</v>
      </c>
      <c r="O901" s="4" t="e">
        <f>IF(ROUND(10.499-(((N901-VLOOKUP($C901,Lookups!$A$55:$D$64,3))/(VLOOKUP($C901,Lookups!$A$55:$D$64,4))*VLOOKUP($C901,Lookups!$C$2:$D$11,2))),0)&lt;1,1,IF(ROUND(10.499-(((N901-VLOOKUP($C901,Lookups!$A$55:$D$64,3))/(VLOOKUP($C901,Lookups!$A$55:$D$64,4))*VLOOKUP($C901,Lookups!$C$2:$D$11,2))),0)&lt;11,ROUND(10.499-(((N901-VLOOKUP($C901,Lookups!$A$55:$D$64,3))/(VLOOKUP($C901,Lookups!$A$55:$D$64,4))*VLOOKUP($C901,Lookups!$C$2:$D$11,2))),0),10))</f>
        <v>#N/A</v>
      </c>
      <c r="P901" s="13" t="str">
        <f>IF((SUM(F901:M901)=0),"J",VLOOKUP(O901,Lookups!$A$1:$B$11,2))</f>
        <v>J</v>
      </c>
      <c r="Q901" s="8" t="e">
        <f>VLOOKUP(C901,Lookups!$A$136:$C$144,3)</f>
        <v>#N/A</v>
      </c>
      <c r="R901" s="8" t="e">
        <f>VLOOKUP(C901,Lookups!$A$136:$C$144,2)</f>
        <v>#N/A</v>
      </c>
      <c r="S901" s="4" t="str">
        <f t="shared" si="72"/>
        <v>No</v>
      </c>
      <c r="T901" s="125">
        <f t="shared" si="73"/>
        <v>0</v>
      </c>
      <c r="U901" s="125">
        <f t="shared" si="74"/>
        <v>0</v>
      </c>
      <c r="V901" s="4" t="e">
        <f>IF($Q901&lt;&gt;3,VLOOKUP(F901,'Points Table A'!B$3:$F$33,5),VLOOKUP(F901,'Points Table A'!H$3:$L$33,5))</f>
        <v>#N/A</v>
      </c>
      <c r="W901" s="4" t="e">
        <f>IF($Q901&lt;&gt;3,VLOOKUP(G901,'Points Table A'!C$3:$F$33,4),VLOOKUP(G901,'Points Table A'!I$3:$L$33,4))</f>
        <v>#N/A</v>
      </c>
      <c r="X901" s="4" t="e">
        <f>IF($Q901&lt;&gt;3,VLOOKUP(H901,'Points Table A'!D$3:$F$28,3),VLOOKUP(H901,'Points Table A'!J$3:$L$33,3))</f>
        <v>#N/A</v>
      </c>
      <c r="Y901" s="4" t="e">
        <f>IF($Q901&lt;&gt;3,VLOOKUP(I901,'Points Table A'!E$3:$F$33,2),VLOOKUP(I901,'Points Table A'!K$3:$L$33,2))</f>
        <v>#N/A</v>
      </c>
      <c r="Z901" s="4" t="e">
        <f t="shared" si="75"/>
        <v>#N/A</v>
      </c>
      <c r="AA901" s="4">
        <f>IF($S901=Lookups!$B$113,VLOOKUP(L901,'Points Table C'!A$3:$E$11,5),VLOOKUP(U901,'Points Table C'!B$3:$E$11,4))</f>
        <v>0</v>
      </c>
      <c r="AB901" s="4" t="e">
        <f>IF($Q901=1,0,VLOOKUP($J901,'Points Table C'!$C$3:$E$18,3))</f>
        <v>#N/A</v>
      </c>
      <c r="AC901" s="4">
        <f>VLOOKUP($K901,'Points Table C'!$D$3:$E$18,2)</f>
        <v>0</v>
      </c>
      <c r="AD901" s="4" t="e">
        <f>IF($Z901&lt;Lookups!$C$106,($AA901+AB901+AC901),IF($AA901&gt;=Lookups!$C$120,($AA901+AB901+AC901),$AA901+$AB901))</f>
        <v>#N/A</v>
      </c>
      <c r="AF901" s="7"/>
      <c r="AG901" s="7"/>
      <c r="AH901" s="7"/>
      <c r="AI901" s="7"/>
      <c r="AJ901" s="7"/>
      <c r="AK901" s="7"/>
      <c r="AL901" s="7"/>
      <c r="AM901" s="7"/>
      <c r="AN901" s="7"/>
      <c r="AO901" s="7"/>
      <c r="AP901" s="7"/>
      <c r="AQ901" s="7"/>
      <c r="AR901" s="7"/>
      <c r="AS901" s="7"/>
      <c r="AT901" s="7"/>
      <c r="AU901" s="7"/>
      <c r="AV901" s="7"/>
      <c r="AW901" s="7"/>
      <c r="AY901" s="7"/>
      <c r="AZ901" s="7"/>
      <c r="BA901" s="7"/>
      <c r="BB901" s="7"/>
    </row>
    <row r="902" spans="2:54" x14ac:dyDescent="0.2">
      <c r="B902" s="174"/>
      <c r="C902" s="176"/>
      <c r="F902" s="5">
        <v>0</v>
      </c>
      <c r="G902" s="192">
        <v>0</v>
      </c>
      <c r="H902" s="192">
        <v>0</v>
      </c>
      <c r="I902" s="5">
        <v>0</v>
      </c>
      <c r="J902" s="192">
        <v>0</v>
      </c>
      <c r="K902" s="192">
        <v>0</v>
      </c>
      <c r="L902" s="5">
        <v>0</v>
      </c>
      <c r="M902" s="5">
        <v>0</v>
      </c>
      <c r="N902" s="4" t="e">
        <f t="shared" si="76"/>
        <v>#N/A</v>
      </c>
      <c r="O902" s="4" t="e">
        <f>IF(ROUND(10.499-(((N902-VLOOKUP($C902,Lookups!$A$55:$D$64,3))/(VLOOKUP($C902,Lookups!$A$55:$D$64,4))*VLOOKUP($C902,Lookups!$C$2:$D$11,2))),0)&lt;1,1,IF(ROUND(10.499-(((N902-VLOOKUP($C902,Lookups!$A$55:$D$64,3))/(VLOOKUP($C902,Lookups!$A$55:$D$64,4))*VLOOKUP($C902,Lookups!$C$2:$D$11,2))),0)&lt;11,ROUND(10.499-(((N902-VLOOKUP($C902,Lookups!$A$55:$D$64,3))/(VLOOKUP($C902,Lookups!$A$55:$D$64,4))*VLOOKUP($C902,Lookups!$C$2:$D$11,2))),0),10))</f>
        <v>#N/A</v>
      </c>
      <c r="P902" s="13" t="str">
        <f>IF((SUM(F902:M902)=0),"J",VLOOKUP(O902,Lookups!$A$1:$B$11,2))</f>
        <v>J</v>
      </c>
      <c r="Q902" s="8" t="e">
        <f>VLOOKUP(C902,Lookups!$A$136:$C$144,3)</f>
        <v>#N/A</v>
      </c>
      <c r="R902" s="8" t="e">
        <f>VLOOKUP(C902,Lookups!$A$136:$C$144,2)</f>
        <v>#N/A</v>
      </c>
      <c r="S902" s="4" t="str">
        <f t="shared" si="72"/>
        <v>No</v>
      </c>
      <c r="T902" s="125">
        <f t="shared" si="73"/>
        <v>0</v>
      </c>
      <c r="U902" s="125">
        <f t="shared" si="74"/>
        <v>0</v>
      </c>
      <c r="V902" s="4" t="e">
        <f>IF($Q902&lt;&gt;3,VLOOKUP(F902,'Points Table A'!B$3:$F$33,5),VLOOKUP(F902,'Points Table A'!H$3:$L$33,5))</f>
        <v>#N/A</v>
      </c>
      <c r="W902" s="4" t="e">
        <f>IF($Q902&lt;&gt;3,VLOOKUP(G902,'Points Table A'!C$3:$F$33,4),VLOOKUP(G902,'Points Table A'!I$3:$L$33,4))</f>
        <v>#N/A</v>
      </c>
      <c r="X902" s="4" t="e">
        <f>IF($Q902&lt;&gt;3,VLOOKUP(H902,'Points Table A'!D$3:$F$28,3),VLOOKUP(H902,'Points Table A'!J$3:$L$33,3))</f>
        <v>#N/A</v>
      </c>
      <c r="Y902" s="4" t="e">
        <f>IF($Q902&lt;&gt;3,VLOOKUP(I902,'Points Table A'!E$3:$F$33,2),VLOOKUP(I902,'Points Table A'!K$3:$L$33,2))</f>
        <v>#N/A</v>
      </c>
      <c r="Z902" s="4" t="e">
        <f t="shared" si="75"/>
        <v>#N/A</v>
      </c>
      <c r="AA902" s="4">
        <f>IF($S902=Lookups!$B$113,VLOOKUP(L902,'Points Table C'!A$3:$E$11,5),VLOOKUP(U902,'Points Table C'!B$3:$E$11,4))</f>
        <v>0</v>
      </c>
      <c r="AB902" s="4" t="e">
        <f>IF($Q902=1,0,VLOOKUP($J902,'Points Table C'!$C$3:$E$18,3))</f>
        <v>#N/A</v>
      </c>
      <c r="AC902" s="4">
        <f>VLOOKUP($K902,'Points Table C'!$D$3:$E$18,2)</f>
        <v>0</v>
      </c>
      <c r="AD902" s="4" t="e">
        <f>IF($Z902&lt;Lookups!$C$106,($AA902+AB902+AC902),IF($AA902&gt;=Lookups!$C$120,($AA902+AB902+AC902),$AA902+$AB902))</f>
        <v>#N/A</v>
      </c>
      <c r="AF902" s="7"/>
      <c r="AG902" s="7"/>
      <c r="AH902" s="7"/>
      <c r="AI902" s="7"/>
      <c r="AJ902" s="7"/>
      <c r="AK902" s="7"/>
      <c r="AL902" s="7"/>
      <c r="AM902" s="7"/>
      <c r="AN902" s="7"/>
      <c r="AO902" s="7"/>
      <c r="AP902" s="7"/>
      <c r="AQ902" s="7"/>
      <c r="AR902" s="7"/>
      <c r="AS902" s="7"/>
      <c r="AT902" s="7"/>
      <c r="AU902" s="7"/>
      <c r="AV902" s="7"/>
      <c r="AW902" s="7"/>
      <c r="AY902" s="7"/>
      <c r="AZ902" s="7"/>
      <c r="BA902" s="7"/>
      <c r="BB902" s="7"/>
    </row>
    <row r="903" spans="2:54" x14ac:dyDescent="0.2">
      <c r="B903" s="174"/>
      <c r="C903" s="176"/>
      <c r="F903" s="5">
        <v>0</v>
      </c>
      <c r="G903" s="192">
        <v>0</v>
      </c>
      <c r="H903" s="192">
        <v>0</v>
      </c>
      <c r="I903" s="5">
        <v>0</v>
      </c>
      <c r="J903" s="192">
        <v>0</v>
      </c>
      <c r="K903" s="192">
        <v>0</v>
      </c>
      <c r="L903" s="5">
        <v>0</v>
      </c>
      <c r="M903" s="5">
        <v>0</v>
      </c>
      <c r="N903" s="4" t="e">
        <f t="shared" si="76"/>
        <v>#N/A</v>
      </c>
      <c r="O903" s="4" t="e">
        <f>IF(ROUND(10.499-(((N903-VLOOKUP($C903,Lookups!$A$55:$D$64,3))/(VLOOKUP($C903,Lookups!$A$55:$D$64,4))*VLOOKUP($C903,Lookups!$C$2:$D$11,2))),0)&lt;1,1,IF(ROUND(10.499-(((N903-VLOOKUP($C903,Lookups!$A$55:$D$64,3))/(VLOOKUP($C903,Lookups!$A$55:$D$64,4))*VLOOKUP($C903,Lookups!$C$2:$D$11,2))),0)&lt;11,ROUND(10.499-(((N903-VLOOKUP($C903,Lookups!$A$55:$D$64,3))/(VLOOKUP($C903,Lookups!$A$55:$D$64,4))*VLOOKUP($C903,Lookups!$C$2:$D$11,2))),0),10))</f>
        <v>#N/A</v>
      </c>
      <c r="P903" s="13" t="str">
        <f>IF((SUM(F903:M903)=0),"J",VLOOKUP(O903,Lookups!$A$1:$B$11,2))</f>
        <v>J</v>
      </c>
      <c r="Q903" s="8" t="e">
        <f>VLOOKUP(C903,Lookups!$A$136:$C$144,3)</f>
        <v>#N/A</v>
      </c>
      <c r="R903" s="8" t="e">
        <f>VLOOKUP(C903,Lookups!$A$136:$C$144,2)</f>
        <v>#N/A</v>
      </c>
      <c r="S903" s="4" t="str">
        <f t="shared" si="72"/>
        <v>No</v>
      </c>
      <c r="T903" s="125">
        <f t="shared" si="73"/>
        <v>0</v>
      </c>
      <c r="U903" s="125">
        <f t="shared" si="74"/>
        <v>0</v>
      </c>
      <c r="V903" s="4" t="e">
        <f>IF($Q903&lt;&gt;3,VLOOKUP(F903,'Points Table A'!B$3:$F$33,5),VLOOKUP(F903,'Points Table A'!H$3:$L$33,5))</f>
        <v>#N/A</v>
      </c>
      <c r="W903" s="4" t="e">
        <f>IF($Q903&lt;&gt;3,VLOOKUP(G903,'Points Table A'!C$3:$F$33,4),VLOOKUP(G903,'Points Table A'!I$3:$L$33,4))</f>
        <v>#N/A</v>
      </c>
      <c r="X903" s="4" t="e">
        <f>IF($Q903&lt;&gt;3,VLOOKUP(H903,'Points Table A'!D$3:$F$28,3),VLOOKUP(H903,'Points Table A'!J$3:$L$33,3))</f>
        <v>#N/A</v>
      </c>
      <c r="Y903" s="4" t="e">
        <f>IF($Q903&lt;&gt;3,VLOOKUP(I903,'Points Table A'!E$3:$F$33,2),VLOOKUP(I903,'Points Table A'!K$3:$L$33,2))</f>
        <v>#N/A</v>
      </c>
      <c r="Z903" s="4" t="e">
        <f t="shared" si="75"/>
        <v>#N/A</v>
      </c>
      <c r="AA903" s="4">
        <f>IF($S903=Lookups!$B$113,VLOOKUP(L903,'Points Table C'!A$3:$E$11,5),VLOOKUP(U903,'Points Table C'!B$3:$E$11,4))</f>
        <v>0</v>
      </c>
      <c r="AB903" s="4" t="e">
        <f>IF($Q903=1,0,VLOOKUP($J903,'Points Table C'!$C$3:$E$18,3))</f>
        <v>#N/A</v>
      </c>
      <c r="AC903" s="4">
        <f>VLOOKUP($K903,'Points Table C'!$D$3:$E$18,2)</f>
        <v>0</v>
      </c>
      <c r="AD903" s="4" t="e">
        <f>IF($Z903&lt;Lookups!$C$106,($AA903+AB903+AC903),IF($AA903&gt;=Lookups!$C$120,($AA903+AB903+AC903),$AA903+$AB903))</f>
        <v>#N/A</v>
      </c>
      <c r="AF903" s="7"/>
      <c r="AG903" s="7"/>
      <c r="AH903" s="7"/>
      <c r="AI903" s="7"/>
      <c r="AJ903" s="7"/>
      <c r="AK903" s="7"/>
      <c r="AL903" s="7"/>
      <c r="AM903" s="7"/>
      <c r="AN903" s="7"/>
      <c r="AO903" s="7"/>
      <c r="AP903" s="7"/>
      <c r="AQ903" s="7"/>
      <c r="AR903" s="7"/>
      <c r="AS903" s="7"/>
      <c r="AT903" s="7"/>
      <c r="AU903" s="7"/>
      <c r="AV903" s="7"/>
      <c r="AW903" s="7"/>
      <c r="AY903" s="7"/>
      <c r="AZ903" s="7"/>
      <c r="BA903" s="7"/>
      <c r="BB903" s="7"/>
    </row>
    <row r="904" spans="2:54" x14ac:dyDescent="0.2">
      <c r="B904" s="174"/>
      <c r="C904" s="176"/>
      <c r="F904" s="5">
        <v>0</v>
      </c>
      <c r="G904" s="192">
        <v>0</v>
      </c>
      <c r="H904" s="192">
        <v>0</v>
      </c>
      <c r="I904" s="5">
        <v>0</v>
      </c>
      <c r="J904" s="192">
        <v>0</v>
      </c>
      <c r="K904" s="192">
        <v>0</v>
      </c>
      <c r="L904" s="5">
        <v>0</v>
      </c>
      <c r="M904" s="5">
        <v>0</v>
      </c>
      <c r="N904" s="4" t="e">
        <f t="shared" si="76"/>
        <v>#N/A</v>
      </c>
      <c r="O904" s="4" t="e">
        <f>IF(ROUND(10.499-(((N904-VLOOKUP($C904,Lookups!$A$55:$D$64,3))/(VLOOKUP($C904,Lookups!$A$55:$D$64,4))*VLOOKUP($C904,Lookups!$C$2:$D$11,2))),0)&lt;1,1,IF(ROUND(10.499-(((N904-VLOOKUP($C904,Lookups!$A$55:$D$64,3))/(VLOOKUP($C904,Lookups!$A$55:$D$64,4))*VLOOKUP($C904,Lookups!$C$2:$D$11,2))),0)&lt;11,ROUND(10.499-(((N904-VLOOKUP($C904,Lookups!$A$55:$D$64,3))/(VLOOKUP($C904,Lookups!$A$55:$D$64,4))*VLOOKUP($C904,Lookups!$C$2:$D$11,2))),0),10))</f>
        <v>#N/A</v>
      </c>
      <c r="P904" s="13" t="str">
        <f>IF((SUM(F904:M904)=0),"J",VLOOKUP(O904,Lookups!$A$1:$B$11,2))</f>
        <v>J</v>
      </c>
      <c r="Q904" s="8" t="e">
        <f>VLOOKUP(C904,Lookups!$A$136:$C$144,3)</f>
        <v>#N/A</v>
      </c>
      <c r="R904" s="8" t="e">
        <f>VLOOKUP(C904,Lookups!$A$136:$C$144,2)</f>
        <v>#N/A</v>
      </c>
      <c r="S904" s="4" t="str">
        <f t="shared" si="72"/>
        <v>No</v>
      </c>
      <c r="T904" s="125">
        <f t="shared" si="73"/>
        <v>0</v>
      </c>
      <c r="U904" s="125">
        <f t="shared" si="74"/>
        <v>0</v>
      </c>
      <c r="V904" s="4" t="e">
        <f>IF($Q904&lt;&gt;3,VLOOKUP(F904,'Points Table A'!B$3:$F$33,5),VLOOKUP(F904,'Points Table A'!H$3:$L$33,5))</f>
        <v>#N/A</v>
      </c>
      <c r="W904" s="4" t="e">
        <f>IF($Q904&lt;&gt;3,VLOOKUP(G904,'Points Table A'!C$3:$F$33,4),VLOOKUP(G904,'Points Table A'!I$3:$L$33,4))</f>
        <v>#N/A</v>
      </c>
      <c r="X904" s="4" t="e">
        <f>IF($Q904&lt;&gt;3,VLOOKUP(H904,'Points Table A'!D$3:$F$28,3),VLOOKUP(H904,'Points Table A'!J$3:$L$33,3))</f>
        <v>#N/A</v>
      </c>
      <c r="Y904" s="4" t="e">
        <f>IF($Q904&lt;&gt;3,VLOOKUP(I904,'Points Table A'!E$3:$F$33,2),VLOOKUP(I904,'Points Table A'!K$3:$L$33,2))</f>
        <v>#N/A</v>
      </c>
      <c r="Z904" s="4" t="e">
        <f t="shared" si="75"/>
        <v>#N/A</v>
      </c>
      <c r="AA904" s="4">
        <f>IF($S904=Lookups!$B$113,VLOOKUP(L904,'Points Table C'!A$3:$E$11,5),VLOOKUP(U904,'Points Table C'!B$3:$E$11,4))</f>
        <v>0</v>
      </c>
      <c r="AB904" s="4" t="e">
        <f>IF($Q904=1,0,VLOOKUP($J904,'Points Table C'!$C$3:$E$18,3))</f>
        <v>#N/A</v>
      </c>
      <c r="AC904" s="4">
        <f>VLOOKUP($K904,'Points Table C'!$D$3:$E$18,2)</f>
        <v>0</v>
      </c>
      <c r="AD904" s="4" t="e">
        <f>IF($Z904&lt;Lookups!$C$106,($AA904+AB904+AC904),IF($AA904&gt;=Lookups!$C$120,($AA904+AB904+AC904),$AA904+$AB904))</f>
        <v>#N/A</v>
      </c>
      <c r="AF904" s="7"/>
      <c r="AG904" s="7"/>
      <c r="AH904" s="7"/>
      <c r="AI904" s="7"/>
      <c r="AJ904" s="7"/>
      <c r="AK904" s="7"/>
      <c r="AL904" s="7"/>
      <c r="AM904" s="7"/>
      <c r="AN904" s="7"/>
      <c r="AO904" s="7"/>
      <c r="AP904" s="7"/>
      <c r="AQ904" s="7"/>
      <c r="AR904" s="7"/>
      <c r="AS904" s="7"/>
      <c r="AT904" s="7"/>
      <c r="AU904" s="7"/>
      <c r="AV904" s="7"/>
      <c r="AW904" s="7"/>
      <c r="AY904" s="7"/>
      <c r="AZ904" s="7"/>
      <c r="BA904" s="7"/>
      <c r="BB904" s="7"/>
    </row>
    <row r="905" spans="2:54" x14ac:dyDescent="0.2">
      <c r="B905" s="174"/>
      <c r="C905" s="176"/>
      <c r="F905" s="5">
        <v>0</v>
      </c>
      <c r="G905" s="192">
        <v>0</v>
      </c>
      <c r="H905" s="192">
        <v>0</v>
      </c>
      <c r="I905" s="5">
        <v>0</v>
      </c>
      <c r="J905" s="192">
        <v>0</v>
      </c>
      <c r="K905" s="192">
        <v>0</v>
      </c>
      <c r="L905" s="5">
        <v>0</v>
      </c>
      <c r="M905" s="5">
        <v>0</v>
      </c>
      <c r="N905" s="4" t="e">
        <f t="shared" si="76"/>
        <v>#N/A</v>
      </c>
      <c r="O905" s="4" t="e">
        <f>IF(ROUND(10.499-(((N905-VLOOKUP($C905,Lookups!$A$55:$D$64,3))/(VLOOKUP($C905,Lookups!$A$55:$D$64,4))*VLOOKUP($C905,Lookups!$C$2:$D$11,2))),0)&lt;1,1,IF(ROUND(10.499-(((N905-VLOOKUP($C905,Lookups!$A$55:$D$64,3))/(VLOOKUP($C905,Lookups!$A$55:$D$64,4))*VLOOKUP($C905,Lookups!$C$2:$D$11,2))),0)&lt;11,ROUND(10.499-(((N905-VLOOKUP($C905,Lookups!$A$55:$D$64,3))/(VLOOKUP($C905,Lookups!$A$55:$D$64,4))*VLOOKUP($C905,Lookups!$C$2:$D$11,2))),0),10))</f>
        <v>#N/A</v>
      </c>
      <c r="P905" s="13" t="str">
        <f>IF((SUM(F905:M905)=0),"J",VLOOKUP(O905,Lookups!$A$1:$B$11,2))</f>
        <v>J</v>
      </c>
      <c r="Q905" s="8" t="e">
        <f>VLOOKUP(C905,Lookups!$A$136:$C$144,3)</f>
        <v>#N/A</v>
      </c>
      <c r="R905" s="8" t="e">
        <f>VLOOKUP(C905,Lookups!$A$136:$C$144,2)</f>
        <v>#N/A</v>
      </c>
      <c r="S905" s="4" t="str">
        <f t="shared" si="72"/>
        <v>No</v>
      </c>
      <c r="T905" s="125">
        <f t="shared" si="73"/>
        <v>0</v>
      </c>
      <c r="U905" s="125">
        <f t="shared" si="74"/>
        <v>0</v>
      </c>
      <c r="V905" s="4" t="e">
        <f>IF($Q905&lt;&gt;3,VLOOKUP(F905,'Points Table A'!B$3:$F$33,5),VLOOKUP(F905,'Points Table A'!H$3:$L$33,5))</f>
        <v>#N/A</v>
      </c>
      <c r="W905" s="4" t="e">
        <f>IF($Q905&lt;&gt;3,VLOOKUP(G905,'Points Table A'!C$3:$F$33,4),VLOOKUP(G905,'Points Table A'!I$3:$L$33,4))</f>
        <v>#N/A</v>
      </c>
      <c r="X905" s="4" t="e">
        <f>IF($Q905&lt;&gt;3,VLOOKUP(H905,'Points Table A'!D$3:$F$28,3),VLOOKUP(H905,'Points Table A'!J$3:$L$33,3))</f>
        <v>#N/A</v>
      </c>
      <c r="Y905" s="4" t="e">
        <f>IF($Q905&lt;&gt;3,VLOOKUP(I905,'Points Table A'!E$3:$F$33,2),VLOOKUP(I905,'Points Table A'!K$3:$L$33,2))</f>
        <v>#N/A</v>
      </c>
      <c r="Z905" s="4" t="e">
        <f t="shared" si="75"/>
        <v>#N/A</v>
      </c>
      <c r="AA905" s="4">
        <f>IF($S905=Lookups!$B$113,VLOOKUP(L905,'Points Table C'!A$3:$E$11,5),VLOOKUP(U905,'Points Table C'!B$3:$E$11,4))</f>
        <v>0</v>
      </c>
      <c r="AB905" s="4" t="e">
        <f>IF($Q905=1,0,VLOOKUP($J905,'Points Table C'!$C$3:$E$18,3))</f>
        <v>#N/A</v>
      </c>
      <c r="AC905" s="4">
        <f>VLOOKUP($K905,'Points Table C'!$D$3:$E$18,2)</f>
        <v>0</v>
      </c>
      <c r="AD905" s="4" t="e">
        <f>IF($Z905&lt;Lookups!$C$106,($AA905+AB905+AC905),IF($AA905&gt;=Lookups!$C$120,($AA905+AB905+AC905),$AA905+$AB905))</f>
        <v>#N/A</v>
      </c>
      <c r="AF905" s="7"/>
      <c r="AG905" s="7"/>
      <c r="AH905" s="7"/>
      <c r="AI905" s="7"/>
      <c r="AJ905" s="7"/>
      <c r="AK905" s="7"/>
      <c r="AL905" s="7"/>
      <c r="AM905" s="7"/>
      <c r="AN905" s="7"/>
      <c r="AO905" s="7"/>
      <c r="AP905" s="7"/>
      <c r="AQ905" s="7"/>
      <c r="AR905" s="7"/>
      <c r="AS905" s="7"/>
      <c r="AT905" s="7"/>
      <c r="AU905" s="7"/>
      <c r="AV905" s="7"/>
      <c r="AW905" s="7"/>
      <c r="AY905" s="7"/>
      <c r="AZ905" s="7"/>
      <c r="BA905" s="7"/>
      <c r="BB905" s="7"/>
    </row>
    <row r="906" spans="2:54" x14ac:dyDescent="0.2">
      <c r="B906" s="174"/>
      <c r="C906" s="176"/>
      <c r="F906" s="5">
        <v>0</v>
      </c>
      <c r="G906" s="192">
        <v>0</v>
      </c>
      <c r="H906" s="192">
        <v>0</v>
      </c>
      <c r="I906" s="5">
        <v>0</v>
      </c>
      <c r="J906" s="192">
        <v>0</v>
      </c>
      <c r="K906" s="192">
        <v>0</v>
      </c>
      <c r="L906" s="5">
        <v>0</v>
      </c>
      <c r="M906" s="5">
        <v>0</v>
      </c>
      <c r="N906" s="4" t="e">
        <f t="shared" si="76"/>
        <v>#N/A</v>
      </c>
      <c r="O906" s="4" t="e">
        <f>IF(ROUND(10.499-(((N906-VLOOKUP($C906,Lookups!$A$55:$D$64,3))/(VLOOKUP($C906,Lookups!$A$55:$D$64,4))*VLOOKUP($C906,Lookups!$C$2:$D$11,2))),0)&lt;1,1,IF(ROUND(10.499-(((N906-VLOOKUP($C906,Lookups!$A$55:$D$64,3))/(VLOOKUP($C906,Lookups!$A$55:$D$64,4))*VLOOKUP($C906,Lookups!$C$2:$D$11,2))),0)&lt;11,ROUND(10.499-(((N906-VLOOKUP($C906,Lookups!$A$55:$D$64,3))/(VLOOKUP($C906,Lookups!$A$55:$D$64,4))*VLOOKUP($C906,Lookups!$C$2:$D$11,2))),0),10))</f>
        <v>#N/A</v>
      </c>
      <c r="P906" s="13" t="str">
        <f>IF((SUM(F906:M906)=0),"J",VLOOKUP(O906,Lookups!$A$1:$B$11,2))</f>
        <v>J</v>
      </c>
      <c r="Q906" s="8" t="e">
        <f>VLOOKUP(C906,Lookups!$A$136:$C$144,3)</f>
        <v>#N/A</v>
      </c>
      <c r="R906" s="8" t="e">
        <f>VLOOKUP(C906,Lookups!$A$136:$C$144,2)</f>
        <v>#N/A</v>
      </c>
      <c r="S906" s="4" t="str">
        <f t="shared" si="72"/>
        <v>No</v>
      </c>
      <c r="T906" s="125">
        <f t="shared" si="73"/>
        <v>0</v>
      </c>
      <c r="U906" s="125">
        <f t="shared" si="74"/>
        <v>0</v>
      </c>
      <c r="V906" s="4" t="e">
        <f>IF($Q906&lt;&gt;3,VLOOKUP(F906,'Points Table A'!B$3:$F$33,5),VLOOKUP(F906,'Points Table A'!H$3:$L$33,5))</f>
        <v>#N/A</v>
      </c>
      <c r="W906" s="4" t="e">
        <f>IF($Q906&lt;&gt;3,VLOOKUP(G906,'Points Table A'!C$3:$F$33,4),VLOOKUP(G906,'Points Table A'!I$3:$L$33,4))</f>
        <v>#N/A</v>
      </c>
      <c r="X906" s="4" t="e">
        <f>IF($Q906&lt;&gt;3,VLOOKUP(H906,'Points Table A'!D$3:$F$28,3),VLOOKUP(H906,'Points Table A'!J$3:$L$33,3))</f>
        <v>#N/A</v>
      </c>
      <c r="Y906" s="4" t="e">
        <f>IF($Q906&lt;&gt;3,VLOOKUP(I906,'Points Table A'!E$3:$F$33,2),VLOOKUP(I906,'Points Table A'!K$3:$L$33,2))</f>
        <v>#N/A</v>
      </c>
      <c r="Z906" s="4" t="e">
        <f t="shared" si="75"/>
        <v>#N/A</v>
      </c>
      <c r="AA906" s="4">
        <f>IF($S906=Lookups!$B$113,VLOOKUP(L906,'Points Table C'!A$3:$E$11,5),VLOOKUP(U906,'Points Table C'!B$3:$E$11,4))</f>
        <v>0</v>
      </c>
      <c r="AB906" s="4" t="e">
        <f>IF($Q906=1,0,VLOOKUP($J906,'Points Table C'!$C$3:$E$18,3))</f>
        <v>#N/A</v>
      </c>
      <c r="AC906" s="4">
        <f>VLOOKUP($K906,'Points Table C'!$D$3:$E$18,2)</f>
        <v>0</v>
      </c>
      <c r="AD906" s="4" t="e">
        <f>IF($Z906&lt;Lookups!$C$106,($AA906+AB906+AC906),IF($AA906&gt;=Lookups!$C$120,($AA906+AB906+AC906),$AA906+$AB906))</f>
        <v>#N/A</v>
      </c>
      <c r="AF906" s="7"/>
      <c r="AG906" s="7"/>
      <c r="AH906" s="7"/>
      <c r="AI906" s="7"/>
      <c r="AJ906" s="7"/>
      <c r="AK906" s="7"/>
      <c r="AL906" s="7"/>
      <c r="AM906" s="7"/>
      <c r="AN906" s="7"/>
      <c r="AO906" s="7"/>
      <c r="AP906" s="7"/>
      <c r="AQ906" s="7"/>
      <c r="AR906" s="7"/>
      <c r="AS906" s="7"/>
      <c r="AT906" s="7"/>
      <c r="AU906" s="7"/>
      <c r="AV906" s="7"/>
      <c r="AW906" s="7"/>
      <c r="AY906" s="7"/>
      <c r="AZ906" s="7"/>
      <c r="BA906" s="7"/>
      <c r="BB906" s="7"/>
    </row>
    <row r="907" spans="2:54" x14ac:dyDescent="0.2">
      <c r="B907" s="174"/>
      <c r="C907" s="176"/>
      <c r="F907" s="5">
        <v>0</v>
      </c>
      <c r="G907" s="192">
        <v>0</v>
      </c>
      <c r="H907" s="192">
        <v>0</v>
      </c>
      <c r="I907" s="5">
        <v>0</v>
      </c>
      <c r="J907" s="192">
        <v>0</v>
      </c>
      <c r="K907" s="192">
        <v>0</v>
      </c>
      <c r="L907" s="5">
        <v>0</v>
      </c>
      <c r="M907" s="5">
        <v>0</v>
      </c>
      <c r="N907" s="4" t="e">
        <f t="shared" si="76"/>
        <v>#N/A</v>
      </c>
      <c r="O907" s="4" t="e">
        <f>IF(ROUND(10.499-(((N907-VLOOKUP($C907,Lookups!$A$55:$D$64,3))/(VLOOKUP($C907,Lookups!$A$55:$D$64,4))*VLOOKUP($C907,Lookups!$C$2:$D$11,2))),0)&lt;1,1,IF(ROUND(10.499-(((N907-VLOOKUP($C907,Lookups!$A$55:$D$64,3))/(VLOOKUP($C907,Lookups!$A$55:$D$64,4))*VLOOKUP($C907,Lookups!$C$2:$D$11,2))),0)&lt;11,ROUND(10.499-(((N907-VLOOKUP($C907,Lookups!$A$55:$D$64,3))/(VLOOKUP($C907,Lookups!$A$55:$D$64,4))*VLOOKUP($C907,Lookups!$C$2:$D$11,2))),0),10))</f>
        <v>#N/A</v>
      </c>
      <c r="P907" s="13" t="str">
        <f>IF((SUM(F907:M907)=0),"J",VLOOKUP(O907,Lookups!$A$1:$B$11,2))</f>
        <v>J</v>
      </c>
      <c r="Q907" s="8" t="e">
        <f>VLOOKUP(C907,Lookups!$A$136:$C$144,3)</f>
        <v>#N/A</v>
      </c>
      <c r="R907" s="8" t="e">
        <f>VLOOKUP(C907,Lookups!$A$136:$C$144,2)</f>
        <v>#N/A</v>
      </c>
      <c r="S907" s="4" t="str">
        <f t="shared" si="72"/>
        <v>No</v>
      </c>
      <c r="T907" s="125">
        <f t="shared" si="73"/>
        <v>0</v>
      </c>
      <c r="U907" s="125">
        <f t="shared" si="74"/>
        <v>0</v>
      </c>
      <c r="V907" s="4" t="e">
        <f>IF($Q907&lt;&gt;3,VLOOKUP(F907,'Points Table A'!B$3:$F$33,5),VLOOKUP(F907,'Points Table A'!H$3:$L$33,5))</f>
        <v>#N/A</v>
      </c>
      <c r="W907" s="4" t="e">
        <f>IF($Q907&lt;&gt;3,VLOOKUP(G907,'Points Table A'!C$3:$F$33,4),VLOOKUP(G907,'Points Table A'!I$3:$L$33,4))</f>
        <v>#N/A</v>
      </c>
      <c r="X907" s="4" t="e">
        <f>IF($Q907&lt;&gt;3,VLOOKUP(H907,'Points Table A'!D$3:$F$28,3),VLOOKUP(H907,'Points Table A'!J$3:$L$33,3))</f>
        <v>#N/A</v>
      </c>
      <c r="Y907" s="4" t="e">
        <f>IF($Q907&lt;&gt;3,VLOOKUP(I907,'Points Table A'!E$3:$F$33,2),VLOOKUP(I907,'Points Table A'!K$3:$L$33,2))</f>
        <v>#N/A</v>
      </c>
      <c r="Z907" s="4" t="e">
        <f t="shared" si="75"/>
        <v>#N/A</v>
      </c>
      <c r="AA907" s="4">
        <f>IF($S907=Lookups!$B$113,VLOOKUP(L907,'Points Table C'!A$3:$E$11,5),VLOOKUP(U907,'Points Table C'!B$3:$E$11,4))</f>
        <v>0</v>
      </c>
      <c r="AB907" s="4" t="e">
        <f>IF($Q907=1,0,VLOOKUP($J907,'Points Table C'!$C$3:$E$18,3))</f>
        <v>#N/A</v>
      </c>
      <c r="AC907" s="4">
        <f>VLOOKUP($K907,'Points Table C'!$D$3:$E$18,2)</f>
        <v>0</v>
      </c>
      <c r="AD907" s="4" t="e">
        <f>IF($Z907&lt;Lookups!$C$106,($AA907+AB907+AC907),IF($AA907&gt;=Lookups!$C$120,($AA907+AB907+AC907),$AA907+$AB907))</f>
        <v>#N/A</v>
      </c>
      <c r="AF907" s="7"/>
      <c r="AG907" s="7"/>
      <c r="AH907" s="7"/>
      <c r="AI907" s="7"/>
      <c r="AJ907" s="7"/>
      <c r="AK907" s="7"/>
      <c r="AL907" s="7"/>
      <c r="AM907" s="7"/>
      <c r="AN907" s="7"/>
      <c r="AO907" s="7"/>
      <c r="AP907" s="7"/>
      <c r="AQ907" s="7"/>
      <c r="AR907" s="7"/>
      <c r="AS907" s="7"/>
      <c r="AT907" s="7"/>
      <c r="AU907" s="7"/>
      <c r="AV907" s="7"/>
      <c r="AW907" s="7"/>
      <c r="AY907" s="7"/>
      <c r="AZ907" s="7"/>
      <c r="BA907" s="7"/>
      <c r="BB907" s="7"/>
    </row>
    <row r="908" spans="2:54" x14ac:dyDescent="0.2">
      <c r="B908" s="174"/>
      <c r="C908" s="176"/>
      <c r="F908" s="5">
        <v>0</v>
      </c>
      <c r="G908" s="192">
        <v>0</v>
      </c>
      <c r="H908" s="192">
        <v>0</v>
      </c>
      <c r="I908" s="5">
        <v>0</v>
      </c>
      <c r="J908" s="192">
        <v>0</v>
      </c>
      <c r="K908" s="192">
        <v>0</v>
      </c>
      <c r="L908" s="5">
        <v>0</v>
      </c>
      <c r="M908" s="5">
        <v>0</v>
      </c>
      <c r="N908" s="4" t="e">
        <f t="shared" si="76"/>
        <v>#N/A</v>
      </c>
      <c r="O908" s="4" t="e">
        <f>IF(ROUND(10.499-(((N908-VLOOKUP($C908,Lookups!$A$55:$D$64,3))/(VLOOKUP($C908,Lookups!$A$55:$D$64,4))*VLOOKUP($C908,Lookups!$C$2:$D$11,2))),0)&lt;1,1,IF(ROUND(10.499-(((N908-VLOOKUP($C908,Lookups!$A$55:$D$64,3))/(VLOOKUP($C908,Lookups!$A$55:$D$64,4))*VLOOKUP($C908,Lookups!$C$2:$D$11,2))),0)&lt;11,ROUND(10.499-(((N908-VLOOKUP($C908,Lookups!$A$55:$D$64,3))/(VLOOKUP($C908,Lookups!$A$55:$D$64,4))*VLOOKUP($C908,Lookups!$C$2:$D$11,2))),0),10))</f>
        <v>#N/A</v>
      </c>
      <c r="P908" s="13" t="str">
        <f>IF((SUM(F908:M908)=0),"J",VLOOKUP(O908,Lookups!$A$1:$B$11,2))</f>
        <v>J</v>
      </c>
      <c r="Q908" s="8" t="e">
        <f>VLOOKUP(C908,Lookups!$A$136:$C$144,3)</f>
        <v>#N/A</v>
      </c>
      <c r="R908" s="8" t="e">
        <f>VLOOKUP(C908,Lookups!$A$136:$C$144,2)</f>
        <v>#N/A</v>
      </c>
      <c r="S908" s="4" t="str">
        <f t="shared" si="72"/>
        <v>No</v>
      </c>
      <c r="T908" s="125">
        <f t="shared" si="73"/>
        <v>0</v>
      </c>
      <c r="U908" s="125">
        <f t="shared" si="74"/>
        <v>0</v>
      </c>
      <c r="V908" s="4" t="e">
        <f>IF($Q908&lt;&gt;3,VLOOKUP(F908,'Points Table A'!B$3:$F$33,5),VLOOKUP(F908,'Points Table A'!H$3:$L$33,5))</f>
        <v>#N/A</v>
      </c>
      <c r="W908" s="4" t="e">
        <f>IF($Q908&lt;&gt;3,VLOOKUP(G908,'Points Table A'!C$3:$F$33,4),VLOOKUP(G908,'Points Table A'!I$3:$L$33,4))</f>
        <v>#N/A</v>
      </c>
      <c r="X908" s="4" t="e">
        <f>IF($Q908&lt;&gt;3,VLOOKUP(H908,'Points Table A'!D$3:$F$28,3),VLOOKUP(H908,'Points Table A'!J$3:$L$33,3))</f>
        <v>#N/A</v>
      </c>
      <c r="Y908" s="4" t="e">
        <f>IF($Q908&lt;&gt;3,VLOOKUP(I908,'Points Table A'!E$3:$F$33,2),VLOOKUP(I908,'Points Table A'!K$3:$L$33,2))</f>
        <v>#N/A</v>
      </c>
      <c r="Z908" s="4" t="e">
        <f t="shared" si="75"/>
        <v>#N/A</v>
      </c>
      <c r="AA908" s="4">
        <f>IF($S908=Lookups!$B$113,VLOOKUP(L908,'Points Table C'!A$3:$E$11,5),VLOOKUP(U908,'Points Table C'!B$3:$E$11,4))</f>
        <v>0</v>
      </c>
      <c r="AB908" s="4" t="e">
        <f>IF($Q908=1,0,VLOOKUP($J908,'Points Table C'!$C$3:$E$18,3))</f>
        <v>#N/A</v>
      </c>
      <c r="AC908" s="4">
        <f>VLOOKUP($K908,'Points Table C'!$D$3:$E$18,2)</f>
        <v>0</v>
      </c>
      <c r="AD908" s="4" t="e">
        <f>IF($Z908&lt;Lookups!$C$106,($AA908+AB908+AC908),IF($AA908&gt;=Lookups!$C$120,($AA908+AB908+AC908),$AA908+$AB908))</f>
        <v>#N/A</v>
      </c>
      <c r="AF908" s="7"/>
      <c r="AG908" s="7"/>
      <c r="AH908" s="7"/>
      <c r="AI908" s="7"/>
      <c r="AJ908" s="7"/>
      <c r="AK908" s="7"/>
      <c r="AL908" s="7"/>
      <c r="AM908" s="7"/>
      <c r="AN908" s="7"/>
      <c r="AO908" s="7"/>
      <c r="AP908" s="7"/>
      <c r="AQ908" s="7"/>
      <c r="AR908" s="7"/>
      <c r="AS908" s="7"/>
      <c r="AT908" s="7"/>
      <c r="AU908" s="7"/>
      <c r="AV908" s="7"/>
      <c r="AW908" s="7"/>
      <c r="AY908" s="7"/>
      <c r="AZ908" s="7"/>
      <c r="BA908" s="7"/>
      <c r="BB908" s="7"/>
    </row>
    <row r="909" spans="2:54" x14ac:dyDescent="0.2">
      <c r="B909" s="174"/>
      <c r="C909" s="176"/>
      <c r="F909" s="5">
        <v>0</v>
      </c>
      <c r="G909" s="192">
        <v>0</v>
      </c>
      <c r="H909" s="192">
        <v>0</v>
      </c>
      <c r="I909" s="5">
        <v>0</v>
      </c>
      <c r="J909" s="192">
        <v>0</v>
      </c>
      <c r="K909" s="192">
        <v>0</v>
      </c>
      <c r="L909" s="5">
        <v>0</v>
      </c>
      <c r="M909" s="5">
        <v>0</v>
      </c>
      <c r="N909" s="4" t="e">
        <f t="shared" si="76"/>
        <v>#N/A</v>
      </c>
      <c r="O909" s="4" t="e">
        <f>IF(ROUND(10.499-(((N909-VLOOKUP($C909,Lookups!$A$55:$D$64,3))/(VLOOKUP($C909,Lookups!$A$55:$D$64,4))*VLOOKUP($C909,Lookups!$C$2:$D$11,2))),0)&lt;1,1,IF(ROUND(10.499-(((N909-VLOOKUP($C909,Lookups!$A$55:$D$64,3))/(VLOOKUP($C909,Lookups!$A$55:$D$64,4))*VLOOKUP($C909,Lookups!$C$2:$D$11,2))),0)&lt;11,ROUND(10.499-(((N909-VLOOKUP($C909,Lookups!$A$55:$D$64,3))/(VLOOKUP($C909,Lookups!$A$55:$D$64,4))*VLOOKUP($C909,Lookups!$C$2:$D$11,2))),0),10))</f>
        <v>#N/A</v>
      </c>
      <c r="P909" s="13" t="str">
        <f>IF((SUM(F909:M909)=0),"J",VLOOKUP(O909,Lookups!$A$1:$B$11,2))</f>
        <v>J</v>
      </c>
      <c r="Q909" s="8" t="e">
        <f>VLOOKUP(C909,Lookups!$A$136:$C$144,3)</f>
        <v>#N/A</v>
      </c>
      <c r="R909" s="8" t="e">
        <f>VLOOKUP(C909,Lookups!$A$136:$C$144,2)</f>
        <v>#N/A</v>
      </c>
      <c r="S909" s="4" t="str">
        <f t="shared" si="72"/>
        <v>No</v>
      </c>
      <c r="T909" s="125">
        <f t="shared" si="73"/>
        <v>0</v>
      </c>
      <c r="U909" s="125">
        <f t="shared" si="74"/>
        <v>0</v>
      </c>
      <c r="V909" s="4" t="e">
        <f>IF($Q909&lt;&gt;3,VLOOKUP(F909,'Points Table A'!B$3:$F$33,5),VLOOKUP(F909,'Points Table A'!H$3:$L$33,5))</f>
        <v>#N/A</v>
      </c>
      <c r="W909" s="4" t="e">
        <f>IF($Q909&lt;&gt;3,VLOOKUP(G909,'Points Table A'!C$3:$F$33,4),VLOOKUP(G909,'Points Table A'!I$3:$L$33,4))</f>
        <v>#N/A</v>
      </c>
      <c r="X909" s="4" t="e">
        <f>IF($Q909&lt;&gt;3,VLOOKUP(H909,'Points Table A'!D$3:$F$28,3),VLOOKUP(H909,'Points Table A'!J$3:$L$33,3))</f>
        <v>#N/A</v>
      </c>
      <c r="Y909" s="4" t="e">
        <f>IF($Q909&lt;&gt;3,VLOOKUP(I909,'Points Table A'!E$3:$F$33,2),VLOOKUP(I909,'Points Table A'!K$3:$L$33,2))</f>
        <v>#N/A</v>
      </c>
      <c r="Z909" s="4" t="e">
        <f t="shared" si="75"/>
        <v>#N/A</v>
      </c>
      <c r="AA909" s="4">
        <f>IF($S909=Lookups!$B$113,VLOOKUP(L909,'Points Table C'!A$3:$E$11,5),VLOOKUP(U909,'Points Table C'!B$3:$E$11,4))</f>
        <v>0</v>
      </c>
      <c r="AB909" s="4" t="e">
        <f>IF($Q909=1,0,VLOOKUP($J909,'Points Table C'!$C$3:$E$18,3))</f>
        <v>#N/A</v>
      </c>
      <c r="AC909" s="4">
        <f>VLOOKUP($K909,'Points Table C'!$D$3:$E$18,2)</f>
        <v>0</v>
      </c>
      <c r="AD909" s="4" t="e">
        <f>IF($Z909&lt;Lookups!$C$106,($AA909+AB909+AC909),IF($AA909&gt;=Lookups!$C$120,($AA909+AB909+AC909),$AA909+$AB909))</f>
        <v>#N/A</v>
      </c>
      <c r="AF909" s="7"/>
      <c r="AG909" s="7"/>
      <c r="AH909" s="7"/>
      <c r="AI909" s="7"/>
      <c r="AJ909" s="7"/>
      <c r="AK909" s="7"/>
      <c r="AL909" s="7"/>
      <c r="AM909" s="7"/>
      <c r="AN909" s="7"/>
      <c r="AO909" s="7"/>
      <c r="AP909" s="7"/>
      <c r="AQ909" s="7"/>
      <c r="AR909" s="7"/>
      <c r="AS909" s="7"/>
      <c r="AT909" s="7"/>
      <c r="AU909" s="7"/>
      <c r="AV909" s="7"/>
      <c r="AW909" s="7"/>
      <c r="AY909" s="7"/>
      <c r="AZ909" s="7"/>
      <c r="BA909" s="7"/>
      <c r="BB909" s="7"/>
    </row>
    <row r="910" spans="2:54" x14ac:dyDescent="0.2">
      <c r="B910" s="174"/>
      <c r="C910" s="176"/>
      <c r="F910" s="5">
        <v>0</v>
      </c>
      <c r="G910" s="192">
        <v>0</v>
      </c>
      <c r="H910" s="192">
        <v>0</v>
      </c>
      <c r="I910" s="5">
        <v>0</v>
      </c>
      <c r="J910" s="192">
        <v>0</v>
      </c>
      <c r="K910" s="192">
        <v>0</v>
      </c>
      <c r="L910" s="5">
        <v>0</v>
      </c>
      <c r="M910" s="5">
        <v>0</v>
      </c>
      <c r="N910" s="4" t="e">
        <f t="shared" si="76"/>
        <v>#N/A</v>
      </c>
      <c r="O910" s="4" t="e">
        <f>IF(ROUND(10.499-(((N910-VLOOKUP($C910,Lookups!$A$55:$D$64,3))/(VLOOKUP($C910,Lookups!$A$55:$D$64,4))*VLOOKUP($C910,Lookups!$C$2:$D$11,2))),0)&lt;1,1,IF(ROUND(10.499-(((N910-VLOOKUP($C910,Lookups!$A$55:$D$64,3))/(VLOOKUP($C910,Lookups!$A$55:$D$64,4))*VLOOKUP($C910,Lookups!$C$2:$D$11,2))),0)&lt;11,ROUND(10.499-(((N910-VLOOKUP($C910,Lookups!$A$55:$D$64,3))/(VLOOKUP($C910,Lookups!$A$55:$D$64,4))*VLOOKUP($C910,Lookups!$C$2:$D$11,2))),0),10))</f>
        <v>#N/A</v>
      </c>
      <c r="P910" s="13" t="str">
        <f>IF((SUM(F910:M910)=0),"J",VLOOKUP(O910,Lookups!$A$1:$B$11,2))</f>
        <v>J</v>
      </c>
      <c r="Q910" s="8" t="e">
        <f>VLOOKUP(C910,Lookups!$A$136:$C$144,3)</f>
        <v>#N/A</v>
      </c>
      <c r="R910" s="8" t="e">
        <f>VLOOKUP(C910,Lookups!$A$136:$C$144,2)</f>
        <v>#N/A</v>
      </c>
      <c r="S910" s="4" t="str">
        <f t="shared" si="72"/>
        <v>No</v>
      </c>
      <c r="T910" s="125">
        <f t="shared" si="73"/>
        <v>0</v>
      </c>
      <c r="U910" s="125">
        <f t="shared" si="74"/>
        <v>0</v>
      </c>
      <c r="V910" s="4" t="e">
        <f>IF($Q910&lt;&gt;3,VLOOKUP(F910,'Points Table A'!B$3:$F$33,5),VLOOKUP(F910,'Points Table A'!H$3:$L$33,5))</f>
        <v>#N/A</v>
      </c>
      <c r="W910" s="4" t="e">
        <f>IF($Q910&lt;&gt;3,VLOOKUP(G910,'Points Table A'!C$3:$F$33,4),VLOOKUP(G910,'Points Table A'!I$3:$L$33,4))</f>
        <v>#N/A</v>
      </c>
      <c r="X910" s="4" t="e">
        <f>IF($Q910&lt;&gt;3,VLOOKUP(H910,'Points Table A'!D$3:$F$28,3),VLOOKUP(H910,'Points Table A'!J$3:$L$33,3))</f>
        <v>#N/A</v>
      </c>
      <c r="Y910" s="4" t="e">
        <f>IF($Q910&lt;&gt;3,VLOOKUP(I910,'Points Table A'!E$3:$F$33,2),VLOOKUP(I910,'Points Table A'!K$3:$L$33,2))</f>
        <v>#N/A</v>
      </c>
      <c r="Z910" s="4" t="e">
        <f t="shared" si="75"/>
        <v>#N/A</v>
      </c>
      <c r="AA910" s="4">
        <f>IF($S910=Lookups!$B$113,VLOOKUP(L910,'Points Table C'!A$3:$E$11,5),VLOOKUP(U910,'Points Table C'!B$3:$E$11,4))</f>
        <v>0</v>
      </c>
      <c r="AB910" s="4" t="e">
        <f>IF($Q910=1,0,VLOOKUP($J910,'Points Table C'!$C$3:$E$18,3))</f>
        <v>#N/A</v>
      </c>
      <c r="AC910" s="4">
        <f>VLOOKUP($K910,'Points Table C'!$D$3:$E$18,2)</f>
        <v>0</v>
      </c>
      <c r="AD910" s="4" t="e">
        <f>IF($Z910&lt;Lookups!$C$106,($AA910+AB910+AC910),IF($AA910&gt;=Lookups!$C$120,($AA910+AB910+AC910),$AA910+$AB910))</f>
        <v>#N/A</v>
      </c>
      <c r="AF910" s="7"/>
      <c r="AG910" s="7"/>
      <c r="AH910" s="7"/>
      <c r="AI910" s="7"/>
      <c r="AJ910" s="7"/>
      <c r="AK910" s="7"/>
      <c r="AL910" s="7"/>
      <c r="AM910" s="7"/>
      <c r="AN910" s="7"/>
      <c r="AO910" s="7"/>
      <c r="AP910" s="7"/>
      <c r="AQ910" s="7"/>
      <c r="AR910" s="7"/>
      <c r="AS910" s="7"/>
      <c r="AT910" s="7"/>
      <c r="AU910" s="7"/>
      <c r="AV910" s="7"/>
      <c r="AW910" s="7"/>
      <c r="AY910" s="7"/>
      <c r="AZ910" s="7"/>
      <c r="BA910" s="7"/>
      <c r="BB910" s="7"/>
    </row>
    <row r="911" spans="2:54" x14ac:dyDescent="0.2">
      <c r="B911" s="174"/>
      <c r="C911" s="176"/>
      <c r="F911" s="5">
        <v>0</v>
      </c>
      <c r="G911" s="192">
        <v>0</v>
      </c>
      <c r="H911" s="192">
        <v>0</v>
      </c>
      <c r="I911" s="5">
        <v>0</v>
      </c>
      <c r="J911" s="192">
        <v>0</v>
      </c>
      <c r="K911" s="192">
        <v>0</v>
      </c>
      <c r="L911" s="5">
        <v>0</v>
      </c>
      <c r="M911" s="5">
        <v>0</v>
      </c>
      <c r="N911" s="4" t="e">
        <f t="shared" si="76"/>
        <v>#N/A</v>
      </c>
      <c r="O911" s="4" t="e">
        <f>IF(ROUND(10.499-(((N911-VLOOKUP($C911,Lookups!$A$55:$D$64,3))/(VLOOKUP($C911,Lookups!$A$55:$D$64,4))*VLOOKUP($C911,Lookups!$C$2:$D$11,2))),0)&lt;1,1,IF(ROUND(10.499-(((N911-VLOOKUP($C911,Lookups!$A$55:$D$64,3))/(VLOOKUP($C911,Lookups!$A$55:$D$64,4))*VLOOKUP($C911,Lookups!$C$2:$D$11,2))),0)&lt;11,ROUND(10.499-(((N911-VLOOKUP($C911,Lookups!$A$55:$D$64,3))/(VLOOKUP($C911,Lookups!$A$55:$D$64,4))*VLOOKUP($C911,Lookups!$C$2:$D$11,2))),0),10))</f>
        <v>#N/A</v>
      </c>
      <c r="P911" s="13" t="str">
        <f>IF((SUM(F911:M911)=0),"J",VLOOKUP(O911,Lookups!$A$1:$B$11,2))</f>
        <v>J</v>
      </c>
      <c r="Q911" s="8" t="e">
        <f>VLOOKUP(C911,Lookups!$A$136:$C$144,3)</f>
        <v>#N/A</v>
      </c>
      <c r="R911" s="8" t="e">
        <f>VLOOKUP(C911,Lookups!$A$136:$C$144,2)</f>
        <v>#N/A</v>
      </c>
      <c r="S911" s="4" t="str">
        <f t="shared" ref="S911:S974" si="77">IF(AND(L911&gt;0,M911=0),"Yes","No")</f>
        <v>No</v>
      </c>
      <c r="T911" s="125">
        <f t="shared" ref="T911:T974" si="78">L911+M911</f>
        <v>0</v>
      </c>
      <c r="U911" s="125">
        <f t="shared" ref="U911:U974" si="79">ROUND(100*(M911+2*L911)/(M911+2*L911+(100-L911-M911)),2)</f>
        <v>0</v>
      </c>
      <c r="V911" s="4" t="e">
        <f>IF($Q911&lt;&gt;3,VLOOKUP(F911,'Points Table A'!B$3:$F$33,5),VLOOKUP(F911,'Points Table A'!H$3:$L$33,5))</f>
        <v>#N/A</v>
      </c>
      <c r="W911" s="4" t="e">
        <f>IF($Q911&lt;&gt;3,VLOOKUP(G911,'Points Table A'!C$3:$F$33,4),VLOOKUP(G911,'Points Table A'!I$3:$L$33,4))</f>
        <v>#N/A</v>
      </c>
      <c r="X911" s="4" t="e">
        <f>IF($Q911&lt;&gt;3,VLOOKUP(H911,'Points Table A'!D$3:$F$28,3),VLOOKUP(H911,'Points Table A'!J$3:$L$33,3))</f>
        <v>#N/A</v>
      </c>
      <c r="Y911" s="4" t="e">
        <f>IF($Q911&lt;&gt;3,VLOOKUP(I911,'Points Table A'!E$3:$F$33,2),VLOOKUP(I911,'Points Table A'!K$3:$L$33,2))</f>
        <v>#N/A</v>
      </c>
      <c r="Z911" s="4" t="e">
        <f t="shared" ref="Z911:Z974" si="80">SUM(V911:Y911)</f>
        <v>#N/A</v>
      </c>
      <c r="AA911" s="4">
        <f>IF($S911=Lookups!$B$113,VLOOKUP(L911,'Points Table C'!A$3:$E$11,5),VLOOKUP(U911,'Points Table C'!B$3:$E$11,4))</f>
        <v>0</v>
      </c>
      <c r="AB911" s="4" t="e">
        <f>IF($Q911=1,0,VLOOKUP($J911,'Points Table C'!$C$3:$E$18,3))</f>
        <v>#N/A</v>
      </c>
      <c r="AC911" s="4">
        <f>VLOOKUP($K911,'Points Table C'!$D$3:$E$18,2)</f>
        <v>0</v>
      </c>
      <c r="AD911" s="4" t="e">
        <f>IF($Z911&lt;Lookups!$C$106,($AA911+AB911+AC911),IF($AA911&gt;=Lookups!$C$120,($AA911+AB911+AC911),$AA911+$AB911))</f>
        <v>#N/A</v>
      </c>
      <c r="AF911" s="7"/>
      <c r="AG911" s="7"/>
      <c r="AH911" s="7"/>
      <c r="AI911" s="7"/>
      <c r="AJ911" s="7"/>
      <c r="AK911" s="7"/>
      <c r="AL911" s="7"/>
      <c r="AM911" s="7"/>
      <c r="AN911" s="7"/>
      <c r="AO911" s="7"/>
      <c r="AP911" s="7"/>
      <c r="AQ911" s="7"/>
      <c r="AR911" s="7"/>
      <c r="AS911" s="7"/>
      <c r="AT911" s="7"/>
      <c r="AU911" s="7"/>
      <c r="AV911" s="7"/>
      <c r="AW911" s="7"/>
      <c r="AY911" s="7"/>
      <c r="AZ911" s="7"/>
      <c r="BA911" s="7"/>
      <c r="BB911" s="7"/>
    </row>
    <row r="912" spans="2:54" x14ac:dyDescent="0.2">
      <c r="B912" s="174"/>
      <c r="C912" s="176"/>
      <c r="F912" s="5">
        <v>0</v>
      </c>
      <c r="G912" s="192">
        <v>0</v>
      </c>
      <c r="H912" s="192">
        <v>0</v>
      </c>
      <c r="I912" s="5">
        <v>0</v>
      </c>
      <c r="J912" s="192">
        <v>0</v>
      </c>
      <c r="K912" s="192">
        <v>0</v>
      </c>
      <c r="L912" s="5">
        <v>0</v>
      </c>
      <c r="M912" s="5">
        <v>0</v>
      </c>
      <c r="N912" s="4" t="e">
        <f t="shared" si="76"/>
        <v>#N/A</v>
      </c>
      <c r="O912" s="4" t="e">
        <f>IF(ROUND(10.499-(((N912-VLOOKUP($C912,Lookups!$A$55:$D$64,3))/(VLOOKUP($C912,Lookups!$A$55:$D$64,4))*VLOOKUP($C912,Lookups!$C$2:$D$11,2))),0)&lt;1,1,IF(ROUND(10.499-(((N912-VLOOKUP($C912,Lookups!$A$55:$D$64,3))/(VLOOKUP($C912,Lookups!$A$55:$D$64,4))*VLOOKUP($C912,Lookups!$C$2:$D$11,2))),0)&lt;11,ROUND(10.499-(((N912-VLOOKUP($C912,Lookups!$A$55:$D$64,3))/(VLOOKUP($C912,Lookups!$A$55:$D$64,4))*VLOOKUP($C912,Lookups!$C$2:$D$11,2))),0),10))</f>
        <v>#N/A</v>
      </c>
      <c r="P912" s="13" t="str">
        <f>IF((SUM(F912:M912)=0),"J",VLOOKUP(O912,Lookups!$A$1:$B$11,2))</f>
        <v>J</v>
      </c>
      <c r="Q912" s="8" t="e">
        <f>VLOOKUP(C912,Lookups!$A$136:$C$144,3)</f>
        <v>#N/A</v>
      </c>
      <c r="R912" s="8" t="e">
        <f>VLOOKUP(C912,Lookups!$A$136:$C$144,2)</f>
        <v>#N/A</v>
      </c>
      <c r="S912" s="4" t="str">
        <f t="shared" si="77"/>
        <v>No</v>
      </c>
      <c r="T912" s="125">
        <f t="shared" si="78"/>
        <v>0</v>
      </c>
      <c r="U912" s="125">
        <f t="shared" si="79"/>
        <v>0</v>
      </c>
      <c r="V912" s="4" t="e">
        <f>IF($Q912&lt;&gt;3,VLOOKUP(F912,'Points Table A'!B$3:$F$33,5),VLOOKUP(F912,'Points Table A'!H$3:$L$33,5))</f>
        <v>#N/A</v>
      </c>
      <c r="W912" s="4" t="e">
        <f>IF($Q912&lt;&gt;3,VLOOKUP(G912,'Points Table A'!C$3:$F$33,4),VLOOKUP(G912,'Points Table A'!I$3:$L$33,4))</f>
        <v>#N/A</v>
      </c>
      <c r="X912" s="4" t="e">
        <f>IF($Q912&lt;&gt;3,VLOOKUP(H912,'Points Table A'!D$3:$F$28,3),VLOOKUP(H912,'Points Table A'!J$3:$L$33,3))</f>
        <v>#N/A</v>
      </c>
      <c r="Y912" s="4" t="e">
        <f>IF($Q912&lt;&gt;3,VLOOKUP(I912,'Points Table A'!E$3:$F$33,2),VLOOKUP(I912,'Points Table A'!K$3:$L$33,2))</f>
        <v>#N/A</v>
      </c>
      <c r="Z912" s="4" t="e">
        <f t="shared" si="80"/>
        <v>#N/A</v>
      </c>
      <c r="AA912" s="4">
        <f>IF($S912=Lookups!$B$113,VLOOKUP(L912,'Points Table C'!A$3:$E$11,5),VLOOKUP(U912,'Points Table C'!B$3:$E$11,4))</f>
        <v>0</v>
      </c>
      <c r="AB912" s="4" t="e">
        <f>IF($Q912=1,0,VLOOKUP($J912,'Points Table C'!$C$3:$E$18,3))</f>
        <v>#N/A</v>
      </c>
      <c r="AC912" s="4">
        <f>VLOOKUP($K912,'Points Table C'!$D$3:$E$18,2)</f>
        <v>0</v>
      </c>
      <c r="AD912" s="4" t="e">
        <f>IF($Z912&lt;Lookups!$C$106,($AA912+AB912+AC912),IF($AA912&gt;=Lookups!$C$120,($AA912+AB912+AC912),$AA912+$AB912))</f>
        <v>#N/A</v>
      </c>
      <c r="AF912" s="7"/>
      <c r="AG912" s="7"/>
      <c r="AH912" s="7"/>
      <c r="AI912" s="7"/>
      <c r="AJ912" s="7"/>
      <c r="AK912" s="7"/>
      <c r="AL912" s="7"/>
      <c r="AM912" s="7"/>
      <c r="AN912" s="7"/>
      <c r="AO912" s="7"/>
      <c r="AP912" s="7"/>
      <c r="AQ912" s="7"/>
      <c r="AR912" s="7"/>
      <c r="AS912" s="7"/>
      <c r="AT912" s="7"/>
      <c r="AU912" s="7"/>
      <c r="AV912" s="7"/>
      <c r="AW912" s="7"/>
      <c r="AY912" s="7"/>
      <c r="AZ912" s="7"/>
      <c r="BA912" s="7"/>
      <c r="BB912" s="7"/>
    </row>
    <row r="913" spans="2:54" x14ac:dyDescent="0.2">
      <c r="B913" s="174"/>
      <c r="C913" s="176"/>
      <c r="F913" s="5">
        <v>0</v>
      </c>
      <c r="G913" s="192">
        <v>0</v>
      </c>
      <c r="H913" s="192">
        <v>0</v>
      </c>
      <c r="I913" s="5">
        <v>0</v>
      </c>
      <c r="J913" s="192">
        <v>0</v>
      </c>
      <c r="K913" s="192">
        <v>0</v>
      </c>
      <c r="L913" s="5">
        <v>0</v>
      </c>
      <c r="M913" s="5">
        <v>0</v>
      </c>
      <c r="N913" s="4" t="e">
        <f t="shared" si="76"/>
        <v>#N/A</v>
      </c>
      <c r="O913" s="4" t="e">
        <f>IF(ROUND(10.499-(((N913-VLOOKUP($C913,Lookups!$A$55:$D$64,3))/(VLOOKUP($C913,Lookups!$A$55:$D$64,4))*VLOOKUP($C913,Lookups!$C$2:$D$11,2))),0)&lt;1,1,IF(ROUND(10.499-(((N913-VLOOKUP($C913,Lookups!$A$55:$D$64,3))/(VLOOKUP($C913,Lookups!$A$55:$D$64,4))*VLOOKUP($C913,Lookups!$C$2:$D$11,2))),0)&lt;11,ROUND(10.499-(((N913-VLOOKUP($C913,Lookups!$A$55:$D$64,3))/(VLOOKUP($C913,Lookups!$A$55:$D$64,4))*VLOOKUP($C913,Lookups!$C$2:$D$11,2))),0),10))</f>
        <v>#N/A</v>
      </c>
      <c r="P913" s="13" t="str">
        <f>IF((SUM(F913:M913)=0),"J",VLOOKUP(O913,Lookups!$A$1:$B$11,2))</f>
        <v>J</v>
      </c>
      <c r="Q913" s="8" t="e">
        <f>VLOOKUP(C913,Lookups!$A$136:$C$144,3)</f>
        <v>#N/A</v>
      </c>
      <c r="R913" s="8" t="e">
        <f>VLOOKUP(C913,Lookups!$A$136:$C$144,2)</f>
        <v>#N/A</v>
      </c>
      <c r="S913" s="4" t="str">
        <f t="shared" si="77"/>
        <v>No</v>
      </c>
      <c r="T913" s="125">
        <f t="shared" si="78"/>
        <v>0</v>
      </c>
      <c r="U913" s="125">
        <f t="shared" si="79"/>
        <v>0</v>
      </c>
      <c r="V913" s="4" t="e">
        <f>IF($Q913&lt;&gt;3,VLOOKUP(F913,'Points Table A'!B$3:$F$33,5),VLOOKUP(F913,'Points Table A'!H$3:$L$33,5))</f>
        <v>#N/A</v>
      </c>
      <c r="W913" s="4" t="e">
        <f>IF($Q913&lt;&gt;3,VLOOKUP(G913,'Points Table A'!C$3:$F$33,4),VLOOKUP(G913,'Points Table A'!I$3:$L$33,4))</f>
        <v>#N/A</v>
      </c>
      <c r="X913" s="4" t="e">
        <f>IF($Q913&lt;&gt;3,VLOOKUP(H913,'Points Table A'!D$3:$F$28,3),VLOOKUP(H913,'Points Table A'!J$3:$L$33,3))</f>
        <v>#N/A</v>
      </c>
      <c r="Y913" s="4" t="e">
        <f>IF($Q913&lt;&gt;3,VLOOKUP(I913,'Points Table A'!E$3:$F$33,2),VLOOKUP(I913,'Points Table A'!K$3:$L$33,2))</f>
        <v>#N/A</v>
      </c>
      <c r="Z913" s="4" t="e">
        <f t="shared" si="80"/>
        <v>#N/A</v>
      </c>
      <c r="AA913" s="4">
        <f>IF($S913=Lookups!$B$113,VLOOKUP(L913,'Points Table C'!A$3:$E$11,5),VLOOKUP(U913,'Points Table C'!B$3:$E$11,4))</f>
        <v>0</v>
      </c>
      <c r="AB913" s="4" t="e">
        <f>IF($Q913=1,0,VLOOKUP($J913,'Points Table C'!$C$3:$E$18,3))</f>
        <v>#N/A</v>
      </c>
      <c r="AC913" s="4">
        <f>VLOOKUP($K913,'Points Table C'!$D$3:$E$18,2)</f>
        <v>0</v>
      </c>
      <c r="AD913" s="4" t="e">
        <f>IF($Z913&lt;Lookups!$C$106,($AA913+AB913+AC913),IF($AA913&gt;=Lookups!$C$120,($AA913+AB913+AC913),$AA913+$AB913))</f>
        <v>#N/A</v>
      </c>
      <c r="AF913" s="7"/>
      <c r="AG913" s="7"/>
      <c r="AH913" s="7"/>
      <c r="AI913" s="7"/>
      <c r="AJ913" s="7"/>
      <c r="AK913" s="7"/>
      <c r="AL913" s="7"/>
      <c r="AM913" s="7"/>
      <c r="AN913" s="7"/>
      <c r="AO913" s="7"/>
      <c r="AP913" s="7"/>
      <c r="AQ913" s="7"/>
      <c r="AR913" s="7"/>
      <c r="AS913" s="7"/>
      <c r="AT913" s="7"/>
      <c r="AU913" s="7"/>
      <c r="AV913" s="7"/>
      <c r="AW913" s="7"/>
      <c r="AY913" s="7"/>
      <c r="AZ913" s="7"/>
      <c r="BA913" s="7"/>
      <c r="BB913" s="7"/>
    </row>
    <row r="914" spans="2:54" x14ac:dyDescent="0.2">
      <c r="B914" s="174"/>
      <c r="C914" s="176"/>
      <c r="F914" s="5">
        <v>0</v>
      </c>
      <c r="G914" s="192">
        <v>0</v>
      </c>
      <c r="H914" s="192">
        <v>0</v>
      </c>
      <c r="I914" s="5">
        <v>0</v>
      </c>
      <c r="J914" s="192">
        <v>0</v>
      </c>
      <c r="K914" s="192">
        <v>0</v>
      </c>
      <c r="L914" s="5">
        <v>0</v>
      </c>
      <c r="M914" s="5">
        <v>0</v>
      </c>
      <c r="N914" s="4" t="e">
        <f t="shared" si="76"/>
        <v>#N/A</v>
      </c>
      <c r="O914" s="4" t="e">
        <f>IF(ROUND(10.499-(((N914-VLOOKUP($C914,Lookups!$A$55:$D$64,3))/(VLOOKUP($C914,Lookups!$A$55:$D$64,4))*VLOOKUP($C914,Lookups!$C$2:$D$11,2))),0)&lt;1,1,IF(ROUND(10.499-(((N914-VLOOKUP($C914,Lookups!$A$55:$D$64,3))/(VLOOKUP($C914,Lookups!$A$55:$D$64,4))*VLOOKUP($C914,Lookups!$C$2:$D$11,2))),0)&lt;11,ROUND(10.499-(((N914-VLOOKUP($C914,Lookups!$A$55:$D$64,3))/(VLOOKUP($C914,Lookups!$A$55:$D$64,4))*VLOOKUP($C914,Lookups!$C$2:$D$11,2))),0),10))</f>
        <v>#N/A</v>
      </c>
      <c r="P914" s="13" t="str">
        <f>IF((SUM(F914:M914)=0),"J",VLOOKUP(O914,Lookups!$A$1:$B$11,2))</f>
        <v>J</v>
      </c>
      <c r="Q914" s="8" t="e">
        <f>VLOOKUP(C914,Lookups!$A$136:$C$144,3)</f>
        <v>#N/A</v>
      </c>
      <c r="R914" s="8" t="e">
        <f>VLOOKUP(C914,Lookups!$A$136:$C$144,2)</f>
        <v>#N/A</v>
      </c>
      <c r="S914" s="4" t="str">
        <f t="shared" si="77"/>
        <v>No</v>
      </c>
      <c r="T914" s="125">
        <f t="shared" si="78"/>
        <v>0</v>
      </c>
      <c r="U914" s="125">
        <f t="shared" si="79"/>
        <v>0</v>
      </c>
      <c r="V914" s="4" t="e">
        <f>IF($Q914&lt;&gt;3,VLOOKUP(F914,'Points Table A'!B$3:$F$33,5),VLOOKUP(F914,'Points Table A'!H$3:$L$33,5))</f>
        <v>#N/A</v>
      </c>
      <c r="W914" s="4" t="e">
        <f>IF($Q914&lt;&gt;3,VLOOKUP(G914,'Points Table A'!C$3:$F$33,4),VLOOKUP(G914,'Points Table A'!I$3:$L$33,4))</f>
        <v>#N/A</v>
      </c>
      <c r="X914" s="4" t="e">
        <f>IF($Q914&lt;&gt;3,VLOOKUP(H914,'Points Table A'!D$3:$F$28,3),VLOOKUP(H914,'Points Table A'!J$3:$L$33,3))</f>
        <v>#N/A</v>
      </c>
      <c r="Y914" s="4" t="e">
        <f>IF($Q914&lt;&gt;3,VLOOKUP(I914,'Points Table A'!E$3:$F$33,2),VLOOKUP(I914,'Points Table A'!K$3:$L$33,2))</f>
        <v>#N/A</v>
      </c>
      <c r="Z914" s="4" t="e">
        <f t="shared" si="80"/>
        <v>#N/A</v>
      </c>
      <c r="AA914" s="4">
        <f>IF($S914=Lookups!$B$113,VLOOKUP(L914,'Points Table C'!A$3:$E$11,5),VLOOKUP(U914,'Points Table C'!B$3:$E$11,4))</f>
        <v>0</v>
      </c>
      <c r="AB914" s="4" t="e">
        <f>IF($Q914=1,0,VLOOKUP($J914,'Points Table C'!$C$3:$E$18,3))</f>
        <v>#N/A</v>
      </c>
      <c r="AC914" s="4">
        <f>VLOOKUP($K914,'Points Table C'!$D$3:$E$18,2)</f>
        <v>0</v>
      </c>
      <c r="AD914" s="4" t="e">
        <f>IF($Z914&lt;Lookups!$C$106,($AA914+AB914+AC914),IF($AA914&gt;=Lookups!$C$120,($AA914+AB914+AC914),$AA914+$AB914))</f>
        <v>#N/A</v>
      </c>
      <c r="AF914" s="7"/>
      <c r="AG914" s="7"/>
      <c r="AH914" s="7"/>
      <c r="AI914" s="7"/>
      <c r="AJ914" s="7"/>
      <c r="AK914" s="7"/>
      <c r="AL914" s="7"/>
      <c r="AM914" s="7"/>
      <c r="AN914" s="7"/>
      <c r="AO914" s="7"/>
      <c r="AP914" s="7"/>
      <c r="AQ914" s="7"/>
      <c r="AR914" s="7"/>
      <c r="AS914" s="7"/>
      <c r="AT914" s="7"/>
      <c r="AU914" s="7"/>
      <c r="AV914" s="7"/>
      <c r="AW914" s="7"/>
      <c r="AY914" s="7"/>
      <c r="AZ914" s="7"/>
      <c r="BA914" s="7"/>
      <c r="BB914" s="7"/>
    </row>
    <row r="915" spans="2:54" x14ac:dyDescent="0.2">
      <c r="B915" s="174"/>
      <c r="C915" s="176"/>
      <c r="F915" s="5">
        <v>0</v>
      </c>
      <c r="G915" s="192">
        <v>0</v>
      </c>
      <c r="H915" s="192">
        <v>0</v>
      </c>
      <c r="I915" s="5">
        <v>0</v>
      </c>
      <c r="J915" s="192">
        <v>0</v>
      </c>
      <c r="K915" s="192">
        <v>0</v>
      </c>
      <c r="L915" s="5">
        <v>0</v>
      </c>
      <c r="M915" s="5">
        <v>0</v>
      </c>
      <c r="N915" s="4" t="e">
        <f t="shared" si="76"/>
        <v>#N/A</v>
      </c>
      <c r="O915" s="4" t="e">
        <f>IF(ROUND(10.499-(((N915-VLOOKUP($C915,Lookups!$A$55:$D$64,3))/(VLOOKUP($C915,Lookups!$A$55:$D$64,4))*VLOOKUP($C915,Lookups!$C$2:$D$11,2))),0)&lt;1,1,IF(ROUND(10.499-(((N915-VLOOKUP($C915,Lookups!$A$55:$D$64,3))/(VLOOKUP($C915,Lookups!$A$55:$D$64,4))*VLOOKUP($C915,Lookups!$C$2:$D$11,2))),0)&lt;11,ROUND(10.499-(((N915-VLOOKUP($C915,Lookups!$A$55:$D$64,3))/(VLOOKUP($C915,Lookups!$A$55:$D$64,4))*VLOOKUP($C915,Lookups!$C$2:$D$11,2))),0),10))</f>
        <v>#N/A</v>
      </c>
      <c r="P915" s="13" t="str">
        <f>IF((SUM(F915:M915)=0),"J",VLOOKUP(O915,Lookups!$A$1:$B$11,2))</f>
        <v>J</v>
      </c>
      <c r="Q915" s="8" t="e">
        <f>VLOOKUP(C915,Lookups!$A$136:$C$144,3)</f>
        <v>#N/A</v>
      </c>
      <c r="R915" s="8" t="e">
        <f>VLOOKUP(C915,Lookups!$A$136:$C$144,2)</f>
        <v>#N/A</v>
      </c>
      <c r="S915" s="4" t="str">
        <f t="shared" si="77"/>
        <v>No</v>
      </c>
      <c r="T915" s="125">
        <f t="shared" si="78"/>
        <v>0</v>
      </c>
      <c r="U915" s="125">
        <f t="shared" si="79"/>
        <v>0</v>
      </c>
      <c r="V915" s="4" t="e">
        <f>IF($Q915&lt;&gt;3,VLOOKUP(F915,'Points Table A'!B$3:$F$33,5),VLOOKUP(F915,'Points Table A'!H$3:$L$33,5))</f>
        <v>#N/A</v>
      </c>
      <c r="W915" s="4" t="e">
        <f>IF($Q915&lt;&gt;3,VLOOKUP(G915,'Points Table A'!C$3:$F$33,4),VLOOKUP(G915,'Points Table A'!I$3:$L$33,4))</f>
        <v>#N/A</v>
      </c>
      <c r="X915" s="4" t="e">
        <f>IF($Q915&lt;&gt;3,VLOOKUP(H915,'Points Table A'!D$3:$F$28,3),VLOOKUP(H915,'Points Table A'!J$3:$L$33,3))</f>
        <v>#N/A</v>
      </c>
      <c r="Y915" s="4" t="e">
        <f>IF($Q915&lt;&gt;3,VLOOKUP(I915,'Points Table A'!E$3:$F$33,2),VLOOKUP(I915,'Points Table A'!K$3:$L$33,2))</f>
        <v>#N/A</v>
      </c>
      <c r="Z915" s="4" t="e">
        <f t="shared" si="80"/>
        <v>#N/A</v>
      </c>
      <c r="AA915" s="4">
        <f>IF($S915=Lookups!$B$113,VLOOKUP(L915,'Points Table C'!A$3:$E$11,5),VLOOKUP(U915,'Points Table C'!B$3:$E$11,4))</f>
        <v>0</v>
      </c>
      <c r="AB915" s="4" t="e">
        <f>IF($Q915=1,0,VLOOKUP($J915,'Points Table C'!$C$3:$E$18,3))</f>
        <v>#N/A</v>
      </c>
      <c r="AC915" s="4">
        <f>VLOOKUP($K915,'Points Table C'!$D$3:$E$18,2)</f>
        <v>0</v>
      </c>
      <c r="AD915" s="4" t="e">
        <f>IF($Z915&lt;Lookups!$C$106,($AA915+AB915+AC915),IF($AA915&gt;=Lookups!$C$120,($AA915+AB915+AC915),$AA915+$AB915))</f>
        <v>#N/A</v>
      </c>
      <c r="AF915" s="7"/>
      <c r="AG915" s="7"/>
      <c r="AH915" s="7"/>
      <c r="AI915" s="7"/>
      <c r="AJ915" s="7"/>
      <c r="AK915" s="7"/>
      <c r="AL915" s="7"/>
      <c r="AM915" s="7"/>
      <c r="AN915" s="7"/>
      <c r="AO915" s="7"/>
      <c r="AP915" s="7"/>
      <c r="AQ915" s="7"/>
      <c r="AR915" s="7"/>
      <c r="AS915" s="7"/>
      <c r="AT915" s="7"/>
      <c r="AU915" s="7"/>
      <c r="AV915" s="7"/>
      <c r="AW915" s="7"/>
      <c r="AY915" s="7"/>
      <c r="AZ915" s="7"/>
      <c r="BA915" s="7"/>
      <c r="BB915" s="7"/>
    </row>
    <row r="916" spans="2:54" x14ac:dyDescent="0.2">
      <c r="B916" s="174"/>
      <c r="C916" s="176"/>
      <c r="F916" s="5">
        <v>0</v>
      </c>
      <c r="G916" s="192">
        <v>0</v>
      </c>
      <c r="H916" s="192">
        <v>0</v>
      </c>
      <c r="I916" s="5">
        <v>0</v>
      </c>
      <c r="J916" s="192">
        <v>0</v>
      </c>
      <c r="K916" s="192">
        <v>0</v>
      </c>
      <c r="L916" s="5">
        <v>0</v>
      </c>
      <c r="M916" s="5">
        <v>0</v>
      </c>
      <c r="N916" s="4" t="e">
        <f t="shared" si="76"/>
        <v>#N/A</v>
      </c>
      <c r="O916" s="4" t="e">
        <f>IF(ROUND(10.499-(((N916-VLOOKUP($C916,Lookups!$A$55:$D$64,3))/(VLOOKUP($C916,Lookups!$A$55:$D$64,4))*VLOOKUP($C916,Lookups!$C$2:$D$11,2))),0)&lt;1,1,IF(ROUND(10.499-(((N916-VLOOKUP($C916,Lookups!$A$55:$D$64,3))/(VLOOKUP($C916,Lookups!$A$55:$D$64,4))*VLOOKUP($C916,Lookups!$C$2:$D$11,2))),0)&lt;11,ROUND(10.499-(((N916-VLOOKUP($C916,Lookups!$A$55:$D$64,3))/(VLOOKUP($C916,Lookups!$A$55:$D$64,4))*VLOOKUP($C916,Lookups!$C$2:$D$11,2))),0),10))</f>
        <v>#N/A</v>
      </c>
      <c r="P916" s="13" t="str">
        <f>IF((SUM(F916:M916)=0),"J",VLOOKUP(O916,Lookups!$A$1:$B$11,2))</f>
        <v>J</v>
      </c>
      <c r="Q916" s="8" t="e">
        <f>VLOOKUP(C916,Lookups!$A$136:$C$144,3)</f>
        <v>#N/A</v>
      </c>
      <c r="R916" s="8" t="e">
        <f>VLOOKUP(C916,Lookups!$A$136:$C$144,2)</f>
        <v>#N/A</v>
      </c>
      <c r="S916" s="4" t="str">
        <f t="shared" si="77"/>
        <v>No</v>
      </c>
      <c r="T916" s="125">
        <f t="shared" si="78"/>
        <v>0</v>
      </c>
      <c r="U916" s="125">
        <f t="shared" si="79"/>
        <v>0</v>
      </c>
      <c r="V916" s="4" t="e">
        <f>IF($Q916&lt;&gt;3,VLOOKUP(F916,'Points Table A'!B$3:$F$33,5),VLOOKUP(F916,'Points Table A'!H$3:$L$33,5))</f>
        <v>#N/A</v>
      </c>
      <c r="W916" s="4" t="e">
        <f>IF($Q916&lt;&gt;3,VLOOKUP(G916,'Points Table A'!C$3:$F$33,4),VLOOKUP(G916,'Points Table A'!I$3:$L$33,4))</f>
        <v>#N/A</v>
      </c>
      <c r="X916" s="4" t="e">
        <f>IF($Q916&lt;&gt;3,VLOOKUP(H916,'Points Table A'!D$3:$F$28,3),VLOOKUP(H916,'Points Table A'!J$3:$L$33,3))</f>
        <v>#N/A</v>
      </c>
      <c r="Y916" s="4" t="e">
        <f>IF($Q916&lt;&gt;3,VLOOKUP(I916,'Points Table A'!E$3:$F$33,2),VLOOKUP(I916,'Points Table A'!K$3:$L$33,2))</f>
        <v>#N/A</v>
      </c>
      <c r="Z916" s="4" t="e">
        <f t="shared" si="80"/>
        <v>#N/A</v>
      </c>
      <c r="AA916" s="4">
        <f>IF($S916=Lookups!$B$113,VLOOKUP(L916,'Points Table C'!A$3:$E$11,5),VLOOKUP(U916,'Points Table C'!B$3:$E$11,4))</f>
        <v>0</v>
      </c>
      <c r="AB916" s="4" t="e">
        <f>IF($Q916=1,0,VLOOKUP($J916,'Points Table C'!$C$3:$E$18,3))</f>
        <v>#N/A</v>
      </c>
      <c r="AC916" s="4">
        <f>VLOOKUP($K916,'Points Table C'!$D$3:$E$18,2)</f>
        <v>0</v>
      </c>
      <c r="AD916" s="4" t="e">
        <f>IF($Z916&lt;Lookups!$C$106,($AA916+AB916+AC916),IF($AA916&gt;=Lookups!$C$120,($AA916+AB916+AC916),$AA916+$AB916))</f>
        <v>#N/A</v>
      </c>
      <c r="AF916" s="7"/>
      <c r="AG916" s="7"/>
      <c r="AH916" s="7"/>
      <c r="AI916" s="7"/>
      <c r="AJ916" s="7"/>
      <c r="AK916" s="7"/>
      <c r="AL916" s="7"/>
      <c r="AM916" s="7"/>
      <c r="AN916" s="7"/>
      <c r="AO916" s="7"/>
      <c r="AP916" s="7"/>
      <c r="AQ916" s="7"/>
      <c r="AR916" s="7"/>
      <c r="AS916" s="7"/>
      <c r="AT916" s="7"/>
      <c r="AU916" s="7"/>
      <c r="AV916" s="7"/>
      <c r="AW916" s="7"/>
      <c r="AY916" s="7"/>
      <c r="AZ916" s="7"/>
      <c r="BA916" s="7"/>
      <c r="BB916" s="7"/>
    </row>
    <row r="917" spans="2:54" x14ac:dyDescent="0.2">
      <c r="B917" s="174"/>
      <c r="C917" s="176"/>
      <c r="F917" s="5">
        <v>0</v>
      </c>
      <c r="G917" s="192">
        <v>0</v>
      </c>
      <c r="H917" s="192">
        <v>0</v>
      </c>
      <c r="I917" s="5">
        <v>0</v>
      </c>
      <c r="J917" s="192">
        <v>0</v>
      </c>
      <c r="K917" s="192">
        <v>0</v>
      </c>
      <c r="L917" s="5">
        <v>0</v>
      </c>
      <c r="M917" s="5">
        <v>0</v>
      </c>
      <c r="N917" s="4" t="e">
        <f t="shared" si="76"/>
        <v>#N/A</v>
      </c>
      <c r="O917" s="4" t="e">
        <f>IF(ROUND(10.499-(((N917-VLOOKUP($C917,Lookups!$A$55:$D$64,3))/(VLOOKUP($C917,Lookups!$A$55:$D$64,4))*VLOOKUP($C917,Lookups!$C$2:$D$11,2))),0)&lt;1,1,IF(ROUND(10.499-(((N917-VLOOKUP($C917,Lookups!$A$55:$D$64,3))/(VLOOKUP($C917,Lookups!$A$55:$D$64,4))*VLOOKUP($C917,Lookups!$C$2:$D$11,2))),0)&lt;11,ROUND(10.499-(((N917-VLOOKUP($C917,Lookups!$A$55:$D$64,3))/(VLOOKUP($C917,Lookups!$A$55:$D$64,4))*VLOOKUP($C917,Lookups!$C$2:$D$11,2))),0),10))</f>
        <v>#N/A</v>
      </c>
      <c r="P917" s="13" t="str">
        <f>IF((SUM(F917:M917)=0),"J",VLOOKUP(O917,Lookups!$A$1:$B$11,2))</f>
        <v>J</v>
      </c>
      <c r="Q917" s="8" t="e">
        <f>VLOOKUP(C917,Lookups!$A$136:$C$144,3)</f>
        <v>#N/A</v>
      </c>
      <c r="R917" s="8" t="e">
        <f>VLOOKUP(C917,Lookups!$A$136:$C$144,2)</f>
        <v>#N/A</v>
      </c>
      <c r="S917" s="4" t="str">
        <f t="shared" si="77"/>
        <v>No</v>
      </c>
      <c r="T917" s="125">
        <f t="shared" si="78"/>
        <v>0</v>
      </c>
      <c r="U917" s="125">
        <f t="shared" si="79"/>
        <v>0</v>
      </c>
      <c r="V917" s="4" t="e">
        <f>IF($Q917&lt;&gt;3,VLOOKUP(F917,'Points Table A'!B$3:$F$33,5),VLOOKUP(F917,'Points Table A'!H$3:$L$33,5))</f>
        <v>#N/A</v>
      </c>
      <c r="W917" s="4" t="e">
        <f>IF($Q917&lt;&gt;3,VLOOKUP(G917,'Points Table A'!C$3:$F$33,4),VLOOKUP(G917,'Points Table A'!I$3:$L$33,4))</f>
        <v>#N/A</v>
      </c>
      <c r="X917" s="4" t="e">
        <f>IF($Q917&lt;&gt;3,VLOOKUP(H917,'Points Table A'!D$3:$F$28,3),VLOOKUP(H917,'Points Table A'!J$3:$L$33,3))</f>
        <v>#N/A</v>
      </c>
      <c r="Y917" s="4" t="e">
        <f>IF($Q917&lt;&gt;3,VLOOKUP(I917,'Points Table A'!E$3:$F$33,2),VLOOKUP(I917,'Points Table A'!K$3:$L$33,2))</f>
        <v>#N/A</v>
      </c>
      <c r="Z917" s="4" t="e">
        <f t="shared" si="80"/>
        <v>#N/A</v>
      </c>
      <c r="AA917" s="4">
        <f>IF($S917=Lookups!$B$113,VLOOKUP(L917,'Points Table C'!A$3:$E$11,5),VLOOKUP(U917,'Points Table C'!B$3:$E$11,4))</f>
        <v>0</v>
      </c>
      <c r="AB917" s="4" t="e">
        <f>IF($Q917=1,0,VLOOKUP($J917,'Points Table C'!$C$3:$E$18,3))</f>
        <v>#N/A</v>
      </c>
      <c r="AC917" s="4">
        <f>VLOOKUP($K917,'Points Table C'!$D$3:$E$18,2)</f>
        <v>0</v>
      </c>
      <c r="AD917" s="4" t="e">
        <f>IF($Z917&lt;Lookups!$C$106,($AA917+AB917+AC917),IF($AA917&gt;=Lookups!$C$120,($AA917+AB917+AC917),$AA917+$AB917))</f>
        <v>#N/A</v>
      </c>
      <c r="AF917" s="7"/>
      <c r="AG917" s="7"/>
      <c r="AH917" s="7"/>
      <c r="AI917" s="7"/>
      <c r="AJ917" s="7"/>
      <c r="AK917" s="7"/>
      <c r="AL917" s="7"/>
      <c r="AM917" s="7"/>
      <c r="AN917" s="7"/>
      <c r="AO917" s="7"/>
      <c r="AP917" s="7"/>
      <c r="AQ917" s="7"/>
      <c r="AR917" s="7"/>
      <c r="AS917" s="7"/>
      <c r="AT917" s="7"/>
      <c r="AU917" s="7"/>
      <c r="AV917" s="7"/>
      <c r="AW917" s="7"/>
      <c r="AY917" s="7"/>
      <c r="AZ917" s="7"/>
      <c r="BA917" s="7"/>
      <c r="BB917" s="7"/>
    </row>
    <row r="918" spans="2:54" x14ac:dyDescent="0.2">
      <c r="B918" s="174"/>
      <c r="C918" s="176"/>
      <c r="F918" s="5">
        <v>0</v>
      </c>
      <c r="G918" s="192">
        <v>0</v>
      </c>
      <c r="H918" s="192">
        <v>0</v>
      </c>
      <c r="I918" s="5">
        <v>0</v>
      </c>
      <c r="J918" s="192">
        <v>0</v>
      </c>
      <c r="K918" s="192">
        <v>0</v>
      </c>
      <c r="L918" s="5">
        <v>0</v>
      </c>
      <c r="M918" s="5">
        <v>0</v>
      </c>
      <c r="N918" s="4" t="e">
        <f t="shared" si="76"/>
        <v>#N/A</v>
      </c>
      <c r="O918" s="4" t="e">
        <f>IF(ROUND(10.499-(((N918-VLOOKUP($C918,Lookups!$A$55:$D$64,3))/(VLOOKUP($C918,Lookups!$A$55:$D$64,4))*VLOOKUP($C918,Lookups!$C$2:$D$11,2))),0)&lt;1,1,IF(ROUND(10.499-(((N918-VLOOKUP($C918,Lookups!$A$55:$D$64,3))/(VLOOKUP($C918,Lookups!$A$55:$D$64,4))*VLOOKUP($C918,Lookups!$C$2:$D$11,2))),0)&lt;11,ROUND(10.499-(((N918-VLOOKUP($C918,Lookups!$A$55:$D$64,3))/(VLOOKUP($C918,Lookups!$A$55:$D$64,4))*VLOOKUP($C918,Lookups!$C$2:$D$11,2))),0),10))</f>
        <v>#N/A</v>
      </c>
      <c r="P918" s="13" t="str">
        <f>IF((SUM(F918:M918)=0),"J",VLOOKUP(O918,Lookups!$A$1:$B$11,2))</f>
        <v>J</v>
      </c>
      <c r="Q918" s="8" t="e">
        <f>VLOOKUP(C918,Lookups!$A$136:$C$144,3)</f>
        <v>#N/A</v>
      </c>
      <c r="R918" s="8" t="e">
        <f>VLOOKUP(C918,Lookups!$A$136:$C$144,2)</f>
        <v>#N/A</v>
      </c>
      <c r="S918" s="4" t="str">
        <f t="shared" si="77"/>
        <v>No</v>
      </c>
      <c r="T918" s="125">
        <f t="shared" si="78"/>
        <v>0</v>
      </c>
      <c r="U918" s="125">
        <f t="shared" si="79"/>
        <v>0</v>
      </c>
      <c r="V918" s="4" t="e">
        <f>IF($Q918&lt;&gt;3,VLOOKUP(F918,'Points Table A'!B$3:$F$33,5),VLOOKUP(F918,'Points Table A'!H$3:$L$33,5))</f>
        <v>#N/A</v>
      </c>
      <c r="W918" s="4" t="e">
        <f>IF($Q918&lt;&gt;3,VLOOKUP(G918,'Points Table A'!C$3:$F$33,4),VLOOKUP(G918,'Points Table A'!I$3:$L$33,4))</f>
        <v>#N/A</v>
      </c>
      <c r="X918" s="4" t="e">
        <f>IF($Q918&lt;&gt;3,VLOOKUP(H918,'Points Table A'!D$3:$F$28,3),VLOOKUP(H918,'Points Table A'!J$3:$L$33,3))</f>
        <v>#N/A</v>
      </c>
      <c r="Y918" s="4" t="e">
        <f>IF($Q918&lt;&gt;3,VLOOKUP(I918,'Points Table A'!E$3:$F$33,2),VLOOKUP(I918,'Points Table A'!K$3:$L$33,2))</f>
        <v>#N/A</v>
      </c>
      <c r="Z918" s="4" t="e">
        <f t="shared" si="80"/>
        <v>#N/A</v>
      </c>
      <c r="AA918" s="4">
        <f>IF($S918=Lookups!$B$113,VLOOKUP(L918,'Points Table C'!A$3:$E$11,5),VLOOKUP(U918,'Points Table C'!B$3:$E$11,4))</f>
        <v>0</v>
      </c>
      <c r="AB918" s="4" t="e">
        <f>IF($Q918=1,0,VLOOKUP($J918,'Points Table C'!$C$3:$E$18,3))</f>
        <v>#N/A</v>
      </c>
      <c r="AC918" s="4">
        <f>VLOOKUP($K918,'Points Table C'!$D$3:$E$18,2)</f>
        <v>0</v>
      </c>
      <c r="AD918" s="4" t="e">
        <f>IF($Z918&lt;Lookups!$C$106,($AA918+AB918+AC918),IF($AA918&gt;=Lookups!$C$120,($AA918+AB918+AC918),$AA918+$AB918))</f>
        <v>#N/A</v>
      </c>
      <c r="AF918" s="7"/>
      <c r="AG918" s="7"/>
      <c r="AH918" s="7"/>
      <c r="AI918" s="7"/>
      <c r="AJ918" s="7"/>
      <c r="AK918" s="7"/>
      <c r="AL918" s="7"/>
      <c r="AM918" s="7"/>
      <c r="AN918" s="7"/>
      <c r="AO918" s="7"/>
      <c r="AP918" s="7"/>
      <c r="AQ918" s="7"/>
      <c r="AR918" s="7"/>
      <c r="AS918" s="7"/>
      <c r="AT918" s="7"/>
      <c r="AU918" s="7"/>
      <c r="AV918" s="7"/>
      <c r="AW918" s="7"/>
      <c r="AY918" s="7"/>
      <c r="AZ918" s="7"/>
      <c r="BA918" s="7"/>
      <c r="BB918" s="7"/>
    </row>
    <row r="919" spans="2:54" x14ac:dyDescent="0.2">
      <c r="B919" s="174"/>
      <c r="C919" s="176"/>
      <c r="F919" s="5">
        <v>0</v>
      </c>
      <c r="G919" s="192">
        <v>0</v>
      </c>
      <c r="H919" s="192">
        <v>0</v>
      </c>
      <c r="I919" s="5">
        <v>0</v>
      </c>
      <c r="J919" s="192">
        <v>0</v>
      </c>
      <c r="K919" s="192">
        <v>0</v>
      </c>
      <c r="L919" s="5">
        <v>0</v>
      </c>
      <c r="M919" s="5">
        <v>0</v>
      </c>
      <c r="N919" s="4" t="e">
        <f t="shared" si="76"/>
        <v>#N/A</v>
      </c>
      <c r="O919" s="4" t="e">
        <f>IF(ROUND(10.499-(((N919-VLOOKUP($C919,Lookups!$A$55:$D$64,3))/(VLOOKUP($C919,Lookups!$A$55:$D$64,4))*VLOOKUP($C919,Lookups!$C$2:$D$11,2))),0)&lt;1,1,IF(ROUND(10.499-(((N919-VLOOKUP($C919,Lookups!$A$55:$D$64,3))/(VLOOKUP($C919,Lookups!$A$55:$D$64,4))*VLOOKUP($C919,Lookups!$C$2:$D$11,2))),0)&lt;11,ROUND(10.499-(((N919-VLOOKUP($C919,Lookups!$A$55:$D$64,3))/(VLOOKUP($C919,Lookups!$A$55:$D$64,4))*VLOOKUP($C919,Lookups!$C$2:$D$11,2))),0),10))</f>
        <v>#N/A</v>
      </c>
      <c r="P919" s="13" t="str">
        <f>IF((SUM(F919:M919)=0),"J",VLOOKUP(O919,Lookups!$A$1:$B$11,2))</f>
        <v>J</v>
      </c>
      <c r="Q919" s="8" t="e">
        <f>VLOOKUP(C919,Lookups!$A$136:$C$144,3)</f>
        <v>#N/A</v>
      </c>
      <c r="R919" s="8" t="e">
        <f>VLOOKUP(C919,Lookups!$A$136:$C$144,2)</f>
        <v>#N/A</v>
      </c>
      <c r="S919" s="4" t="str">
        <f t="shared" si="77"/>
        <v>No</v>
      </c>
      <c r="T919" s="125">
        <f t="shared" si="78"/>
        <v>0</v>
      </c>
      <c r="U919" s="125">
        <f t="shared" si="79"/>
        <v>0</v>
      </c>
      <c r="V919" s="4" t="e">
        <f>IF($Q919&lt;&gt;3,VLOOKUP(F919,'Points Table A'!B$3:$F$33,5),VLOOKUP(F919,'Points Table A'!H$3:$L$33,5))</f>
        <v>#N/A</v>
      </c>
      <c r="W919" s="4" t="e">
        <f>IF($Q919&lt;&gt;3,VLOOKUP(G919,'Points Table A'!C$3:$F$33,4),VLOOKUP(G919,'Points Table A'!I$3:$L$33,4))</f>
        <v>#N/A</v>
      </c>
      <c r="X919" s="4" t="e">
        <f>IF($Q919&lt;&gt;3,VLOOKUP(H919,'Points Table A'!D$3:$F$28,3),VLOOKUP(H919,'Points Table A'!J$3:$L$33,3))</f>
        <v>#N/A</v>
      </c>
      <c r="Y919" s="4" t="e">
        <f>IF($Q919&lt;&gt;3,VLOOKUP(I919,'Points Table A'!E$3:$F$33,2),VLOOKUP(I919,'Points Table A'!K$3:$L$33,2))</f>
        <v>#N/A</v>
      </c>
      <c r="Z919" s="4" t="e">
        <f t="shared" si="80"/>
        <v>#N/A</v>
      </c>
      <c r="AA919" s="4">
        <f>IF($S919=Lookups!$B$113,VLOOKUP(L919,'Points Table C'!A$3:$E$11,5),VLOOKUP(U919,'Points Table C'!B$3:$E$11,4))</f>
        <v>0</v>
      </c>
      <c r="AB919" s="4" t="e">
        <f>IF($Q919=1,0,VLOOKUP($J919,'Points Table C'!$C$3:$E$18,3))</f>
        <v>#N/A</v>
      </c>
      <c r="AC919" s="4">
        <f>VLOOKUP($K919,'Points Table C'!$D$3:$E$18,2)</f>
        <v>0</v>
      </c>
      <c r="AD919" s="4" t="e">
        <f>IF($Z919&lt;Lookups!$C$106,($AA919+AB919+AC919),IF($AA919&gt;=Lookups!$C$120,($AA919+AB919+AC919),$AA919+$AB919))</f>
        <v>#N/A</v>
      </c>
      <c r="AF919" s="7"/>
      <c r="AG919" s="7"/>
      <c r="AH919" s="7"/>
      <c r="AI919" s="7"/>
      <c r="AJ919" s="7"/>
      <c r="AK919" s="7"/>
      <c r="AL919" s="7"/>
      <c r="AM919" s="7"/>
      <c r="AN919" s="7"/>
      <c r="AO919" s="7"/>
      <c r="AP919" s="7"/>
      <c r="AQ919" s="7"/>
      <c r="AR919" s="7"/>
      <c r="AS919" s="7"/>
      <c r="AT919" s="7"/>
      <c r="AU919" s="7"/>
      <c r="AV919" s="7"/>
      <c r="AW919" s="7"/>
      <c r="AY919" s="7"/>
      <c r="AZ919" s="7"/>
      <c r="BA919" s="7"/>
      <c r="BB919" s="7"/>
    </row>
    <row r="920" spans="2:54" x14ac:dyDescent="0.2">
      <c r="B920" s="174"/>
      <c r="C920" s="176"/>
      <c r="F920" s="5">
        <v>0</v>
      </c>
      <c r="G920" s="192">
        <v>0</v>
      </c>
      <c r="H920" s="192">
        <v>0</v>
      </c>
      <c r="I920" s="5">
        <v>0</v>
      </c>
      <c r="J920" s="192">
        <v>0</v>
      </c>
      <c r="K920" s="192">
        <v>0</v>
      </c>
      <c r="L920" s="5">
        <v>0</v>
      </c>
      <c r="M920" s="5">
        <v>0</v>
      </c>
      <c r="N920" s="4" t="e">
        <f t="shared" si="76"/>
        <v>#N/A</v>
      </c>
      <c r="O920" s="4" t="e">
        <f>IF(ROUND(10.499-(((N920-VLOOKUP($C920,Lookups!$A$55:$D$64,3))/(VLOOKUP($C920,Lookups!$A$55:$D$64,4))*VLOOKUP($C920,Lookups!$C$2:$D$11,2))),0)&lt;1,1,IF(ROUND(10.499-(((N920-VLOOKUP($C920,Lookups!$A$55:$D$64,3))/(VLOOKUP($C920,Lookups!$A$55:$D$64,4))*VLOOKUP($C920,Lookups!$C$2:$D$11,2))),0)&lt;11,ROUND(10.499-(((N920-VLOOKUP($C920,Lookups!$A$55:$D$64,3))/(VLOOKUP($C920,Lookups!$A$55:$D$64,4))*VLOOKUP($C920,Lookups!$C$2:$D$11,2))),0),10))</f>
        <v>#N/A</v>
      </c>
      <c r="P920" s="13" t="str">
        <f>IF((SUM(F920:M920)=0),"J",VLOOKUP(O920,Lookups!$A$1:$B$11,2))</f>
        <v>J</v>
      </c>
      <c r="Q920" s="8" t="e">
        <f>VLOOKUP(C920,Lookups!$A$136:$C$144,3)</f>
        <v>#N/A</v>
      </c>
      <c r="R920" s="8" t="e">
        <f>VLOOKUP(C920,Lookups!$A$136:$C$144,2)</f>
        <v>#N/A</v>
      </c>
      <c r="S920" s="4" t="str">
        <f t="shared" si="77"/>
        <v>No</v>
      </c>
      <c r="T920" s="125">
        <f t="shared" si="78"/>
        <v>0</v>
      </c>
      <c r="U920" s="125">
        <f t="shared" si="79"/>
        <v>0</v>
      </c>
      <c r="V920" s="4" t="e">
        <f>IF($Q920&lt;&gt;3,VLOOKUP(F920,'Points Table A'!B$3:$F$33,5),VLOOKUP(F920,'Points Table A'!H$3:$L$33,5))</f>
        <v>#N/A</v>
      </c>
      <c r="W920" s="4" t="e">
        <f>IF($Q920&lt;&gt;3,VLOOKUP(G920,'Points Table A'!C$3:$F$33,4),VLOOKUP(G920,'Points Table A'!I$3:$L$33,4))</f>
        <v>#N/A</v>
      </c>
      <c r="X920" s="4" t="e">
        <f>IF($Q920&lt;&gt;3,VLOOKUP(H920,'Points Table A'!D$3:$F$28,3),VLOOKUP(H920,'Points Table A'!J$3:$L$33,3))</f>
        <v>#N/A</v>
      </c>
      <c r="Y920" s="4" t="e">
        <f>IF($Q920&lt;&gt;3,VLOOKUP(I920,'Points Table A'!E$3:$F$33,2),VLOOKUP(I920,'Points Table A'!K$3:$L$33,2))</f>
        <v>#N/A</v>
      </c>
      <c r="Z920" s="4" t="e">
        <f t="shared" si="80"/>
        <v>#N/A</v>
      </c>
      <c r="AA920" s="4">
        <f>IF($S920=Lookups!$B$113,VLOOKUP(L920,'Points Table C'!A$3:$E$11,5),VLOOKUP(U920,'Points Table C'!B$3:$E$11,4))</f>
        <v>0</v>
      </c>
      <c r="AB920" s="4" t="e">
        <f>IF($Q920=1,0,VLOOKUP($J920,'Points Table C'!$C$3:$E$18,3))</f>
        <v>#N/A</v>
      </c>
      <c r="AC920" s="4">
        <f>VLOOKUP($K920,'Points Table C'!$D$3:$E$18,2)</f>
        <v>0</v>
      </c>
      <c r="AD920" s="4" t="e">
        <f>IF($Z920&lt;Lookups!$C$106,($AA920+AB920+AC920),IF($AA920&gt;=Lookups!$C$120,($AA920+AB920+AC920),$AA920+$AB920))</f>
        <v>#N/A</v>
      </c>
      <c r="AF920" s="7"/>
      <c r="AG920" s="7"/>
      <c r="AH920" s="7"/>
      <c r="AI920" s="7"/>
      <c r="AJ920" s="7"/>
      <c r="AK920" s="7"/>
      <c r="AL920" s="7"/>
      <c r="AM920" s="7"/>
      <c r="AN920" s="7"/>
      <c r="AO920" s="7"/>
      <c r="AP920" s="7"/>
      <c r="AQ920" s="7"/>
      <c r="AR920" s="7"/>
      <c r="AS920" s="7"/>
      <c r="AT920" s="7"/>
      <c r="AU920" s="7"/>
      <c r="AV920" s="7"/>
      <c r="AW920" s="7"/>
      <c r="AY920" s="7"/>
      <c r="AZ920" s="7"/>
      <c r="BA920" s="7"/>
      <c r="BB920" s="7"/>
    </row>
    <row r="921" spans="2:54" x14ac:dyDescent="0.2">
      <c r="B921" s="174"/>
      <c r="C921" s="176"/>
      <c r="F921" s="5">
        <v>0</v>
      </c>
      <c r="G921" s="192">
        <v>0</v>
      </c>
      <c r="H921" s="192">
        <v>0</v>
      </c>
      <c r="I921" s="5">
        <v>0</v>
      </c>
      <c r="J921" s="192">
        <v>0</v>
      </c>
      <c r="K921" s="192">
        <v>0</v>
      </c>
      <c r="L921" s="5">
        <v>0</v>
      </c>
      <c r="M921" s="5">
        <v>0</v>
      </c>
      <c r="N921" s="4" t="e">
        <f t="shared" si="76"/>
        <v>#N/A</v>
      </c>
      <c r="O921" s="4" t="e">
        <f>IF(ROUND(10.499-(((N921-VLOOKUP($C921,Lookups!$A$55:$D$64,3))/(VLOOKUP($C921,Lookups!$A$55:$D$64,4))*VLOOKUP($C921,Lookups!$C$2:$D$11,2))),0)&lt;1,1,IF(ROUND(10.499-(((N921-VLOOKUP($C921,Lookups!$A$55:$D$64,3))/(VLOOKUP($C921,Lookups!$A$55:$D$64,4))*VLOOKUP($C921,Lookups!$C$2:$D$11,2))),0)&lt;11,ROUND(10.499-(((N921-VLOOKUP($C921,Lookups!$A$55:$D$64,3))/(VLOOKUP($C921,Lookups!$A$55:$D$64,4))*VLOOKUP($C921,Lookups!$C$2:$D$11,2))),0),10))</f>
        <v>#N/A</v>
      </c>
      <c r="P921" s="13" t="str">
        <f>IF((SUM(F921:M921)=0),"J",VLOOKUP(O921,Lookups!$A$1:$B$11,2))</f>
        <v>J</v>
      </c>
      <c r="Q921" s="8" t="e">
        <f>VLOOKUP(C921,Lookups!$A$136:$C$144,3)</f>
        <v>#N/A</v>
      </c>
      <c r="R921" s="8" t="e">
        <f>VLOOKUP(C921,Lookups!$A$136:$C$144,2)</f>
        <v>#N/A</v>
      </c>
      <c r="S921" s="4" t="str">
        <f t="shared" si="77"/>
        <v>No</v>
      </c>
      <c r="T921" s="125">
        <f t="shared" si="78"/>
        <v>0</v>
      </c>
      <c r="U921" s="125">
        <f t="shared" si="79"/>
        <v>0</v>
      </c>
      <c r="V921" s="4" t="e">
        <f>IF($Q921&lt;&gt;3,VLOOKUP(F921,'Points Table A'!B$3:$F$33,5),VLOOKUP(F921,'Points Table A'!H$3:$L$33,5))</f>
        <v>#N/A</v>
      </c>
      <c r="W921" s="4" t="e">
        <f>IF($Q921&lt;&gt;3,VLOOKUP(G921,'Points Table A'!C$3:$F$33,4),VLOOKUP(G921,'Points Table A'!I$3:$L$33,4))</f>
        <v>#N/A</v>
      </c>
      <c r="X921" s="4" t="e">
        <f>IF($Q921&lt;&gt;3,VLOOKUP(H921,'Points Table A'!D$3:$F$28,3),VLOOKUP(H921,'Points Table A'!J$3:$L$33,3))</f>
        <v>#N/A</v>
      </c>
      <c r="Y921" s="4" t="e">
        <f>IF($Q921&lt;&gt;3,VLOOKUP(I921,'Points Table A'!E$3:$F$33,2),VLOOKUP(I921,'Points Table A'!K$3:$L$33,2))</f>
        <v>#N/A</v>
      </c>
      <c r="Z921" s="4" t="e">
        <f t="shared" si="80"/>
        <v>#N/A</v>
      </c>
      <c r="AA921" s="4">
        <f>IF($S921=Lookups!$B$113,VLOOKUP(L921,'Points Table C'!A$3:$E$11,5),VLOOKUP(U921,'Points Table C'!B$3:$E$11,4))</f>
        <v>0</v>
      </c>
      <c r="AB921" s="4" t="e">
        <f>IF($Q921=1,0,VLOOKUP($J921,'Points Table C'!$C$3:$E$18,3))</f>
        <v>#N/A</v>
      </c>
      <c r="AC921" s="4">
        <f>VLOOKUP($K921,'Points Table C'!$D$3:$E$18,2)</f>
        <v>0</v>
      </c>
      <c r="AD921" s="4" t="e">
        <f>IF($Z921&lt;Lookups!$C$106,($AA921+AB921+AC921),IF($AA921&gt;=Lookups!$C$120,($AA921+AB921+AC921),$AA921+$AB921))</f>
        <v>#N/A</v>
      </c>
      <c r="AF921" s="7"/>
      <c r="AG921" s="7"/>
      <c r="AH921" s="7"/>
      <c r="AI921" s="7"/>
      <c r="AJ921" s="7"/>
      <c r="AK921" s="7"/>
      <c r="AL921" s="7"/>
      <c r="AM921" s="7"/>
      <c r="AN921" s="7"/>
      <c r="AO921" s="7"/>
      <c r="AP921" s="7"/>
      <c r="AQ921" s="7"/>
      <c r="AR921" s="7"/>
      <c r="AS921" s="7"/>
      <c r="AT921" s="7"/>
      <c r="AU921" s="7"/>
      <c r="AV921" s="7"/>
      <c r="AW921" s="7"/>
      <c r="AY921" s="7"/>
      <c r="AZ921" s="7"/>
      <c r="BA921" s="7"/>
      <c r="BB921" s="7"/>
    </row>
    <row r="922" spans="2:54" x14ac:dyDescent="0.2">
      <c r="B922" s="174"/>
      <c r="C922" s="176"/>
      <c r="F922" s="5">
        <v>0</v>
      </c>
      <c r="G922" s="192">
        <v>0</v>
      </c>
      <c r="H922" s="192">
        <v>0</v>
      </c>
      <c r="I922" s="5">
        <v>0</v>
      </c>
      <c r="J922" s="192">
        <v>0</v>
      </c>
      <c r="K922" s="192">
        <v>0</v>
      </c>
      <c r="L922" s="5">
        <v>0</v>
      </c>
      <c r="M922" s="5">
        <v>0</v>
      </c>
      <c r="N922" s="4" t="e">
        <f t="shared" si="76"/>
        <v>#N/A</v>
      </c>
      <c r="O922" s="4" t="e">
        <f>IF(ROUND(10.499-(((N922-VLOOKUP($C922,Lookups!$A$55:$D$64,3))/(VLOOKUP($C922,Lookups!$A$55:$D$64,4))*VLOOKUP($C922,Lookups!$C$2:$D$11,2))),0)&lt;1,1,IF(ROUND(10.499-(((N922-VLOOKUP($C922,Lookups!$A$55:$D$64,3))/(VLOOKUP($C922,Lookups!$A$55:$D$64,4))*VLOOKUP($C922,Lookups!$C$2:$D$11,2))),0)&lt;11,ROUND(10.499-(((N922-VLOOKUP($C922,Lookups!$A$55:$D$64,3))/(VLOOKUP($C922,Lookups!$A$55:$D$64,4))*VLOOKUP($C922,Lookups!$C$2:$D$11,2))),0),10))</f>
        <v>#N/A</v>
      </c>
      <c r="P922" s="13" t="str">
        <f>IF((SUM(F922:M922)=0),"J",VLOOKUP(O922,Lookups!$A$1:$B$11,2))</f>
        <v>J</v>
      </c>
      <c r="Q922" s="8" t="e">
        <f>VLOOKUP(C922,Lookups!$A$136:$C$144,3)</f>
        <v>#N/A</v>
      </c>
      <c r="R922" s="8" t="e">
        <f>VLOOKUP(C922,Lookups!$A$136:$C$144,2)</f>
        <v>#N/A</v>
      </c>
      <c r="S922" s="4" t="str">
        <f t="shared" si="77"/>
        <v>No</v>
      </c>
      <c r="T922" s="125">
        <f t="shared" si="78"/>
        <v>0</v>
      </c>
      <c r="U922" s="125">
        <f t="shared" si="79"/>
        <v>0</v>
      </c>
      <c r="V922" s="4" t="e">
        <f>IF($Q922&lt;&gt;3,VLOOKUP(F922,'Points Table A'!B$3:$F$33,5),VLOOKUP(F922,'Points Table A'!H$3:$L$33,5))</f>
        <v>#N/A</v>
      </c>
      <c r="W922" s="4" t="e">
        <f>IF($Q922&lt;&gt;3,VLOOKUP(G922,'Points Table A'!C$3:$F$33,4),VLOOKUP(G922,'Points Table A'!I$3:$L$33,4))</f>
        <v>#N/A</v>
      </c>
      <c r="X922" s="4" t="e">
        <f>IF($Q922&lt;&gt;3,VLOOKUP(H922,'Points Table A'!D$3:$F$28,3),VLOOKUP(H922,'Points Table A'!J$3:$L$33,3))</f>
        <v>#N/A</v>
      </c>
      <c r="Y922" s="4" t="e">
        <f>IF($Q922&lt;&gt;3,VLOOKUP(I922,'Points Table A'!E$3:$F$33,2),VLOOKUP(I922,'Points Table A'!K$3:$L$33,2))</f>
        <v>#N/A</v>
      </c>
      <c r="Z922" s="4" t="e">
        <f t="shared" si="80"/>
        <v>#N/A</v>
      </c>
      <c r="AA922" s="4">
        <f>IF($S922=Lookups!$B$113,VLOOKUP(L922,'Points Table C'!A$3:$E$11,5),VLOOKUP(U922,'Points Table C'!B$3:$E$11,4))</f>
        <v>0</v>
      </c>
      <c r="AB922" s="4" t="e">
        <f>IF($Q922=1,0,VLOOKUP($J922,'Points Table C'!$C$3:$E$18,3))</f>
        <v>#N/A</v>
      </c>
      <c r="AC922" s="4">
        <f>VLOOKUP($K922,'Points Table C'!$D$3:$E$18,2)</f>
        <v>0</v>
      </c>
      <c r="AD922" s="4" t="e">
        <f>IF($Z922&lt;Lookups!$C$106,($AA922+AB922+AC922),IF($AA922&gt;=Lookups!$C$120,($AA922+AB922+AC922),$AA922+$AB922))</f>
        <v>#N/A</v>
      </c>
      <c r="AF922" s="7"/>
      <c r="AG922" s="7"/>
      <c r="AH922" s="7"/>
      <c r="AI922" s="7"/>
      <c r="AJ922" s="7"/>
      <c r="AK922" s="7"/>
      <c r="AL922" s="7"/>
      <c r="AM922" s="7"/>
      <c r="AN922" s="7"/>
      <c r="AO922" s="7"/>
      <c r="AP922" s="7"/>
      <c r="AQ922" s="7"/>
      <c r="AR922" s="7"/>
      <c r="AS922" s="7"/>
      <c r="AT922" s="7"/>
      <c r="AU922" s="7"/>
      <c r="AV922" s="7"/>
      <c r="AW922" s="7"/>
      <c r="AY922" s="7"/>
      <c r="AZ922" s="7"/>
      <c r="BA922" s="7"/>
      <c r="BB922" s="7"/>
    </row>
    <row r="923" spans="2:54" x14ac:dyDescent="0.2">
      <c r="B923" s="174"/>
      <c r="C923" s="176"/>
      <c r="F923" s="5">
        <v>0</v>
      </c>
      <c r="G923" s="192">
        <v>0</v>
      </c>
      <c r="H923" s="192">
        <v>0</v>
      </c>
      <c r="I923" s="5">
        <v>0</v>
      </c>
      <c r="J923" s="192">
        <v>0</v>
      </c>
      <c r="K923" s="192">
        <v>0</v>
      </c>
      <c r="L923" s="5">
        <v>0</v>
      </c>
      <c r="M923" s="5">
        <v>0</v>
      </c>
      <c r="N923" s="4" t="e">
        <f t="shared" si="76"/>
        <v>#N/A</v>
      </c>
      <c r="O923" s="4" t="e">
        <f>IF(ROUND(10.499-(((N923-VLOOKUP($C923,Lookups!$A$55:$D$64,3))/(VLOOKUP($C923,Lookups!$A$55:$D$64,4))*VLOOKUP($C923,Lookups!$C$2:$D$11,2))),0)&lt;1,1,IF(ROUND(10.499-(((N923-VLOOKUP($C923,Lookups!$A$55:$D$64,3))/(VLOOKUP($C923,Lookups!$A$55:$D$64,4))*VLOOKUP($C923,Lookups!$C$2:$D$11,2))),0)&lt;11,ROUND(10.499-(((N923-VLOOKUP($C923,Lookups!$A$55:$D$64,3))/(VLOOKUP($C923,Lookups!$A$55:$D$64,4))*VLOOKUP($C923,Lookups!$C$2:$D$11,2))),0),10))</f>
        <v>#N/A</v>
      </c>
      <c r="P923" s="13" t="str">
        <f>IF((SUM(F923:M923)=0),"J",VLOOKUP(O923,Lookups!$A$1:$B$11,2))</f>
        <v>J</v>
      </c>
      <c r="Q923" s="8" t="e">
        <f>VLOOKUP(C923,Lookups!$A$136:$C$144,3)</f>
        <v>#N/A</v>
      </c>
      <c r="R923" s="8" t="e">
        <f>VLOOKUP(C923,Lookups!$A$136:$C$144,2)</f>
        <v>#N/A</v>
      </c>
      <c r="S923" s="4" t="str">
        <f t="shared" si="77"/>
        <v>No</v>
      </c>
      <c r="T923" s="125">
        <f t="shared" si="78"/>
        <v>0</v>
      </c>
      <c r="U923" s="125">
        <f t="shared" si="79"/>
        <v>0</v>
      </c>
      <c r="V923" s="4" t="e">
        <f>IF($Q923&lt;&gt;3,VLOOKUP(F923,'Points Table A'!B$3:$F$33,5),VLOOKUP(F923,'Points Table A'!H$3:$L$33,5))</f>
        <v>#N/A</v>
      </c>
      <c r="W923" s="4" t="e">
        <f>IF($Q923&lt;&gt;3,VLOOKUP(G923,'Points Table A'!C$3:$F$33,4),VLOOKUP(G923,'Points Table A'!I$3:$L$33,4))</f>
        <v>#N/A</v>
      </c>
      <c r="X923" s="4" t="e">
        <f>IF($Q923&lt;&gt;3,VLOOKUP(H923,'Points Table A'!D$3:$F$28,3),VLOOKUP(H923,'Points Table A'!J$3:$L$33,3))</f>
        <v>#N/A</v>
      </c>
      <c r="Y923" s="4" t="e">
        <f>IF($Q923&lt;&gt;3,VLOOKUP(I923,'Points Table A'!E$3:$F$33,2),VLOOKUP(I923,'Points Table A'!K$3:$L$33,2))</f>
        <v>#N/A</v>
      </c>
      <c r="Z923" s="4" t="e">
        <f t="shared" si="80"/>
        <v>#N/A</v>
      </c>
      <c r="AA923" s="4">
        <f>IF($S923=Lookups!$B$113,VLOOKUP(L923,'Points Table C'!A$3:$E$11,5),VLOOKUP(U923,'Points Table C'!B$3:$E$11,4))</f>
        <v>0</v>
      </c>
      <c r="AB923" s="4" t="e">
        <f>IF($Q923=1,0,VLOOKUP($J923,'Points Table C'!$C$3:$E$18,3))</f>
        <v>#N/A</v>
      </c>
      <c r="AC923" s="4">
        <f>VLOOKUP($K923,'Points Table C'!$D$3:$E$18,2)</f>
        <v>0</v>
      </c>
      <c r="AD923" s="4" t="e">
        <f>IF($Z923&lt;Lookups!$C$106,($AA923+AB923+AC923),IF($AA923&gt;=Lookups!$C$120,($AA923+AB923+AC923),$AA923+$AB923))</f>
        <v>#N/A</v>
      </c>
      <c r="AF923" s="7"/>
      <c r="AG923" s="7"/>
      <c r="AH923" s="7"/>
      <c r="AI923" s="7"/>
      <c r="AJ923" s="7"/>
      <c r="AK923" s="7"/>
      <c r="AL923" s="7"/>
      <c r="AM923" s="7"/>
      <c r="AN923" s="7"/>
      <c r="AO923" s="7"/>
      <c r="AP923" s="7"/>
      <c r="AQ923" s="7"/>
      <c r="AR923" s="7"/>
      <c r="AS923" s="7"/>
      <c r="AT923" s="7"/>
      <c r="AU923" s="7"/>
      <c r="AV923" s="7"/>
      <c r="AW923" s="7"/>
      <c r="AY923" s="7"/>
      <c r="AZ923" s="7"/>
      <c r="BA923" s="7"/>
      <c r="BB923" s="7"/>
    </row>
    <row r="924" spans="2:54" x14ac:dyDescent="0.2">
      <c r="B924" s="174"/>
      <c r="C924" s="176"/>
      <c r="F924" s="5">
        <v>0</v>
      </c>
      <c r="G924" s="192">
        <v>0</v>
      </c>
      <c r="H924" s="192">
        <v>0</v>
      </c>
      <c r="I924" s="5">
        <v>0</v>
      </c>
      <c r="J924" s="192">
        <v>0</v>
      </c>
      <c r="K924" s="192">
        <v>0</v>
      </c>
      <c r="L924" s="5">
        <v>0</v>
      </c>
      <c r="M924" s="5">
        <v>0</v>
      </c>
      <c r="N924" s="4" t="e">
        <f t="shared" si="76"/>
        <v>#N/A</v>
      </c>
      <c r="O924" s="4" t="e">
        <f>IF(ROUND(10.499-(((N924-VLOOKUP($C924,Lookups!$A$55:$D$64,3))/(VLOOKUP($C924,Lookups!$A$55:$D$64,4))*VLOOKUP($C924,Lookups!$C$2:$D$11,2))),0)&lt;1,1,IF(ROUND(10.499-(((N924-VLOOKUP($C924,Lookups!$A$55:$D$64,3))/(VLOOKUP($C924,Lookups!$A$55:$D$64,4))*VLOOKUP($C924,Lookups!$C$2:$D$11,2))),0)&lt;11,ROUND(10.499-(((N924-VLOOKUP($C924,Lookups!$A$55:$D$64,3))/(VLOOKUP($C924,Lookups!$A$55:$D$64,4))*VLOOKUP($C924,Lookups!$C$2:$D$11,2))),0),10))</f>
        <v>#N/A</v>
      </c>
      <c r="P924" s="13" t="str">
        <f>IF((SUM(F924:M924)=0),"J",VLOOKUP(O924,Lookups!$A$1:$B$11,2))</f>
        <v>J</v>
      </c>
      <c r="Q924" s="8" t="e">
        <f>VLOOKUP(C924,Lookups!$A$136:$C$144,3)</f>
        <v>#N/A</v>
      </c>
      <c r="R924" s="8" t="e">
        <f>VLOOKUP(C924,Lookups!$A$136:$C$144,2)</f>
        <v>#N/A</v>
      </c>
      <c r="S924" s="4" t="str">
        <f t="shared" si="77"/>
        <v>No</v>
      </c>
      <c r="T924" s="125">
        <f t="shared" si="78"/>
        <v>0</v>
      </c>
      <c r="U924" s="125">
        <f t="shared" si="79"/>
        <v>0</v>
      </c>
      <c r="V924" s="4" t="e">
        <f>IF($Q924&lt;&gt;3,VLOOKUP(F924,'Points Table A'!B$3:$F$33,5),VLOOKUP(F924,'Points Table A'!H$3:$L$33,5))</f>
        <v>#N/A</v>
      </c>
      <c r="W924" s="4" t="e">
        <f>IF($Q924&lt;&gt;3,VLOOKUP(G924,'Points Table A'!C$3:$F$33,4),VLOOKUP(G924,'Points Table A'!I$3:$L$33,4))</f>
        <v>#N/A</v>
      </c>
      <c r="X924" s="4" t="e">
        <f>IF($Q924&lt;&gt;3,VLOOKUP(H924,'Points Table A'!D$3:$F$28,3),VLOOKUP(H924,'Points Table A'!J$3:$L$33,3))</f>
        <v>#N/A</v>
      </c>
      <c r="Y924" s="4" t="e">
        <f>IF($Q924&lt;&gt;3,VLOOKUP(I924,'Points Table A'!E$3:$F$33,2),VLOOKUP(I924,'Points Table A'!K$3:$L$33,2))</f>
        <v>#N/A</v>
      </c>
      <c r="Z924" s="4" t="e">
        <f t="shared" si="80"/>
        <v>#N/A</v>
      </c>
      <c r="AA924" s="4">
        <f>IF($S924=Lookups!$B$113,VLOOKUP(L924,'Points Table C'!A$3:$E$11,5),VLOOKUP(U924,'Points Table C'!B$3:$E$11,4))</f>
        <v>0</v>
      </c>
      <c r="AB924" s="4" t="e">
        <f>IF($Q924=1,0,VLOOKUP($J924,'Points Table C'!$C$3:$E$18,3))</f>
        <v>#N/A</v>
      </c>
      <c r="AC924" s="4">
        <f>VLOOKUP($K924,'Points Table C'!$D$3:$E$18,2)</f>
        <v>0</v>
      </c>
      <c r="AD924" s="4" t="e">
        <f>IF($Z924&lt;Lookups!$C$106,($AA924+AB924+AC924),IF($AA924&gt;=Lookups!$C$120,($AA924+AB924+AC924),$AA924+$AB924))</f>
        <v>#N/A</v>
      </c>
      <c r="AF924" s="7"/>
      <c r="AG924" s="7"/>
      <c r="AH924" s="7"/>
      <c r="AI924" s="7"/>
      <c r="AJ924" s="7"/>
      <c r="AK924" s="7"/>
      <c r="AL924" s="7"/>
      <c r="AM924" s="7"/>
      <c r="AN924" s="7"/>
      <c r="AO924" s="7"/>
      <c r="AP924" s="7"/>
      <c r="AQ924" s="7"/>
      <c r="AR924" s="7"/>
      <c r="AS924" s="7"/>
      <c r="AT924" s="7"/>
      <c r="AU924" s="7"/>
      <c r="AV924" s="7"/>
      <c r="AW924" s="7"/>
      <c r="AY924" s="7"/>
      <c r="AZ924" s="7"/>
      <c r="BA924" s="7"/>
      <c r="BB924" s="7"/>
    </row>
    <row r="925" spans="2:54" x14ac:dyDescent="0.2">
      <c r="B925" s="174"/>
      <c r="C925" s="176"/>
      <c r="F925" s="5">
        <v>0</v>
      </c>
      <c r="G925" s="192">
        <v>0</v>
      </c>
      <c r="H925" s="192">
        <v>0</v>
      </c>
      <c r="I925" s="5">
        <v>0</v>
      </c>
      <c r="J925" s="192">
        <v>0</v>
      </c>
      <c r="K925" s="192">
        <v>0</v>
      </c>
      <c r="L925" s="5">
        <v>0</v>
      </c>
      <c r="M925" s="5">
        <v>0</v>
      </c>
      <c r="N925" s="4" t="e">
        <f t="shared" si="76"/>
        <v>#N/A</v>
      </c>
      <c r="O925" s="4" t="e">
        <f>IF(ROUND(10.499-(((N925-VLOOKUP($C925,Lookups!$A$55:$D$64,3))/(VLOOKUP($C925,Lookups!$A$55:$D$64,4))*VLOOKUP($C925,Lookups!$C$2:$D$11,2))),0)&lt;1,1,IF(ROUND(10.499-(((N925-VLOOKUP($C925,Lookups!$A$55:$D$64,3))/(VLOOKUP($C925,Lookups!$A$55:$D$64,4))*VLOOKUP($C925,Lookups!$C$2:$D$11,2))),0)&lt;11,ROUND(10.499-(((N925-VLOOKUP($C925,Lookups!$A$55:$D$64,3))/(VLOOKUP($C925,Lookups!$A$55:$D$64,4))*VLOOKUP($C925,Lookups!$C$2:$D$11,2))),0),10))</f>
        <v>#N/A</v>
      </c>
      <c r="P925" s="13" t="str">
        <f>IF((SUM(F925:M925)=0),"J",VLOOKUP(O925,Lookups!$A$1:$B$11,2))</f>
        <v>J</v>
      </c>
      <c r="Q925" s="8" t="e">
        <f>VLOOKUP(C925,Lookups!$A$136:$C$144,3)</f>
        <v>#N/A</v>
      </c>
      <c r="R925" s="8" t="e">
        <f>VLOOKUP(C925,Lookups!$A$136:$C$144,2)</f>
        <v>#N/A</v>
      </c>
      <c r="S925" s="4" t="str">
        <f t="shared" si="77"/>
        <v>No</v>
      </c>
      <c r="T925" s="125">
        <f t="shared" si="78"/>
        <v>0</v>
      </c>
      <c r="U925" s="125">
        <f t="shared" si="79"/>
        <v>0</v>
      </c>
      <c r="V925" s="4" t="e">
        <f>IF($Q925&lt;&gt;3,VLOOKUP(F925,'Points Table A'!B$3:$F$33,5),VLOOKUP(F925,'Points Table A'!H$3:$L$33,5))</f>
        <v>#N/A</v>
      </c>
      <c r="W925" s="4" t="e">
        <f>IF($Q925&lt;&gt;3,VLOOKUP(G925,'Points Table A'!C$3:$F$33,4),VLOOKUP(G925,'Points Table A'!I$3:$L$33,4))</f>
        <v>#N/A</v>
      </c>
      <c r="X925" s="4" t="e">
        <f>IF($Q925&lt;&gt;3,VLOOKUP(H925,'Points Table A'!D$3:$F$28,3),VLOOKUP(H925,'Points Table A'!J$3:$L$33,3))</f>
        <v>#N/A</v>
      </c>
      <c r="Y925" s="4" t="e">
        <f>IF($Q925&lt;&gt;3,VLOOKUP(I925,'Points Table A'!E$3:$F$33,2),VLOOKUP(I925,'Points Table A'!K$3:$L$33,2))</f>
        <v>#N/A</v>
      </c>
      <c r="Z925" s="4" t="e">
        <f t="shared" si="80"/>
        <v>#N/A</v>
      </c>
      <c r="AA925" s="4">
        <f>IF($S925=Lookups!$B$113,VLOOKUP(L925,'Points Table C'!A$3:$E$11,5),VLOOKUP(U925,'Points Table C'!B$3:$E$11,4))</f>
        <v>0</v>
      </c>
      <c r="AB925" s="4" t="e">
        <f>IF($Q925=1,0,VLOOKUP($J925,'Points Table C'!$C$3:$E$18,3))</f>
        <v>#N/A</v>
      </c>
      <c r="AC925" s="4">
        <f>VLOOKUP($K925,'Points Table C'!$D$3:$E$18,2)</f>
        <v>0</v>
      </c>
      <c r="AD925" s="4" t="e">
        <f>IF($Z925&lt;Lookups!$C$106,($AA925+AB925+AC925),IF($AA925&gt;=Lookups!$C$120,($AA925+AB925+AC925),$AA925+$AB925))</f>
        <v>#N/A</v>
      </c>
      <c r="AF925" s="7"/>
      <c r="AG925" s="7"/>
      <c r="AH925" s="7"/>
      <c r="AI925" s="7"/>
      <c r="AJ925" s="7"/>
      <c r="AK925" s="7"/>
      <c r="AL925" s="7"/>
      <c r="AM925" s="7"/>
      <c r="AN925" s="7"/>
      <c r="AO925" s="7"/>
      <c r="AP925" s="7"/>
      <c r="AQ925" s="7"/>
      <c r="AR925" s="7"/>
      <c r="AS925" s="7"/>
      <c r="AT925" s="7"/>
      <c r="AU925" s="7"/>
      <c r="AV925" s="7"/>
      <c r="AW925" s="7"/>
      <c r="AY925" s="7"/>
      <c r="AZ925" s="7"/>
      <c r="BA925" s="7"/>
      <c r="BB925" s="7"/>
    </row>
    <row r="926" spans="2:54" x14ac:dyDescent="0.2">
      <c r="B926" s="174"/>
      <c r="C926" s="176"/>
      <c r="F926" s="5">
        <v>0</v>
      </c>
      <c r="G926" s="192">
        <v>0</v>
      </c>
      <c r="H926" s="192">
        <v>0</v>
      </c>
      <c r="I926" s="5">
        <v>0</v>
      </c>
      <c r="J926" s="192">
        <v>0</v>
      </c>
      <c r="K926" s="192">
        <v>0</v>
      </c>
      <c r="L926" s="5">
        <v>0</v>
      </c>
      <c r="M926" s="5">
        <v>0</v>
      </c>
      <c r="N926" s="4" t="e">
        <f t="shared" si="76"/>
        <v>#N/A</v>
      </c>
      <c r="O926" s="4" t="e">
        <f>IF(ROUND(10.499-(((N926-VLOOKUP($C926,Lookups!$A$55:$D$64,3))/(VLOOKUP($C926,Lookups!$A$55:$D$64,4))*VLOOKUP($C926,Lookups!$C$2:$D$11,2))),0)&lt;1,1,IF(ROUND(10.499-(((N926-VLOOKUP($C926,Lookups!$A$55:$D$64,3))/(VLOOKUP($C926,Lookups!$A$55:$D$64,4))*VLOOKUP($C926,Lookups!$C$2:$D$11,2))),0)&lt;11,ROUND(10.499-(((N926-VLOOKUP($C926,Lookups!$A$55:$D$64,3))/(VLOOKUP($C926,Lookups!$A$55:$D$64,4))*VLOOKUP($C926,Lookups!$C$2:$D$11,2))),0),10))</f>
        <v>#N/A</v>
      </c>
      <c r="P926" s="13" t="str">
        <f>IF((SUM(F926:M926)=0),"J",VLOOKUP(O926,Lookups!$A$1:$B$11,2))</f>
        <v>J</v>
      </c>
      <c r="Q926" s="8" t="e">
        <f>VLOOKUP(C926,Lookups!$A$136:$C$144,3)</f>
        <v>#N/A</v>
      </c>
      <c r="R926" s="8" t="e">
        <f>VLOOKUP(C926,Lookups!$A$136:$C$144,2)</f>
        <v>#N/A</v>
      </c>
      <c r="S926" s="4" t="str">
        <f t="shared" si="77"/>
        <v>No</v>
      </c>
      <c r="T926" s="125">
        <f t="shared" si="78"/>
        <v>0</v>
      </c>
      <c r="U926" s="125">
        <f t="shared" si="79"/>
        <v>0</v>
      </c>
      <c r="V926" s="4" t="e">
        <f>IF($Q926&lt;&gt;3,VLOOKUP(F926,'Points Table A'!B$3:$F$33,5),VLOOKUP(F926,'Points Table A'!H$3:$L$33,5))</f>
        <v>#N/A</v>
      </c>
      <c r="W926" s="4" t="e">
        <f>IF($Q926&lt;&gt;3,VLOOKUP(G926,'Points Table A'!C$3:$F$33,4),VLOOKUP(G926,'Points Table A'!I$3:$L$33,4))</f>
        <v>#N/A</v>
      </c>
      <c r="X926" s="4" t="e">
        <f>IF($Q926&lt;&gt;3,VLOOKUP(H926,'Points Table A'!D$3:$F$28,3),VLOOKUP(H926,'Points Table A'!J$3:$L$33,3))</f>
        <v>#N/A</v>
      </c>
      <c r="Y926" s="4" t="e">
        <f>IF($Q926&lt;&gt;3,VLOOKUP(I926,'Points Table A'!E$3:$F$33,2),VLOOKUP(I926,'Points Table A'!K$3:$L$33,2))</f>
        <v>#N/A</v>
      </c>
      <c r="Z926" s="4" t="e">
        <f t="shared" si="80"/>
        <v>#N/A</v>
      </c>
      <c r="AA926" s="4">
        <f>IF($S926=Lookups!$B$113,VLOOKUP(L926,'Points Table C'!A$3:$E$11,5),VLOOKUP(U926,'Points Table C'!B$3:$E$11,4))</f>
        <v>0</v>
      </c>
      <c r="AB926" s="4" t="e">
        <f>IF($Q926=1,0,VLOOKUP($J926,'Points Table C'!$C$3:$E$18,3))</f>
        <v>#N/A</v>
      </c>
      <c r="AC926" s="4">
        <f>VLOOKUP($K926,'Points Table C'!$D$3:$E$18,2)</f>
        <v>0</v>
      </c>
      <c r="AD926" s="4" t="e">
        <f>IF($Z926&lt;Lookups!$C$106,($AA926+AB926+AC926),IF($AA926&gt;=Lookups!$C$120,($AA926+AB926+AC926),$AA926+$AB926))</f>
        <v>#N/A</v>
      </c>
      <c r="AF926" s="7"/>
      <c r="AG926" s="7"/>
      <c r="AH926" s="7"/>
      <c r="AI926" s="7"/>
      <c r="AJ926" s="7"/>
      <c r="AK926" s="7"/>
      <c r="AL926" s="7"/>
      <c r="AM926" s="7"/>
      <c r="AN926" s="7"/>
      <c r="AO926" s="7"/>
      <c r="AP926" s="7"/>
      <c r="AQ926" s="7"/>
      <c r="AR926" s="7"/>
      <c r="AS926" s="7"/>
      <c r="AT926" s="7"/>
      <c r="AU926" s="7"/>
      <c r="AV926" s="7"/>
      <c r="AW926" s="7"/>
      <c r="AY926" s="7"/>
      <c r="AZ926" s="7"/>
      <c r="BA926" s="7"/>
      <c r="BB926" s="7"/>
    </row>
    <row r="927" spans="2:54" x14ac:dyDescent="0.2">
      <c r="B927" s="174"/>
      <c r="C927" s="176"/>
      <c r="F927" s="5">
        <v>0</v>
      </c>
      <c r="G927" s="192">
        <v>0</v>
      </c>
      <c r="H927" s="192">
        <v>0</v>
      </c>
      <c r="I927" s="5">
        <v>0</v>
      </c>
      <c r="J927" s="192">
        <v>0</v>
      </c>
      <c r="K927" s="192">
        <v>0</v>
      </c>
      <c r="L927" s="5">
        <v>0</v>
      </c>
      <c r="M927" s="5">
        <v>0</v>
      </c>
      <c r="N927" s="4" t="e">
        <f t="shared" si="76"/>
        <v>#N/A</v>
      </c>
      <c r="O927" s="4" t="e">
        <f>IF(ROUND(10.499-(((N927-VLOOKUP($C927,Lookups!$A$55:$D$64,3))/(VLOOKUP($C927,Lookups!$A$55:$D$64,4))*VLOOKUP($C927,Lookups!$C$2:$D$11,2))),0)&lt;1,1,IF(ROUND(10.499-(((N927-VLOOKUP($C927,Lookups!$A$55:$D$64,3))/(VLOOKUP($C927,Lookups!$A$55:$D$64,4))*VLOOKUP($C927,Lookups!$C$2:$D$11,2))),0)&lt;11,ROUND(10.499-(((N927-VLOOKUP($C927,Lookups!$A$55:$D$64,3))/(VLOOKUP($C927,Lookups!$A$55:$D$64,4))*VLOOKUP($C927,Lookups!$C$2:$D$11,2))),0),10))</f>
        <v>#N/A</v>
      </c>
      <c r="P927" s="13" t="str">
        <f>IF((SUM(F927:M927)=0),"J",VLOOKUP(O927,Lookups!$A$1:$B$11,2))</f>
        <v>J</v>
      </c>
      <c r="Q927" s="8" t="e">
        <f>VLOOKUP(C927,Lookups!$A$136:$C$144,3)</f>
        <v>#N/A</v>
      </c>
      <c r="R927" s="8" t="e">
        <f>VLOOKUP(C927,Lookups!$A$136:$C$144,2)</f>
        <v>#N/A</v>
      </c>
      <c r="S927" s="4" t="str">
        <f t="shared" si="77"/>
        <v>No</v>
      </c>
      <c r="T927" s="125">
        <f t="shared" si="78"/>
        <v>0</v>
      </c>
      <c r="U927" s="125">
        <f t="shared" si="79"/>
        <v>0</v>
      </c>
      <c r="V927" s="4" t="e">
        <f>IF($Q927&lt;&gt;3,VLOOKUP(F927,'Points Table A'!B$3:$F$33,5),VLOOKUP(F927,'Points Table A'!H$3:$L$33,5))</f>
        <v>#N/A</v>
      </c>
      <c r="W927" s="4" t="e">
        <f>IF($Q927&lt;&gt;3,VLOOKUP(G927,'Points Table A'!C$3:$F$33,4),VLOOKUP(G927,'Points Table A'!I$3:$L$33,4))</f>
        <v>#N/A</v>
      </c>
      <c r="X927" s="4" t="e">
        <f>IF($Q927&lt;&gt;3,VLOOKUP(H927,'Points Table A'!D$3:$F$28,3),VLOOKUP(H927,'Points Table A'!J$3:$L$33,3))</f>
        <v>#N/A</v>
      </c>
      <c r="Y927" s="4" t="e">
        <f>IF($Q927&lt;&gt;3,VLOOKUP(I927,'Points Table A'!E$3:$F$33,2),VLOOKUP(I927,'Points Table A'!K$3:$L$33,2))</f>
        <v>#N/A</v>
      </c>
      <c r="Z927" s="4" t="e">
        <f t="shared" si="80"/>
        <v>#N/A</v>
      </c>
      <c r="AA927" s="4">
        <f>IF($S927=Lookups!$B$113,VLOOKUP(L927,'Points Table C'!A$3:$E$11,5),VLOOKUP(U927,'Points Table C'!B$3:$E$11,4))</f>
        <v>0</v>
      </c>
      <c r="AB927" s="4" t="e">
        <f>IF($Q927=1,0,VLOOKUP($J927,'Points Table C'!$C$3:$E$18,3))</f>
        <v>#N/A</v>
      </c>
      <c r="AC927" s="4">
        <f>VLOOKUP($K927,'Points Table C'!$D$3:$E$18,2)</f>
        <v>0</v>
      </c>
      <c r="AD927" s="4" t="e">
        <f>IF($Z927&lt;Lookups!$C$106,($AA927+AB927+AC927),IF($AA927&gt;=Lookups!$C$120,($AA927+AB927+AC927),$AA927+$AB927))</f>
        <v>#N/A</v>
      </c>
      <c r="AF927" s="7"/>
      <c r="AG927" s="7"/>
      <c r="AH927" s="7"/>
      <c r="AI927" s="7"/>
      <c r="AJ927" s="7"/>
      <c r="AK927" s="7"/>
      <c r="AL927" s="7"/>
      <c r="AM927" s="7"/>
      <c r="AN927" s="7"/>
      <c r="AO927" s="7"/>
      <c r="AP927" s="7"/>
      <c r="AQ927" s="7"/>
      <c r="AR927" s="7"/>
      <c r="AS927" s="7"/>
      <c r="AT927" s="7"/>
      <c r="AU927" s="7"/>
      <c r="AV927" s="7"/>
      <c r="AW927" s="7"/>
      <c r="AY927" s="7"/>
      <c r="AZ927" s="7"/>
      <c r="BA927" s="7"/>
      <c r="BB927" s="7"/>
    </row>
    <row r="928" spans="2:54" x14ac:dyDescent="0.2">
      <c r="B928" s="174"/>
      <c r="C928" s="176"/>
      <c r="F928" s="5">
        <v>0</v>
      </c>
      <c r="G928" s="192">
        <v>0</v>
      </c>
      <c r="H928" s="192">
        <v>0</v>
      </c>
      <c r="I928" s="5">
        <v>0</v>
      </c>
      <c r="J928" s="192">
        <v>0</v>
      </c>
      <c r="K928" s="192">
        <v>0</v>
      </c>
      <c r="L928" s="5">
        <v>0</v>
      </c>
      <c r="M928" s="5">
        <v>0</v>
      </c>
      <c r="N928" s="4" t="e">
        <f t="shared" si="76"/>
        <v>#N/A</v>
      </c>
      <c r="O928" s="4" t="e">
        <f>IF(ROUND(10.499-(((N928-VLOOKUP($C928,Lookups!$A$55:$D$64,3))/(VLOOKUP($C928,Lookups!$A$55:$D$64,4))*VLOOKUP($C928,Lookups!$C$2:$D$11,2))),0)&lt;1,1,IF(ROUND(10.499-(((N928-VLOOKUP($C928,Lookups!$A$55:$D$64,3))/(VLOOKUP($C928,Lookups!$A$55:$D$64,4))*VLOOKUP($C928,Lookups!$C$2:$D$11,2))),0)&lt;11,ROUND(10.499-(((N928-VLOOKUP($C928,Lookups!$A$55:$D$64,3))/(VLOOKUP($C928,Lookups!$A$55:$D$64,4))*VLOOKUP($C928,Lookups!$C$2:$D$11,2))),0),10))</f>
        <v>#N/A</v>
      </c>
      <c r="P928" s="13" t="str">
        <f>IF((SUM(F928:M928)=0),"J",VLOOKUP(O928,Lookups!$A$1:$B$11,2))</f>
        <v>J</v>
      </c>
      <c r="Q928" s="8" t="e">
        <f>VLOOKUP(C928,Lookups!$A$136:$C$144,3)</f>
        <v>#N/A</v>
      </c>
      <c r="R928" s="8" t="e">
        <f>VLOOKUP(C928,Lookups!$A$136:$C$144,2)</f>
        <v>#N/A</v>
      </c>
      <c r="S928" s="4" t="str">
        <f t="shared" si="77"/>
        <v>No</v>
      </c>
      <c r="T928" s="125">
        <f t="shared" si="78"/>
        <v>0</v>
      </c>
      <c r="U928" s="125">
        <f t="shared" si="79"/>
        <v>0</v>
      </c>
      <c r="V928" s="4" t="e">
        <f>IF($Q928&lt;&gt;3,VLOOKUP(F928,'Points Table A'!B$3:$F$33,5),VLOOKUP(F928,'Points Table A'!H$3:$L$33,5))</f>
        <v>#N/A</v>
      </c>
      <c r="W928" s="4" t="e">
        <f>IF($Q928&lt;&gt;3,VLOOKUP(G928,'Points Table A'!C$3:$F$33,4),VLOOKUP(G928,'Points Table A'!I$3:$L$33,4))</f>
        <v>#N/A</v>
      </c>
      <c r="X928" s="4" t="e">
        <f>IF($Q928&lt;&gt;3,VLOOKUP(H928,'Points Table A'!D$3:$F$28,3),VLOOKUP(H928,'Points Table A'!J$3:$L$33,3))</f>
        <v>#N/A</v>
      </c>
      <c r="Y928" s="4" t="e">
        <f>IF($Q928&lt;&gt;3,VLOOKUP(I928,'Points Table A'!E$3:$F$33,2),VLOOKUP(I928,'Points Table A'!K$3:$L$33,2))</f>
        <v>#N/A</v>
      </c>
      <c r="Z928" s="4" t="e">
        <f t="shared" si="80"/>
        <v>#N/A</v>
      </c>
      <c r="AA928" s="4">
        <f>IF($S928=Lookups!$B$113,VLOOKUP(L928,'Points Table C'!A$3:$E$11,5),VLOOKUP(U928,'Points Table C'!B$3:$E$11,4))</f>
        <v>0</v>
      </c>
      <c r="AB928" s="4" t="e">
        <f>IF($Q928=1,0,VLOOKUP($J928,'Points Table C'!$C$3:$E$18,3))</f>
        <v>#N/A</v>
      </c>
      <c r="AC928" s="4">
        <f>VLOOKUP($K928,'Points Table C'!$D$3:$E$18,2)</f>
        <v>0</v>
      </c>
      <c r="AD928" s="4" t="e">
        <f>IF($Z928&lt;Lookups!$C$106,($AA928+AB928+AC928),IF($AA928&gt;=Lookups!$C$120,($AA928+AB928+AC928),$AA928+$AB928))</f>
        <v>#N/A</v>
      </c>
      <c r="AF928" s="7"/>
      <c r="AG928" s="7"/>
      <c r="AH928" s="7"/>
      <c r="AI928" s="7"/>
      <c r="AJ928" s="7"/>
      <c r="AK928" s="7"/>
      <c r="AL928" s="7"/>
      <c r="AM928" s="7"/>
      <c r="AN928" s="7"/>
      <c r="AO928" s="7"/>
      <c r="AP928" s="7"/>
      <c r="AQ928" s="7"/>
      <c r="AR928" s="7"/>
      <c r="AS928" s="7"/>
      <c r="AT928" s="7"/>
      <c r="AU928" s="7"/>
      <c r="AV928" s="7"/>
      <c r="AW928" s="7"/>
      <c r="AY928" s="7"/>
      <c r="AZ928" s="7"/>
      <c r="BA928" s="7"/>
      <c r="BB928" s="7"/>
    </row>
    <row r="929" spans="2:54" x14ac:dyDescent="0.2">
      <c r="B929" s="174"/>
      <c r="C929" s="176"/>
      <c r="F929" s="5">
        <v>0</v>
      </c>
      <c r="G929" s="192">
        <v>0</v>
      </c>
      <c r="H929" s="192">
        <v>0</v>
      </c>
      <c r="I929" s="5">
        <v>0</v>
      </c>
      <c r="J929" s="192">
        <v>0</v>
      </c>
      <c r="K929" s="192">
        <v>0</v>
      </c>
      <c r="L929" s="5">
        <v>0</v>
      </c>
      <c r="M929" s="5">
        <v>0</v>
      </c>
      <c r="N929" s="4" t="e">
        <f t="shared" si="76"/>
        <v>#N/A</v>
      </c>
      <c r="O929" s="4" t="e">
        <f>IF(ROUND(10.499-(((N929-VLOOKUP($C929,Lookups!$A$55:$D$64,3))/(VLOOKUP($C929,Lookups!$A$55:$D$64,4))*VLOOKUP($C929,Lookups!$C$2:$D$11,2))),0)&lt;1,1,IF(ROUND(10.499-(((N929-VLOOKUP($C929,Lookups!$A$55:$D$64,3))/(VLOOKUP($C929,Lookups!$A$55:$D$64,4))*VLOOKUP($C929,Lookups!$C$2:$D$11,2))),0)&lt;11,ROUND(10.499-(((N929-VLOOKUP($C929,Lookups!$A$55:$D$64,3))/(VLOOKUP($C929,Lookups!$A$55:$D$64,4))*VLOOKUP($C929,Lookups!$C$2:$D$11,2))),0),10))</f>
        <v>#N/A</v>
      </c>
      <c r="P929" s="13" t="str">
        <f>IF((SUM(F929:M929)=0),"J",VLOOKUP(O929,Lookups!$A$1:$B$11,2))</f>
        <v>J</v>
      </c>
      <c r="Q929" s="8" t="e">
        <f>VLOOKUP(C929,Lookups!$A$136:$C$144,3)</f>
        <v>#N/A</v>
      </c>
      <c r="R929" s="8" t="e">
        <f>VLOOKUP(C929,Lookups!$A$136:$C$144,2)</f>
        <v>#N/A</v>
      </c>
      <c r="S929" s="4" t="str">
        <f t="shared" si="77"/>
        <v>No</v>
      </c>
      <c r="T929" s="125">
        <f t="shared" si="78"/>
        <v>0</v>
      </c>
      <c r="U929" s="125">
        <f t="shared" si="79"/>
        <v>0</v>
      </c>
      <c r="V929" s="4" t="e">
        <f>IF($Q929&lt;&gt;3,VLOOKUP(F929,'Points Table A'!B$3:$F$33,5),VLOOKUP(F929,'Points Table A'!H$3:$L$33,5))</f>
        <v>#N/A</v>
      </c>
      <c r="W929" s="4" t="e">
        <f>IF($Q929&lt;&gt;3,VLOOKUP(G929,'Points Table A'!C$3:$F$33,4),VLOOKUP(G929,'Points Table A'!I$3:$L$33,4))</f>
        <v>#N/A</v>
      </c>
      <c r="X929" s="4" t="e">
        <f>IF($Q929&lt;&gt;3,VLOOKUP(H929,'Points Table A'!D$3:$F$28,3),VLOOKUP(H929,'Points Table A'!J$3:$L$33,3))</f>
        <v>#N/A</v>
      </c>
      <c r="Y929" s="4" t="e">
        <f>IF($Q929&lt;&gt;3,VLOOKUP(I929,'Points Table A'!E$3:$F$33,2),VLOOKUP(I929,'Points Table A'!K$3:$L$33,2))</f>
        <v>#N/A</v>
      </c>
      <c r="Z929" s="4" t="e">
        <f t="shared" si="80"/>
        <v>#N/A</v>
      </c>
      <c r="AA929" s="4">
        <f>IF($S929=Lookups!$B$113,VLOOKUP(L929,'Points Table C'!A$3:$E$11,5),VLOOKUP(U929,'Points Table C'!B$3:$E$11,4))</f>
        <v>0</v>
      </c>
      <c r="AB929" s="4" t="e">
        <f>IF($Q929=1,0,VLOOKUP($J929,'Points Table C'!$C$3:$E$18,3))</f>
        <v>#N/A</v>
      </c>
      <c r="AC929" s="4">
        <f>VLOOKUP($K929,'Points Table C'!$D$3:$E$18,2)</f>
        <v>0</v>
      </c>
      <c r="AD929" s="4" t="e">
        <f>IF($Z929&lt;Lookups!$C$106,($AA929+AB929+AC929),IF($AA929&gt;=Lookups!$C$120,($AA929+AB929+AC929),$AA929+$AB929))</f>
        <v>#N/A</v>
      </c>
      <c r="AF929" s="7"/>
      <c r="AG929" s="7"/>
      <c r="AH929" s="7"/>
      <c r="AI929" s="7"/>
      <c r="AJ929" s="7"/>
      <c r="AK929" s="7"/>
      <c r="AL929" s="7"/>
      <c r="AM929" s="7"/>
      <c r="AN929" s="7"/>
      <c r="AO929" s="7"/>
      <c r="AP929" s="7"/>
      <c r="AQ929" s="7"/>
      <c r="AR929" s="7"/>
      <c r="AS929" s="7"/>
      <c r="AT929" s="7"/>
      <c r="AU929" s="7"/>
      <c r="AV929" s="7"/>
      <c r="AW929" s="7"/>
      <c r="AY929" s="7"/>
      <c r="AZ929" s="7"/>
      <c r="BA929" s="7"/>
      <c r="BB929" s="7"/>
    </row>
    <row r="930" spans="2:54" x14ac:dyDescent="0.2">
      <c r="B930" s="174"/>
      <c r="C930" s="176"/>
      <c r="F930" s="5">
        <v>0</v>
      </c>
      <c r="G930" s="192">
        <v>0</v>
      </c>
      <c r="H930" s="192">
        <v>0</v>
      </c>
      <c r="I930" s="5">
        <v>0</v>
      </c>
      <c r="J930" s="192">
        <v>0</v>
      </c>
      <c r="K930" s="192">
        <v>0</v>
      </c>
      <c r="L930" s="5">
        <v>0</v>
      </c>
      <c r="M930" s="5">
        <v>0</v>
      </c>
      <c r="N930" s="4" t="e">
        <f t="shared" si="76"/>
        <v>#N/A</v>
      </c>
      <c r="O930" s="4" t="e">
        <f>IF(ROUND(10.499-(((N930-VLOOKUP($C930,Lookups!$A$55:$D$64,3))/(VLOOKUP($C930,Lookups!$A$55:$D$64,4))*VLOOKUP($C930,Lookups!$C$2:$D$11,2))),0)&lt;1,1,IF(ROUND(10.499-(((N930-VLOOKUP($C930,Lookups!$A$55:$D$64,3))/(VLOOKUP($C930,Lookups!$A$55:$D$64,4))*VLOOKUP($C930,Lookups!$C$2:$D$11,2))),0)&lt;11,ROUND(10.499-(((N930-VLOOKUP($C930,Lookups!$A$55:$D$64,3))/(VLOOKUP($C930,Lookups!$A$55:$D$64,4))*VLOOKUP($C930,Lookups!$C$2:$D$11,2))),0),10))</f>
        <v>#N/A</v>
      </c>
      <c r="P930" s="13" t="str">
        <f>IF((SUM(F930:M930)=0),"J",VLOOKUP(O930,Lookups!$A$1:$B$11,2))</f>
        <v>J</v>
      </c>
      <c r="Q930" s="8" t="e">
        <f>VLOOKUP(C930,Lookups!$A$136:$C$144,3)</f>
        <v>#N/A</v>
      </c>
      <c r="R930" s="8" t="e">
        <f>VLOOKUP(C930,Lookups!$A$136:$C$144,2)</f>
        <v>#N/A</v>
      </c>
      <c r="S930" s="4" t="str">
        <f t="shared" si="77"/>
        <v>No</v>
      </c>
      <c r="T930" s="125">
        <f t="shared" si="78"/>
        <v>0</v>
      </c>
      <c r="U930" s="125">
        <f t="shared" si="79"/>
        <v>0</v>
      </c>
      <c r="V930" s="4" t="e">
        <f>IF($Q930&lt;&gt;3,VLOOKUP(F930,'Points Table A'!B$3:$F$33,5),VLOOKUP(F930,'Points Table A'!H$3:$L$33,5))</f>
        <v>#N/A</v>
      </c>
      <c r="W930" s="4" t="e">
        <f>IF($Q930&lt;&gt;3,VLOOKUP(G930,'Points Table A'!C$3:$F$33,4),VLOOKUP(G930,'Points Table A'!I$3:$L$33,4))</f>
        <v>#N/A</v>
      </c>
      <c r="X930" s="4" t="e">
        <f>IF($Q930&lt;&gt;3,VLOOKUP(H930,'Points Table A'!D$3:$F$28,3),VLOOKUP(H930,'Points Table A'!J$3:$L$33,3))</f>
        <v>#N/A</v>
      </c>
      <c r="Y930" s="4" t="e">
        <f>IF($Q930&lt;&gt;3,VLOOKUP(I930,'Points Table A'!E$3:$F$33,2),VLOOKUP(I930,'Points Table A'!K$3:$L$33,2))</f>
        <v>#N/A</v>
      </c>
      <c r="Z930" s="4" t="e">
        <f t="shared" si="80"/>
        <v>#N/A</v>
      </c>
      <c r="AA930" s="4">
        <f>IF($S930=Lookups!$B$113,VLOOKUP(L930,'Points Table C'!A$3:$E$11,5),VLOOKUP(U930,'Points Table C'!B$3:$E$11,4))</f>
        <v>0</v>
      </c>
      <c r="AB930" s="4" t="e">
        <f>IF($Q930=1,0,VLOOKUP($J930,'Points Table C'!$C$3:$E$18,3))</f>
        <v>#N/A</v>
      </c>
      <c r="AC930" s="4">
        <f>VLOOKUP($K930,'Points Table C'!$D$3:$E$18,2)</f>
        <v>0</v>
      </c>
      <c r="AD930" s="4" t="e">
        <f>IF($Z930&lt;Lookups!$C$106,($AA930+AB930+AC930),IF($AA930&gt;=Lookups!$C$120,($AA930+AB930+AC930),$AA930+$AB930))</f>
        <v>#N/A</v>
      </c>
      <c r="AF930" s="7"/>
      <c r="AG930" s="7"/>
      <c r="AH930" s="7"/>
      <c r="AI930" s="7"/>
      <c r="AJ930" s="7"/>
      <c r="AK930" s="7"/>
      <c r="AL930" s="7"/>
      <c r="AM930" s="7"/>
      <c r="AN930" s="7"/>
      <c r="AO930" s="7"/>
      <c r="AP930" s="7"/>
      <c r="AQ930" s="7"/>
      <c r="AR930" s="7"/>
      <c r="AS930" s="7"/>
      <c r="AT930" s="7"/>
      <c r="AU930" s="7"/>
      <c r="AV930" s="7"/>
      <c r="AW930" s="7"/>
      <c r="AY930" s="7"/>
      <c r="AZ930" s="7"/>
      <c r="BA930" s="7"/>
      <c r="BB930" s="7"/>
    </row>
    <row r="931" spans="2:54" x14ac:dyDescent="0.2">
      <c r="B931" s="174"/>
      <c r="C931" s="176"/>
      <c r="F931" s="5">
        <v>0</v>
      </c>
      <c r="G931" s="192">
        <v>0</v>
      </c>
      <c r="H931" s="192">
        <v>0</v>
      </c>
      <c r="I931" s="5">
        <v>0</v>
      </c>
      <c r="J931" s="192">
        <v>0</v>
      </c>
      <c r="K931" s="192">
        <v>0</v>
      </c>
      <c r="L931" s="5">
        <v>0</v>
      </c>
      <c r="M931" s="5">
        <v>0</v>
      </c>
      <c r="N931" s="4" t="e">
        <f t="shared" si="76"/>
        <v>#N/A</v>
      </c>
      <c r="O931" s="4" t="e">
        <f>IF(ROUND(10.499-(((N931-VLOOKUP($C931,Lookups!$A$55:$D$64,3))/(VLOOKUP($C931,Lookups!$A$55:$D$64,4))*VLOOKUP($C931,Lookups!$C$2:$D$11,2))),0)&lt;1,1,IF(ROUND(10.499-(((N931-VLOOKUP($C931,Lookups!$A$55:$D$64,3))/(VLOOKUP($C931,Lookups!$A$55:$D$64,4))*VLOOKUP($C931,Lookups!$C$2:$D$11,2))),0)&lt;11,ROUND(10.499-(((N931-VLOOKUP($C931,Lookups!$A$55:$D$64,3))/(VLOOKUP($C931,Lookups!$A$55:$D$64,4))*VLOOKUP($C931,Lookups!$C$2:$D$11,2))),0),10))</f>
        <v>#N/A</v>
      </c>
      <c r="P931" s="13" t="str">
        <f>IF((SUM(F931:M931)=0),"J",VLOOKUP(O931,Lookups!$A$1:$B$11,2))</f>
        <v>J</v>
      </c>
      <c r="Q931" s="8" t="e">
        <f>VLOOKUP(C931,Lookups!$A$136:$C$144,3)</f>
        <v>#N/A</v>
      </c>
      <c r="R931" s="8" t="e">
        <f>VLOOKUP(C931,Lookups!$A$136:$C$144,2)</f>
        <v>#N/A</v>
      </c>
      <c r="S931" s="4" t="str">
        <f t="shared" si="77"/>
        <v>No</v>
      </c>
      <c r="T931" s="125">
        <f t="shared" si="78"/>
        <v>0</v>
      </c>
      <c r="U931" s="125">
        <f t="shared" si="79"/>
        <v>0</v>
      </c>
      <c r="V931" s="4" t="e">
        <f>IF($Q931&lt;&gt;3,VLOOKUP(F931,'Points Table A'!B$3:$F$33,5),VLOOKUP(F931,'Points Table A'!H$3:$L$33,5))</f>
        <v>#N/A</v>
      </c>
      <c r="W931" s="4" t="e">
        <f>IF($Q931&lt;&gt;3,VLOOKUP(G931,'Points Table A'!C$3:$F$33,4),VLOOKUP(G931,'Points Table A'!I$3:$L$33,4))</f>
        <v>#N/A</v>
      </c>
      <c r="X931" s="4" t="e">
        <f>IF($Q931&lt;&gt;3,VLOOKUP(H931,'Points Table A'!D$3:$F$28,3),VLOOKUP(H931,'Points Table A'!J$3:$L$33,3))</f>
        <v>#N/A</v>
      </c>
      <c r="Y931" s="4" t="e">
        <f>IF($Q931&lt;&gt;3,VLOOKUP(I931,'Points Table A'!E$3:$F$33,2),VLOOKUP(I931,'Points Table A'!K$3:$L$33,2))</f>
        <v>#N/A</v>
      </c>
      <c r="Z931" s="4" t="e">
        <f t="shared" si="80"/>
        <v>#N/A</v>
      </c>
      <c r="AA931" s="4">
        <f>IF($S931=Lookups!$B$113,VLOOKUP(L931,'Points Table C'!A$3:$E$11,5),VLOOKUP(U931,'Points Table C'!B$3:$E$11,4))</f>
        <v>0</v>
      </c>
      <c r="AB931" s="4" t="e">
        <f>IF($Q931=1,0,VLOOKUP($J931,'Points Table C'!$C$3:$E$18,3))</f>
        <v>#N/A</v>
      </c>
      <c r="AC931" s="4">
        <f>VLOOKUP($K931,'Points Table C'!$D$3:$E$18,2)</f>
        <v>0</v>
      </c>
      <c r="AD931" s="4" t="e">
        <f>IF($Z931&lt;Lookups!$C$106,($AA931+AB931+AC931),IF($AA931&gt;=Lookups!$C$120,($AA931+AB931+AC931),$AA931+$AB931))</f>
        <v>#N/A</v>
      </c>
      <c r="AF931" s="7"/>
      <c r="AG931" s="7"/>
      <c r="AH931" s="7"/>
      <c r="AI931" s="7"/>
      <c r="AJ931" s="7"/>
      <c r="AK931" s="7"/>
      <c r="AL931" s="7"/>
      <c r="AM931" s="7"/>
      <c r="AN931" s="7"/>
      <c r="AO931" s="7"/>
      <c r="AP931" s="7"/>
      <c r="AQ931" s="7"/>
      <c r="AR931" s="7"/>
      <c r="AS931" s="7"/>
      <c r="AT931" s="7"/>
      <c r="AU931" s="7"/>
      <c r="AV931" s="7"/>
      <c r="AW931" s="7"/>
      <c r="AY931" s="7"/>
      <c r="AZ931" s="7"/>
      <c r="BA931" s="7"/>
      <c r="BB931" s="7"/>
    </row>
    <row r="932" spans="2:54" x14ac:dyDescent="0.2">
      <c r="B932" s="174"/>
      <c r="C932" s="176"/>
      <c r="F932" s="5">
        <v>0</v>
      </c>
      <c r="G932" s="192">
        <v>0</v>
      </c>
      <c r="H932" s="192">
        <v>0</v>
      </c>
      <c r="I932" s="5">
        <v>0</v>
      </c>
      <c r="J932" s="192">
        <v>0</v>
      </c>
      <c r="K932" s="192">
        <v>0</v>
      </c>
      <c r="L932" s="5">
        <v>0</v>
      </c>
      <c r="M932" s="5">
        <v>0</v>
      </c>
      <c r="N932" s="4" t="e">
        <f t="shared" si="76"/>
        <v>#N/A</v>
      </c>
      <c r="O932" s="4" t="e">
        <f>IF(ROUND(10.499-(((N932-VLOOKUP($C932,Lookups!$A$55:$D$64,3))/(VLOOKUP($C932,Lookups!$A$55:$D$64,4))*VLOOKUP($C932,Lookups!$C$2:$D$11,2))),0)&lt;1,1,IF(ROUND(10.499-(((N932-VLOOKUP($C932,Lookups!$A$55:$D$64,3))/(VLOOKUP($C932,Lookups!$A$55:$D$64,4))*VLOOKUP($C932,Lookups!$C$2:$D$11,2))),0)&lt;11,ROUND(10.499-(((N932-VLOOKUP($C932,Lookups!$A$55:$D$64,3))/(VLOOKUP($C932,Lookups!$A$55:$D$64,4))*VLOOKUP($C932,Lookups!$C$2:$D$11,2))),0),10))</f>
        <v>#N/A</v>
      </c>
      <c r="P932" s="13" t="str">
        <f>IF((SUM(F932:M932)=0),"J",VLOOKUP(O932,Lookups!$A$1:$B$11,2))</f>
        <v>J</v>
      </c>
      <c r="Q932" s="8" t="e">
        <f>VLOOKUP(C932,Lookups!$A$136:$C$144,3)</f>
        <v>#N/A</v>
      </c>
      <c r="R932" s="8" t="e">
        <f>VLOOKUP(C932,Lookups!$A$136:$C$144,2)</f>
        <v>#N/A</v>
      </c>
      <c r="S932" s="4" t="str">
        <f t="shared" si="77"/>
        <v>No</v>
      </c>
      <c r="T932" s="125">
        <f t="shared" si="78"/>
        <v>0</v>
      </c>
      <c r="U932" s="125">
        <f t="shared" si="79"/>
        <v>0</v>
      </c>
      <c r="V932" s="4" t="e">
        <f>IF($Q932&lt;&gt;3,VLOOKUP(F932,'Points Table A'!B$3:$F$33,5),VLOOKUP(F932,'Points Table A'!H$3:$L$33,5))</f>
        <v>#N/A</v>
      </c>
      <c r="W932" s="4" t="e">
        <f>IF($Q932&lt;&gt;3,VLOOKUP(G932,'Points Table A'!C$3:$F$33,4),VLOOKUP(G932,'Points Table A'!I$3:$L$33,4))</f>
        <v>#N/A</v>
      </c>
      <c r="X932" s="4" t="e">
        <f>IF($Q932&lt;&gt;3,VLOOKUP(H932,'Points Table A'!D$3:$F$28,3),VLOOKUP(H932,'Points Table A'!J$3:$L$33,3))</f>
        <v>#N/A</v>
      </c>
      <c r="Y932" s="4" t="e">
        <f>IF($Q932&lt;&gt;3,VLOOKUP(I932,'Points Table A'!E$3:$F$33,2),VLOOKUP(I932,'Points Table A'!K$3:$L$33,2))</f>
        <v>#N/A</v>
      </c>
      <c r="Z932" s="4" t="e">
        <f t="shared" si="80"/>
        <v>#N/A</v>
      </c>
      <c r="AA932" s="4">
        <f>IF($S932=Lookups!$B$113,VLOOKUP(L932,'Points Table C'!A$3:$E$11,5),VLOOKUP(U932,'Points Table C'!B$3:$E$11,4))</f>
        <v>0</v>
      </c>
      <c r="AB932" s="4" t="e">
        <f>IF($Q932=1,0,VLOOKUP($J932,'Points Table C'!$C$3:$E$18,3))</f>
        <v>#N/A</v>
      </c>
      <c r="AC932" s="4">
        <f>VLOOKUP($K932,'Points Table C'!$D$3:$E$18,2)</f>
        <v>0</v>
      </c>
      <c r="AD932" s="4" t="e">
        <f>IF($Z932&lt;Lookups!$C$106,($AA932+AB932+AC932),IF($AA932&gt;=Lookups!$C$120,($AA932+AB932+AC932),$AA932+$AB932))</f>
        <v>#N/A</v>
      </c>
      <c r="AF932" s="7"/>
      <c r="AG932" s="7"/>
      <c r="AH932" s="7"/>
      <c r="AI932" s="7"/>
      <c r="AJ932" s="7"/>
      <c r="AK932" s="7"/>
      <c r="AL932" s="7"/>
      <c r="AM932" s="7"/>
      <c r="AN932" s="7"/>
      <c r="AO932" s="7"/>
      <c r="AP932" s="7"/>
      <c r="AQ932" s="7"/>
      <c r="AR932" s="7"/>
      <c r="AS932" s="7"/>
      <c r="AT932" s="7"/>
      <c r="AU932" s="7"/>
      <c r="AV932" s="7"/>
      <c r="AW932" s="7"/>
      <c r="AY932" s="7"/>
      <c r="AZ932" s="7"/>
      <c r="BA932" s="7"/>
      <c r="BB932" s="7"/>
    </row>
    <row r="933" spans="2:54" x14ac:dyDescent="0.2">
      <c r="B933" s="174"/>
      <c r="C933" s="176"/>
      <c r="F933" s="5">
        <v>0</v>
      </c>
      <c r="G933" s="192">
        <v>0</v>
      </c>
      <c r="H933" s="192">
        <v>0</v>
      </c>
      <c r="I933" s="5">
        <v>0</v>
      </c>
      <c r="J933" s="192">
        <v>0</v>
      </c>
      <c r="K933" s="192">
        <v>0</v>
      </c>
      <c r="L933" s="5">
        <v>0</v>
      </c>
      <c r="M933" s="5">
        <v>0</v>
      </c>
      <c r="N933" s="4" t="e">
        <f t="shared" si="76"/>
        <v>#N/A</v>
      </c>
      <c r="O933" s="4" t="e">
        <f>IF(ROUND(10.499-(((N933-VLOOKUP($C933,Lookups!$A$55:$D$64,3))/(VLOOKUP($C933,Lookups!$A$55:$D$64,4))*VLOOKUP($C933,Lookups!$C$2:$D$11,2))),0)&lt;1,1,IF(ROUND(10.499-(((N933-VLOOKUP($C933,Lookups!$A$55:$D$64,3))/(VLOOKUP($C933,Lookups!$A$55:$D$64,4))*VLOOKUP($C933,Lookups!$C$2:$D$11,2))),0)&lt;11,ROUND(10.499-(((N933-VLOOKUP($C933,Lookups!$A$55:$D$64,3))/(VLOOKUP($C933,Lookups!$A$55:$D$64,4))*VLOOKUP($C933,Lookups!$C$2:$D$11,2))),0),10))</f>
        <v>#N/A</v>
      </c>
      <c r="P933" s="13" t="str">
        <f>IF((SUM(F933:M933)=0),"J",VLOOKUP(O933,Lookups!$A$1:$B$11,2))</f>
        <v>J</v>
      </c>
      <c r="Q933" s="8" t="e">
        <f>VLOOKUP(C933,Lookups!$A$136:$C$144,3)</f>
        <v>#N/A</v>
      </c>
      <c r="R933" s="8" t="e">
        <f>VLOOKUP(C933,Lookups!$A$136:$C$144,2)</f>
        <v>#N/A</v>
      </c>
      <c r="S933" s="4" t="str">
        <f t="shared" si="77"/>
        <v>No</v>
      </c>
      <c r="T933" s="125">
        <f t="shared" si="78"/>
        <v>0</v>
      </c>
      <c r="U933" s="125">
        <f t="shared" si="79"/>
        <v>0</v>
      </c>
      <c r="V933" s="4" t="e">
        <f>IF($Q933&lt;&gt;3,VLOOKUP(F933,'Points Table A'!B$3:$F$33,5),VLOOKUP(F933,'Points Table A'!H$3:$L$33,5))</f>
        <v>#N/A</v>
      </c>
      <c r="W933" s="4" t="e">
        <f>IF($Q933&lt;&gt;3,VLOOKUP(G933,'Points Table A'!C$3:$F$33,4),VLOOKUP(G933,'Points Table A'!I$3:$L$33,4))</f>
        <v>#N/A</v>
      </c>
      <c r="X933" s="4" t="e">
        <f>IF($Q933&lt;&gt;3,VLOOKUP(H933,'Points Table A'!D$3:$F$28,3),VLOOKUP(H933,'Points Table A'!J$3:$L$33,3))</f>
        <v>#N/A</v>
      </c>
      <c r="Y933" s="4" t="e">
        <f>IF($Q933&lt;&gt;3,VLOOKUP(I933,'Points Table A'!E$3:$F$33,2),VLOOKUP(I933,'Points Table A'!K$3:$L$33,2))</f>
        <v>#N/A</v>
      </c>
      <c r="Z933" s="4" t="e">
        <f t="shared" si="80"/>
        <v>#N/A</v>
      </c>
      <c r="AA933" s="4">
        <f>IF($S933=Lookups!$B$113,VLOOKUP(L933,'Points Table C'!A$3:$E$11,5),VLOOKUP(U933,'Points Table C'!B$3:$E$11,4))</f>
        <v>0</v>
      </c>
      <c r="AB933" s="4" t="e">
        <f>IF($Q933=1,0,VLOOKUP($J933,'Points Table C'!$C$3:$E$18,3))</f>
        <v>#N/A</v>
      </c>
      <c r="AC933" s="4">
        <f>VLOOKUP($K933,'Points Table C'!$D$3:$E$18,2)</f>
        <v>0</v>
      </c>
      <c r="AD933" s="4" t="e">
        <f>IF($Z933&lt;Lookups!$C$106,($AA933+AB933+AC933),IF($AA933&gt;=Lookups!$C$120,($AA933+AB933+AC933),$AA933+$AB933))</f>
        <v>#N/A</v>
      </c>
      <c r="AF933" s="7"/>
      <c r="AG933" s="7"/>
      <c r="AH933" s="7"/>
      <c r="AI933" s="7"/>
      <c r="AJ933" s="7"/>
      <c r="AK933" s="7"/>
      <c r="AL933" s="7"/>
      <c r="AM933" s="7"/>
      <c r="AN933" s="7"/>
      <c r="AO933" s="7"/>
      <c r="AP933" s="7"/>
      <c r="AQ933" s="7"/>
      <c r="AR933" s="7"/>
      <c r="AS933" s="7"/>
      <c r="AT933" s="7"/>
      <c r="AU933" s="7"/>
      <c r="AV933" s="7"/>
      <c r="AW933" s="7"/>
      <c r="AY933" s="7"/>
      <c r="AZ933" s="7"/>
      <c r="BA933" s="7"/>
      <c r="BB933" s="7"/>
    </row>
    <row r="934" spans="2:54" x14ac:dyDescent="0.2">
      <c r="B934" s="174"/>
      <c r="C934" s="176"/>
      <c r="F934" s="5">
        <v>0</v>
      </c>
      <c r="G934" s="192">
        <v>0</v>
      </c>
      <c r="H934" s="192">
        <v>0</v>
      </c>
      <c r="I934" s="5">
        <v>0</v>
      </c>
      <c r="J934" s="192">
        <v>0</v>
      </c>
      <c r="K934" s="192">
        <v>0</v>
      </c>
      <c r="L934" s="5">
        <v>0</v>
      </c>
      <c r="M934" s="5">
        <v>0</v>
      </c>
      <c r="N934" s="4" t="e">
        <f t="shared" si="76"/>
        <v>#N/A</v>
      </c>
      <c r="O934" s="4" t="e">
        <f>IF(ROUND(10.499-(((N934-VLOOKUP($C934,Lookups!$A$55:$D$64,3))/(VLOOKUP($C934,Lookups!$A$55:$D$64,4))*VLOOKUP($C934,Lookups!$C$2:$D$11,2))),0)&lt;1,1,IF(ROUND(10.499-(((N934-VLOOKUP($C934,Lookups!$A$55:$D$64,3))/(VLOOKUP($C934,Lookups!$A$55:$D$64,4))*VLOOKUP($C934,Lookups!$C$2:$D$11,2))),0)&lt;11,ROUND(10.499-(((N934-VLOOKUP($C934,Lookups!$A$55:$D$64,3))/(VLOOKUP($C934,Lookups!$A$55:$D$64,4))*VLOOKUP($C934,Lookups!$C$2:$D$11,2))),0),10))</f>
        <v>#N/A</v>
      </c>
      <c r="P934" s="13" t="str">
        <f>IF((SUM(F934:M934)=0),"J",VLOOKUP(O934,Lookups!$A$1:$B$11,2))</f>
        <v>J</v>
      </c>
      <c r="Q934" s="8" t="e">
        <f>VLOOKUP(C934,Lookups!$A$136:$C$144,3)</f>
        <v>#N/A</v>
      </c>
      <c r="R934" s="8" t="e">
        <f>VLOOKUP(C934,Lookups!$A$136:$C$144,2)</f>
        <v>#N/A</v>
      </c>
      <c r="S934" s="4" t="str">
        <f t="shared" si="77"/>
        <v>No</v>
      </c>
      <c r="T934" s="125">
        <f t="shared" si="78"/>
        <v>0</v>
      </c>
      <c r="U934" s="125">
        <f t="shared" si="79"/>
        <v>0</v>
      </c>
      <c r="V934" s="4" t="e">
        <f>IF($Q934&lt;&gt;3,VLOOKUP(F934,'Points Table A'!B$3:$F$33,5),VLOOKUP(F934,'Points Table A'!H$3:$L$33,5))</f>
        <v>#N/A</v>
      </c>
      <c r="W934" s="4" t="e">
        <f>IF($Q934&lt;&gt;3,VLOOKUP(G934,'Points Table A'!C$3:$F$33,4),VLOOKUP(G934,'Points Table A'!I$3:$L$33,4))</f>
        <v>#N/A</v>
      </c>
      <c r="X934" s="4" t="e">
        <f>IF($Q934&lt;&gt;3,VLOOKUP(H934,'Points Table A'!D$3:$F$28,3),VLOOKUP(H934,'Points Table A'!J$3:$L$33,3))</f>
        <v>#N/A</v>
      </c>
      <c r="Y934" s="4" t="e">
        <f>IF($Q934&lt;&gt;3,VLOOKUP(I934,'Points Table A'!E$3:$F$33,2),VLOOKUP(I934,'Points Table A'!K$3:$L$33,2))</f>
        <v>#N/A</v>
      </c>
      <c r="Z934" s="4" t="e">
        <f t="shared" si="80"/>
        <v>#N/A</v>
      </c>
      <c r="AA934" s="4">
        <f>IF($S934=Lookups!$B$113,VLOOKUP(L934,'Points Table C'!A$3:$E$11,5),VLOOKUP(U934,'Points Table C'!B$3:$E$11,4))</f>
        <v>0</v>
      </c>
      <c r="AB934" s="4" t="e">
        <f>IF($Q934=1,0,VLOOKUP($J934,'Points Table C'!$C$3:$E$18,3))</f>
        <v>#N/A</v>
      </c>
      <c r="AC934" s="4">
        <f>VLOOKUP($K934,'Points Table C'!$D$3:$E$18,2)</f>
        <v>0</v>
      </c>
      <c r="AD934" s="4" t="e">
        <f>IF($Z934&lt;Lookups!$C$106,($AA934+AB934+AC934),IF($AA934&gt;=Lookups!$C$120,($AA934+AB934+AC934),$AA934+$AB934))</f>
        <v>#N/A</v>
      </c>
      <c r="AF934" s="7"/>
      <c r="AG934" s="7"/>
      <c r="AH934" s="7"/>
      <c r="AI934" s="7"/>
      <c r="AJ934" s="7"/>
      <c r="AK934" s="7"/>
      <c r="AL934" s="7"/>
      <c r="AM934" s="7"/>
      <c r="AN934" s="7"/>
      <c r="AO934" s="7"/>
      <c r="AP934" s="7"/>
      <c r="AQ934" s="7"/>
      <c r="AR934" s="7"/>
      <c r="AS934" s="7"/>
      <c r="AT934" s="7"/>
      <c r="AU934" s="7"/>
      <c r="AV934" s="7"/>
      <c r="AW934" s="7"/>
      <c r="AY934" s="7"/>
      <c r="AZ934" s="7"/>
      <c r="BA934" s="7"/>
      <c r="BB934" s="7"/>
    </row>
    <row r="935" spans="2:54" x14ac:dyDescent="0.2">
      <c r="B935" s="174"/>
      <c r="C935" s="176"/>
      <c r="F935" s="5">
        <v>0</v>
      </c>
      <c r="G935" s="192">
        <v>0</v>
      </c>
      <c r="H935" s="192">
        <v>0</v>
      </c>
      <c r="I935" s="5">
        <v>0</v>
      </c>
      <c r="J935" s="192">
        <v>0</v>
      </c>
      <c r="K935" s="192">
        <v>0</v>
      </c>
      <c r="L935" s="5">
        <v>0</v>
      </c>
      <c r="M935" s="5">
        <v>0</v>
      </c>
      <c r="N935" s="4" t="e">
        <f t="shared" si="76"/>
        <v>#N/A</v>
      </c>
      <c r="O935" s="4" t="e">
        <f>IF(ROUND(10.499-(((N935-VLOOKUP($C935,Lookups!$A$55:$D$64,3))/(VLOOKUP($C935,Lookups!$A$55:$D$64,4))*VLOOKUP($C935,Lookups!$C$2:$D$11,2))),0)&lt;1,1,IF(ROUND(10.499-(((N935-VLOOKUP($C935,Lookups!$A$55:$D$64,3))/(VLOOKUP($C935,Lookups!$A$55:$D$64,4))*VLOOKUP($C935,Lookups!$C$2:$D$11,2))),0)&lt;11,ROUND(10.499-(((N935-VLOOKUP($C935,Lookups!$A$55:$D$64,3))/(VLOOKUP($C935,Lookups!$A$55:$D$64,4))*VLOOKUP($C935,Lookups!$C$2:$D$11,2))),0),10))</f>
        <v>#N/A</v>
      </c>
      <c r="P935" s="13" t="str">
        <f>IF((SUM(F935:M935)=0),"J",VLOOKUP(O935,Lookups!$A$1:$B$11,2))</f>
        <v>J</v>
      </c>
      <c r="Q935" s="8" t="e">
        <f>VLOOKUP(C935,Lookups!$A$136:$C$144,3)</f>
        <v>#N/A</v>
      </c>
      <c r="R935" s="8" t="e">
        <f>VLOOKUP(C935,Lookups!$A$136:$C$144,2)</f>
        <v>#N/A</v>
      </c>
      <c r="S935" s="4" t="str">
        <f t="shared" si="77"/>
        <v>No</v>
      </c>
      <c r="T935" s="125">
        <f t="shared" si="78"/>
        <v>0</v>
      </c>
      <c r="U935" s="125">
        <f t="shared" si="79"/>
        <v>0</v>
      </c>
      <c r="V935" s="4" t="e">
        <f>IF($Q935&lt;&gt;3,VLOOKUP(F935,'Points Table A'!B$3:$F$33,5),VLOOKUP(F935,'Points Table A'!H$3:$L$33,5))</f>
        <v>#N/A</v>
      </c>
      <c r="W935" s="4" t="e">
        <f>IF($Q935&lt;&gt;3,VLOOKUP(G935,'Points Table A'!C$3:$F$33,4),VLOOKUP(G935,'Points Table A'!I$3:$L$33,4))</f>
        <v>#N/A</v>
      </c>
      <c r="X935" s="4" t="e">
        <f>IF($Q935&lt;&gt;3,VLOOKUP(H935,'Points Table A'!D$3:$F$28,3),VLOOKUP(H935,'Points Table A'!J$3:$L$33,3))</f>
        <v>#N/A</v>
      </c>
      <c r="Y935" s="4" t="e">
        <f>IF($Q935&lt;&gt;3,VLOOKUP(I935,'Points Table A'!E$3:$F$33,2),VLOOKUP(I935,'Points Table A'!K$3:$L$33,2))</f>
        <v>#N/A</v>
      </c>
      <c r="Z935" s="4" t="e">
        <f t="shared" si="80"/>
        <v>#N/A</v>
      </c>
      <c r="AA935" s="4">
        <f>IF($S935=Lookups!$B$113,VLOOKUP(L935,'Points Table C'!A$3:$E$11,5),VLOOKUP(U935,'Points Table C'!B$3:$E$11,4))</f>
        <v>0</v>
      </c>
      <c r="AB935" s="4" t="e">
        <f>IF($Q935=1,0,VLOOKUP($J935,'Points Table C'!$C$3:$E$18,3))</f>
        <v>#N/A</v>
      </c>
      <c r="AC935" s="4">
        <f>VLOOKUP($K935,'Points Table C'!$D$3:$E$18,2)</f>
        <v>0</v>
      </c>
      <c r="AD935" s="4" t="e">
        <f>IF($Z935&lt;Lookups!$C$106,($AA935+AB935+AC935),IF($AA935&gt;=Lookups!$C$120,($AA935+AB935+AC935),$AA935+$AB935))</f>
        <v>#N/A</v>
      </c>
      <c r="AF935" s="7"/>
      <c r="AG935" s="7"/>
      <c r="AH935" s="7"/>
      <c r="AI935" s="7"/>
      <c r="AJ935" s="7"/>
      <c r="AK935" s="7"/>
      <c r="AL935" s="7"/>
      <c r="AM935" s="7"/>
      <c r="AN935" s="7"/>
      <c r="AO935" s="7"/>
      <c r="AP935" s="7"/>
      <c r="AQ935" s="7"/>
      <c r="AR935" s="7"/>
      <c r="AS935" s="7"/>
      <c r="AT935" s="7"/>
      <c r="AU935" s="7"/>
      <c r="AV935" s="7"/>
      <c r="AW935" s="7"/>
      <c r="AY935" s="7"/>
      <c r="AZ935" s="7"/>
      <c r="BA935" s="7"/>
      <c r="BB935" s="7"/>
    </row>
    <row r="936" spans="2:54" x14ac:dyDescent="0.2">
      <c r="B936" s="174"/>
      <c r="C936" s="176"/>
      <c r="F936" s="5">
        <v>0</v>
      </c>
      <c r="G936" s="192">
        <v>0</v>
      </c>
      <c r="H936" s="192">
        <v>0</v>
      </c>
      <c r="I936" s="5">
        <v>0</v>
      </c>
      <c r="J936" s="192">
        <v>0</v>
      </c>
      <c r="K936" s="192">
        <v>0</v>
      </c>
      <c r="L936" s="5">
        <v>0</v>
      </c>
      <c r="M936" s="5">
        <v>0</v>
      </c>
      <c r="N936" s="4" t="e">
        <f t="shared" si="76"/>
        <v>#N/A</v>
      </c>
      <c r="O936" s="4" t="e">
        <f>IF(ROUND(10.499-(((N936-VLOOKUP($C936,Lookups!$A$55:$D$64,3))/(VLOOKUP($C936,Lookups!$A$55:$D$64,4))*VLOOKUP($C936,Lookups!$C$2:$D$11,2))),0)&lt;1,1,IF(ROUND(10.499-(((N936-VLOOKUP($C936,Lookups!$A$55:$D$64,3))/(VLOOKUP($C936,Lookups!$A$55:$D$64,4))*VLOOKUP($C936,Lookups!$C$2:$D$11,2))),0)&lt;11,ROUND(10.499-(((N936-VLOOKUP($C936,Lookups!$A$55:$D$64,3))/(VLOOKUP($C936,Lookups!$A$55:$D$64,4))*VLOOKUP($C936,Lookups!$C$2:$D$11,2))),0),10))</f>
        <v>#N/A</v>
      </c>
      <c r="P936" s="13" t="str">
        <f>IF((SUM(F936:M936)=0),"J",VLOOKUP(O936,Lookups!$A$1:$B$11,2))</f>
        <v>J</v>
      </c>
      <c r="Q936" s="8" t="e">
        <f>VLOOKUP(C936,Lookups!$A$136:$C$144,3)</f>
        <v>#N/A</v>
      </c>
      <c r="R936" s="8" t="e">
        <f>VLOOKUP(C936,Lookups!$A$136:$C$144,2)</f>
        <v>#N/A</v>
      </c>
      <c r="S936" s="4" t="str">
        <f t="shared" si="77"/>
        <v>No</v>
      </c>
      <c r="T936" s="125">
        <f t="shared" si="78"/>
        <v>0</v>
      </c>
      <c r="U936" s="125">
        <f t="shared" si="79"/>
        <v>0</v>
      </c>
      <c r="V936" s="4" t="e">
        <f>IF($Q936&lt;&gt;3,VLOOKUP(F936,'Points Table A'!B$3:$F$33,5),VLOOKUP(F936,'Points Table A'!H$3:$L$33,5))</f>
        <v>#N/A</v>
      </c>
      <c r="W936" s="4" t="e">
        <f>IF($Q936&lt;&gt;3,VLOOKUP(G936,'Points Table A'!C$3:$F$33,4),VLOOKUP(G936,'Points Table A'!I$3:$L$33,4))</f>
        <v>#N/A</v>
      </c>
      <c r="X936" s="4" t="e">
        <f>IF($Q936&lt;&gt;3,VLOOKUP(H936,'Points Table A'!D$3:$F$28,3),VLOOKUP(H936,'Points Table A'!J$3:$L$33,3))</f>
        <v>#N/A</v>
      </c>
      <c r="Y936" s="4" t="e">
        <f>IF($Q936&lt;&gt;3,VLOOKUP(I936,'Points Table A'!E$3:$F$33,2),VLOOKUP(I936,'Points Table A'!K$3:$L$33,2))</f>
        <v>#N/A</v>
      </c>
      <c r="Z936" s="4" t="e">
        <f t="shared" si="80"/>
        <v>#N/A</v>
      </c>
      <c r="AA936" s="4">
        <f>IF($S936=Lookups!$B$113,VLOOKUP(L936,'Points Table C'!A$3:$E$11,5),VLOOKUP(U936,'Points Table C'!B$3:$E$11,4))</f>
        <v>0</v>
      </c>
      <c r="AB936" s="4" t="e">
        <f>IF($Q936=1,0,VLOOKUP($J936,'Points Table C'!$C$3:$E$18,3))</f>
        <v>#N/A</v>
      </c>
      <c r="AC936" s="4">
        <f>VLOOKUP($K936,'Points Table C'!$D$3:$E$18,2)</f>
        <v>0</v>
      </c>
      <c r="AD936" s="4" t="e">
        <f>IF($Z936&lt;Lookups!$C$106,($AA936+AB936+AC936),IF($AA936&gt;=Lookups!$C$120,($AA936+AB936+AC936),$AA936+$AB936))</f>
        <v>#N/A</v>
      </c>
      <c r="AF936" s="7"/>
      <c r="AG936" s="7"/>
      <c r="AH936" s="7"/>
      <c r="AI936" s="7"/>
      <c r="AJ936" s="7"/>
      <c r="AK936" s="7"/>
      <c r="AL936" s="7"/>
      <c r="AM936" s="7"/>
      <c r="AN936" s="7"/>
      <c r="AO936" s="7"/>
      <c r="AP936" s="7"/>
      <c r="AQ936" s="7"/>
      <c r="AR936" s="7"/>
      <c r="AS936" s="7"/>
      <c r="AT936" s="7"/>
      <c r="AU936" s="7"/>
      <c r="AV936" s="7"/>
      <c r="AW936" s="7"/>
      <c r="AY936" s="7"/>
      <c r="AZ936" s="7"/>
      <c r="BA936" s="7"/>
      <c r="BB936" s="7"/>
    </row>
    <row r="937" spans="2:54" x14ac:dyDescent="0.2">
      <c r="B937" s="174"/>
      <c r="C937" s="176"/>
      <c r="F937" s="5">
        <v>0</v>
      </c>
      <c r="G937" s="192">
        <v>0</v>
      </c>
      <c r="H937" s="192">
        <v>0</v>
      </c>
      <c r="I937" s="5">
        <v>0</v>
      </c>
      <c r="J937" s="192">
        <v>0</v>
      </c>
      <c r="K937" s="192">
        <v>0</v>
      </c>
      <c r="L937" s="5">
        <v>0</v>
      </c>
      <c r="M937" s="5">
        <v>0</v>
      </c>
      <c r="N937" s="4" t="e">
        <f t="shared" si="76"/>
        <v>#N/A</v>
      </c>
      <c r="O937" s="4" t="e">
        <f>IF(ROUND(10.499-(((N937-VLOOKUP($C937,Lookups!$A$55:$D$64,3))/(VLOOKUP($C937,Lookups!$A$55:$D$64,4))*VLOOKUP($C937,Lookups!$C$2:$D$11,2))),0)&lt;1,1,IF(ROUND(10.499-(((N937-VLOOKUP($C937,Lookups!$A$55:$D$64,3))/(VLOOKUP($C937,Lookups!$A$55:$D$64,4))*VLOOKUP($C937,Lookups!$C$2:$D$11,2))),0)&lt;11,ROUND(10.499-(((N937-VLOOKUP($C937,Lookups!$A$55:$D$64,3))/(VLOOKUP($C937,Lookups!$A$55:$D$64,4))*VLOOKUP($C937,Lookups!$C$2:$D$11,2))),0),10))</f>
        <v>#N/A</v>
      </c>
      <c r="P937" s="13" t="str">
        <f>IF((SUM(F937:M937)=0),"J",VLOOKUP(O937,Lookups!$A$1:$B$11,2))</f>
        <v>J</v>
      </c>
      <c r="Q937" s="8" t="e">
        <f>VLOOKUP(C937,Lookups!$A$136:$C$144,3)</f>
        <v>#N/A</v>
      </c>
      <c r="R937" s="8" t="e">
        <f>VLOOKUP(C937,Lookups!$A$136:$C$144,2)</f>
        <v>#N/A</v>
      </c>
      <c r="S937" s="4" t="str">
        <f t="shared" si="77"/>
        <v>No</v>
      </c>
      <c r="T937" s="125">
        <f t="shared" si="78"/>
        <v>0</v>
      </c>
      <c r="U937" s="125">
        <f t="shared" si="79"/>
        <v>0</v>
      </c>
      <c r="V937" s="4" t="e">
        <f>IF($Q937&lt;&gt;3,VLOOKUP(F937,'Points Table A'!B$3:$F$33,5),VLOOKUP(F937,'Points Table A'!H$3:$L$33,5))</f>
        <v>#N/A</v>
      </c>
      <c r="W937" s="4" t="e">
        <f>IF($Q937&lt;&gt;3,VLOOKUP(G937,'Points Table A'!C$3:$F$33,4),VLOOKUP(G937,'Points Table A'!I$3:$L$33,4))</f>
        <v>#N/A</v>
      </c>
      <c r="X937" s="4" t="e">
        <f>IF($Q937&lt;&gt;3,VLOOKUP(H937,'Points Table A'!D$3:$F$28,3),VLOOKUP(H937,'Points Table A'!J$3:$L$33,3))</f>
        <v>#N/A</v>
      </c>
      <c r="Y937" s="4" t="e">
        <f>IF($Q937&lt;&gt;3,VLOOKUP(I937,'Points Table A'!E$3:$F$33,2),VLOOKUP(I937,'Points Table A'!K$3:$L$33,2))</f>
        <v>#N/A</v>
      </c>
      <c r="Z937" s="4" t="e">
        <f t="shared" si="80"/>
        <v>#N/A</v>
      </c>
      <c r="AA937" s="4">
        <f>IF($S937=Lookups!$B$113,VLOOKUP(L937,'Points Table C'!A$3:$E$11,5),VLOOKUP(U937,'Points Table C'!B$3:$E$11,4))</f>
        <v>0</v>
      </c>
      <c r="AB937" s="4" t="e">
        <f>IF($Q937=1,0,VLOOKUP($J937,'Points Table C'!$C$3:$E$18,3))</f>
        <v>#N/A</v>
      </c>
      <c r="AC937" s="4">
        <f>VLOOKUP($K937,'Points Table C'!$D$3:$E$18,2)</f>
        <v>0</v>
      </c>
      <c r="AD937" s="4" t="e">
        <f>IF($Z937&lt;Lookups!$C$106,($AA937+AB937+AC937),IF($AA937&gt;=Lookups!$C$120,($AA937+AB937+AC937),$AA937+$AB937))</f>
        <v>#N/A</v>
      </c>
      <c r="AF937" s="7"/>
      <c r="AG937" s="7"/>
      <c r="AH937" s="7"/>
      <c r="AI937" s="7"/>
      <c r="AJ937" s="7"/>
      <c r="AK937" s="7"/>
      <c r="AL937" s="7"/>
      <c r="AM937" s="7"/>
      <c r="AN937" s="7"/>
      <c r="AO937" s="7"/>
      <c r="AP937" s="7"/>
      <c r="AQ937" s="7"/>
      <c r="AR937" s="7"/>
      <c r="AS937" s="7"/>
      <c r="AT937" s="7"/>
      <c r="AU937" s="7"/>
      <c r="AV937" s="7"/>
      <c r="AW937" s="7"/>
      <c r="AY937" s="7"/>
      <c r="AZ937" s="7"/>
      <c r="BA937" s="7"/>
      <c r="BB937" s="7"/>
    </row>
    <row r="938" spans="2:54" x14ac:dyDescent="0.2">
      <c r="B938" s="174"/>
      <c r="C938" s="176"/>
      <c r="F938" s="5">
        <v>0</v>
      </c>
      <c r="G938" s="192">
        <v>0</v>
      </c>
      <c r="H938" s="192">
        <v>0</v>
      </c>
      <c r="I938" s="5">
        <v>0</v>
      </c>
      <c r="J938" s="192">
        <v>0</v>
      </c>
      <c r="K938" s="192">
        <v>0</v>
      </c>
      <c r="L938" s="5">
        <v>0</v>
      </c>
      <c r="M938" s="5">
        <v>0</v>
      </c>
      <c r="N938" s="4" t="e">
        <f t="shared" si="76"/>
        <v>#N/A</v>
      </c>
      <c r="O938" s="4" t="e">
        <f>IF(ROUND(10.499-(((N938-VLOOKUP($C938,Lookups!$A$55:$D$64,3))/(VLOOKUP($C938,Lookups!$A$55:$D$64,4))*VLOOKUP($C938,Lookups!$C$2:$D$11,2))),0)&lt;1,1,IF(ROUND(10.499-(((N938-VLOOKUP($C938,Lookups!$A$55:$D$64,3))/(VLOOKUP($C938,Lookups!$A$55:$D$64,4))*VLOOKUP($C938,Lookups!$C$2:$D$11,2))),0)&lt;11,ROUND(10.499-(((N938-VLOOKUP($C938,Lookups!$A$55:$D$64,3))/(VLOOKUP($C938,Lookups!$A$55:$D$64,4))*VLOOKUP($C938,Lookups!$C$2:$D$11,2))),0),10))</f>
        <v>#N/A</v>
      </c>
      <c r="P938" s="13" t="str">
        <f>IF((SUM(F938:M938)=0),"J",VLOOKUP(O938,Lookups!$A$1:$B$11,2))</f>
        <v>J</v>
      </c>
      <c r="Q938" s="8" t="e">
        <f>VLOOKUP(C938,Lookups!$A$136:$C$144,3)</f>
        <v>#N/A</v>
      </c>
      <c r="R938" s="8" t="e">
        <f>VLOOKUP(C938,Lookups!$A$136:$C$144,2)</f>
        <v>#N/A</v>
      </c>
      <c r="S938" s="4" t="str">
        <f t="shared" si="77"/>
        <v>No</v>
      </c>
      <c r="T938" s="125">
        <f t="shared" si="78"/>
        <v>0</v>
      </c>
      <c r="U938" s="125">
        <f t="shared" si="79"/>
        <v>0</v>
      </c>
      <c r="V938" s="4" t="e">
        <f>IF($Q938&lt;&gt;3,VLOOKUP(F938,'Points Table A'!B$3:$F$33,5),VLOOKUP(F938,'Points Table A'!H$3:$L$33,5))</f>
        <v>#N/A</v>
      </c>
      <c r="W938" s="4" t="e">
        <f>IF($Q938&lt;&gt;3,VLOOKUP(G938,'Points Table A'!C$3:$F$33,4),VLOOKUP(G938,'Points Table A'!I$3:$L$33,4))</f>
        <v>#N/A</v>
      </c>
      <c r="X938" s="4" t="e">
        <f>IF($Q938&lt;&gt;3,VLOOKUP(H938,'Points Table A'!D$3:$F$28,3),VLOOKUP(H938,'Points Table A'!J$3:$L$33,3))</f>
        <v>#N/A</v>
      </c>
      <c r="Y938" s="4" t="e">
        <f>IF($Q938&lt;&gt;3,VLOOKUP(I938,'Points Table A'!E$3:$F$33,2),VLOOKUP(I938,'Points Table A'!K$3:$L$33,2))</f>
        <v>#N/A</v>
      </c>
      <c r="Z938" s="4" t="e">
        <f t="shared" si="80"/>
        <v>#N/A</v>
      </c>
      <c r="AA938" s="4">
        <f>IF($S938=Lookups!$B$113,VLOOKUP(L938,'Points Table C'!A$3:$E$11,5),VLOOKUP(U938,'Points Table C'!B$3:$E$11,4))</f>
        <v>0</v>
      </c>
      <c r="AB938" s="4" t="e">
        <f>IF($Q938=1,0,VLOOKUP($J938,'Points Table C'!$C$3:$E$18,3))</f>
        <v>#N/A</v>
      </c>
      <c r="AC938" s="4">
        <f>VLOOKUP($K938,'Points Table C'!$D$3:$E$18,2)</f>
        <v>0</v>
      </c>
      <c r="AD938" s="4" t="e">
        <f>IF($Z938&lt;Lookups!$C$106,($AA938+AB938+AC938),IF($AA938&gt;=Lookups!$C$120,($AA938+AB938+AC938),$AA938+$AB938))</f>
        <v>#N/A</v>
      </c>
      <c r="AF938" s="7"/>
      <c r="AG938" s="7"/>
      <c r="AH938" s="7"/>
      <c r="AI938" s="7"/>
      <c r="AJ938" s="7"/>
      <c r="AK938" s="7"/>
      <c r="AL938" s="7"/>
      <c r="AM938" s="7"/>
      <c r="AN938" s="7"/>
      <c r="AO938" s="7"/>
      <c r="AP938" s="7"/>
      <c r="AQ938" s="7"/>
      <c r="AR938" s="7"/>
      <c r="AS938" s="7"/>
      <c r="AT938" s="7"/>
      <c r="AU938" s="7"/>
      <c r="AV938" s="7"/>
      <c r="AW938" s="7"/>
      <c r="AY938" s="7"/>
      <c r="AZ938" s="7"/>
      <c r="BA938" s="7"/>
      <c r="BB938" s="7"/>
    </row>
    <row r="939" spans="2:54" x14ac:dyDescent="0.2">
      <c r="B939" s="174"/>
      <c r="C939" s="176"/>
      <c r="F939" s="5">
        <v>0</v>
      </c>
      <c r="G939" s="192">
        <v>0</v>
      </c>
      <c r="H939" s="192">
        <v>0</v>
      </c>
      <c r="I939" s="5">
        <v>0</v>
      </c>
      <c r="J939" s="192">
        <v>0</v>
      </c>
      <c r="K939" s="192">
        <v>0</v>
      </c>
      <c r="L939" s="5">
        <v>0</v>
      </c>
      <c r="M939" s="5">
        <v>0</v>
      </c>
      <c r="N939" s="4" t="e">
        <f t="shared" si="76"/>
        <v>#N/A</v>
      </c>
      <c r="O939" s="4" t="e">
        <f>IF(ROUND(10.499-(((N939-VLOOKUP($C939,Lookups!$A$55:$D$64,3))/(VLOOKUP($C939,Lookups!$A$55:$D$64,4))*VLOOKUP($C939,Lookups!$C$2:$D$11,2))),0)&lt;1,1,IF(ROUND(10.499-(((N939-VLOOKUP($C939,Lookups!$A$55:$D$64,3))/(VLOOKUP($C939,Lookups!$A$55:$D$64,4))*VLOOKUP($C939,Lookups!$C$2:$D$11,2))),0)&lt;11,ROUND(10.499-(((N939-VLOOKUP($C939,Lookups!$A$55:$D$64,3))/(VLOOKUP($C939,Lookups!$A$55:$D$64,4))*VLOOKUP($C939,Lookups!$C$2:$D$11,2))),0),10))</f>
        <v>#N/A</v>
      </c>
      <c r="P939" s="13" t="str">
        <f>IF((SUM(F939:M939)=0),"J",VLOOKUP(O939,Lookups!$A$1:$B$11,2))</f>
        <v>J</v>
      </c>
      <c r="Q939" s="8" t="e">
        <f>VLOOKUP(C939,Lookups!$A$136:$C$144,3)</f>
        <v>#N/A</v>
      </c>
      <c r="R939" s="8" t="e">
        <f>VLOOKUP(C939,Lookups!$A$136:$C$144,2)</f>
        <v>#N/A</v>
      </c>
      <c r="S939" s="4" t="str">
        <f t="shared" si="77"/>
        <v>No</v>
      </c>
      <c r="T939" s="125">
        <f t="shared" si="78"/>
        <v>0</v>
      </c>
      <c r="U939" s="125">
        <f t="shared" si="79"/>
        <v>0</v>
      </c>
      <c r="V939" s="4" t="e">
        <f>IF($Q939&lt;&gt;3,VLOOKUP(F939,'Points Table A'!B$3:$F$33,5),VLOOKUP(F939,'Points Table A'!H$3:$L$33,5))</f>
        <v>#N/A</v>
      </c>
      <c r="W939" s="4" t="e">
        <f>IF($Q939&lt;&gt;3,VLOOKUP(G939,'Points Table A'!C$3:$F$33,4),VLOOKUP(G939,'Points Table A'!I$3:$L$33,4))</f>
        <v>#N/A</v>
      </c>
      <c r="X939" s="4" t="e">
        <f>IF($Q939&lt;&gt;3,VLOOKUP(H939,'Points Table A'!D$3:$F$28,3),VLOOKUP(H939,'Points Table A'!J$3:$L$33,3))</f>
        <v>#N/A</v>
      </c>
      <c r="Y939" s="4" t="e">
        <f>IF($Q939&lt;&gt;3,VLOOKUP(I939,'Points Table A'!E$3:$F$33,2),VLOOKUP(I939,'Points Table A'!K$3:$L$33,2))</f>
        <v>#N/A</v>
      </c>
      <c r="Z939" s="4" t="e">
        <f t="shared" si="80"/>
        <v>#N/A</v>
      </c>
      <c r="AA939" s="4">
        <f>IF($S939=Lookups!$B$113,VLOOKUP(L939,'Points Table C'!A$3:$E$11,5),VLOOKUP(U939,'Points Table C'!B$3:$E$11,4))</f>
        <v>0</v>
      </c>
      <c r="AB939" s="4" t="e">
        <f>IF($Q939=1,0,VLOOKUP($J939,'Points Table C'!$C$3:$E$18,3))</f>
        <v>#N/A</v>
      </c>
      <c r="AC939" s="4">
        <f>VLOOKUP($K939,'Points Table C'!$D$3:$E$18,2)</f>
        <v>0</v>
      </c>
      <c r="AD939" s="4" t="e">
        <f>IF($Z939&lt;Lookups!$C$106,($AA939+AB939+AC939),IF($AA939&gt;=Lookups!$C$120,($AA939+AB939+AC939),$AA939+$AB939))</f>
        <v>#N/A</v>
      </c>
      <c r="AF939" s="7"/>
      <c r="AG939" s="7"/>
      <c r="AH939" s="7"/>
      <c r="AI939" s="7"/>
      <c r="AJ939" s="7"/>
      <c r="AK939" s="7"/>
      <c r="AL939" s="7"/>
      <c r="AM939" s="7"/>
      <c r="AN939" s="7"/>
      <c r="AO939" s="7"/>
      <c r="AP939" s="7"/>
      <c r="AQ939" s="7"/>
      <c r="AR939" s="7"/>
      <c r="AS939" s="7"/>
      <c r="AT939" s="7"/>
      <c r="AU939" s="7"/>
      <c r="AV939" s="7"/>
      <c r="AW939" s="7"/>
      <c r="AY939" s="7"/>
      <c r="AZ939" s="7"/>
      <c r="BA939" s="7"/>
      <c r="BB939" s="7"/>
    </row>
    <row r="940" spans="2:54" x14ac:dyDescent="0.2">
      <c r="B940" s="174"/>
      <c r="C940" s="176"/>
      <c r="F940" s="5">
        <v>0</v>
      </c>
      <c r="G940" s="192">
        <v>0</v>
      </c>
      <c r="H940" s="192">
        <v>0</v>
      </c>
      <c r="I940" s="5">
        <v>0</v>
      </c>
      <c r="J940" s="192">
        <v>0</v>
      </c>
      <c r="K940" s="192">
        <v>0</v>
      </c>
      <c r="L940" s="5">
        <v>0</v>
      </c>
      <c r="M940" s="5">
        <v>0</v>
      </c>
      <c r="N940" s="4" t="e">
        <f t="shared" si="76"/>
        <v>#N/A</v>
      </c>
      <c r="O940" s="4" t="e">
        <f>IF(ROUND(10.499-(((N940-VLOOKUP($C940,Lookups!$A$55:$D$64,3))/(VLOOKUP($C940,Lookups!$A$55:$D$64,4))*VLOOKUP($C940,Lookups!$C$2:$D$11,2))),0)&lt;1,1,IF(ROUND(10.499-(((N940-VLOOKUP($C940,Lookups!$A$55:$D$64,3))/(VLOOKUP($C940,Lookups!$A$55:$D$64,4))*VLOOKUP($C940,Lookups!$C$2:$D$11,2))),0)&lt;11,ROUND(10.499-(((N940-VLOOKUP($C940,Lookups!$A$55:$D$64,3))/(VLOOKUP($C940,Lookups!$A$55:$D$64,4))*VLOOKUP($C940,Lookups!$C$2:$D$11,2))),0),10))</f>
        <v>#N/A</v>
      </c>
      <c r="P940" s="13" t="str">
        <f>IF((SUM(F940:M940)=0),"J",VLOOKUP(O940,Lookups!$A$1:$B$11,2))</f>
        <v>J</v>
      </c>
      <c r="Q940" s="8" t="e">
        <f>VLOOKUP(C940,Lookups!$A$136:$C$144,3)</f>
        <v>#N/A</v>
      </c>
      <c r="R940" s="8" t="e">
        <f>VLOOKUP(C940,Lookups!$A$136:$C$144,2)</f>
        <v>#N/A</v>
      </c>
      <c r="S940" s="4" t="str">
        <f t="shared" si="77"/>
        <v>No</v>
      </c>
      <c r="T940" s="125">
        <f t="shared" si="78"/>
        <v>0</v>
      </c>
      <c r="U940" s="125">
        <f t="shared" si="79"/>
        <v>0</v>
      </c>
      <c r="V940" s="4" t="e">
        <f>IF($Q940&lt;&gt;3,VLOOKUP(F940,'Points Table A'!B$3:$F$33,5),VLOOKUP(F940,'Points Table A'!H$3:$L$33,5))</f>
        <v>#N/A</v>
      </c>
      <c r="W940" s="4" t="e">
        <f>IF($Q940&lt;&gt;3,VLOOKUP(G940,'Points Table A'!C$3:$F$33,4),VLOOKUP(G940,'Points Table A'!I$3:$L$33,4))</f>
        <v>#N/A</v>
      </c>
      <c r="X940" s="4" t="e">
        <f>IF($Q940&lt;&gt;3,VLOOKUP(H940,'Points Table A'!D$3:$F$28,3),VLOOKUP(H940,'Points Table A'!J$3:$L$33,3))</f>
        <v>#N/A</v>
      </c>
      <c r="Y940" s="4" t="e">
        <f>IF($Q940&lt;&gt;3,VLOOKUP(I940,'Points Table A'!E$3:$F$33,2),VLOOKUP(I940,'Points Table A'!K$3:$L$33,2))</f>
        <v>#N/A</v>
      </c>
      <c r="Z940" s="4" t="e">
        <f t="shared" si="80"/>
        <v>#N/A</v>
      </c>
      <c r="AA940" s="4">
        <f>IF($S940=Lookups!$B$113,VLOOKUP(L940,'Points Table C'!A$3:$E$11,5),VLOOKUP(U940,'Points Table C'!B$3:$E$11,4))</f>
        <v>0</v>
      </c>
      <c r="AB940" s="4" t="e">
        <f>IF($Q940=1,0,VLOOKUP($J940,'Points Table C'!$C$3:$E$18,3))</f>
        <v>#N/A</v>
      </c>
      <c r="AC940" s="4">
        <f>VLOOKUP($K940,'Points Table C'!$D$3:$E$18,2)</f>
        <v>0</v>
      </c>
      <c r="AD940" s="4" t="e">
        <f>IF($Z940&lt;Lookups!$C$106,($AA940+AB940+AC940),IF($AA940&gt;=Lookups!$C$120,($AA940+AB940+AC940),$AA940+$AB940))</f>
        <v>#N/A</v>
      </c>
      <c r="AF940" s="7"/>
      <c r="AG940" s="7"/>
      <c r="AH940" s="7"/>
      <c r="AI940" s="7"/>
      <c r="AJ940" s="7"/>
      <c r="AK940" s="7"/>
      <c r="AL940" s="7"/>
      <c r="AM940" s="7"/>
      <c r="AN940" s="7"/>
      <c r="AO940" s="7"/>
      <c r="AP940" s="7"/>
      <c r="AQ940" s="7"/>
      <c r="AR940" s="7"/>
      <c r="AS940" s="7"/>
      <c r="AT940" s="7"/>
      <c r="AU940" s="7"/>
      <c r="AV940" s="7"/>
      <c r="AW940" s="7"/>
      <c r="AY940" s="7"/>
      <c r="AZ940" s="7"/>
      <c r="BA940" s="7"/>
      <c r="BB940" s="7"/>
    </row>
    <row r="941" spans="2:54" x14ac:dyDescent="0.2">
      <c r="B941" s="174"/>
      <c r="C941" s="176"/>
      <c r="F941" s="5">
        <v>0</v>
      </c>
      <c r="G941" s="192">
        <v>0</v>
      </c>
      <c r="H941" s="192">
        <v>0</v>
      </c>
      <c r="I941" s="5">
        <v>0</v>
      </c>
      <c r="J941" s="192">
        <v>0</v>
      </c>
      <c r="K941" s="192">
        <v>0</v>
      </c>
      <c r="L941" s="5">
        <v>0</v>
      </c>
      <c r="M941" s="5">
        <v>0</v>
      </c>
      <c r="N941" s="4" t="e">
        <f t="shared" si="76"/>
        <v>#N/A</v>
      </c>
      <c r="O941" s="4" t="e">
        <f>IF(ROUND(10.499-(((N941-VLOOKUP($C941,Lookups!$A$55:$D$64,3))/(VLOOKUP($C941,Lookups!$A$55:$D$64,4))*VLOOKUP($C941,Lookups!$C$2:$D$11,2))),0)&lt;1,1,IF(ROUND(10.499-(((N941-VLOOKUP($C941,Lookups!$A$55:$D$64,3))/(VLOOKUP($C941,Lookups!$A$55:$D$64,4))*VLOOKUP($C941,Lookups!$C$2:$D$11,2))),0)&lt;11,ROUND(10.499-(((N941-VLOOKUP($C941,Lookups!$A$55:$D$64,3))/(VLOOKUP($C941,Lookups!$A$55:$D$64,4))*VLOOKUP($C941,Lookups!$C$2:$D$11,2))),0),10))</f>
        <v>#N/A</v>
      </c>
      <c r="P941" s="13" t="str">
        <f>IF((SUM(F941:M941)=0),"J",VLOOKUP(O941,Lookups!$A$1:$B$11,2))</f>
        <v>J</v>
      </c>
      <c r="Q941" s="8" t="e">
        <f>VLOOKUP(C941,Lookups!$A$136:$C$144,3)</f>
        <v>#N/A</v>
      </c>
      <c r="R941" s="8" t="e">
        <f>VLOOKUP(C941,Lookups!$A$136:$C$144,2)</f>
        <v>#N/A</v>
      </c>
      <c r="S941" s="4" t="str">
        <f t="shared" si="77"/>
        <v>No</v>
      </c>
      <c r="T941" s="125">
        <f t="shared" si="78"/>
        <v>0</v>
      </c>
      <c r="U941" s="125">
        <f t="shared" si="79"/>
        <v>0</v>
      </c>
      <c r="V941" s="4" t="e">
        <f>IF($Q941&lt;&gt;3,VLOOKUP(F941,'Points Table A'!B$3:$F$33,5),VLOOKUP(F941,'Points Table A'!H$3:$L$33,5))</f>
        <v>#N/A</v>
      </c>
      <c r="W941" s="4" t="e">
        <f>IF($Q941&lt;&gt;3,VLOOKUP(G941,'Points Table A'!C$3:$F$33,4),VLOOKUP(G941,'Points Table A'!I$3:$L$33,4))</f>
        <v>#N/A</v>
      </c>
      <c r="X941" s="4" t="e">
        <f>IF($Q941&lt;&gt;3,VLOOKUP(H941,'Points Table A'!D$3:$F$28,3),VLOOKUP(H941,'Points Table A'!J$3:$L$33,3))</f>
        <v>#N/A</v>
      </c>
      <c r="Y941" s="4" t="e">
        <f>IF($Q941&lt;&gt;3,VLOOKUP(I941,'Points Table A'!E$3:$F$33,2),VLOOKUP(I941,'Points Table A'!K$3:$L$33,2))</f>
        <v>#N/A</v>
      </c>
      <c r="Z941" s="4" t="e">
        <f t="shared" si="80"/>
        <v>#N/A</v>
      </c>
      <c r="AA941" s="4">
        <f>IF($S941=Lookups!$B$113,VLOOKUP(L941,'Points Table C'!A$3:$E$11,5),VLOOKUP(U941,'Points Table C'!B$3:$E$11,4))</f>
        <v>0</v>
      </c>
      <c r="AB941" s="4" t="e">
        <f>IF($Q941=1,0,VLOOKUP($J941,'Points Table C'!$C$3:$E$18,3))</f>
        <v>#N/A</v>
      </c>
      <c r="AC941" s="4">
        <f>VLOOKUP($K941,'Points Table C'!$D$3:$E$18,2)</f>
        <v>0</v>
      </c>
      <c r="AD941" s="4" t="e">
        <f>IF($Z941&lt;Lookups!$C$106,($AA941+AB941+AC941),IF($AA941&gt;=Lookups!$C$120,($AA941+AB941+AC941),$AA941+$AB941))</f>
        <v>#N/A</v>
      </c>
      <c r="AF941" s="7"/>
      <c r="AG941" s="7"/>
      <c r="AH941" s="7"/>
      <c r="AI941" s="7"/>
      <c r="AJ941" s="7"/>
      <c r="AK941" s="7"/>
      <c r="AL941" s="7"/>
      <c r="AM941" s="7"/>
      <c r="AN941" s="7"/>
      <c r="AO941" s="7"/>
      <c r="AP941" s="7"/>
      <c r="AQ941" s="7"/>
      <c r="AR941" s="7"/>
      <c r="AS941" s="7"/>
      <c r="AT941" s="7"/>
      <c r="AU941" s="7"/>
      <c r="AV941" s="7"/>
      <c r="AW941" s="7"/>
      <c r="AY941" s="7"/>
      <c r="AZ941" s="7"/>
      <c r="BA941" s="7"/>
      <c r="BB941" s="7"/>
    </row>
    <row r="942" spans="2:54" x14ac:dyDescent="0.2">
      <c r="B942" s="174"/>
      <c r="C942" s="176"/>
      <c r="F942" s="5">
        <v>0</v>
      </c>
      <c r="G942" s="192">
        <v>0</v>
      </c>
      <c r="H942" s="192">
        <v>0</v>
      </c>
      <c r="I942" s="5">
        <v>0</v>
      </c>
      <c r="J942" s="192">
        <v>0</v>
      </c>
      <c r="K942" s="192">
        <v>0</v>
      </c>
      <c r="L942" s="5">
        <v>0</v>
      </c>
      <c r="M942" s="5">
        <v>0</v>
      </c>
      <c r="N942" s="4" t="e">
        <f t="shared" si="76"/>
        <v>#N/A</v>
      </c>
      <c r="O942" s="4" t="e">
        <f>IF(ROUND(10.499-(((N942-VLOOKUP($C942,Lookups!$A$55:$D$64,3))/(VLOOKUP($C942,Lookups!$A$55:$D$64,4))*VLOOKUP($C942,Lookups!$C$2:$D$11,2))),0)&lt;1,1,IF(ROUND(10.499-(((N942-VLOOKUP($C942,Lookups!$A$55:$D$64,3))/(VLOOKUP($C942,Lookups!$A$55:$D$64,4))*VLOOKUP($C942,Lookups!$C$2:$D$11,2))),0)&lt;11,ROUND(10.499-(((N942-VLOOKUP($C942,Lookups!$A$55:$D$64,3))/(VLOOKUP($C942,Lookups!$A$55:$D$64,4))*VLOOKUP($C942,Lookups!$C$2:$D$11,2))),0),10))</f>
        <v>#N/A</v>
      </c>
      <c r="P942" s="13" t="str">
        <f>IF((SUM(F942:M942)=0),"J",VLOOKUP(O942,Lookups!$A$1:$B$11,2))</f>
        <v>J</v>
      </c>
      <c r="Q942" s="8" t="e">
        <f>VLOOKUP(C942,Lookups!$A$136:$C$144,3)</f>
        <v>#N/A</v>
      </c>
      <c r="R942" s="8" t="e">
        <f>VLOOKUP(C942,Lookups!$A$136:$C$144,2)</f>
        <v>#N/A</v>
      </c>
      <c r="S942" s="4" t="str">
        <f t="shared" si="77"/>
        <v>No</v>
      </c>
      <c r="T942" s="125">
        <f t="shared" si="78"/>
        <v>0</v>
      </c>
      <c r="U942" s="125">
        <f t="shared" si="79"/>
        <v>0</v>
      </c>
      <c r="V942" s="4" t="e">
        <f>IF($Q942&lt;&gt;3,VLOOKUP(F942,'Points Table A'!B$3:$F$33,5),VLOOKUP(F942,'Points Table A'!H$3:$L$33,5))</f>
        <v>#N/A</v>
      </c>
      <c r="W942" s="4" t="e">
        <f>IF($Q942&lt;&gt;3,VLOOKUP(G942,'Points Table A'!C$3:$F$33,4),VLOOKUP(G942,'Points Table A'!I$3:$L$33,4))</f>
        <v>#N/A</v>
      </c>
      <c r="X942" s="4" t="e">
        <f>IF($Q942&lt;&gt;3,VLOOKUP(H942,'Points Table A'!D$3:$F$28,3),VLOOKUP(H942,'Points Table A'!J$3:$L$33,3))</f>
        <v>#N/A</v>
      </c>
      <c r="Y942" s="4" t="e">
        <f>IF($Q942&lt;&gt;3,VLOOKUP(I942,'Points Table A'!E$3:$F$33,2),VLOOKUP(I942,'Points Table A'!K$3:$L$33,2))</f>
        <v>#N/A</v>
      </c>
      <c r="Z942" s="4" t="e">
        <f t="shared" si="80"/>
        <v>#N/A</v>
      </c>
      <c r="AA942" s="4">
        <f>IF($S942=Lookups!$B$113,VLOOKUP(L942,'Points Table C'!A$3:$E$11,5),VLOOKUP(U942,'Points Table C'!B$3:$E$11,4))</f>
        <v>0</v>
      </c>
      <c r="AB942" s="4" t="e">
        <f>IF($Q942=1,0,VLOOKUP($J942,'Points Table C'!$C$3:$E$18,3))</f>
        <v>#N/A</v>
      </c>
      <c r="AC942" s="4">
        <f>VLOOKUP($K942,'Points Table C'!$D$3:$E$18,2)</f>
        <v>0</v>
      </c>
      <c r="AD942" s="4" t="e">
        <f>IF($Z942&lt;Lookups!$C$106,($AA942+AB942+AC942),IF($AA942&gt;=Lookups!$C$120,($AA942+AB942+AC942),$AA942+$AB942))</f>
        <v>#N/A</v>
      </c>
      <c r="AF942" s="7"/>
      <c r="AG942" s="7"/>
      <c r="AH942" s="7"/>
      <c r="AI942" s="7"/>
      <c r="AJ942" s="7"/>
      <c r="AK942" s="7"/>
      <c r="AL942" s="7"/>
      <c r="AM942" s="7"/>
      <c r="AN942" s="7"/>
      <c r="AO942" s="7"/>
      <c r="AP942" s="7"/>
      <c r="AQ942" s="7"/>
      <c r="AR942" s="7"/>
      <c r="AS942" s="7"/>
      <c r="AT942" s="7"/>
      <c r="AU942" s="7"/>
      <c r="AV942" s="7"/>
      <c r="AW942" s="7"/>
      <c r="AY942" s="7"/>
      <c r="AZ942" s="7"/>
      <c r="BA942" s="7"/>
      <c r="BB942" s="7"/>
    </row>
    <row r="943" spans="2:54" x14ac:dyDescent="0.2">
      <c r="B943" s="174"/>
      <c r="C943" s="176"/>
      <c r="F943" s="5">
        <v>0</v>
      </c>
      <c r="G943" s="192">
        <v>0</v>
      </c>
      <c r="H943" s="192">
        <v>0</v>
      </c>
      <c r="I943" s="5">
        <v>0</v>
      </c>
      <c r="J943" s="192">
        <v>0</v>
      </c>
      <c r="K943" s="192">
        <v>0</v>
      </c>
      <c r="L943" s="5">
        <v>0</v>
      </c>
      <c r="M943" s="5">
        <v>0</v>
      </c>
      <c r="N943" s="4" t="e">
        <f t="shared" si="76"/>
        <v>#N/A</v>
      </c>
      <c r="O943" s="4" t="e">
        <f>IF(ROUND(10.499-(((N943-VLOOKUP($C943,Lookups!$A$55:$D$64,3))/(VLOOKUP($C943,Lookups!$A$55:$D$64,4))*VLOOKUP($C943,Lookups!$C$2:$D$11,2))),0)&lt;1,1,IF(ROUND(10.499-(((N943-VLOOKUP($C943,Lookups!$A$55:$D$64,3))/(VLOOKUP($C943,Lookups!$A$55:$D$64,4))*VLOOKUP($C943,Lookups!$C$2:$D$11,2))),0)&lt;11,ROUND(10.499-(((N943-VLOOKUP($C943,Lookups!$A$55:$D$64,3))/(VLOOKUP($C943,Lookups!$A$55:$D$64,4))*VLOOKUP($C943,Lookups!$C$2:$D$11,2))),0),10))</f>
        <v>#N/A</v>
      </c>
      <c r="P943" s="13" t="str">
        <f>IF((SUM(F943:M943)=0),"J",VLOOKUP(O943,Lookups!$A$1:$B$11,2))</f>
        <v>J</v>
      </c>
      <c r="Q943" s="8" t="e">
        <f>VLOOKUP(C943,Lookups!$A$136:$C$144,3)</f>
        <v>#N/A</v>
      </c>
      <c r="R943" s="8" t="e">
        <f>VLOOKUP(C943,Lookups!$A$136:$C$144,2)</f>
        <v>#N/A</v>
      </c>
      <c r="S943" s="4" t="str">
        <f t="shared" si="77"/>
        <v>No</v>
      </c>
      <c r="T943" s="125">
        <f t="shared" si="78"/>
        <v>0</v>
      </c>
      <c r="U943" s="125">
        <f t="shared" si="79"/>
        <v>0</v>
      </c>
      <c r="V943" s="4" t="e">
        <f>IF($Q943&lt;&gt;3,VLOOKUP(F943,'Points Table A'!B$3:$F$33,5),VLOOKUP(F943,'Points Table A'!H$3:$L$33,5))</f>
        <v>#N/A</v>
      </c>
      <c r="W943" s="4" t="e">
        <f>IF($Q943&lt;&gt;3,VLOOKUP(G943,'Points Table A'!C$3:$F$33,4),VLOOKUP(G943,'Points Table A'!I$3:$L$33,4))</f>
        <v>#N/A</v>
      </c>
      <c r="X943" s="4" t="e">
        <f>IF($Q943&lt;&gt;3,VLOOKUP(H943,'Points Table A'!D$3:$F$28,3),VLOOKUP(H943,'Points Table A'!J$3:$L$33,3))</f>
        <v>#N/A</v>
      </c>
      <c r="Y943" s="4" t="e">
        <f>IF($Q943&lt;&gt;3,VLOOKUP(I943,'Points Table A'!E$3:$F$33,2),VLOOKUP(I943,'Points Table A'!K$3:$L$33,2))</f>
        <v>#N/A</v>
      </c>
      <c r="Z943" s="4" t="e">
        <f t="shared" si="80"/>
        <v>#N/A</v>
      </c>
      <c r="AA943" s="4">
        <f>IF($S943=Lookups!$B$113,VLOOKUP(L943,'Points Table C'!A$3:$E$11,5),VLOOKUP(U943,'Points Table C'!B$3:$E$11,4))</f>
        <v>0</v>
      </c>
      <c r="AB943" s="4" t="e">
        <f>IF($Q943=1,0,VLOOKUP($J943,'Points Table C'!$C$3:$E$18,3))</f>
        <v>#N/A</v>
      </c>
      <c r="AC943" s="4">
        <f>VLOOKUP($K943,'Points Table C'!$D$3:$E$18,2)</f>
        <v>0</v>
      </c>
      <c r="AD943" s="4" t="e">
        <f>IF($Z943&lt;Lookups!$C$106,($AA943+AB943+AC943),IF($AA943&gt;=Lookups!$C$120,($AA943+AB943+AC943),$AA943+$AB943))</f>
        <v>#N/A</v>
      </c>
      <c r="AF943" s="7"/>
      <c r="AG943" s="7"/>
      <c r="AH943" s="7"/>
      <c r="AI943" s="7"/>
      <c r="AJ943" s="7"/>
      <c r="AK943" s="7"/>
      <c r="AL943" s="7"/>
      <c r="AM943" s="7"/>
      <c r="AN943" s="7"/>
      <c r="AO943" s="7"/>
      <c r="AP943" s="7"/>
      <c r="AQ943" s="7"/>
      <c r="AR943" s="7"/>
      <c r="AS943" s="7"/>
      <c r="AT943" s="7"/>
      <c r="AU943" s="7"/>
      <c r="AV943" s="7"/>
      <c r="AW943" s="7"/>
      <c r="AY943" s="7"/>
      <c r="AZ943" s="7"/>
      <c r="BA943" s="7"/>
      <c r="BB943" s="7"/>
    </row>
    <row r="944" spans="2:54" x14ac:dyDescent="0.2">
      <c r="B944" s="174"/>
      <c r="C944" s="176"/>
      <c r="F944" s="5">
        <v>0</v>
      </c>
      <c r="G944" s="192">
        <v>0</v>
      </c>
      <c r="H944" s="192">
        <v>0</v>
      </c>
      <c r="I944" s="5">
        <v>0</v>
      </c>
      <c r="J944" s="192">
        <v>0</v>
      </c>
      <c r="K944" s="192">
        <v>0</v>
      </c>
      <c r="L944" s="5">
        <v>0</v>
      </c>
      <c r="M944" s="5">
        <v>0</v>
      </c>
      <c r="N944" s="4" t="e">
        <f t="shared" si="76"/>
        <v>#N/A</v>
      </c>
      <c r="O944" s="4" t="e">
        <f>IF(ROUND(10.499-(((N944-VLOOKUP($C944,Lookups!$A$55:$D$64,3))/(VLOOKUP($C944,Lookups!$A$55:$D$64,4))*VLOOKUP($C944,Lookups!$C$2:$D$11,2))),0)&lt;1,1,IF(ROUND(10.499-(((N944-VLOOKUP($C944,Lookups!$A$55:$D$64,3))/(VLOOKUP($C944,Lookups!$A$55:$D$64,4))*VLOOKUP($C944,Lookups!$C$2:$D$11,2))),0)&lt;11,ROUND(10.499-(((N944-VLOOKUP($C944,Lookups!$A$55:$D$64,3))/(VLOOKUP($C944,Lookups!$A$55:$D$64,4))*VLOOKUP($C944,Lookups!$C$2:$D$11,2))),0),10))</f>
        <v>#N/A</v>
      </c>
      <c r="P944" s="13" t="str">
        <f>IF((SUM(F944:M944)=0),"J",VLOOKUP(O944,Lookups!$A$1:$B$11,2))</f>
        <v>J</v>
      </c>
      <c r="Q944" s="8" t="e">
        <f>VLOOKUP(C944,Lookups!$A$136:$C$144,3)</f>
        <v>#N/A</v>
      </c>
      <c r="R944" s="8" t="e">
        <f>VLOOKUP(C944,Lookups!$A$136:$C$144,2)</f>
        <v>#N/A</v>
      </c>
      <c r="S944" s="4" t="str">
        <f t="shared" si="77"/>
        <v>No</v>
      </c>
      <c r="T944" s="125">
        <f t="shared" si="78"/>
        <v>0</v>
      </c>
      <c r="U944" s="125">
        <f t="shared" si="79"/>
        <v>0</v>
      </c>
      <c r="V944" s="4" t="e">
        <f>IF($Q944&lt;&gt;3,VLOOKUP(F944,'Points Table A'!B$3:$F$33,5),VLOOKUP(F944,'Points Table A'!H$3:$L$33,5))</f>
        <v>#N/A</v>
      </c>
      <c r="W944" s="4" t="e">
        <f>IF($Q944&lt;&gt;3,VLOOKUP(G944,'Points Table A'!C$3:$F$33,4),VLOOKUP(G944,'Points Table A'!I$3:$L$33,4))</f>
        <v>#N/A</v>
      </c>
      <c r="X944" s="4" t="e">
        <f>IF($Q944&lt;&gt;3,VLOOKUP(H944,'Points Table A'!D$3:$F$28,3),VLOOKUP(H944,'Points Table A'!J$3:$L$33,3))</f>
        <v>#N/A</v>
      </c>
      <c r="Y944" s="4" t="e">
        <f>IF($Q944&lt;&gt;3,VLOOKUP(I944,'Points Table A'!E$3:$F$33,2),VLOOKUP(I944,'Points Table A'!K$3:$L$33,2))</f>
        <v>#N/A</v>
      </c>
      <c r="Z944" s="4" t="e">
        <f t="shared" si="80"/>
        <v>#N/A</v>
      </c>
      <c r="AA944" s="4">
        <f>IF($S944=Lookups!$B$113,VLOOKUP(L944,'Points Table C'!A$3:$E$11,5),VLOOKUP(U944,'Points Table C'!B$3:$E$11,4))</f>
        <v>0</v>
      </c>
      <c r="AB944" s="4" t="e">
        <f>IF($Q944=1,0,VLOOKUP($J944,'Points Table C'!$C$3:$E$18,3))</f>
        <v>#N/A</v>
      </c>
      <c r="AC944" s="4">
        <f>VLOOKUP($K944,'Points Table C'!$D$3:$E$18,2)</f>
        <v>0</v>
      </c>
      <c r="AD944" s="4" t="e">
        <f>IF($Z944&lt;Lookups!$C$106,($AA944+AB944+AC944),IF($AA944&gt;=Lookups!$C$120,($AA944+AB944+AC944),$AA944+$AB944))</f>
        <v>#N/A</v>
      </c>
      <c r="AF944" s="7"/>
      <c r="AG944" s="7"/>
      <c r="AH944" s="7"/>
      <c r="AI944" s="7"/>
      <c r="AJ944" s="7"/>
      <c r="AK944" s="7"/>
      <c r="AL944" s="7"/>
      <c r="AM944" s="7"/>
      <c r="AN944" s="7"/>
      <c r="AO944" s="7"/>
      <c r="AP944" s="7"/>
      <c r="AQ944" s="7"/>
      <c r="AR944" s="7"/>
      <c r="AS944" s="7"/>
      <c r="AT944" s="7"/>
      <c r="AU944" s="7"/>
      <c r="AV944" s="7"/>
      <c r="AW944" s="7"/>
      <c r="AY944" s="7"/>
      <c r="AZ944" s="7"/>
      <c r="BA944" s="7"/>
      <c r="BB944" s="7"/>
    </row>
    <row r="945" spans="2:54" x14ac:dyDescent="0.2">
      <c r="B945" s="174"/>
      <c r="C945" s="176"/>
      <c r="F945" s="5">
        <v>0</v>
      </c>
      <c r="G945" s="192">
        <v>0</v>
      </c>
      <c r="H945" s="192">
        <v>0</v>
      </c>
      <c r="I945" s="5">
        <v>0</v>
      </c>
      <c r="J945" s="192">
        <v>0</v>
      </c>
      <c r="K945" s="192">
        <v>0</v>
      </c>
      <c r="L945" s="5">
        <v>0</v>
      </c>
      <c r="M945" s="5">
        <v>0</v>
      </c>
      <c r="N945" s="4" t="e">
        <f t="shared" si="76"/>
        <v>#N/A</v>
      </c>
      <c r="O945" s="4" t="e">
        <f>IF(ROUND(10.499-(((N945-VLOOKUP($C945,Lookups!$A$55:$D$64,3))/(VLOOKUP($C945,Lookups!$A$55:$D$64,4))*VLOOKUP($C945,Lookups!$C$2:$D$11,2))),0)&lt;1,1,IF(ROUND(10.499-(((N945-VLOOKUP($C945,Lookups!$A$55:$D$64,3))/(VLOOKUP($C945,Lookups!$A$55:$D$64,4))*VLOOKUP($C945,Lookups!$C$2:$D$11,2))),0)&lt;11,ROUND(10.499-(((N945-VLOOKUP($C945,Lookups!$A$55:$D$64,3))/(VLOOKUP($C945,Lookups!$A$55:$D$64,4))*VLOOKUP($C945,Lookups!$C$2:$D$11,2))),0),10))</f>
        <v>#N/A</v>
      </c>
      <c r="P945" s="13" t="str">
        <f>IF((SUM(F945:M945)=0),"J",VLOOKUP(O945,Lookups!$A$1:$B$11,2))</f>
        <v>J</v>
      </c>
      <c r="Q945" s="8" t="e">
        <f>VLOOKUP(C945,Lookups!$A$136:$C$144,3)</f>
        <v>#N/A</v>
      </c>
      <c r="R945" s="8" t="e">
        <f>VLOOKUP(C945,Lookups!$A$136:$C$144,2)</f>
        <v>#N/A</v>
      </c>
      <c r="S945" s="4" t="str">
        <f t="shared" si="77"/>
        <v>No</v>
      </c>
      <c r="T945" s="125">
        <f t="shared" si="78"/>
        <v>0</v>
      </c>
      <c r="U945" s="125">
        <f t="shared" si="79"/>
        <v>0</v>
      </c>
      <c r="V945" s="4" t="e">
        <f>IF($Q945&lt;&gt;3,VLOOKUP(F945,'Points Table A'!B$3:$F$33,5),VLOOKUP(F945,'Points Table A'!H$3:$L$33,5))</f>
        <v>#N/A</v>
      </c>
      <c r="W945" s="4" t="e">
        <f>IF($Q945&lt;&gt;3,VLOOKUP(G945,'Points Table A'!C$3:$F$33,4),VLOOKUP(G945,'Points Table A'!I$3:$L$33,4))</f>
        <v>#N/A</v>
      </c>
      <c r="X945" s="4" t="e">
        <f>IF($Q945&lt;&gt;3,VLOOKUP(H945,'Points Table A'!D$3:$F$28,3),VLOOKUP(H945,'Points Table A'!J$3:$L$33,3))</f>
        <v>#N/A</v>
      </c>
      <c r="Y945" s="4" t="e">
        <f>IF($Q945&lt;&gt;3,VLOOKUP(I945,'Points Table A'!E$3:$F$33,2),VLOOKUP(I945,'Points Table A'!K$3:$L$33,2))</f>
        <v>#N/A</v>
      </c>
      <c r="Z945" s="4" t="e">
        <f t="shared" si="80"/>
        <v>#N/A</v>
      </c>
      <c r="AA945" s="4">
        <f>IF($S945=Lookups!$B$113,VLOOKUP(L945,'Points Table C'!A$3:$E$11,5),VLOOKUP(U945,'Points Table C'!B$3:$E$11,4))</f>
        <v>0</v>
      </c>
      <c r="AB945" s="4" t="e">
        <f>IF($Q945=1,0,VLOOKUP($J945,'Points Table C'!$C$3:$E$18,3))</f>
        <v>#N/A</v>
      </c>
      <c r="AC945" s="4">
        <f>VLOOKUP($K945,'Points Table C'!$D$3:$E$18,2)</f>
        <v>0</v>
      </c>
      <c r="AD945" s="4" t="e">
        <f>IF($Z945&lt;Lookups!$C$106,($AA945+AB945+AC945),IF($AA945&gt;=Lookups!$C$120,($AA945+AB945+AC945),$AA945+$AB945))</f>
        <v>#N/A</v>
      </c>
      <c r="AF945" s="7"/>
      <c r="AG945" s="7"/>
      <c r="AH945" s="7"/>
      <c r="AI945" s="7"/>
      <c r="AJ945" s="7"/>
      <c r="AK945" s="7"/>
      <c r="AL945" s="7"/>
      <c r="AM945" s="7"/>
      <c r="AN945" s="7"/>
      <c r="AO945" s="7"/>
      <c r="AP945" s="7"/>
      <c r="AQ945" s="7"/>
      <c r="AR945" s="7"/>
      <c r="AS945" s="7"/>
      <c r="AT945" s="7"/>
      <c r="AU945" s="7"/>
      <c r="AV945" s="7"/>
      <c r="AW945" s="7"/>
      <c r="AY945" s="7"/>
      <c r="AZ945" s="7"/>
      <c r="BA945" s="7"/>
      <c r="BB945" s="7"/>
    </row>
    <row r="946" spans="2:54" x14ac:dyDescent="0.2">
      <c r="B946" s="174"/>
      <c r="C946" s="176"/>
      <c r="F946" s="5">
        <v>0</v>
      </c>
      <c r="G946" s="192">
        <v>0</v>
      </c>
      <c r="H946" s="192">
        <v>0</v>
      </c>
      <c r="I946" s="5">
        <v>0</v>
      </c>
      <c r="J946" s="192">
        <v>0</v>
      </c>
      <c r="K946" s="192">
        <v>0</v>
      </c>
      <c r="L946" s="5">
        <v>0</v>
      </c>
      <c r="M946" s="5">
        <v>0</v>
      </c>
      <c r="N946" s="4" t="e">
        <f t="shared" si="76"/>
        <v>#N/A</v>
      </c>
      <c r="O946" s="4" t="e">
        <f>IF(ROUND(10.499-(((N946-VLOOKUP($C946,Lookups!$A$55:$D$64,3))/(VLOOKUP($C946,Lookups!$A$55:$D$64,4))*VLOOKUP($C946,Lookups!$C$2:$D$11,2))),0)&lt;1,1,IF(ROUND(10.499-(((N946-VLOOKUP($C946,Lookups!$A$55:$D$64,3))/(VLOOKUP($C946,Lookups!$A$55:$D$64,4))*VLOOKUP($C946,Lookups!$C$2:$D$11,2))),0)&lt;11,ROUND(10.499-(((N946-VLOOKUP($C946,Lookups!$A$55:$D$64,3))/(VLOOKUP($C946,Lookups!$A$55:$D$64,4))*VLOOKUP($C946,Lookups!$C$2:$D$11,2))),0),10))</f>
        <v>#N/A</v>
      </c>
      <c r="P946" s="13" t="str">
        <f>IF((SUM(F946:M946)=0),"J",VLOOKUP(O946,Lookups!$A$1:$B$11,2))</f>
        <v>J</v>
      </c>
      <c r="Q946" s="8" t="e">
        <f>VLOOKUP(C946,Lookups!$A$136:$C$144,3)</f>
        <v>#N/A</v>
      </c>
      <c r="R946" s="8" t="e">
        <f>VLOOKUP(C946,Lookups!$A$136:$C$144,2)</f>
        <v>#N/A</v>
      </c>
      <c r="S946" s="4" t="str">
        <f t="shared" si="77"/>
        <v>No</v>
      </c>
      <c r="T946" s="125">
        <f t="shared" si="78"/>
        <v>0</v>
      </c>
      <c r="U946" s="125">
        <f t="shared" si="79"/>
        <v>0</v>
      </c>
      <c r="V946" s="4" t="e">
        <f>IF($Q946&lt;&gt;3,VLOOKUP(F946,'Points Table A'!B$3:$F$33,5),VLOOKUP(F946,'Points Table A'!H$3:$L$33,5))</f>
        <v>#N/A</v>
      </c>
      <c r="W946" s="4" t="e">
        <f>IF($Q946&lt;&gt;3,VLOOKUP(G946,'Points Table A'!C$3:$F$33,4),VLOOKUP(G946,'Points Table A'!I$3:$L$33,4))</f>
        <v>#N/A</v>
      </c>
      <c r="X946" s="4" t="e">
        <f>IF($Q946&lt;&gt;3,VLOOKUP(H946,'Points Table A'!D$3:$F$28,3),VLOOKUP(H946,'Points Table A'!J$3:$L$33,3))</f>
        <v>#N/A</v>
      </c>
      <c r="Y946" s="4" t="e">
        <f>IF($Q946&lt;&gt;3,VLOOKUP(I946,'Points Table A'!E$3:$F$33,2),VLOOKUP(I946,'Points Table A'!K$3:$L$33,2))</f>
        <v>#N/A</v>
      </c>
      <c r="Z946" s="4" t="e">
        <f t="shared" si="80"/>
        <v>#N/A</v>
      </c>
      <c r="AA946" s="4">
        <f>IF($S946=Lookups!$B$113,VLOOKUP(L946,'Points Table C'!A$3:$E$11,5),VLOOKUP(U946,'Points Table C'!B$3:$E$11,4))</f>
        <v>0</v>
      </c>
      <c r="AB946" s="4" t="e">
        <f>IF($Q946=1,0,VLOOKUP($J946,'Points Table C'!$C$3:$E$18,3))</f>
        <v>#N/A</v>
      </c>
      <c r="AC946" s="4">
        <f>VLOOKUP($K946,'Points Table C'!$D$3:$E$18,2)</f>
        <v>0</v>
      </c>
      <c r="AD946" s="4" t="e">
        <f>IF($Z946&lt;Lookups!$C$106,($AA946+AB946+AC946),IF($AA946&gt;=Lookups!$C$120,($AA946+AB946+AC946),$AA946+$AB946))</f>
        <v>#N/A</v>
      </c>
      <c r="AF946" s="7"/>
      <c r="AG946" s="7"/>
      <c r="AH946" s="7"/>
      <c r="AI946" s="7"/>
      <c r="AJ946" s="7"/>
      <c r="AK946" s="7"/>
      <c r="AL946" s="7"/>
      <c r="AM946" s="7"/>
      <c r="AN946" s="7"/>
      <c r="AO946" s="7"/>
      <c r="AP946" s="7"/>
      <c r="AQ946" s="7"/>
      <c r="AR946" s="7"/>
      <c r="AS946" s="7"/>
      <c r="AT946" s="7"/>
      <c r="AU946" s="7"/>
      <c r="AV946" s="7"/>
      <c r="AW946" s="7"/>
      <c r="AY946" s="7"/>
      <c r="AZ946" s="7"/>
      <c r="BA946" s="7"/>
      <c r="BB946" s="7"/>
    </row>
    <row r="947" spans="2:54" x14ac:dyDescent="0.2">
      <c r="B947" s="174"/>
      <c r="C947" s="176"/>
      <c r="F947" s="5">
        <v>0</v>
      </c>
      <c r="G947" s="192">
        <v>0</v>
      </c>
      <c r="H947" s="192">
        <v>0</v>
      </c>
      <c r="I947" s="5">
        <v>0</v>
      </c>
      <c r="J947" s="192">
        <v>0</v>
      </c>
      <c r="K947" s="192">
        <v>0</v>
      </c>
      <c r="L947" s="5">
        <v>0</v>
      </c>
      <c r="M947" s="5">
        <v>0</v>
      </c>
      <c r="N947" s="4" t="e">
        <f t="shared" si="76"/>
        <v>#N/A</v>
      </c>
      <c r="O947" s="4" t="e">
        <f>IF(ROUND(10.499-(((N947-VLOOKUP($C947,Lookups!$A$55:$D$64,3))/(VLOOKUP($C947,Lookups!$A$55:$D$64,4))*VLOOKUP($C947,Lookups!$C$2:$D$11,2))),0)&lt;1,1,IF(ROUND(10.499-(((N947-VLOOKUP($C947,Lookups!$A$55:$D$64,3))/(VLOOKUP($C947,Lookups!$A$55:$D$64,4))*VLOOKUP($C947,Lookups!$C$2:$D$11,2))),0)&lt;11,ROUND(10.499-(((N947-VLOOKUP($C947,Lookups!$A$55:$D$64,3))/(VLOOKUP($C947,Lookups!$A$55:$D$64,4))*VLOOKUP($C947,Lookups!$C$2:$D$11,2))),0),10))</f>
        <v>#N/A</v>
      </c>
      <c r="P947" s="13" t="str">
        <f>IF((SUM(F947:M947)=0),"J",VLOOKUP(O947,Lookups!$A$1:$B$11,2))</f>
        <v>J</v>
      </c>
      <c r="Q947" s="8" t="e">
        <f>VLOOKUP(C947,Lookups!$A$136:$C$144,3)</f>
        <v>#N/A</v>
      </c>
      <c r="R947" s="8" t="e">
        <f>VLOOKUP(C947,Lookups!$A$136:$C$144,2)</f>
        <v>#N/A</v>
      </c>
      <c r="S947" s="4" t="str">
        <f t="shared" si="77"/>
        <v>No</v>
      </c>
      <c r="T947" s="125">
        <f t="shared" si="78"/>
        <v>0</v>
      </c>
      <c r="U947" s="125">
        <f t="shared" si="79"/>
        <v>0</v>
      </c>
      <c r="V947" s="4" t="e">
        <f>IF($Q947&lt;&gt;3,VLOOKUP(F947,'Points Table A'!B$3:$F$33,5),VLOOKUP(F947,'Points Table A'!H$3:$L$33,5))</f>
        <v>#N/A</v>
      </c>
      <c r="W947" s="4" t="e">
        <f>IF($Q947&lt;&gt;3,VLOOKUP(G947,'Points Table A'!C$3:$F$33,4),VLOOKUP(G947,'Points Table A'!I$3:$L$33,4))</f>
        <v>#N/A</v>
      </c>
      <c r="X947" s="4" t="e">
        <f>IF($Q947&lt;&gt;3,VLOOKUP(H947,'Points Table A'!D$3:$F$28,3),VLOOKUP(H947,'Points Table A'!J$3:$L$33,3))</f>
        <v>#N/A</v>
      </c>
      <c r="Y947" s="4" t="e">
        <f>IF($Q947&lt;&gt;3,VLOOKUP(I947,'Points Table A'!E$3:$F$33,2),VLOOKUP(I947,'Points Table A'!K$3:$L$33,2))</f>
        <v>#N/A</v>
      </c>
      <c r="Z947" s="4" t="e">
        <f t="shared" si="80"/>
        <v>#N/A</v>
      </c>
      <c r="AA947" s="4">
        <f>IF($S947=Lookups!$B$113,VLOOKUP(L947,'Points Table C'!A$3:$E$11,5),VLOOKUP(U947,'Points Table C'!B$3:$E$11,4))</f>
        <v>0</v>
      </c>
      <c r="AB947" s="4" t="e">
        <f>IF($Q947=1,0,VLOOKUP($J947,'Points Table C'!$C$3:$E$18,3))</f>
        <v>#N/A</v>
      </c>
      <c r="AC947" s="4">
        <f>VLOOKUP($K947,'Points Table C'!$D$3:$E$18,2)</f>
        <v>0</v>
      </c>
      <c r="AD947" s="4" t="e">
        <f>IF($Z947&lt;Lookups!$C$106,($AA947+AB947+AC947),IF($AA947&gt;=Lookups!$C$120,($AA947+AB947+AC947),$AA947+$AB947))</f>
        <v>#N/A</v>
      </c>
      <c r="AF947" s="7"/>
      <c r="AG947" s="7"/>
      <c r="AH947" s="7"/>
      <c r="AI947" s="7"/>
      <c r="AJ947" s="7"/>
      <c r="AK947" s="7"/>
      <c r="AL947" s="7"/>
      <c r="AM947" s="7"/>
      <c r="AN947" s="7"/>
      <c r="AO947" s="7"/>
      <c r="AP947" s="7"/>
      <c r="AQ947" s="7"/>
      <c r="AR947" s="7"/>
      <c r="AS947" s="7"/>
      <c r="AT947" s="7"/>
      <c r="AU947" s="7"/>
      <c r="AV947" s="7"/>
      <c r="AW947" s="7"/>
      <c r="AY947" s="7"/>
      <c r="AZ947" s="7"/>
      <c r="BA947" s="7"/>
      <c r="BB947" s="7"/>
    </row>
    <row r="948" spans="2:54" x14ac:dyDescent="0.2">
      <c r="B948" s="174"/>
      <c r="C948" s="176"/>
      <c r="F948" s="5">
        <v>0</v>
      </c>
      <c r="G948" s="192">
        <v>0</v>
      </c>
      <c r="H948" s="192">
        <v>0</v>
      </c>
      <c r="I948" s="5">
        <v>0</v>
      </c>
      <c r="J948" s="192">
        <v>0</v>
      </c>
      <c r="K948" s="192">
        <v>0</v>
      </c>
      <c r="L948" s="5">
        <v>0</v>
      </c>
      <c r="M948" s="5">
        <v>0</v>
      </c>
      <c r="N948" s="4" t="e">
        <f t="shared" si="76"/>
        <v>#N/A</v>
      </c>
      <c r="O948" s="4" t="e">
        <f>IF(ROUND(10.499-(((N948-VLOOKUP($C948,Lookups!$A$55:$D$64,3))/(VLOOKUP($C948,Lookups!$A$55:$D$64,4))*VLOOKUP($C948,Lookups!$C$2:$D$11,2))),0)&lt;1,1,IF(ROUND(10.499-(((N948-VLOOKUP($C948,Lookups!$A$55:$D$64,3))/(VLOOKUP($C948,Lookups!$A$55:$D$64,4))*VLOOKUP($C948,Lookups!$C$2:$D$11,2))),0)&lt;11,ROUND(10.499-(((N948-VLOOKUP($C948,Lookups!$A$55:$D$64,3))/(VLOOKUP($C948,Lookups!$A$55:$D$64,4))*VLOOKUP($C948,Lookups!$C$2:$D$11,2))),0),10))</f>
        <v>#N/A</v>
      </c>
      <c r="P948" s="13" t="str">
        <f>IF((SUM(F948:M948)=0),"J",VLOOKUP(O948,Lookups!$A$1:$B$11,2))</f>
        <v>J</v>
      </c>
      <c r="Q948" s="8" t="e">
        <f>VLOOKUP(C948,Lookups!$A$136:$C$144,3)</f>
        <v>#N/A</v>
      </c>
      <c r="R948" s="8" t="e">
        <f>VLOOKUP(C948,Lookups!$A$136:$C$144,2)</f>
        <v>#N/A</v>
      </c>
      <c r="S948" s="4" t="str">
        <f t="shared" si="77"/>
        <v>No</v>
      </c>
      <c r="T948" s="125">
        <f t="shared" si="78"/>
        <v>0</v>
      </c>
      <c r="U948" s="125">
        <f t="shared" si="79"/>
        <v>0</v>
      </c>
      <c r="V948" s="4" t="e">
        <f>IF($Q948&lt;&gt;3,VLOOKUP(F948,'Points Table A'!B$3:$F$33,5),VLOOKUP(F948,'Points Table A'!H$3:$L$33,5))</f>
        <v>#N/A</v>
      </c>
      <c r="W948" s="4" t="e">
        <f>IF($Q948&lt;&gt;3,VLOOKUP(G948,'Points Table A'!C$3:$F$33,4),VLOOKUP(G948,'Points Table A'!I$3:$L$33,4))</f>
        <v>#N/A</v>
      </c>
      <c r="X948" s="4" t="e">
        <f>IF($Q948&lt;&gt;3,VLOOKUP(H948,'Points Table A'!D$3:$F$28,3),VLOOKUP(H948,'Points Table A'!J$3:$L$33,3))</f>
        <v>#N/A</v>
      </c>
      <c r="Y948" s="4" t="e">
        <f>IF($Q948&lt;&gt;3,VLOOKUP(I948,'Points Table A'!E$3:$F$33,2),VLOOKUP(I948,'Points Table A'!K$3:$L$33,2))</f>
        <v>#N/A</v>
      </c>
      <c r="Z948" s="4" t="e">
        <f t="shared" si="80"/>
        <v>#N/A</v>
      </c>
      <c r="AA948" s="4">
        <f>IF($S948=Lookups!$B$113,VLOOKUP(L948,'Points Table C'!A$3:$E$11,5),VLOOKUP(U948,'Points Table C'!B$3:$E$11,4))</f>
        <v>0</v>
      </c>
      <c r="AB948" s="4" t="e">
        <f>IF($Q948=1,0,VLOOKUP($J948,'Points Table C'!$C$3:$E$18,3))</f>
        <v>#N/A</v>
      </c>
      <c r="AC948" s="4">
        <f>VLOOKUP($K948,'Points Table C'!$D$3:$E$18,2)</f>
        <v>0</v>
      </c>
      <c r="AD948" s="4" t="e">
        <f>IF($Z948&lt;Lookups!$C$106,($AA948+AB948+AC948),IF($AA948&gt;=Lookups!$C$120,($AA948+AB948+AC948),$AA948+$AB948))</f>
        <v>#N/A</v>
      </c>
      <c r="AF948" s="7"/>
      <c r="AG948" s="7"/>
      <c r="AH948" s="7"/>
      <c r="AI948" s="7"/>
      <c r="AJ948" s="7"/>
      <c r="AK948" s="7"/>
      <c r="AL948" s="7"/>
      <c r="AM948" s="7"/>
      <c r="AN948" s="7"/>
      <c r="AO948" s="7"/>
      <c r="AP948" s="7"/>
      <c r="AQ948" s="7"/>
      <c r="AR948" s="7"/>
      <c r="AS948" s="7"/>
      <c r="AT948" s="7"/>
      <c r="AU948" s="7"/>
      <c r="AV948" s="7"/>
      <c r="AW948" s="7"/>
      <c r="AY948" s="7"/>
      <c r="AZ948" s="7"/>
      <c r="BA948" s="7"/>
      <c r="BB948" s="7"/>
    </row>
    <row r="949" spans="2:54" x14ac:dyDescent="0.2">
      <c r="B949" s="174"/>
      <c r="C949" s="176"/>
      <c r="F949" s="5">
        <v>0</v>
      </c>
      <c r="G949" s="192">
        <v>0</v>
      </c>
      <c r="H949" s="192">
        <v>0</v>
      </c>
      <c r="I949" s="5">
        <v>0</v>
      </c>
      <c r="J949" s="192">
        <v>0</v>
      </c>
      <c r="K949" s="192">
        <v>0</v>
      </c>
      <c r="L949" s="5">
        <v>0</v>
      </c>
      <c r="M949" s="5">
        <v>0</v>
      </c>
      <c r="N949" s="4" t="e">
        <f t="shared" si="76"/>
        <v>#N/A</v>
      </c>
      <c r="O949" s="4" t="e">
        <f>IF(ROUND(10.499-(((N949-VLOOKUP($C949,Lookups!$A$55:$D$64,3))/(VLOOKUP($C949,Lookups!$A$55:$D$64,4))*VLOOKUP($C949,Lookups!$C$2:$D$11,2))),0)&lt;1,1,IF(ROUND(10.499-(((N949-VLOOKUP($C949,Lookups!$A$55:$D$64,3))/(VLOOKUP($C949,Lookups!$A$55:$D$64,4))*VLOOKUP($C949,Lookups!$C$2:$D$11,2))),0)&lt;11,ROUND(10.499-(((N949-VLOOKUP($C949,Lookups!$A$55:$D$64,3))/(VLOOKUP($C949,Lookups!$A$55:$D$64,4))*VLOOKUP($C949,Lookups!$C$2:$D$11,2))),0),10))</f>
        <v>#N/A</v>
      </c>
      <c r="P949" s="13" t="str">
        <f>IF((SUM(F949:M949)=0),"J",VLOOKUP(O949,Lookups!$A$1:$B$11,2))</f>
        <v>J</v>
      </c>
      <c r="Q949" s="8" t="e">
        <f>VLOOKUP(C949,Lookups!$A$136:$C$144,3)</f>
        <v>#N/A</v>
      </c>
      <c r="R949" s="8" t="e">
        <f>VLOOKUP(C949,Lookups!$A$136:$C$144,2)</f>
        <v>#N/A</v>
      </c>
      <c r="S949" s="4" t="str">
        <f t="shared" si="77"/>
        <v>No</v>
      </c>
      <c r="T949" s="125">
        <f t="shared" si="78"/>
        <v>0</v>
      </c>
      <c r="U949" s="125">
        <f t="shared" si="79"/>
        <v>0</v>
      </c>
      <c r="V949" s="4" t="e">
        <f>IF($Q949&lt;&gt;3,VLOOKUP(F949,'Points Table A'!B$3:$F$33,5),VLOOKUP(F949,'Points Table A'!H$3:$L$33,5))</f>
        <v>#N/A</v>
      </c>
      <c r="W949" s="4" t="e">
        <f>IF($Q949&lt;&gt;3,VLOOKUP(G949,'Points Table A'!C$3:$F$33,4),VLOOKUP(G949,'Points Table A'!I$3:$L$33,4))</f>
        <v>#N/A</v>
      </c>
      <c r="X949" s="4" t="e">
        <f>IF($Q949&lt;&gt;3,VLOOKUP(H949,'Points Table A'!D$3:$F$28,3),VLOOKUP(H949,'Points Table A'!J$3:$L$33,3))</f>
        <v>#N/A</v>
      </c>
      <c r="Y949" s="4" t="e">
        <f>IF($Q949&lt;&gt;3,VLOOKUP(I949,'Points Table A'!E$3:$F$33,2),VLOOKUP(I949,'Points Table A'!K$3:$L$33,2))</f>
        <v>#N/A</v>
      </c>
      <c r="Z949" s="4" t="e">
        <f t="shared" si="80"/>
        <v>#N/A</v>
      </c>
      <c r="AA949" s="4">
        <f>IF($S949=Lookups!$B$113,VLOOKUP(L949,'Points Table C'!A$3:$E$11,5),VLOOKUP(U949,'Points Table C'!B$3:$E$11,4))</f>
        <v>0</v>
      </c>
      <c r="AB949" s="4" t="e">
        <f>IF($Q949=1,0,VLOOKUP($J949,'Points Table C'!$C$3:$E$18,3))</f>
        <v>#N/A</v>
      </c>
      <c r="AC949" s="4">
        <f>VLOOKUP($K949,'Points Table C'!$D$3:$E$18,2)</f>
        <v>0</v>
      </c>
      <c r="AD949" s="4" t="e">
        <f>IF($Z949&lt;Lookups!$C$106,($AA949+AB949+AC949),IF($AA949&gt;=Lookups!$C$120,($AA949+AB949+AC949),$AA949+$AB949))</f>
        <v>#N/A</v>
      </c>
      <c r="AF949" s="7"/>
      <c r="AG949" s="7"/>
      <c r="AH949" s="7"/>
      <c r="AI949" s="7"/>
      <c r="AJ949" s="7"/>
      <c r="AK949" s="7"/>
      <c r="AL949" s="7"/>
      <c r="AM949" s="7"/>
      <c r="AN949" s="7"/>
      <c r="AO949" s="7"/>
      <c r="AP949" s="7"/>
      <c r="AQ949" s="7"/>
      <c r="AR949" s="7"/>
      <c r="AS949" s="7"/>
      <c r="AT949" s="7"/>
      <c r="AU949" s="7"/>
      <c r="AV949" s="7"/>
      <c r="AW949" s="7"/>
      <c r="AY949" s="7"/>
      <c r="AZ949" s="7"/>
      <c r="BA949" s="7"/>
      <c r="BB949" s="7"/>
    </row>
    <row r="950" spans="2:54" x14ac:dyDescent="0.2">
      <c r="B950" s="174"/>
      <c r="C950" s="176"/>
      <c r="F950" s="5">
        <v>0</v>
      </c>
      <c r="G950" s="192">
        <v>0</v>
      </c>
      <c r="H950" s="192">
        <v>0</v>
      </c>
      <c r="I950" s="5">
        <v>0</v>
      </c>
      <c r="J950" s="192">
        <v>0</v>
      </c>
      <c r="K950" s="192">
        <v>0</v>
      </c>
      <c r="L950" s="5">
        <v>0</v>
      </c>
      <c r="M950" s="5">
        <v>0</v>
      </c>
      <c r="N950" s="4" t="e">
        <f t="shared" si="76"/>
        <v>#N/A</v>
      </c>
      <c r="O950" s="4" t="e">
        <f>IF(ROUND(10.499-(((N950-VLOOKUP($C950,Lookups!$A$55:$D$64,3))/(VLOOKUP($C950,Lookups!$A$55:$D$64,4))*VLOOKUP($C950,Lookups!$C$2:$D$11,2))),0)&lt;1,1,IF(ROUND(10.499-(((N950-VLOOKUP($C950,Lookups!$A$55:$D$64,3))/(VLOOKUP($C950,Lookups!$A$55:$D$64,4))*VLOOKUP($C950,Lookups!$C$2:$D$11,2))),0)&lt;11,ROUND(10.499-(((N950-VLOOKUP($C950,Lookups!$A$55:$D$64,3))/(VLOOKUP($C950,Lookups!$A$55:$D$64,4))*VLOOKUP($C950,Lookups!$C$2:$D$11,2))),0),10))</f>
        <v>#N/A</v>
      </c>
      <c r="P950" s="13" t="str">
        <f>IF((SUM(F950:M950)=0),"J",VLOOKUP(O950,Lookups!$A$1:$B$11,2))</f>
        <v>J</v>
      </c>
      <c r="Q950" s="8" t="e">
        <f>VLOOKUP(C950,Lookups!$A$136:$C$144,3)</f>
        <v>#N/A</v>
      </c>
      <c r="R950" s="8" t="e">
        <f>VLOOKUP(C950,Lookups!$A$136:$C$144,2)</f>
        <v>#N/A</v>
      </c>
      <c r="S950" s="4" t="str">
        <f t="shared" si="77"/>
        <v>No</v>
      </c>
      <c r="T950" s="125">
        <f t="shared" si="78"/>
        <v>0</v>
      </c>
      <c r="U950" s="125">
        <f t="shared" si="79"/>
        <v>0</v>
      </c>
      <c r="V950" s="4" t="e">
        <f>IF($Q950&lt;&gt;3,VLOOKUP(F950,'Points Table A'!B$3:$F$33,5),VLOOKUP(F950,'Points Table A'!H$3:$L$33,5))</f>
        <v>#N/A</v>
      </c>
      <c r="W950" s="4" t="e">
        <f>IF($Q950&lt;&gt;3,VLOOKUP(G950,'Points Table A'!C$3:$F$33,4),VLOOKUP(G950,'Points Table A'!I$3:$L$33,4))</f>
        <v>#N/A</v>
      </c>
      <c r="X950" s="4" t="e">
        <f>IF($Q950&lt;&gt;3,VLOOKUP(H950,'Points Table A'!D$3:$F$28,3),VLOOKUP(H950,'Points Table A'!J$3:$L$33,3))</f>
        <v>#N/A</v>
      </c>
      <c r="Y950" s="4" t="e">
        <f>IF($Q950&lt;&gt;3,VLOOKUP(I950,'Points Table A'!E$3:$F$33,2),VLOOKUP(I950,'Points Table A'!K$3:$L$33,2))</f>
        <v>#N/A</v>
      </c>
      <c r="Z950" s="4" t="e">
        <f t="shared" si="80"/>
        <v>#N/A</v>
      </c>
      <c r="AA950" s="4">
        <f>IF($S950=Lookups!$B$113,VLOOKUP(L950,'Points Table C'!A$3:$E$11,5),VLOOKUP(U950,'Points Table C'!B$3:$E$11,4))</f>
        <v>0</v>
      </c>
      <c r="AB950" s="4" t="e">
        <f>IF($Q950=1,0,VLOOKUP($J950,'Points Table C'!$C$3:$E$18,3))</f>
        <v>#N/A</v>
      </c>
      <c r="AC950" s="4">
        <f>VLOOKUP($K950,'Points Table C'!$D$3:$E$18,2)</f>
        <v>0</v>
      </c>
      <c r="AD950" s="4" t="e">
        <f>IF($Z950&lt;Lookups!$C$106,($AA950+AB950+AC950),IF($AA950&gt;=Lookups!$C$120,($AA950+AB950+AC950),$AA950+$AB950))</f>
        <v>#N/A</v>
      </c>
      <c r="AF950" s="7"/>
      <c r="AG950" s="7"/>
      <c r="AH950" s="7"/>
      <c r="AI950" s="7"/>
      <c r="AJ950" s="7"/>
      <c r="AK950" s="7"/>
      <c r="AL950" s="7"/>
      <c r="AM950" s="7"/>
      <c r="AN950" s="7"/>
      <c r="AO950" s="7"/>
      <c r="AP950" s="7"/>
      <c r="AQ950" s="7"/>
      <c r="AR950" s="7"/>
      <c r="AS950" s="7"/>
      <c r="AT950" s="7"/>
      <c r="AU950" s="7"/>
      <c r="AV950" s="7"/>
      <c r="AW950" s="7"/>
      <c r="AY950" s="7"/>
      <c r="AZ950" s="7"/>
      <c r="BA950" s="7"/>
      <c r="BB950" s="7"/>
    </row>
    <row r="951" spans="2:54" x14ac:dyDescent="0.2">
      <c r="B951" s="174"/>
      <c r="C951" s="176"/>
      <c r="F951" s="5">
        <v>0</v>
      </c>
      <c r="G951" s="192">
        <v>0</v>
      </c>
      <c r="H951" s="192">
        <v>0</v>
      </c>
      <c r="I951" s="5">
        <v>0</v>
      </c>
      <c r="J951" s="192">
        <v>0</v>
      </c>
      <c r="K951" s="192">
        <v>0</v>
      </c>
      <c r="L951" s="5">
        <v>0</v>
      </c>
      <c r="M951" s="5">
        <v>0</v>
      </c>
      <c r="N951" s="4" t="e">
        <f t="shared" si="76"/>
        <v>#N/A</v>
      </c>
      <c r="O951" s="4" t="e">
        <f>IF(ROUND(10.499-(((N951-VLOOKUP($C951,Lookups!$A$55:$D$64,3))/(VLOOKUP($C951,Lookups!$A$55:$D$64,4))*VLOOKUP($C951,Lookups!$C$2:$D$11,2))),0)&lt;1,1,IF(ROUND(10.499-(((N951-VLOOKUP($C951,Lookups!$A$55:$D$64,3))/(VLOOKUP($C951,Lookups!$A$55:$D$64,4))*VLOOKUP($C951,Lookups!$C$2:$D$11,2))),0)&lt;11,ROUND(10.499-(((N951-VLOOKUP($C951,Lookups!$A$55:$D$64,3))/(VLOOKUP($C951,Lookups!$A$55:$D$64,4))*VLOOKUP($C951,Lookups!$C$2:$D$11,2))),0),10))</f>
        <v>#N/A</v>
      </c>
      <c r="P951" s="13" t="str">
        <f>IF((SUM(F951:M951)=0),"J",VLOOKUP(O951,Lookups!$A$1:$B$11,2))</f>
        <v>J</v>
      </c>
      <c r="Q951" s="8" t="e">
        <f>VLOOKUP(C951,Lookups!$A$136:$C$144,3)</f>
        <v>#N/A</v>
      </c>
      <c r="R951" s="8" t="e">
        <f>VLOOKUP(C951,Lookups!$A$136:$C$144,2)</f>
        <v>#N/A</v>
      </c>
      <c r="S951" s="4" t="str">
        <f t="shared" si="77"/>
        <v>No</v>
      </c>
      <c r="T951" s="125">
        <f t="shared" si="78"/>
        <v>0</v>
      </c>
      <c r="U951" s="125">
        <f t="shared" si="79"/>
        <v>0</v>
      </c>
      <c r="V951" s="4" t="e">
        <f>IF($Q951&lt;&gt;3,VLOOKUP(F951,'Points Table A'!B$3:$F$33,5),VLOOKUP(F951,'Points Table A'!H$3:$L$33,5))</f>
        <v>#N/A</v>
      </c>
      <c r="W951" s="4" t="e">
        <f>IF($Q951&lt;&gt;3,VLOOKUP(G951,'Points Table A'!C$3:$F$33,4),VLOOKUP(G951,'Points Table A'!I$3:$L$33,4))</f>
        <v>#N/A</v>
      </c>
      <c r="X951" s="4" t="e">
        <f>IF($Q951&lt;&gt;3,VLOOKUP(H951,'Points Table A'!D$3:$F$28,3),VLOOKUP(H951,'Points Table A'!J$3:$L$33,3))</f>
        <v>#N/A</v>
      </c>
      <c r="Y951" s="4" t="e">
        <f>IF($Q951&lt;&gt;3,VLOOKUP(I951,'Points Table A'!E$3:$F$33,2),VLOOKUP(I951,'Points Table A'!K$3:$L$33,2))</f>
        <v>#N/A</v>
      </c>
      <c r="Z951" s="4" t="e">
        <f t="shared" si="80"/>
        <v>#N/A</v>
      </c>
      <c r="AA951" s="4">
        <f>IF($S951=Lookups!$B$113,VLOOKUP(L951,'Points Table C'!A$3:$E$11,5),VLOOKUP(U951,'Points Table C'!B$3:$E$11,4))</f>
        <v>0</v>
      </c>
      <c r="AB951" s="4" t="e">
        <f>IF($Q951=1,0,VLOOKUP($J951,'Points Table C'!$C$3:$E$18,3))</f>
        <v>#N/A</v>
      </c>
      <c r="AC951" s="4">
        <f>VLOOKUP($K951,'Points Table C'!$D$3:$E$18,2)</f>
        <v>0</v>
      </c>
      <c r="AD951" s="4" t="e">
        <f>IF($Z951&lt;Lookups!$C$106,($AA951+AB951+AC951),IF($AA951&gt;=Lookups!$C$120,($AA951+AB951+AC951),$AA951+$AB951))</f>
        <v>#N/A</v>
      </c>
      <c r="AF951" s="7"/>
      <c r="AG951" s="7"/>
      <c r="AH951" s="7"/>
      <c r="AI951" s="7"/>
      <c r="AJ951" s="7"/>
      <c r="AK951" s="7"/>
      <c r="AL951" s="7"/>
      <c r="AM951" s="7"/>
      <c r="AN951" s="7"/>
      <c r="AO951" s="7"/>
      <c r="AP951" s="7"/>
      <c r="AQ951" s="7"/>
      <c r="AR951" s="7"/>
      <c r="AS951" s="7"/>
      <c r="AT951" s="7"/>
      <c r="AU951" s="7"/>
      <c r="AV951" s="7"/>
      <c r="AW951" s="7"/>
      <c r="AY951" s="7"/>
      <c r="AZ951" s="7"/>
      <c r="BA951" s="7"/>
      <c r="BB951" s="7"/>
    </row>
    <row r="952" spans="2:54" x14ac:dyDescent="0.2">
      <c r="B952" s="174"/>
      <c r="C952" s="176"/>
      <c r="F952" s="5">
        <v>0</v>
      </c>
      <c r="G952" s="192">
        <v>0</v>
      </c>
      <c r="H952" s="192">
        <v>0</v>
      </c>
      <c r="I952" s="5">
        <v>0</v>
      </c>
      <c r="J952" s="192">
        <v>0</v>
      </c>
      <c r="K952" s="192">
        <v>0</v>
      </c>
      <c r="L952" s="5">
        <v>0</v>
      </c>
      <c r="M952" s="5">
        <v>0</v>
      </c>
      <c r="N952" s="4" t="e">
        <f t="shared" si="76"/>
        <v>#N/A</v>
      </c>
      <c r="O952" s="4" t="e">
        <f>IF(ROUND(10.499-(((N952-VLOOKUP($C952,Lookups!$A$55:$D$64,3))/(VLOOKUP($C952,Lookups!$A$55:$D$64,4))*VLOOKUP($C952,Lookups!$C$2:$D$11,2))),0)&lt;1,1,IF(ROUND(10.499-(((N952-VLOOKUP($C952,Lookups!$A$55:$D$64,3))/(VLOOKUP($C952,Lookups!$A$55:$D$64,4))*VLOOKUP($C952,Lookups!$C$2:$D$11,2))),0)&lt;11,ROUND(10.499-(((N952-VLOOKUP($C952,Lookups!$A$55:$D$64,3))/(VLOOKUP($C952,Lookups!$A$55:$D$64,4))*VLOOKUP($C952,Lookups!$C$2:$D$11,2))),0),10))</f>
        <v>#N/A</v>
      </c>
      <c r="P952" s="13" t="str">
        <f>IF((SUM(F952:M952)=0),"J",VLOOKUP(O952,Lookups!$A$1:$B$11,2))</f>
        <v>J</v>
      </c>
      <c r="Q952" s="8" t="e">
        <f>VLOOKUP(C952,Lookups!$A$136:$C$144,3)</f>
        <v>#N/A</v>
      </c>
      <c r="R952" s="8" t="e">
        <f>VLOOKUP(C952,Lookups!$A$136:$C$144,2)</f>
        <v>#N/A</v>
      </c>
      <c r="S952" s="4" t="str">
        <f t="shared" si="77"/>
        <v>No</v>
      </c>
      <c r="T952" s="125">
        <f t="shared" si="78"/>
        <v>0</v>
      </c>
      <c r="U952" s="125">
        <f t="shared" si="79"/>
        <v>0</v>
      </c>
      <c r="V952" s="4" t="e">
        <f>IF($Q952&lt;&gt;3,VLOOKUP(F952,'Points Table A'!B$3:$F$33,5),VLOOKUP(F952,'Points Table A'!H$3:$L$33,5))</f>
        <v>#N/A</v>
      </c>
      <c r="W952" s="4" t="e">
        <f>IF($Q952&lt;&gt;3,VLOOKUP(G952,'Points Table A'!C$3:$F$33,4),VLOOKUP(G952,'Points Table A'!I$3:$L$33,4))</f>
        <v>#N/A</v>
      </c>
      <c r="X952" s="4" t="e">
        <f>IF($Q952&lt;&gt;3,VLOOKUP(H952,'Points Table A'!D$3:$F$28,3),VLOOKUP(H952,'Points Table A'!J$3:$L$33,3))</f>
        <v>#N/A</v>
      </c>
      <c r="Y952" s="4" t="e">
        <f>IF($Q952&lt;&gt;3,VLOOKUP(I952,'Points Table A'!E$3:$F$33,2),VLOOKUP(I952,'Points Table A'!K$3:$L$33,2))</f>
        <v>#N/A</v>
      </c>
      <c r="Z952" s="4" t="e">
        <f t="shared" si="80"/>
        <v>#N/A</v>
      </c>
      <c r="AA952" s="4">
        <f>IF($S952=Lookups!$B$113,VLOOKUP(L952,'Points Table C'!A$3:$E$11,5),VLOOKUP(U952,'Points Table C'!B$3:$E$11,4))</f>
        <v>0</v>
      </c>
      <c r="AB952" s="4" t="e">
        <f>IF($Q952=1,0,VLOOKUP($J952,'Points Table C'!$C$3:$E$18,3))</f>
        <v>#N/A</v>
      </c>
      <c r="AC952" s="4">
        <f>VLOOKUP($K952,'Points Table C'!$D$3:$E$18,2)</f>
        <v>0</v>
      </c>
      <c r="AD952" s="4" t="e">
        <f>IF($Z952&lt;Lookups!$C$106,($AA952+AB952+AC952),IF($AA952&gt;=Lookups!$C$120,($AA952+AB952+AC952),$AA952+$AB952))</f>
        <v>#N/A</v>
      </c>
      <c r="AF952" s="7"/>
      <c r="AG952" s="7"/>
      <c r="AH952" s="7"/>
      <c r="AI952" s="7"/>
      <c r="AJ952" s="7"/>
      <c r="AK952" s="7"/>
      <c r="AL952" s="7"/>
      <c r="AM952" s="7"/>
      <c r="AN952" s="7"/>
      <c r="AO952" s="7"/>
      <c r="AP952" s="7"/>
      <c r="AQ952" s="7"/>
      <c r="AR952" s="7"/>
      <c r="AS952" s="7"/>
      <c r="AT952" s="7"/>
      <c r="AU952" s="7"/>
      <c r="AV952" s="7"/>
      <c r="AW952" s="7"/>
      <c r="AY952" s="7"/>
      <c r="AZ952" s="7"/>
      <c r="BA952" s="7"/>
      <c r="BB952" s="7"/>
    </row>
    <row r="953" spans="2:54" x14ac:dyDescent="0.2">
      <c r="B953" s="174"/>
      <c r="C953" s="176"/>
      <c r="F953" s="5">
        <v>0</v>
      </c>
      <c r="G953" s="192">
        <v>0</v>
      </c>
      <c r="H953" s="192">
        <v>0</v>
      </c>
      <c r="I953" s="5">
        <v>0</v>
      </c>
      <c r="J953" s="192">
        <v>0</v>
      </c>
      <c r="K953" s="192">
        <v>0</v>
      </c>
      <c r="L953" s="5">
        <v>0</v>
      </c>
      <c r="M953" s="5">
        <v>0</v>
      </c>
      <c r="N953" s="4" t="e">
        <f t="shared" ref="N953:N1000" si="81">$Z953-$AD953</f>
        <v>#N/A</v>
      </c>
      <c r="O953" s="4" t="e">
        <f>IF(ROUND(10.499-(((N953-VLOOKUP($C953,Lookups!$A$55:$D$64,3))/(VLOOKUP($C953,Lookups!$A$55:$D$64,4))*VLOOKUP($C953,Lookups!$C$2:$D$11,2))),0)&lt;1,1,IF(ROUND(10.499-(((N953-VLOOKUP($C953,Lookups!$A$55:$D$64,3))/(VLOOKUP($C953,Lookups!$A$55:$D$64,4))*VLOOKUP($C953,Lookups!$C$2:$D$11,2))),0)&lt;11,ROUND(10.499-(((N953-VLOOKUP($C953,Lookups!$A$55:$D$64,3))/(VLOOKUP($C953,Lookups!$A$55:$D$64,4))*VLOOKUP($C953,Lookups!$C$2:$D$11,2))),0),10))</f>
        <v>#N/A</v>
      </c>
      <c r="P953" s="13" t="str">
        <f>IF((SUM(F953:M953)=0),"J",VLOOKUP(O953,Lookups!$A$1:$B$11,2))</f>
        <v>J</v>
      </c>
      <c r="Q953" s="8" t="e">
        <f>VLOOKUP(C953,Lookups!$A$136:$C$144,3)</f>
        <v>#N/A</v>
      </c>
      <c r="R953" s="8" t="e">
        <f>VLOOKUP(C953,Lookups!$A$136:$C$144,2)</f>
        <v>#N/A</v>
      </c>
      <c r="S953" s="4" t="str">
        <f t="shared" si="77"/>
        <v>No</v>
      </c>
      <c r="T953" s="125">
        <f t="shared" si="78"/>
        <v>0</v>
      </c>
      <c r="U953" s="125">
        <f t="shared" si="79"/>
        <v>0</v>
      </c>
      <c r="V953" s="4" t="e">
        <f>IF($Q953&lt;&gt;3,VLOOKUP(F953,'Points Table A'!B$3:$F$33,5),VLOOKUP(F953,'Points Table A'!H$3:$L$33,5))</f>
        <v>#N/A</v>
      </c>
      <c r="W953" s="4" t="e">
        <f>IF($Q953&lt;&gt;3,VLOOKUP(G953,'Points Table A'!C$3:$F$33,4),VLOOKUP(G953,'Points Table A'!I$3:$L$33,4))</f>
        <v>#N/A</v>
      </c>
      <c r="X953" s="4" t="e">
        <f>IF($Q953&lt;&gt;3,VLOOKUP(H953,'Points Table A'!D$3:$F$28,3),VLOOKUP(H953,'Points Table A'!J$3:$L$33,3))</f>
        <v>#N/A</v>
      </c>
      <c r="Y953" s="4" t="e">
        <f>IF($Q953&lt;&gt;3,VLOOKUP(I953,'Points Table A'!E$3:$F$33,2),VLOOKUP(I953,'Points Table A'!K$3:$L$33,2))</f>
        <v>#N/A</v>
      </c>
      <c r="Z953" s="4" t="e">
        <f t="shared" si="80"/>
        <v>#N/A</v>
      </c>
      <c r="AA953" s="4">
        <f>IF($S953=Lookups!$B$113,VLOOKUP(L953,'Points Table C'!A$3:$E$11,5),VLOOKUP(U953,'Points Table C'!B$3:$E$11,4))</f>
        <v>0</v>
      </c>
      <c r="AB953" s="4" t="e">
        <f>IF($Q953=1,0,VLOOKUP($J953,'Points Table C'!$C$3:$E$18,3))</f>
        <v>#N/A</v>
      </c>
      <c r="AC953" s="4">
        <f>VLOOKUP($K953,'Points Table C'!$D$3:$E$18,2)</f>
        <v>0</v>
      </c>
      <c r="AD953" s="4" t="e">
        <f>IF($Z953&lt;Lookups!$C$106,($AA953+AB953+AC953),IF($AA953&gt;=Lookups!$C$120,($AA953+AB953+AC953),$AA953+$AB953))</f>
        <v>#N/A</v>
      </c>
      <c r="AF953" s="7"/>
      <c r="AG953" s="7"/>
      <c r="AH953" s="7"/>
      <c r="AI953" s="7"/>
      <c r="AJ953" s="7"/>
      <c r="AK953" s="7"/>
      <c r="AL953" s="7"/>
      <c r="AM953" s="7"/>
      <c r="AN953" s="7"/>
      <c r="AO953" s="7"/>
      <c r="AP953" s="7"/>
      <c r="AQ953" s="7"/>
      <c r="AR953" s="7"/>
      <c r="AS953" s="7"/>
      <c r="AT953" s="7"/>
      <c r="AU953" s="7"/>
      <c r="AV953" s="7"/>
      <c r="AW953" s="7"/>
      <c r="AY953" s="7"/>
      <c r="AZ953" s="7"/>
      <c r="BA953" s="7"/>
      <c r="BB953" s="7"/>
    </row>
    <row r="954" spans="2:54" x14ac:dyDescent="0.2">
      <c r="B954" s="174"/>
      <c r="C954" s="176"/>
      <c r="F954" s="5">
        <v>0</v>
      </c>
      <c r="G954" s="192">
        <v>0</v>
      </c>
      <c r="H954" s="192">
        <v>0</v>
      </c>
      <c r="I954" s="5">
        <v>0</v>
      </c>
      <c r="J954" s="192">
        <v>0</v>
      </c>
      <c r="K954" s="192">
        <v>0</v>
      </c>
      <c r="L954" s="5">
        <v>0</v>
      </c>
      <c r="M954" s="5">
        <v>0</v>
      </c>
      <c r="N954" s="4" t="e">
        <f t="shared" si="81"/>
        <v>#N/A</v>
      </c>
      <c r="O954" s="4" t="e">
        <f>IF(ROUND(10.499-(((N954-VLOOKUP($C954,Lookups!$A$55:$D$64,3))/(VLOOKUP($C954,Lookups!$A$55:$D$64,4))*VLOOKUP($C954,Lookups!$C$2:$D$11,2))),0)&lt;1,1,IF(ROUND(10.499-(((N954-VLOOKUP($C954,Lookups!$A$55:$D$64,3))/(VLOOKUP($C954,Lookups!$A$55:$D$64,4))*VLOOKUP($C954,Lookups!$C$2:$D$11,2))),0)&lt;11,ROUND(10.499-(((N954-VLOOKUP($C954,Lookups!$A$55:$D$64,3))/(VLOOKUP($C954,Lookups!$A$55:$D$64,4))*VLOOKUP($C954,Lookups!$C$2:$D$11,2))),0),10))</f>
        <v>#N/A</v>
      </c>
      <c r="P954" s="13" t="str">
        <f>IF((SUM(F954:M954)=0),"J",VLOOKUP(O954,Lookups!$A$1:$B$11,2))</f>
        <v>J</v>
      </c>
      <c r="Q954" s="8" t="e">
        <f>VLOOKUP(C954,Lookups!$A$136:$C$144,3)</f>
        <v>#N/A</v>
      </c>
      <c r="R954" s="8" t="e">
        <f>VLOOKUP(C954,Lookups!$A$136:$C$144,2)</f>
        <v>#N/A</v>
      </c>
      <c r="S954" s="4" t="str">
        <f t="shared" si="77"/>
        <v>No</v>
      </c>
      <c r="T954" s="125">
        <f t="shared" si="78"/>
        <v>0</v>
      </c>
      <c r="U954" s="125">
        <f t="shared" si="79"/>
        <v>0</v>
      </c>
      <c r="V954" s="4" t="e">
        <f>IF($Q954&lt;&gt;3,VLOOKUP(F954,'Points Table A'!B$3:$F$33,5),VLOOKUP(F954,'Points Table A'!H$3:$L$33,5))</f>
        <v>#N/A</v>
      </c>
      <c r="W954" s="4" t="e">
        <f>IF($Q954&lt;&gt;3,VLOOKUP(G954,'Points Table A'!C$3:$F$33,4),VLOOKUP(G954,'Points Table A'!I$3:$L$33,4))</f>
        <v>#N/A</v>
      </c>
      <c r="X954" s="4" t="e">
        <f>IF($Q954&lt;&gt;3,VLOOKUP(H954,'Points Table A'!D$3:$F$28,3),VLOOKUP(H954,'Points Table A'!J$3:$L$33,3))</f>
        <v>#N/A</v>
      </c>
      <c r="Y954" s="4" t="e">
        <f>IF($Q954&lt;&gt;3,VLOOKUP(I954,'Points Table A'!E$3:$F$33,2),VLOOKUP(I954,'Points Table A'!K$3:$L$33,2))</f>
        <v>#N/A</v>
      </c>
      <c r="Z954" s="4" t="e">
        <f t="shared" si="80"/>
        <v>#N/A</v>
      </c>
      <c r="AA954" s="4">
        <f>IF($S954=Lookups!$B$113,VLOOKUP(L954,'Points Table C'!A$3:$E$11,5),VLOOKUP(U954,'Points Table C'!B$3:$E$11,4))</f>
        <v>0</v>
      </c>
      <c r="AB954" s="4" t="e">
        <f>IF($Q954=1,0,VLOOKUP($J954,'Points Table C'!$C$3:$E$18,3))</f>
        <v>#N/A</v>
      </c>
      <c r="AC954" s="4">
        <f>VLOOKUP($K954,'Points Table C'!$D$3:$E$18,2)</f>
        <v>0</v>
      </c>
      <c r="AD954" s="4" t="e">
        <f>IF($Z954&lt;Lookups!$C$106,($AA954+AB954+AC954),IF($AA954&gt;=Lookups!$C$120,($AA954+AB954+AC954),$AA954+$AB954))</f>
        <v>#N/A</v>
      </c>
      <c r="AF954" s="7"/>
      <c r="AG954" s="7"/>
      <c r="AH954" s="7"/>
      <c r="AI954" s="7"/>
      <c r="AJ954" s="7"/>
      <c r="AK954" s="7"/>
      <c r="AL954" s="7"/>
      <c r="AM954" s="7"/>
      <c r="AN954" s="7"/>
      <c r="AO954" s="7"/>
      <c r="AP954" s="7"/>
      <c r="AQ954" s="7"/>
      <c r="AR954" s="7"/>
      <c r="AS954" s="7"/>
      <c r="AT954" s="7"/>
      <c r="AU954" s="7"/>
      <c r="AV954" s="7"/>
      <c r="AW954" s="7"/>
      <c r="AY954" s="7"/>
      <c r="AZ954" s="7"/>
      <c r="BA954" s="7"/>
      <c r="BB954" s="7"/>
    </row>
    <row r="955" spans="2:54" x14ac:dyDescent="0.2">
      <c r="B955" s="174"/>
      <c r="C955" s="176"/>
      <c r="F955" s="5">
        <v>0</v>
      </c>
      <c r="G955" s="192">
        <v>0</v>
      </c>
      <c r="H955" s="192">
        <v>0</v>
      </c>
      <c r="I955" s="5">
        <v>0</v>
      </c>
      <c r="J955" s="192">
        <v>0</v>
      </c>
      <c r="K955" s="192">
        <v>0</v>
      </c>
      <c r="L955" s="5">
        <v>0</v>
      </c>
      <c r="M955" s="5">
        <v>0</v>
      </c>
      <c r="N955" s="4" t="e">
        <f t="shared" si="81"/>
        <v>#N/A</v>
      </c>
      <c r="O955" s="4" t="e">
        <f>IF(ROUND(10.499-(((N955-VLOOKUP($C955,Lookups!$A$55:$D$64,3))/(VLOOKUP($C955,Lookups!$A$55:$D$64,4))*VLOOKUP($C955,Lookups!$C$2:$D$11,2))),0)&lt;1,1,IF(ROUND(10.499-(((N955-VLOOKUP($C955,Lookups!$A$55:$D$64,3))/(VLOOKUP($C955,Lookups!$A$55:$D$64,4))*VLOOKUP($C955,Lookups!$C$2:$D$11,2))),0)&lt;11,ROUND(10.499-(((N955-VLOOKUP($C955,Lookups!$A$55:$D$64,3))/(VLOOKUP($C955,Lookups!$A$55:$D$64,4))*VLOOKUP($C955,Lookups!$C$2:$D$11,2))),0),10))</f>
        <v>#N/A</v>
      </c>
      <c r="P955" s="13" t="str">
        <f>IF((SUM(F955:M955)=0),"J",VLOOKUP(O955,Lookups!$A$1:$B$11,2))</f>
        <v>J</v>
      </c>
      <c r="Q955" s="8" t="e">
        <f>VLOOKUP(C955,Lookups!$A$136:$C$144,3)</f>
        <v>#N/A</v>
      </c>
      <c r="R955" s="8" t="e">
        <f>VLOOKUP(C955,Lookups!$A$136:$C$144,2)</f>
        <v>#N/A</v>
      </c>
      <c r="S955" s="4" t="str">
        <f t="shared" si="77"/>
        <v>No</v>
      </c>
      <c r="T955" s="125">
        <f t="shared" si="78"/>
        <v>0</v>
      </c>
      <c r="U955" s="125">
        <f t="shared" si="79"/>
        <v>0</v>
      </c>
      <c r="V955" s="4" t="e">
        <f>IF($Q955&lt;&gt;3,VLOOKUP(F955,'Points Table A'!B$3:$F$33,5),VLOOKUP(F955,'Points Table A'!H$3:$L$33,5))</f>
        <v>#N/A</v>
      </c>
      <c r="W955" s="4" t="e">
        <f>IF($Q955&lt;&gt;3,VLOOKUP(G955,'Points Table A'!C$3:$F$33,4),VLOOKUP(G955,'Points Table A'!I$3:$L$33,4))</f>
        <v>#N/A</v>
      </c>
      <c r="X955" s="4" t="e">
        <f>IF($Q955&lt;&gt;3,VLOOKUP(H955,'Points Table A'!D$3:$F$28,3),VLOOKUP(H955,'Points Table A'!J$3:$L$33,3))</f>
        <v>#N/A</v>
      </c>
      <c r="Y955" s="4" t="e">
        <f>IF($Q955&lt;&gt;3,VLOOKUP(I955,'Points Table A'!E$3:$F$33,2),VLOOKUP(I955,'Points Table A'!K$3:$L$33,2))</f>
        <v>#N/A</v>
      </c>
      <c r="Z955" s="4" t="e">
        <f t="shared" si="80"/>
        <v>#N/A</v>
      </c>
      <c r="AA955" s="4">
        <f>IF($S955=Lookups!$B$113,VLOOKUP(L955,'Points Table C'!A$3:$E$11,5),VLOOKUP(U955,'Points Table C'!B$3:$E$11,4))</f>
        <v>0</v>
      </c>
      <c r="AB955" s="4" t="e">
        <f>IF($Q955=1,0,VLOOKUP($J955,'Points Table C'!$C$3:$E$18,3))</f>
        <v>#N/A</v>
      </c>
      <c r="AC955" s="4">
        <f>VLOOKUP($K955,'Points Table C'!$D$3:$E$18,2)</f>
        <v>0</v>
      </c>
      <c r="AD955" s="4" t="e">
        <f>IF($Z955&lt;Lookups!$C$106,($AA955+AB955+AC955),IF($AA955&gt;=Lookups!$C$120,($AA955+AB955+AC955),$AA955+$AB955))</f>
        <v>#N/A</v>
      </c>
      <c r="AF955" s="7"/>
      <c r="AG955" s="7"/>
      <c r="AH955" s="7"/>
      <c r="AI955" s="7"/>
      <c r="AJ955" s="7"/>
      <c r="AK955" s="7"/>
      <c r="AL955" s="7"/>
      <c r="AM955" s="7"/>
      <c r="AN955" s="7"/>
      <c r="AO955" s="7"/>
      <c r="AP955" s="7"/>
      <c r="AQ955" s="7"/>
      <c r="AR955" s="7"/>
      <c r="AS955" s="7"/>
      <c r="AT955" s="7"/>
      <c r="AU955" s="7"/>
      <c r="AV955" s="7"/>
      <c r="AW955" s="7"/>
      <c r="AY955" s="7"/>
      <c r="AZ955" s="7"/>
      <c r="BA955" s="7"/>
      <c r="BB955" s="7"/>
    </row>
    <row r="956" spans="2:54" x14ac:dyDescent="0.2">
      <c r="B956" s="174"/>
      <c r="C956" s="176"/>
      <c r="F956" s="5">
        <v>0</v>
      </c>
      <c r="G956" s="192">
        <v>0</v>
      </c>
      <c r="H956" s="192">
        <v>0</v>
      </c>
      <c r="I956" s="5">
        <v>0</v>
      </c>
      <c r="J956" s="192">
        <v>0</v>
      </c>
      <c r="K956" s="192">
        <v>0</v>
      </c>
      <c r="L956" s="5">
        <v>0</v>
      </c>
      <c r="M956" s="5">
        <v>0</v>
      </c>
      <c r="N956" s="4" t="e">
        <f t="shared" si="81"/>
        <v>#N/A</v>
      </c>
      <c r="O956" s="4" t="e">
        <f>IF(ROUND(10.499-(((N956-VLOOKUP($C956,Lookups!$A$55:$D$64,3))/(VLOOKUP($C956,Lookups!$A$55:$D$64,4))*VLOOKUP($C956,Lookups!$C$2:$D$11,2))),0)&lt;1,1,IF(ROUND(10.499-(((N956-VLOOKUP($C956,Lookups!$A$55:$D$64,3))/(VLOOKUP($C956,Lookups!$A$55:$D$64,4))*VLOOKUP($C956,Lookups!$C$2:$D$11,2))),0)&lt;11,ROUND(10.499-(((N956-VLOOKUP($C956,Lookups!$A$55:$D$64,3))/(VLOOKUP($C956,Lookups!$A$55:$D$64,4))*VLOOKUP($C956,Lookups!$C$2:$D$11,2))),0),10))</f>
        <v>#N/A</v>
      </c>
      <c r="P956" s="13" t="str">
        <f>IF((SUM(F956:M956)=0),"J",VLOOKUP(O956,Lookups!$A$1:$B$11,2))</f>
        <v>J</v>
      </c>
      <c r="Q956" s="8" t="e">
        <f>VLOOKUP(C956,Lookups!$A$136:$C$144,3)</f>
        <v>#N/A</v>
      </c>
      <c r="R956" s="8" t="e">
        <f>VLOOKUP(C956,Lookups!$A$136:$C$144,2)</f>
        <v>#N/A</v>
      </c>
      <c r="S956" s="4" t="str">
        <f t="shared" si="77"/>
        <v>No</v>
      </c>
      <c r="T956" s="125">
        <f t="shared" si="78"/>
        <v>0</v>
      </c>
      <c r="U956" s="125">
        <f t="shared" si="79"/>
        <v>0</v>
      </c>
      <c r="V956" s="4" t="e">
        <f>IF($Q956&lt;&gt;3,VLOOKUP(F956,'Points Table A'!B$3:$F$33,5),VLOOKUP(F956,'Points Table A'!H$3:$L$33,5))</f>
        <v>#N/A</v>
      </c>
      <c r="W956" s="4" t="e">
        <f>IF($Q956&lt;&gt;3,VLOOKUP(G956,'Points Table A'!C$3:$F$33,4),VLOOKUP(G956,'Points Table A'!I$3:$L$33,4))</f>
        <v>#N/A</v>
      </c>
      <c r="X956" s="4" t="e">
        <f>IF($Q956&lt;&gt;3,VLOOKUP(H956,'Points Table A'!D$3:$F$28,3),VLOOKUP(H956,'Points Table A'!J$3:$L$33,3))</f>
        <v>#N/A</v>
      </c>
      <c r="Y956" s="4" t="e">
        <f>IF($Q956&lt;&gt;3,VLOOKUP(I956,'Points Table A'!E$3:$F$33,2),VLOOKUP(I956,'Points Table A'!K$3:$L$33,2))</f>
        <v>#N/A</v>
      </c>
      <c r="Z956" s="4" t="e">
        <f t="shared" si="80"/>
        <v>#N/A</v>
      </c>
      <c r="AA956" s="4">
        <f>IF($S956=Lookups!$B$113,VLOOKUP(L956,'Points Table C'!A$3:$E$11,5),VLOOKUP(U956,'Points Table C'!B$3:$E$11,4))</f>
        <v>0</v>
      </c>
      <c r="AB956" s="4" t="e">
        <f>IF($Q956=1,0,VLOOKUP($J956,'Points Table C'!$C$3:$E$18,3))</f>
        <v>#N/A</v>
      </c>
      <c r="AC956" s="4">
        <f>VLOOKUP($K956,'Points Table C'!$D$3:$E$18,2)</f>
        <v>0</v>
      </c>
      <c r="AD956" s="4" t="e">
        <f>IF($Z956&lt;Lookups!$C$106,($AA956+AB956+AC956),IF($AA956&gt;=Lookups!$C$120,($AA956+AB956+AC956),$AA956+$AB956))</f>
        <v>#N/A</v>
      </c>
      <c r="AF956" s="7"/>
      <c r="AG956" s="7"/>
      <c r="AH956" s="7"/>
      <c r="AI956" s="7"/>
      <c r="AJ956" s="7"/>
      <c r="AK956" s="7"/>
      <c r="AL956" s="7"/>
      <c r="AM956" s="7"/>
      <c r="AN956" s="7"/>
      <c r="AO956" s="7"/>
      <c r="AP956" s="7"/>
      <c r="AQ956" s="7"/>
      <c r="AR956" s="7"/>
      <c r="AS956" s="7"/>
      <c r="AT956" s="7"/>
      <c r="AU956" s="7"/>
      <c r="AV956" s="7"/>
      <c r="AW956" s="7"/>
      <c r="AY956" s="7"/>
      <c r="AZ956" s="7"/>
      <c r="BA956" s="7"/>
      <c r="BB956" s="7"/>
    </row>
    <row r="957" spans="2:54" x14ac:dyDescent="0.2">
      <c r="B957" s="174"/>
      <c r="C957" s="176"/>
      <c r="F957" s="5">
        <v>0</v>
      </c>
      <c r="G957" s="192">
        <v>0</v>
      </c>
      <c r="H957" s="192">
        <v>0</v>
      </c>
      <c r="I957" s="5">
        <v>0</v>
      </c>
      <c r="J957" s="192">
        <v>0</v>
      </c>
      <c r="K957" s="192">
        <v>0</v>
      </c>
      <c r="L957" s="5">
        <v>0</v>
      </c>
      <c r="M957" s="5">
        <v>0</v>
      </c>
      <c r="N957" s="4" t="e">
        <f t="shared" si="81"/>
        <v>#N/A</v>
      </c>
      <c r="O957" s="4" t="e">
        <f>IF(ROUND(10.499-(((N957-VLOOKUP($C957,Lookups!$A$55:$D$64,3))/(VLOOKUP($C957,Lookups!$A$55:$D$64,4))*VLOOKUP($C957,Lookups!$C$2:$D$11,2))),0)&lt;1,1,IF(ROUND(10.499-(((N957-VLOOKUP($C957,Lookups!$A$55:$D$64,3))/(VLOOKUP($C957,Lookups!$A$55:$D$64,4))*VLOOKUP($C957,Lookups!$C$2:$D$11,2))),0)&lt;11,ROUND(10.499-(((N957-VLOOKUP($C957,Lookups!$A$55:$D$64,3))/(VLOOKUP($C957,Lookups!$A$55:$D$64,4))*VLOOKUP($C957,Lookups!$C$2:$D$11,2))),0),10))</f>
        <v>#N/A</v>
      </c>
      <c r="P957" s="13" t="str">
        <f>IF((SUM(F957:M957)=0),"J",VLOOKUP(O957,Lookups!$A$1:$B$11,2))</f>
        <v>J</v>
      </c>
      <c r="Q957" s="8" t="e">
        <f>VLOOKUP(C957,Lookups!$A$136:$C$144,3)</f>
        <v>#N/A</v>
      </c>
      <c r="R957" s="8" t="e">
        <f>VLOOKUP(C957,Lookups!$A$136:$C$144,2)</f>
        <v>#N/A</v>
      </c>
      <c r="S957" s="4" t="str">
        <f t="shared" si="77"/>
        <v>No</v>
      </c>
      <c r="T957" s="125">
        <f t="shared" si="78"/>
        <v>0</v>
      </c>
      <c r="U957" s="125">
        <f t="shared" si="79"/>
        <v>0</v>
      </c>
      <c r="V957" s="4" t="e">
        <f>IF($Q957&lt;&gt;3,VLOOKUP(F957,'Points Table A'!B$3:$F$33,5),VLOOKUP(F957,'Points Table A'!H$3:$L$33,5))</f>
        <v>#N/A</v>
      </c>
      <c r="W957" s="4" t="e">
        <f>IF($Q957&lt;&gt;3,VLOOKUP(G957,'Points Table A'!C$3:$F$33,4),VLOOKUP(G957,'Points Table A'!I$3:$L$33,4))</f>
        <v>#N/A</v>
      </c>
      <c r="X957" s="4" t="e">
        <f>IF($Q957&lt;&gt;3,VLOOKUP(H957,'Points Table A'!D$3:$F$28,3),VLOOKUP(H957,'Points Table A'!J$3:$L$33,3))</f>
        <v>#N/A</v>
      </c>
      <c r="Y957" s="4" t="e">
        <f>IF($Q957&lt;&gt;3,VLOOKUP(I957,'Points Table A'!E$3:$F$33,2),VLOOKUP(I957,'Points Table A'!K$3:$L$33,2))</f>
        <v>#N/A</v>
      </c>
      <c r="Z957" s="4" t="e">
        <f t="shared" si="80"/>
        <v>#N/A</v>
      </c>
      <c r="AA957" s="4">
        <f>IF($S957=Lookups!$B$113,VLOOKUP(L957,'Points Table C'!A$3:$E$11,5),VLOOKUP(U957,'Points Table C'!B$3:$E$11,4))</f>
        <v>0</v>
      </c>
      <c r="AB957" s="4" t="e">
        <f>IF($Q957=1,0,VLOOKUP($J957,'Points Table C'!$C$3:$E$18,3))</f>
        <v>#N/A</v>
      </c>
      <c r="AC957" s="4">
        <f>VLOOKUP($K957,'Points Table C'!$D$3:$E$18,2)</f>
        <v>0</v>
      </c>
      <c r="AD957" s="4" t="e">
        <f>IF($Z957&lt;Lookups!$C$106,($AA957+AB957+AC957),IF($AA957&gt;=Lookups!$C$120,($AA957+AB957+AC957),$AA957+$AB957))</f>
        <v>#N/A</v>
      </c>
      <c r="AF957" s="7"/>
      <c r="AG957" s="7"/>
      <c r="AH957" s="7"/>
      <c r="AI957" s="7"/>
      <c r="AJ957" s="7"/>
      <c r="AK957" s="7"/>
      <c r="AL957" s="7"/>
      <c r="AM957" s="7"/>
      <c r="AN957" s="7"/>
      <c r="AO957" s="7"/>
      <c r="AP957" s="7"/>
      <c r="AQ957" s="7"/>
      <c r="AR957" s="7"/>
      <c r="AS957" s="7"/>
      <c r="AT957" s="7"/>
      <c r="AU957" s="7"/>
      <c r="AV957" s="7"/>
      <c r="AW957" s="7"/>
      <c r="AY957" s="7"/>
      <c r="AZ957" s="7"/>
      <c r="BA957" s="7"/>
      <c r="BB957" s="7"/>
    </row>
    <row r="958" spans="2:54" x14ac:dyDescent="0.2">
      <c r="B958" s="174"/>
      <c r="C958" s="176"/>
      <c r="F958" s="5">
        <v>0</v>
      </c>
      <c r="G958" s="192">
        <v>0</v>
      </c>
      <c r="H958" s="192">
        <v>0</v>
      </c>
      <c r="I958" s="5">
        <v>0</v>
      </c>
      <c r="J958" s="192">
        <v>0</v>
      </c>
      <c r="K958" s="192">
        <v>0</v>
      </c>
      <c r="L958" s="5">
        <v>0</v>
      </c>
      <c r="M958" s="5">
        <v>0</v>
      </c>
      <c r="N958" s="4" t="e">
        <f t="shared" si="81"/>
        <v>#N/A</v>
      </c>
      <c r="O958" s="4" t="e">
        <f>IF(ROUND(10.499-(((N958-VLOOKUP($C958,Lookups!$A$55:$D$64,3))/(VLOOKUP($C958,Lookups!$A$55:$D$64,4))*VLOOKUP($C958,Lookups!$C$2:$D$11,2))),0)&lt;1,1,IF(ROUND(10.499-(((N958-VLOOKUP($C958,Lookups!$A$55:$D$64,3))/(VLOOKUP($C958,Lookups!$A$55:$D$64,4))*VLOOKUP($C958,Lookups!$C$2:$D$11,2))),0)&lt;11,ROUND(10.499-(((N958-VLOOKUP($C958,Lookups!$A$55:$D$64,3))/(VLOOKUP($C958,Lookups!$A$55:$D$64,4))*VLOOKUP($C958,Lookups!$C$2:$D$11,2))),0),10))</f>
        <v>#N/A</v>
      </c>
      <c r="P958" s="13" t="str">
        <f>IF((SUM(F958:M958)=0),"J",VLOOKUP(O958,Lookups!$A$1:$B$11,2))</f>
        <v>J</v>
      </c>
      <c r="Q958" s="8" t="e">
        <f>VLOOKUP(C958,Lookups!$A$136:$C$144,3)</f>
        <v>#N/A</v>
      </c>
      <c r="R958" s="8" t="e">
        <f>VLOOKUP(C958,Lookups!$A$136:$C$144,2)</f>
        <v>#N/A</v>
      </c>
      <c r="S958" s="4" t="str">
        <f t="shared" si="77"/>
        <v>No</v>
      </c>
      <c r="T958" s="125">
        <f t="shared" si="78"/>
        <v>0</v>
      </c>
      <c r="U958" s="125">
        <f t="shared" si="79"/>
        <v>0</v>
      </c>
      <c r="V958" s="4" t="e">
        <f>IF($Q958&lt;&gt;3,VLOOKUP(F958,'Points Table A'!B$3:$F$33,5),VLOOKUP(F958,'Points Table A'!H$3:$L$33,5))</f>
        <v>#N/A</v>
      </c>
      <c r="W958" s="4" t="e">
        <f>IF($Q958&lt;&gt;3,VLOOKUP(G958,'Points Table A'!C$3:$F$33,4),VLOOKUP(G958,'Points Table A'!I$3:$L$33,4))</f>
        <v>#N/A</v>
      </c>
      <c r="X958" s="4" t="e">
        <f>IF($Q958&lt;&gt;3,VLOOKUP(H958,'Points Table A'!D$3:$F$28,3),VLOOKUP(H958,'Points Table A'!J$3:$L$33,3))</f>
        <v>#N/A</v>
      </c>
      <c r="Y958" s="4" t="e">
        <f>IF($Q958&lt;&gt;3,VLOOKUP(I958,'Points Table A'!E$3:$F$33,2),VLOOKUP(I958,'Points Table A'!K$3:$L$33,2))</f>
        <v>#N/A</v>
      </c>
      <c r="Z958" s="4" t="e">
        <f t="shared" si="80"/>
        <v>#N/A</v>
      </c>
      <c r="AA958" s="4">
        <f>IF($S958=Lookups!$B$113,VLOOKUP(L958,'Points Table C'!A$3:$E$11,5),VLOOKUP(U958,'Points Table C'!B$3:$E$11,4))</f>
        <v>0</v>
      </c>
      <c r="AB958" s="4" t="e">
        <f>IF($Q958=1,0,VLOOKUP($J958,'Points Table C'!$C$3:$E$18,3))</f>
        <v>#N/A</v>
      </c>
      <c r="AC958" s="4">
        <f>VLOOKUP($K958,'Points Table C'!$D$3:$E$18,2)</f>
        <v>0</v>
      </c>
      <c r="AD958" s="4" t="e">
        <f>IF($Z958&lt;Lookups!$C$106,($AA958+AB958+AC958),IF($AA958&gt;=Lookups!$C$120,($AA958+AB958+AC958),$AA958+$AB958))</f>
        <v>#N/A</v>
      </c>
      <c r="AF958" s="7"/>
      <c r="AG958" s="7"/>
      <c r="AH958" s="7"/>
      <c r="AI958" s="7"/>
      <c r="AJ958" s="7"/>
      <c r="AK958" s="7"/>
      <c r="AL958" s="7"/>
      <c r="AM958" s="7"/>
      <c r="AN958" s="7"/>
      <c r="AO958" s="7"/>
      <c r="AP958" s="7"/>
      <c r="AQ958" s="7"/>
      <c r="AR958" s="7"/>
      <c r="AS958" s="7"/>
      <c r="AT958" s="7"/>
      <c r="AU958" s="7"/>
      <c r="AV958" s="7"/>
      <c r="AW958" s="7"/>
      <c r="AY958" s="7"/>
      <c r="AZ958" s="7"/>
      <c r="BA958" s="7"/>
      <c r="BB958" s="7"/>
    </row>
    <row r="959" spans="2:54" x14ac:dyDescent="0.2">
      <c r="B959" s="174"/>
      <c r="C959" s="176"/>
      <c r="F959" s="5">
        <v>0</v>
      </c>
      <c r="G959" s="192">
        <v>0</v>
      </c>
      <c r="H959" s="192">
        <v>0</v>
      </c>
      <c r="I959" s="5">
        <v>0</v>
      </c>
      <c r="J959" s="192">
        <v>0</v>
      </c>
      <c r="K959" s="192">
        <v>0</v>
      </c>
      <c r="L959" s="5">
        <v>0</v>
      </c>
      <c r="M959" s="5">
        <v>0</v>
      </c>
      <c r="N959" s="4" t="e">
        <f t="shared" si="81"/>
        <v>#N/A</v>
      </c>
      <c r="O959" s="4" t="e">
        <f>IF(ROUND(10.499-(((N959-VLOOKUP($C959,Lookups!$A$55:$D$64,3))/(VLOOKUP($C959,Lookups!$A$55:$D$64,4))*VLOOKUP($C959,Lookups!$C$2:$D$11,2))),0)&lt;1,1,IF(ROUND(10.499-(((N959-VLOOKUP($C959,Lookups!$A$55:$D$64,3))/(VLOOKUP($C959,Lookups!$A$55:$D$64,4))*VLOOKUP($C959,Lookups!$C$2:$D$11,2))),0)&lt;11,ROUND(10.499-(((N959-VLOOKUP($C959,Lookups!$A$55:$D$64,3))/(VLOOKUP($C959,Lookups!$A$55:$D$64,4))*VLOOKUP($C959,Lookups!$C$2:$D$11,2))),0),10))</f>
        <v>#N/A</v>
      </c>
      <c r="P959" s="13" t="str">
        <f>IF((SUM(F959:M959)=0),"J",VLOOKUP(O959,Lookups!$A$1:$B$11,2))</f>
        <v>J</v>
      </c>
      <c r="Q959" s="8" t="e">
        <f>VLOOKUP(C959,Lookups!$A$136:$C$144,3)</f>
        <v>#N/A</v>
      </c>
      <c r="R959" s="8" t="e">
        <f>VLOOKUP(C959,Lookups!$A$136:$C$144,2)</f>
        <v>#N/A</v>
      </c>
      <c r="S959" s="4" t="str">
        <f t="shared" si="77"/>
        <v>No</v>
      </c>
      <c r="T959" s="125">
        <f t="shared" si="78"/>
        <v>0</v>
      </c>
      <c r="U959" s="125">
        <f t="shared" si="79"/>
        <v>0</v>
      </c>
      <c r="V959" s="4" t="e">
        <f>IF($Q959&lt;&gt;3,VLOOKUP(F959,'Points Table A'!B$3:$F$33,5),VLOOKUP(F959,'Points Table A'!H$3:$L$33,5))</f>
        <v>#N/A</v>
      </c>
      <c r="W959" s="4" t="e">
        <f>IF($Q959&lt;&gt;3,VLOOKUP(G959,'Points Table A'!C$3:$F$33,4),VLOOKUP(G959,'Points Table A'!I$3:$L$33,4))</f>
        <v>#N/A</v>
      </c>
      <c r="X959" s="4" t="e">
        <f>IF($Q959&lt;&gt;3,VLOOKUP(H959,'Points Table A'!D$3:$F$28,3),VLOOKUP(H959,'Points Table A'!J$3:$L$33,3))</f>
        <v>#N/A</v>
      </c>
      <c r="Y959" s="4" t="e">
        <f>IF($Q959&lt;&gt;3,VLOOKUP(I959,'Points Table A'!E$3:$F$33,2),VLOOKUP(I959,'Points Table A'!K$3:$L$33,2))</f>
        <v>#N/A</v>
      </c>
      <c r="Z959" s="4" t="e">
        <f t="shared" si="80"/>
        <v>#N/A</v>
      </c>
      <c r="AA959" s="4">
        <f>IF($S959=Lookups!$B$113,VLOOKUP(L959,'Points Table C'!A$3:$E$11,5),VLOOKUP(U959,'Points Table C'!B$3:$E$11,4))</f>
        <v>0</v>
      </c>
      <c r="AB959" s="4" t="e">
        <f>IF($Q959=1,0,VLOOKUP($J959,'Points Table C'!$C$3:$E$18,3))</f>
        <v>#N/A</v>
      </c>
      <c r="AC959" s="4">
        <f>VLOOKUP($K959,'Points Table C'!$D$3:$E$18,2)</f>
        <v>0</v>
      </c>
      <c r="AD959" s="4" t="e">
        <f>IF($Z959&lt;Lookups!$C$106,($AA959+AB959+AC959),IF($AA959&gt;=Lookups!$C$120,($AA959+AB959+AC959),$AA959+$AB959))</f>
        <v>#N/A</v>
      </c>
      <c r="AF959" s="7"/>
      <c r="AG959" s="7"/>
      <c r="AH959" s="7"/>
      <c r="AI959" s="7"/>
      <c r="AJ959" s="7"/>
      <c r="AK959" s="7"/>
      <c r="AL959" s="7"/>
      <c r="AM959" s="7"/>
      <c r="AN959" s="7"/>
      <c r="AO959" s="7"/>
      <c r="AP959" s="7"/>
      <c r="AQ959" s="7"/>
      <c r="AR959" s="7"/>
      <c r="AS959" s="7"/>
      <c r="AT959" s="7"/>
      <c r="AU959" s="7"/>
      <c r="AV959" s="7"/>
      <c r="AW959" s="7"/>
      <c r="AY959" s="7"/>
      <c r="AZ959" s="7"/>
      <c r="BA959" s="7"/>
      <c r="BB959" s="7"/>
    </row>
    <row r="960" spans="2:54" x14ac:dyDescent="0.2">
      <c r="B960" s="174"/>
      <c r="C960" s="176"/>
      <c r="F960" s="5">
        <v>0</v>
      </c>
      <c r="G960" s="192">
        <v>0</v>
      </c>
      <c r="H960" s="192">
        <v>0</v>
      </c>
      <c r="I960" s="5">
        <v>0</v>
      </c>
      <c r="J960" s="192">
        <v>0</v>
      </c>
      <c r="K960" s="192">
        <v>0</v>
      </c>
      <c r="L960" s="5">
        <v>0</v>
      </c>
      <c r="M960" s="5">
        <v>0</v>
      </c>
      <c r="N960" s="4" t="e">
        <f t="shared" si="81"/>
        <v>#N/A</v>
      </c>
      <c r="O960" s="4" t="e">
        <f>IF(ROUND(10.499-(((N960-VLOOKUP($C960,Lookups!$A$55:$D$64,3))/(VLOOKUP($C960,Lookups!$A$55:$D$64,4))*VLOOKUP($C960,Lookups!$C$2:$D$11,2))),0)&lt;1,1,IF(ROUND(10.499-(((N960-VLOOKUP($C960,Lookups!$A$55:$D$64,3))/(VLOOKUP($C960,Lookups!$A$55:$D$64,4))*VLOOKUP($C960,Lookups!$C$2:$D$11,2))),0)&lt;11,ROUND(10.499-(((N960-VLOOKUP($C960,Lookups!$A$55:$D$64,3))/(VLOOKUP($C960,Lookups!$A$55:$D$64,4))*VLOOKUP($C960,Lookups!$C$2:$D$11,2))),0),10))</f>
        <v>#N/A</v>
      </c>
      <c r="P960" s="13" t="str">
        <f>IF((SUM(F960:M960)=0),"J",VLOOKUP(O960,Lookups!$A$1:$B$11,2))</f>
        <v>J</v>
      </c>
      <c r="Q960" s="8" t="e">
        <f>VLOOKUP(C960,Lookups!$A$136:$C$144,3)</f>
        <v>#N/A</v>
      </c>
      <c r="R960" s="8" t="e">
        <f>VLOOKUP(C960,Lookups!$A$136:$C$144,2)</f>
        <v>#N/A</v>
      </c>
      <c r="S960" s="4" t="str">
        <f t="shared" si="77"/>
        <v>No</v>
      </c>
      <c r="T960" s="125">
        <f t="shared" si="78"/>
        <v>0</v>
      </c>
      <c r="U960" s="125">
        <f t="shared" si="79"/>
        <v>0</v>
      </c>
      <c r="V960" s="4" t="e">
        <f>IF($Q960&lt;&gt;3,VLOOKUP(F960,'Points Table A'!B$3:$F$33,5),VLOOKUP(F960,'Points Table A'!H$3:$L$33,5))</f>
        <v>#N/A</v>
      </c>
      <c r="W960" s="4" t="e">
        <f>IF($Q960&lt;&gt;3,VLOOKUP(G960,'Points Table A'!C$3:$F$33,4),VLOOKUP(G960,'Points Table A'!I$3:$L$33,4))</f>
        <v>#N/A</v>
      </c>
      <c r="X960" s="4" t="e">
        <f>IF($Q960&lt;&gt;3,VLOOKUP(H960,'Points Table A'!D$3:$F$28,3),VLOOKUP(H960,'Points Table A'!J$3:$L$33,3))</f>
        <v>#N/A</v>
      </c>
      <c r="Y960" s="4" t="e">
        <f>IF($Q960&lt;&gt;3,VLOOKUP(I960,'Points Table A'!E$3:$F$33,2),VLOOKUP(I960,'Points Table A'!K$3:$L$33,2))</f>
        <v>#N/A</v>
      </c>
      <c r="Z960" s="4" t="e">
        <f t="shared" si="80"/>
        <v>#N/A</v>
      </c>
      <c r="AA960" s="4">
        <f>IF($S960=Lookups!$B$113,VLOOKUP(L960,'Points Table C'!A$3:$E$11,5),VLOOKUP(U960,'Points Table C'!B$3:$E$11,4))</f>
        <v>0</v>
      </c>
      <c r="AB960" s="4" t="e">
        <f>IF($Q960=1,0,VLOOKUP($J960,'Points Table C'!$C$3:$E$18,3))</f>
        <v>#N/A</v>
      </c>
      <c r="AC960" s="4">
        <f>VLOOKUP($K960,'Points Table C'!$D$3:$E$18,2)</f>
        <v>0</v>
      </c>
      <c r="AD960" s="4" t="e">
        <f>IF($Z960&lt;Lookups!$C$106,($AA960+AB960+AC960),IF($AA960&gt;=Lookups!$C$120,($AA960+AB960+AC960),$AA960+$AB960))</f>
        <v>#N/A</v>
      </c>
      <c r="AF960" s="7"/>
      <c r="AG960" s="7"/>
      <c r="AH960" s="7"/>
      <c r="AI960" s="7"/>
      <c r="AJ960" s="7"/>
      <c r="AK960" s="7"/>
      <c r="AL960" s="7"/>
      <c r="AM960" s="7"/>
      <c r="AN960" s="7"/>
      <c r="AO960" s="7"/>
      <c r="AP960" s="7"/>
      <c r="AQ960" s="7"/>
      <c r="AR960" s="7"/>
      <c r="AS960" s="7"/>
      <c r="AT960" s="7"/>
      <c r="AU960" s="7"/>
      <c r="AV960" s="7"/>
      <c r="AW960" s="7"/>
      <c r="AY960" s="7"/>
      <c r="AZ960" s="7"/>
      <c r="BA960" s="7"/>
      <c r="BB960" s="7"/>
    </row>
    <row r="961" spans="2:54" x14ac:dyDescent="0.2">
      <c r="B961" s="174"/>
      <c r="C961" s="176"/>
      <c r="F961" s="5">
        <v>0</v>
      </c>
      <c r="G961" s="192">
        <v>0</v>
      </c>
      <c r="H961" s="192">
        <v>0</v>
      </c>
      <c r="I961" s="5">
        <v>0</v>
      </c>
      <c r="J961" s="192">
        <v>0</v>
      </c>
      <c r="K961" s="192">
        <v>0</v>
      </c>
      <c r="L961" s="5">
        <v>0</v>
      </c>
      <c r="M961" s="5">
        <v>0</v>
      </c>
      <c r="N961" s="4" t="e">
        <f t="shared" si="81"/>
        <v>#N/A</v>
      </c>
      <c r="O961" s="4" t="e">
        <f>IF(ROUND(10.499-(((N961-VLOOKUP($C961,Lookups!$A$55:$D$64,3))/(VLOOKUP($C961,Lookups!$A$55:$D$64,4))*VLOOKUP($C961,Lookups!$C$2:$D$11,2))),0)&lt;1,1,IF(ROUND(10.499-(((N961-VLOOKUP($C961,Lookups!$A$55:$D$64,3))/(VLOOKUP($C961,Lookups!$A$55:$D$64,4))*VLOOKUP($C961,Lookups!$C$2:$D$11,2))),0)&lt;11,ROUND(10.499-(((N961-VLOOKUP($C961,Lookups!$A$55:$D$64,3))/(VLOOKUP($C961,Lookups!$A$55:$D$64,4))*VLOOKUP($C961,Lookups!$C$2:$D$11,2))),0),10))</f>
        <v>#N/A</v>
      </c>
      <c r="P961" s="13" t="str">
        <f>IF((SUM(F961:M961)=0),"J",VLOOKUP(O961,Lookups!$A$1:$B$11,2))</f>
        <v>J</v>
      </c>
      <c r="Q961" s="8" t="e">
        <f>VLOOKUP(C961,Lookups!$A$136:$C$144,3)</f>
        <v>#N/A</v>
      </c>
      <c r="R961" s="8" t="e">
        <f>VLOOKUP(C961,Lookups!$A$136:$C$144,2)</f>
        <v>#N/A</v>
      </c>
      <c r="S961" s="4" t="str">
        <f t="shared" si="77"/>
        <v>No</v>
      </c>
      <c r="T961" s="125">
        <f t="shared" si="78"/>
        <v>0</v>
      </c>
      <c r="U961" s="125">
        <f t="shared" si="79"/>
        <v>0</v>
      </c>
      <c r="V961" s="4" t="e">
        <f>IF($Q961&lt;&gt;3,VLOOKUP(F961,'Points Table A'!B$3:$F$33,5),VLOOKUP(F961,'Points Table A'!H$3:$L$33,5))</f>
        <v>#N/A</v>
      </c>
      <c r="W961" s="4" t="e">
        <f>IF($Q961&lt;&gt;3,VLOOKUP(G961,'Points Table A'!C$3:$F$33,4),VLOOKUP(G961,'Points Table A'!I$3:$L$33,4))</f>
        <v>#N/A</v>
      </c>
      <c r="X961" s="4" t="e">
        <f>IF($Q961&lt;&gt;3,VLOOKUP(H961,'Points Table A'!D$3:$F$28,3),VLOOKUP(H961,'Points Table A'!J$3:$L$33,3))</f>
        <v>#N/A</v>
      </c>
      <c r="Y961" s="4" t="e">
        <f>IF($Q961&lt;&gt;3,VLOOKUP(I961,'Points Table A'!E$3:$F$33,2),VLOOKUP(I961,'Points Table A'!K$3:$L$33,2))</f>
        <v>#N/A</v>
      </c>
      <c r="Z961" s="4" t="e">
        <f t="shared" si="80"/>
        <v>#N/A</v>
      </c>
      <c r="AA961" s="4">
        <f>IF($S961=Lookups!$B$113,VLOOKUP(L961,'Points Table C'!A$3:$E$11,5),VLOOKUP(U961,'Points Table C'!B$3:$E$11,4))</f>
        <v>0</v>
      </c>
      <c r="AB961" s="4" t="e">
        <f>IF($Q961=1,0,VLOOKUP($J961,'Points Table C'!$C$3:$E$18,3))</f>
        <v>#N/A</v>
      </c>
      <c r="AC961" s="4">
        <f>VLOOKUP($K961,'Points Table C'!$D$3:$E$18,2)</f>
        <v>0</v>
      </c>
      <c r="AD961" s="4" t="e">
        <f>IF($Z961&lt;Lookups!$C$106,($AA961+AB961+AC961),IF($AA961&gt;=Lookups!$C$120,($AA961+AB961+AC961),$AA961+$AB961))</f>
        <v>#N/A</v>
      </c>
      <c r="AF961" s="7"/>
      <c r="AG961" s="7"/>
      <c r="AH961" s="7"/>
      <c r="AI961" s="7"/>
      <c r="AJ961" s="7"/>
      <c r="AK961" s="7"/>
      <c r="AL961" s="7"/>
      <c r="AM961" s="7"/>
      <c r="AN961" s="7"/>
      <c r="AO961" s="7"/>
      <c r="AP961" s="7"/>
      <c r="AQ961" s="7"/>
      <c r="AR961" s="7"/>
      <c r="AS961" s="7"/>
      <c r="AT961" s="7"/>
      <c r="AU961" s="7"/>
      <c r="AV961" s="7"/>
      <c r="AW961" s="7"/>
      <c r="AY961" s="7"/>
      <c r="AZ961" s="7"/>
      <c r="BA961" s="7"/>
      <c r="BB961" s="7"/>
    </row>
    <row r="962" spans="2:54" x14ac:dyDescent="0.2">
      <c r="B962" s="174"/>
      <c r="C962" s="176"/>
      <c r="F962" s="5">
        <v>0</v>
      </c>
      <c r="G962" s="192">
        <v>0</v>
      </c>
      <c r="H962" s="192">
        <v>0</v>
      </c>
      <c r="I962" s="5">
        <v>0</v>
      </c>
      <c r="J962" s="192">
        <v>0</v>
      </c>
      <c r="K962" s="192">
        <v>0</v>
      </c>
      <c r="L962" s="5">
        <v>0</v>
      </c>
      <c r="M962" s="5">
        <v>0</v>
      </c>
      <c r="N962" s="4" t="e">
        <f t="shared" si="81"/>
        <v>#N/A</v>
      </c>
      <c r="O962" s="4" t="e">
        <f>IF(ROUND(10.499-(((N962-VLOOKUP($C962,Lookups!$A$55:$D$64,3))/(VLOOKUP($C962,Lookups!$A$55:$D$64,4))*VLOOKUP($C962,Lookups!$C$2:$D$11,2))),0)&lt;1,1,IF(ROUND(10.499-(((N962-VLOOKUP($C962,Lookups!$A$55:$D$64,3))/(VLOOKUP($C962,Lookups!$A$55:$D$64,4))*VLOOKUP($C962,Lookups!$C$2:$D$11,2))),0)&lt;11,ROUND(10.499-(((N962-VLOOKUP($C962,Lookups!$A$55:$D$64,3))/(VLOOKUP($C962,Lookups!$A$55:$D$64,4))*VLOOKUP($C962,Lookups!$C$2:$D$11,2))),0),10))</f>
        <v>#N/A</v>
      </c>
      <c r="P962" s="13" t="str">
        <f>IF((SUM(F962:M962)=0),"J",VLOOKUP(O962,Lookups!$A$1:$B$11,2))</f>
        <v>J</v>
      </c>
      <c r="Q962" s="8" t="e">
        <f>VLOOKUP(C962,Lookups!$A$136:$C$144,3)</f>
        <v>#N/A</v>
      </c>
      <c r="R962" s="8" t="e">
        <f>VLOOKUP(C962,Lookups!$A$136:$C$144,2)</f>
        <v>#N/A</v>
      </c>
      <c r="S962" s="4" t="str">
        <f t="shared" si="77"/>
        <v>No</v>
      </c>
      <c r="T962" s="125">
        <f t="shared" si="78"/>
        <v>0</v>
      </c>
      <c r="U962" s="125">
        <f t="shared" si="79"/>
        <v>0</v>
      </c>
      <c r="V962" s="4" t="e">
        <f>IF($Q962&lt;&gt;3,VLOOKUP(F962,'Points Table A'!B$3:$F$33,5),VLOOKUP(F962,'Points Table A'!H$3:$L$33,5))</f>
        <v>#N/A</v>
      </c>
      <c r="W962" s="4" t="e">
        <f>IF($Q962&lt;&gt;3,VLOOKUP(G962,'Points Table A'!C$3:$F$33,4),VLOOKUP(G962,'Points Table A'!I$3:$L$33,4))</f>
        <v>#N/A</v>
      </c>
      <c r="X962" s="4" t="e">
        <f>IF($Q962&lt;&gt;3,VLOOKUP(H962,'Points Table A'!D$3:$F$28,3),VLOOKUP(H962,'Points Table A'!J$3:$L$33,3))</f>
        <v>#N/A</v>
      </c>
      <c r="Y962" s="4" t="e">
        <f>IF($Q962&lt;&gt;3,VLOOKUP(I962,'Points Table A'!E$3:$F$33,2),VLOOKUP(I962,'Points Table A'!K$3:$L$33,2))</f>
        <v>#N/A</v>
      </c>
      <c r="Z962" s="4" t="e">
        <f t="shared" si="80"/>
        <v>#N/A</v>
      </c>
      <c r="AA962" s="4">
        <f>IF($S962=Lookups!$B$113,VLOOKUP(L962,'Points Table C'!A$3:$E$11,5),VLOOKUP(U962,'Points Table C'!B$3:$E$11,4))</f>
        <v>0</v>
      </c>
      <c r="AB962" s="4" t="e">
        <f>IF($Q962=1,0,VLOOKUP($J962,'Points Table C'!$C$3:$E$18,3))</f>
        <v>#N/A</v>
      </c>
      <c r="AC962" s="4">
        <f>VLOOKUP($K962,'Points Table C'!$D$3:$E$18,2)</f>
        <v>0</v>
      </c>
      <c r="AD962" s="4" t="e">
        <f>IF($Z962&lt;Lookups!$C$106,($AA962+AB962+AC962),IF($AA962&gt;=Lookups!$C$120,($AA962+AB962+AC962),$AA962+$AB962))</f>
        <v>#N/A</v>
      </c>
      <c r="AF962" s="7"/>
      <c r="AG962" s="7"/>
      <c r="AH962" s="7"/>
      <c r="AI962" s="7"/>
      <c r="AJ962" s="7"/>
      <c r="AK962" s="7"/>
      <c r="AL962" s="7"/>
      <c r="AM962" s="7"/>
      <c r="AN962" s="7"/>
      <c r="AO962" s="7"/>
      <c r="AP962" s="7"/>
      <c r="AQ962" s="7"/>
      <c r="AR962" s="7"/>
      <c r="AS962" s="7"/>
      <c r="AT962" s="7"/>
      <c r="AU962" s="7"/>
      <c r="AV962" s="7"/>
      <c r="AW962" s="7"/>
      <c r="AY962" s="7"/>
      <c r="AZ962" s="7"/>
      <c r="BA962" s="7"/>
      <c r="BB962" s="7"/>
    </row>
    <row r="963" spans="2:54" x14ac:dyDescent="0.2">
      <c r="B963" s="174"/>
      <c r="C963" s="176"/>
      <c r="F963" s="5">
        <v>0</v>
      </c>
      <c r="G963" s="192">
        <v>0</v>
      </c>
      <c r="H963" s="192">
        <v>0</v>
      </c>
      <c r="I963" s="5">
        <v>0</v>
      </c>
      <c r="J963" s="192">
        <v>0</v>
      </c>
      <c r="K963" s="192">
        <v>0</v>
      </c>
      <c r="L963" s="5">
        <v>0</v>
      </c>
      <c r="M963" s="5">
        <v>0</v>
      </c>
      <c r="N963" s="4" t="e">
        <f t="shared" si="81"/>
        <v>#N/A</v>
      </c>
      <c r="O963" s="4" t="e">
        <f>IF(ROUND(10.499-(((N963-VLOOKUP($C963,Lookups!$A$55:$D$64,3))/(VLOOKUP($C963,Lookups!$A$55:$D$64,4))*VLOOKUP($C963,Lookups!$C$2:$D$11,2))),0)&lt;1,1,IF(ROUND(10.499-(((N963-VLOOKUP($C963,Lookups!$A$55:$D$64,3))/(VLOOKUP($C963,Lookups!$A$55:$D$64,4))*VLOOKUP($C963,Lookups!$C$2:$D$11,2))),0)&lt;11,ROUND(10.499-(((N963-VLOOKUP($C963,Lookups!$A$55:$D$64,3))/(VLOOKUP($C963,Lookups!$A$55:$D$64,4))*VLOOKUP($C963,Lookups!$C$2:$D$11,2))),0),10))</f>
        <v>#N/A</v>
      </c>
      <c r="P963" s="13" t="str">
        <f>IF((SUM(F963:M963)=0),"J",VLOOKUP(O963,Lookups!$A$1:$B$11,2))</f>
        <v>J</v>
      </c>
      <c r="Q963" s="8" t="e">
        <f>VLOOKUP(C963,Lookups!$A$136:$C$144,3)</f>
        <v>#N/A</v>
      </c>
      <c r="R963" s="8" t="e">
        <f>VLOOKUP(C963,Lookups!$A$136:$C$144,2)</f>
        <v>#N/A</v>
      </c>
      <c r="S963" s="4" t="str">
        <f t="shared" si="77"/>
        <v>No</v>
      </c>
      <c r="T963" s="125">
        <f t="shared" si="78"/>
        <v>0</v>
      </c>
      <c r="U963" s="125">
        <f t="shared" si="79"/>
        <v>0</v>
      </c>
      <c r="V963" s="4" t="e">
        <f>IF($Q963&lt;&gt;3,VLOOKUP(F963,'Points Table A'!B$3:$F$33,5),VLOOKUP(F963,'Points Table A'!H$3:$L$33,5))</f>
        <v>#N/A</v>
      </c>
      <c r="W963" s="4" t="e">
        <f>IF($Q963&lt;&gt;3,VLOOKUP(G963,'Points Table A'!C$3:$F$33,4),VLOOKUP(G963,'Points Table A'!I$3:$L$33,4))</f>
        <v>#N/A</v>
      </c>
      <c r="X963" s="4" t="e">
        <f>IF($Q963&lt;&gt;3,VLOOKUP(H963,'Points Table A'!D$3:$F$28,3),VLOOKUP(H963,'Points Table A'!J$3:$L$33,3))</f>
        <v>#N/A</v>
      </c>
      <c r="Y963" s="4" t="e">
        <f>IF($Q963&lt;&gt;3,VLOOKUP(I963,'Points Table A'!E$3:$F$33,2),VLOOKUP(I963,'Points Table A'!K$3:$L$33,2))</f>
        <v>#N/A</v>
      </c>
      <c r="Z963" s="4" t="e">
        <f t="shared" si="80"/>
        <v>#N/A</v>
      </c>
      <c r="AA963" s="4">
        <f>IF($S963=Lookups!$B$113,VLOOKUP(L963,'Points Table C'!A$3:$E$11,5),VLOOKUP(U963,'Points Table C'!B$3:$E$11,4))</f>
        <v>0</v>
      </c>
      <c r="AB963" s="4" t="e">
        <f>IF($Q963=1,0,VLOOKUP($J963,'Points Table C'!$C$3:$E$18,3))</f>
        <v>#N/A</v>
      </c>
      <c r="AC963" s="4">
        <f>VLOOKUP($K963,'Points Table C'!$D$3:$E$18,2)</f>
        <v>0</v>
      </c>
      <c r="AD963" s="4" t="e">
        <f>IF($Z963&lt;Lookups!$C$106,($AA963+AB963+AC963),IF($AA963&gt;=Lookups!$C$120,($AA963+AB963+AC963),$AA963+$AB963))</f>
        <v>#N/A</v>
      </c>
      <c r="AF963" s="7"/>
      <c r="AG963" s="7"/>
      <c r="AH963" s="7"/>
      <c r="AI963" s="7"/>
      <c r="AJ963" s="7"/>
      <c r="AK963" s="7"/>
      <c r="AL963" s="7"/>
      <c r="AM963" s="7"/>
      <c r="AN963" s="7"/>
      <c r="AO963" s="7"/>
      <c r="AP963" s="7"/>
      <c r="AQ963" s="7"/>
      <c r="AR963" s="7"/>
      <c r="AS963" s="7"/>
      <c r="AT963" s="7"/>
      <c r="AU963" s="7"/>
      <c r="AV963" s="7"/>
      <c r="AW963" s="7"/>
      <c r="AY963" s="7"/>
      <c r="AZ963" s="7"/>
      <c r="BA963" s="7"/>
      <c r="BB963" s="7"/>
    </row>
    <row r="964" spans="2:54" x14ac:dyDescent="0.2">
      <c r="B964" s="174"/>
      <c r="C964" s="176"/>
      <c r="F964" s="5">
        <v>0</v>
      </c>
      <c r="G964" s="192">
        <v>0</v>
      </c>
      <c r="H964" s="192">
        <v>0</v>
      </c>
      <c r="I964" s="5">
        <v>0</v>
      </c>
      <c r="J964" s="192">
        <v>0</v>
      </c>
      <c r="K964" s="192">
        <v>0</v>
      </c>
      <c r="L964" s="5">
        <v>0</v>
      </c>
      <c r="M964" s="5">
        <v>0</v>
      </c>
      <c r="N964" s="4" t="e">
        <f t="shared" si="81"/>
        <v>#N/A</v>
      </c>
      <c r="O964" s="4" t="e">
        <f>IF(ROUND(10.499-(((N964-VLOOKUP($C964,Lookups!$A$55:$D$64,3))/(VLOOKUP($C964,Lookups!$A$55:$D$64,4))*VLOOKUP($C964,Lookups!$C$2:$D$11,2))),0)&lt;1,1,IF(ROUND(10.499-(((N964-VLOOKUP($C964,Lookups!$A$55:$D$64,3))/(VLOOKUP($C964,Lookups!$A$55:$D$64,4))*VLOOKUP($C964,Lookups!$C$2:$D$11,2))),0)&lt;11,ROUND(10.499-(((N964-VLOOKUP($C964,Lookups!$A$55:$D$64,3))/(VLOOKUP($C964,Lookups!$A$55:$D$64,4))*VLOOKUP($C964,Lookups!$C$2:$D$11,2))),0),10))</f>
        <v>#N/A</v>
      </c>
      <c r="P964" s="13" t="str">
        <f>IF((SUM(F964:M964)=0),"J",VLOOKUP(O964,Lookups!$A$1:$B$11,2))</f>
        <v>J</v>
      </c>
      <c r="Q964" s="8" t="e">
        <f>VLOOKUP(C964,Lookups!$A$136:$C$144,3)</f>
        <v>#N/A</v>
      </c>
      <c r="R964" s="8" t="e">
        <f>VLOOKUP(C964,Lookups!$A$136:$C$144,2)</f>
        <v>#N/A</v>
      </c>
      <c r="S964" s="4" t="str">
        <f t="shared" si="77"/>
        <v>No</v>
      </c>
      <c r="T964" s="125">
        <f t="shared" si="78"/>
        <v>0</v>
      </c>
      <c r="U964" s="125">
        <f t="shared" si="79"/>
        <v>0</v>
      </c>
      <c r="V964" s="4" t="e">
        <f>IF($Q964&lt;&gt;3,VLOOKUP(F964,'Points Table A'!B$3:$F$33,5),VLOOKUP(F964,'Points Table A'!H$3:$L$33,5))</f>
        <v>#N/A</v>
      </c>
      <c r="W964" s="4" t="e">
        <f>IF($Q964&lt;&gt;3,VLOOKUP(G964,'Points Table A'!C$3:$F$33,4),VLOOKUP(G964,'Points Table A'!I$3:$L$33,4))</f>
        <v>#N/A</v>
      </c>
      <c r="X964" s="4" t="e">
        <f>IF($Q964&lt;&gt;3,VLOOKUP(H964,'Points Table A'!D$3:$F$28,3),VLOOKUP(H964,'Points Table A'!J$3:$L$33,3))</f>
        <v>#N/A</v>
      </c>
      <c r="Y964" s="4" t="e">
        <f>IF($Q964&lt;&gt;3,VLOOKUP(I964,'Points Table A'!E$3:$F$33,2),VLOOKUP(I964,'Points Table A'!K$3:$L$33,2))</f>
        <v>#N/A</v>
      </c>
      <c r="Z964" s="4" t="e">
        <f t="shared" si="80"/>
        <v>#N/A</v>
      </c>
      <c r="AA964" s="4">
        <f>IF($S964=Lookups!$B$113,VLOOKUP(L964,'Points Table C'!A$3:$E$11,5),VLOOKUP(U964,'Points Table C'!B$3:$E$11,4))</f>
        <v>0</v>
      </c>
      <c r="AB964" s="4" t="e">
        <f>IF($Q964=1,0,VLOOKUP($J964,'Points Table C'!$C$3:$E$18,3))</f>
        <v>#N/A</v>
      </c>
      <c r="AC964" s="4">
        <f>VLOOKUP($K964,'Points Table C'!$D$3:$E$18,2)</f>
        <v>0</v>
      </c>
      <c r="AD964" s="4" t="e">
        <f>IF($Z964&lt;Lookups!$C$106,($AA964+AB964+AC964),IF($AA964&gt;=Lookups!$C$120,($AA964+AB964+AC964),$AA964+$AB964))</f>
        <v>#N/A</v>
      </c>
      <c r="AF964" s="7"/>
      <c r="AG964" s="7"/>
      <c r="AH964" s="7"/>
      <c r="AI964" s="7"/>
      <c r="AJ964" s="7"/>
      <c r="AK964" s="7"/>
      <c r="AL964" s="7"/>
      <c r="AM964" s="7"/>
      <c r="AN964" s="7"/>
      <c r="AO964" s="7"/>
      <c r="AP964" s="7"/>
      <c r="AQ964" s="7"/>
      <c r="AR964" s="7"/>
      <c r="AS964" s="7"/>
      <c r="AT964" s="7"/>
      <c r="AU964" s="7"/>
      <c r="AV964" s="7"/>
      <c r="AW964" s="7"/>
      <c r="AY964" s="7"/>
      <c r="AZ964" s="7"/>
      <c r="BA964" s="7"/>
      <c r="BB964" s="7"/>
    </row>
    <row r="965" spans="2:54" x14ac:dyDescent="0.2">
      <c r="B965" s="174"/>
      <c r="C965" s="176"/>
      <c r="F965" s="5">
        <v>0</v>
      </c>
      <c r="G965" s="192">
        <v>0</v>
      </c>
      <c r="H965" s="192">
        <v>0</v>
      </c>
      <c r="I965" s="5">
        <v>0</v>
      </c>
      <c r="J965" s="192">
        <v>0</v>
      </c>
      <c r="K965" s="192">
        <v>0</v>
      </c>
      <c r="L965" s="5">
        <v>0</v>
      </c>
      <c r="M965" s="5">
        <v>0</v>
      </c>
      <c r="N965" s="4" t="e">
        <f t="shared" si="81"/>
        <v>#N/A</v>
      </c>
      <c r="O965" s="4" t="e">
        <f>IF(ROUND(10.499-(((N965-VLOOKUP($C965,Lookups!$A$55:$D$64,3))/(VLOOKUP($C965,Lookups!$A$55:$D$64,4))*VLOOKUP($C965,Lookups!$C$2:$D$11,2))),0)&lt;1,1,IF(ROUND(10.499-(((N965-VLOOKUP($C965,Lookups!$A$55:$D$64,3))/(VLOOKUP($C965,Lookups!$A$55:$D$64,4))*VLOOKUP($C965,Lookups!$C$2:$D$11,2))),0)&lt;11,ROUND(10.499-(((N965-VLOOKUP($C965,Lookups!$A$55:$D$64,3))/(VLOOKUP($C965,Lookups!$A$55:$D$64,4))*VLOOKUP($C965,Lookups!$C$2:$D$11,2))),0),10))</f>
        <v>#N/A</v>
      </c>
      <c r="P965" s="13" t="str">
        <f>IF((SUM(F965:M965)=0),"J",VLOOKUP(O965,Lookups!$A$1:$B$11,2))</f>
        <v>J</v>
      </c>
      <c r="Q965" s="8" t="e">
        <f>VLOOKUP(C965,Lookups!$A$136:$C$144,3)</f>
        <v>#N/A</v>
      </c>
      <c r="R965" s="8" t="e">
        <f>VLOOKUP(C965,Lookups!$A$136:$C$144,2)</f>
        <v>#N/A</v>
      </c>
      <c r="S965" s="4" t="str">
        <f t="shared" si="77"/>
        <v>No</v>
      </c>
      <c r="T965" s="125">
        <f t="shared" si="78"/>
        <v>0</v>
      </c>
      <c r="U965" s="125">
        <f t="shared" si="79"/>
        <v>0</v>
      </c>
      <c r="V965" s="4" t="e">
        <f>IF($Q965&lt;&gt;3,VLOOKUP(F965,'Points Table A'!B$3:$F$33,5),VLOOKUP(F965,'Points Table A'!H$3:$L$33,5))</f>
        <v>#N/A</v>
      </c>
      <c r="W965" s="4" t="e">
        <f>IF($Q965&lt;&gt;3,VLOOKUP(G965,'Points Table A'!C$3:$F$33,4),VLOOKUP(G965,'Points Table A'!I$3:$L$33,4))</f>
        <v>#N/A</v>
      </c>
      <c r="X965" s="4" t="e">
        <f>IF($Q965&lt;&gt;3,VLOOKUP(H965,'Points Table A'!D$3:$F$28,3),VLOOKUP(H965,'Points Table A'!J$3:$L$33,3))</f>
        <v>#N/A</v>
      </c>
      <c r="Y965" s="4" t="e">
        <f>IF($Q965&lt;&gt;3,VLOOKUP(I965,'Points Table A'!E$3:$F$33,2),VLOOKUP(I965,'Points Table A'!K$3:$L$33,2))</f>
        <v>#N/A</v>
      </c>
      <c r="Z965" s="4" t="e">
        <f t="shared" si="80"/>
        <v>#N/A</v>
      </c>
      <c r="AA965" s="4">
        <f>IF($S965=Lookups!$B$113,VLOOKUP(L965,'Points Table C'!A$3:$E$11,5),VLOOKUP(U965,'Points Table C'!B$3:$E$11,4))</f>
        <v>0</v>
      </c>
      <c r="AB965" s="4" t="e">
        <f>IF($Q965=1,0,VLOOKUP($J965,'Points Table C'!$C$3:$E$18,3))</f>
        <v>#N/A</v>
      </c>
      <c r="AC965" s="4">
        <f>VLOOKUP($K965,'Points Table C'!$D$3:$E$18,2)</f>
        <v>0</v>
      </c>
      <c r="AD965" s="4" t="e">
        <f>IF($Z965&lt;Lookups!$C$106,($AA965+AB965+AC965),IF($AA965&gt;=Lookups!$C$120,($AA965+AB965+AC965),$AA965+$AB965))</f>
        <v>#N/A</v>
      </c>
      <c r="AF965" s="7"/>
      <c r="AG965" s="7"/>
      <c r="AH965" s="7"/>
      <c r="AI965" s="7"/>
      <c r="AJ965" s="7"/>
      <c r="AK965" s="7"/>
      <c r="AL965" s="7"/>
      <c r="AM965" s="7"/>
      <c r="AN965" s="7"/>
      <c r="AO965" s="7"/>
      <c r="AP965" s="7"/>
      <c r="AQ965" s="7"/>
      <c r="AR965" s="7"/>
      <c r="AS965" s="7"/>
      <c r="AT965" s="7"/>
      <c r="AU965" s="7"/>
      <c r="AV965" s="7"/>
      <c r="AW965" s="7"/>
      <c r="AY965" s="7"/>
      <c r="AZ965" s="7"/>
      <c r="BA965" s="7"/>
      <c r="BB965" s="7"/>
    </row>
    <row r="966" spans="2:54" x14ac:dyDescent="0.2">
      <c r="B966" s="174"/>
      <c r="C966" s="176"/>
      <c r="F966" s="5">
        <v>0</v>
      </c>
      <c r="G966" s="192">
        <v>0</v>
      </c>
      <c r="H966" s="192">
        <v>0</v>
      </c>
      <c r="I966" s="5">
        <v>0</v>
      </c>
      <c r="J966" s="192">
        <v>0</v>
      </c>
      <c r="K966" s="192">
        <v>0</v>
      </c>
      <c r="L966" s="5">
        <v>0</v>
      </c>
      <c r="M966" s="5">
        <v>0</v>
      </c>
      <c r="N966" s="4" t="e">
        <f t="shared" si="81"/>
        <v>#N/A</v>
      </c>
      <c r="O966" s="4" t="e">
        <f>IF(ROUND(10.499-(((N966-VLOOKUP($C966,Lookups!$A$55:$D$64,3))/(VLOOKUP($C966,Lookups!$A$55:$D$64,4))*VLOOKUP($C966,Lookups!$C$2:$D$11,2))),0)&lt;1,1,IF(ROUND(10.499-(((N966-VLOOKUP($C966,Lookups!$A$55:$D$64,3))/(VLOOKUP($C966,Lookups!$A$55:$D$64,4))*VLOOKUP($C966,Lookups!$C$2:$D$11,2))),0)&lt;11,ROUND(10.499-(((N966-VLOOKUP($C966,Lookups!$A$55:$D$64,3))/(VLOOKUP($C966,Lookups!$A$55:$D$64,4))*VLOOKUP($C966,Lookups!$C$2:$D$11,2))),0),10))</f>
        <v>#N/A</v>
      </c>
      <c r="P966" s="13" t="str">
        <f>IF((SUM(F966:M966)=0),"J",VLOOKUP(O966,Lookups!$A$1:$B$11,2))</f>
        <v>J</v>
      </c>
      <c r="Q966" s="8" t="e">
        <f>VLOOKUP(C966,Lookups!$A$136:$C$144,3)</f>
        <v>#N/A</v>
      </c>
      <c r="R966" s="8" t="e">
        <f>VLOOKUP(C966,Lookups!$A$136:$C$144,2)</f>
        <v>#N/A</v>
      </c>
      <c r="S966" s="4" t="str">
        <f t="shared" si="77"/>
        <v>No</v>
      </c>
      <c r="T966" s="125">
        <f t="shared" si="78"/>
        <v>0</v>
      </c>
      <c r="U966" s="125">
        <f t="shared" si="79"/>
        <v>0</v>
      </c>
      <c r="V966" s="4" t="e">
        <f>IF($Q966&lt;&gt;3,VLOOKUP(F966,'Points Table A'!B$3:$F$33,5),VLOOKUP(F966,'Points Table A'!H$3:$L$33,5))</f>
        <v>#N/A</v>
      </c>
      <c r="W966" s="4" t="e">
        <f>IF($Q966&lt;&gt;3,VLOOKUP(G966,'Points Table A'!C$3:$F$33,4),VLOOKUP(G966,'Points Table A'!I$3:$L$33,4))</f>
        <v>#N/A</v>
      </c>
      <c r="X966" s="4" t="e">
        <f>IF($Q966&lt;&gt;3,VLOOKUP(H966,'Points Table A'!D$3:$F$28,3),VLOOKUP(H966,'Points Table A'!J$3:$L$33,3))</f>
        <v>#N/A</v>
      </c>
      <c r="Y966" s="4" t="e">
        <f>IF($Q966&lt;&gt;3,VLOOKUP(I966,'Points Table A'!E$3:$F$33,2),VLOOKUP(I966,'Points Table A'!K$3:$L$33,2))</f>
        <v>#N/A</v>
      </c>
      <c r="Z966" s="4" t="e">
        <f t="shared" si="80"/>
        <v>#N/A</v>
      </c>
      <c r="AA966" s="4">
        <f>IF($S966=Lookups!$B$113,VLOOKUP(L966,'Points Table C'!A$3:$E$11,5),VLOOKUP(U966,'Points Table C'!B$3:$E$11,4))</f>
        <v>0</v>
      </c>
      <c r="AB966" s="4" t="e">
        <f>IF($Q966=1,0,VLOOKUP($J966,'Points Table C'!$C$3:$E$18,3))</f>
        <v>#N/A</v>
      </c>
      <c r="AC966" s="4">
        <f>VLOOKUP($K966,'Points Table C'!$D$3:$E$18,2)</f>
        <v>0</v>
      </c>
      <c r="AD966" s="4" t="e">
        <f>IF($Z966&lt;Lookups!$C$106,($AA966+AB966+AC966),IF($AA966&gt;=Lookups!$C$120,($AA966+AB966+AC966),$AA966+$AB966))</f>
        <v>#N/A</v>
      </c>
      <c r="AF966" s="7"/>
      <c r="AG966" s="7"/>
      <c r="AH966" s="7"/>
      <c r="AI966" s="7"/>
      <c r="AJ966" s="7"/>
      <c r="AK966" s="7"/>
      <c r="AL966" s="7"/>
      <c r="AM966" s="7"/>
      <c r="AN966" s="7"/>
      <c r="AO966" s="7"/>
      <c r="AP966" s="7"/>
      <c r="AQ966" s="7"/>
      <c r="AR966" s="7"/>
      <c r="AS966" s="7"/>
      <c r="AT966" s="7"/>
      <c r="AU966" s="7"/>
      <c r="AV966" s="7"/>
      <c r="AW966" s="7"/>
      <c r="AY966" s="7"/>
      <c r="AZ966" s="7"/>
      <c r="BA966" s="7"/>
      <c r="BB966" s="7"/>
    </row>
    <row r="967" spans="2:54" x14ac:dyDescent="0.2">
      <c r="B967" s="174"/>
      <c r="C967" s="176"/>
      <c r="F967" s="5">
        <v>0</v>
      </c>
      <c r="G967" s="192">
        <v>0</v>
      </c>
      <c r="H967" s="192">
        <v>0</v>
      </c>
      <c r="I967" s="5">
        <v>0</v>
      </c>
      <c r="J967" s="192">
        <v>0</v>
      </c>
      <c r="K967" s="192">
        <v>0</v>
      </c>
      <c r="L967" s="5">
        <v>0</v>
      </c>
      <c r="M967" s="5">
        <v>0</v>
      </c>
      <c r="N967" s="4" t="e">
        <f t="shared" si="81"/>
        <v>#N/A</v>
      </c>
      <c r="O967" s="4" t="e">
        <f>IF(ROUND(10.499-(((N967-VLOOKUP($C967,Lookups!$A$55:$D$64,3))/(VLOOKUP($C967,Lookups!$A$55:$D$64,4))*VLOOKUP($C967,Lookups!$C$2:$D$11,2))),0)&lt;1,1,IF(ROUND(10.499-(((N967-VLOOKUP($C967,Lookups!$A$55:$D$64,3))/(VLOOKUP($C967,Lookups!$A$55:$D$64,4))*VLOOKUP($C967,Lookups!$C$2:$D$11,2))),0)&lt;11,ROUND(10.499-(((N967-VLOOKUP($C967,Lookups!$A$55:$D$64,3))/(VLOOKUP($C967,Lookups!$A$55:$D$64,4))*VLOOKUP($C967,Lookups!$C$2:$D$11,2))),0),10))</f>
        <v>#N/A</v>
      </c>
      <c r="P967" s="13" t="str">
        <f>IF((SUM(F967:M967)=0),"J",VLOOKUP(O967,Lookups!$A$1:$B$11,2))</f>
        <v>J</v>
      </c>
      <c r="Q967" s="8" t="e">
        <f>VLOOKUP(C967,Lookups!$A$136:$C$144,3)</f>
        <v>#N/A</v>
      </c>
      <c r="R967" s="8" t="e">
        <f>VLOOKUP(C967,Lookups!$A$136:$C$144,2)</f>
        <v>#N/A</v>
      </c>
      <c r="S967" s="4" t="str">
        <f t="shared" si="77"/>
        <v>No</v>
      </c>
      <c r="T967" s="125">
        <f t="shared" si="78"/>
        <v>0</v>
      </c>
      <c r="U967" s="125">
        <f t="shared" si="79"/>
        <v>0</v>
      </c>
      <c r="V967" s="4" t="e">
        <f>IF($Q967&lt;&gt;3,VLOOKUP(F967,'Points Table A'!B$3:$F$33,5),VLOOKUP(F967,'Points Table A'!H$3:$L$33,5))</f>
        <v>#N/A</v>
      </c>
      <c r="W967" s="4" t="e">
        <f>IF($Q967&lt;&gt;3,VLOOKUP(G967,'Points Table A'!C$3:$F$33,4),VLOOKUP(G967,'Points Table A'!I$3:$L$33,4))</f>
        <v>#N/A</v>
      </c>
      <c r="X967" s="4" t="e">
        <f>IF($Q967&lt;&gt;3,VLOOKUP(H967,'Points Table A'!D$3:$F$28,3),VLOOKUP(H967,'Points Table A'!J$3:$L$33,3))</f>
        <v>#N/A</v>
      </c>
      <c r="Y967" s="4" t="e">
        <f>IF($Q967&lt;&gt;3,VLOOKUP(I967,'Points Table A'!E$3:$F$33,2),VLOOKUP(I967,'Points Table A'!K$3:$L$33,2))</f>
        <v>#N/A</v>
      </c>
      <c r="Z967" s="4" t="e">
        <f t="shared" si="80"/>
        <v>#N/A</v>
      </c>
      <c r="AA967" s="4">
        <f>IF($S967=Lookups!$B$113,VLOOKUP(L967,'Points Table C'!A$3:$E$11,5),VLOOKUP(U967,'Points Table C'!B$3:$E$11,4))</f>
        <v>0</v>
      </c>
      <c r="AB967" s="4" t="e">
        <f>IF($Q967=1,0,VLOOKUP($J967,'Points Table C'!$C$3:$E$18,3))</f>
        <v>#N/A</v>
      </c>
      <c r="AC967" s="4">
        <f>VLOOKUP($K967,'Points Table C'!$D$3:$E$18,2)</f>
        <v>0</v>
      </c>
      <c r="AD967" s="4" t="e">
        <f>IF($Z967&lt;Lookups!$C$106,($AA967+AB967+AC967),IF($AA967&gt;=Lookups!$C$120,($AA967+AB967+AC967),$AA967+$AB967))</f>
        <v>#N/A</v>
      </c>
      <c r="AF967" s="7"/>
      <c r="AG967" s="7"/>
      <c r="AH967" s="7"/>
      <c r="AI967" s="7"/>
      <c r="AJ967" s="7"/>
      <c r="AK967" s="7"/>
      <c r="AL967" s="7"/>
      <c r="AM967" s="7"/>
      <c r="AN967" s="7"/>
      <c r="AO967" s="7"/>
      <c r="AP967" s="7"/>
      <c r="AQ967" s="7"/>
      <c r="AR967" s="7"/>
      <c r="AS967" s="7"/>
      <c r="AT967" s="7"/>
      <c r="AU967" s="7"/>
      <c r="AV967" s="7"/>
      <c r="AW967" s="7"/>
      <c r="AY967" s="7"/>
      <c r="AZ967" s="7"/>
      <c r="BA967" s="7"/>
      <c r="BB967" s="7"/>
    </row>
    <row r="968" spans="2:54" x14ac:dyDescent="0.2">
      <c r="B968" s="174"/>
      <c r="C968" s="176"/>
      <c r="F968" s="5">
        <v>0</v>
      </c>
      <c r="G968" s="192">
        <v>0</v>
      </c>
      <c r="H968" s="192">
        <v>0</v>
      </c>
      <c r="I968" s="5">
        <v>0</v>
      </c>
      <c r="J968" s="192">
        <v>0</v>
      </c>
      <c r="K968" s="192">
        <v>0</v>
      </c>
      <c r="L968" s="5">
        <v>0</v>
      </c>
      <c r="M968" s="5">
        <v>0</v>
      </c>
      <c r="N968" s="4" t="e">
        <f t="shared" si="81"/>
        <v>#N/A</v>
      </c>
      <c r="O968" s="4" t="e">
        <f>IF(ROUND(10.499-(((N968-VLOOKUP($C968,Lookups!$A$55:$D$64,3))/(VLOOKUP($C968,Lookups!$A$55:$D$64,4))*VLOOKUP($C968,Lookups!$C$2:$D$11,2))),0)&lt;1,1,IF(ROUND(10.499-(((N968-VLOOKUP($C968,Lookups!$A$55:$D$64,3))/(VLOOKUP($C968,Lookups!$A$55:$D$64,4))*VLOOKUP($C968,Lookups!$C$2:$D$11,2))),0)&lt;11,ROUND(10.499-(((N968-VLOOKUP($C968,Lookups!$A$55:$D$64,3))/(VLOOKUP($C968,Lookups!$A$55:$D$64,4))*VLOOKUP($C968,Lookups!$C$2:$D$11,2))),0),10))</f>
        <v>#N/A</v>
      </c>
      <c r="P968" s="13" t="str">
        <f>IF((SUM(F968:M968)=0),"J",VLOOKUP(O968,Lookups!$A$1:$B$11,2))</f>
        <v>J</v>
      </c>
      <c r="Q968" s="8" t="e">
        <f>VLOOKUP(C968,Lookups!$A$136:$C$144,3)</f>
        <v>#N/A</v>
      </c>
      <c r="R968" s="8" t="e">
        <f>VLOOKUP(C968,Lookups!$A$136:$C$144,2)</f>
        <v>#N/A</v>
      </c>
      <c r="S968" s="4" t="str">
        <f t="shared" si="77"/>
        <v>No</v>
      </c>
      <c r="T968" s="125">
        <f t="shared" si="78"/>
        <v>0</v>
      </c>
      <c r="U968" s="125">
        <f t="shared" si="79"/>
        <v>0</v>
      </c>
      <c r="V968" s="4" t="e">
        <f>IF($Q968&lt;&gt;3,VLOOKUP(F968,'Points Table A'!B$3:$F$33,5),VLOOKUP(F968,'Points Table A'!H$3:$L$33,5))</f>
        <v>#N/A</v>
      </c>
      <c r="W968" s="4" t="e">
        <f>IF($Q968&lt;&gt;3,VLOOKUP(G968,'Points Table A'!C$3:$F$33,4),VLOOKUP(G968,'Points Table A'!I$3:$L$33,4))</f>
        <v>#N/A</v>
      </c>
      <c r="X968" s="4" t="e">
        <f>IF($Q968&lt;&gt;3,VLOOKUP(H968,'Points Table A'!D$3:$F$28,3),VLOOKUP(H968,'Points Table A'!J$3:$L$33,3))</f>
        <v>#N/A</v>
      </c>
      <c r="Y968" s="4" t="e">
        <f>IF($Q968&lt;&gt;3,VLOOKUP(I968,'Points Table A'!E$3:$F$33,2),VLOOKUP(I968,'Points Table A'!K$3:$L$33,2))</f>
        <v>#N/A</v>
      </c>
      <c r="Z968" s="4" t="e">
        <f t="shared" si="80"/>
        <v>#N/A</v>
      </c>
      <c r="AA968" s="4">
        <f>IF($S968=Lookups!$B$113,VLOOKUP(L968,'Points Table C'!A$3:$E$11,5),VLOOKUP(U968,'Points Table C'!B$3:$E$11,4))</f>
        <v>0</v>
      </c>
      <c r="AB968" s="4" t="e">
        <f>IF($Q968=1,0,VLOOKUP($J968,'Points Table C'!$C$3:$E$18,3))</f>
        <v>#N/A</v>
      </c>
      <c r="AC968" s="4">
        <f>VLOOKUP($K968,'Points Table C'!$D$3:$E$18,2)</f>
        <v>0</v>
      </c>
      <c r="AD968" s="4" t="e">
        <f>IF($Z968&lt;Lookups!$C$106,($AA968+AB968+AC968),IF($AA968&gt;=Lookups!$C$120,($AA968+AB968+AC968),$AA968+$AB968))</f>
        <v>#N/A</v>
      </c>
      <c r="AF968" s="7"/>
      <c r="AG968" s="7"/>
      <c r="AH968" s="7"/>
      <c r="AI968" s="7"/>
      <c r="AJ968" s="7"/>
      <c r="AK968" s="7"/>
      <c r="AL968" s="7"/>
      <c r="AM968" s="7"/>
      <c r="AN968" s="7"/>
      <c r="AO968" s="7"/>
      <c r="AP968" s="7"/>
      <c r="AQ968" s="7"/>
      <c r="AR968" s="7"/>
      <c r="AS968" s="7"/>
      <c r="AT968" s="7"/>
      <c r="AU968" s="7"/>
      <c r="AV968" s="7"/>
      <c r="AW968" s="7"/>
      <c r="AY968" s="7"/>
      <c r="AZ968" s="7"/>
      <c r="BA968" s="7"/>
      <c r="BB968" s="7"/>
    </row>
    <row r="969" spans="2:54" x14ac:dyDescent="0.2">
      <c r="B969" s="174"/>
      <c r="C969" s="176"/>
      <c r="F969" s="5">
        <v>0</v>
      </c>
      <c r="G969" s="192">
        <v>0</v>
      </c>
      <c r="H969" s="192">
        <v>0</v>
      </c>
      <c r="I969" s="5">
        <v>0</v>
      </c>
      <c r="J969" s="192">
        <v>0</v>
      </c>
      <c r="K969" s="192">
        <v>0</v>
      </c>
      <c r="L969" s="5">
        <v>0</v>
      </c>
      <c r="M969" s="5">
        <v>0</v>
      </c>
      <c r="N969" s="4" t="e">
        <f t="shared" si="81"/>
        <v>#N/A</v>
      </c>
      <c r="O969" s="4" t="e">
        <f>IF(ROUND(10.499-(((N969-VLOOKUP($C969,Lookups!$A$55:$D$64,3))/(VLOOKUP($C969,Lookups!$A$55:$D$64,4))*VLOOKUP($C969,Lookups!$C$2:$D$11,2))),0)&lt;1,1,IF(ROUND(10.499-(((N969-VLOOKUP($C969,Lookups!$A$55:$D$64,3))/(VLOOKUP($C969,Lookups!$A$55:$D$64,4))*VLOOKUP($C969,Lookups!$C$2:$D$11,2))),0)&lt;11,ROUND(10.499-(((N969-VLOOKUP($C969,Lookups!$A$55:$D$64,3))/(VLOOKUP($C969,Lookups!$A$55:$D$64,4))*VLOOKUP($C969,Lookups!$C$2:$D$11,2))),0),10))</f>
        <v>#N/A</v>
      </c>
      <c r="P969" s="13" t="str">
        <f>IF((SUM(F969:M969)=0),"J",VLOOKUP(O969,Lookups!$A$1:$B$11,2))</f>
        <v>J</v>
      </c>
      <c r="Q969" s="8" t="e">
        <f>VLOOKUP(C969,Lookups!$A$136:$C$144,3)</f>
        <v>#N/A</v>
      </c>
      <c r="R969" s="8" t="e">
        <f>VLOOKUP(C969,Lookups!$A$136:$C$144,2)</f>
        <v>#N/A</v>
      </c>
      <c r="S969" s="4" t="str">
        <f t="shared" si="77"/>
        <v>No</v>
      </c>
      <c r="T969" s="125">
        <f t="shared" si="78"/>
        <v>0</v>
      </c>
      <c r="U969" s="125">
        <f t="shared" si="79"/>
        <v>0</v>
      </c>
      <c r="V969" s="4" t="e">
        <f>IF($Q969&lt;&gt;3,VLOOKUP(F969,'Points Table A'!B$3:$F$33,5),VLOOKUP(F969,'Points Table A'!H$3:$L$33,5))</f>
        <v>#N/A</v>
      </c>
      <c r="W969" s="4" t="e">
        <f>IF($Q969&lt;&gt;3,VLOOKUP(G969,'Points Table A'!C$3:$F$33,4),VLOOKUP(G969,'Points Table A'!I$3:$L$33,4))</f>
        <v>#N/A</v>
      </c>
      <c r="X969" s="4" t="e">
        <f>IF($Q969&lt;&gt;3,VLOOKUP(H969,'Points Table A'!D$3:$F$28,3),VLOOKUP(H969,'Points Table A'!J$3:$L$33,3))</f>
        <v>#N/A</v>
      </c>
      <c r="Y969" s="4" t="e">
        <f>IF($Q969&lt;&gt;3,VLOOKUP(I969,'Points Table A'!E$3:$F$33,2),VLOOKUP(I969,'Points Table A'!K$3:$L$33,2))</f>
        <v>#N/A</v>
      </c>
      <c r="Z969" s="4" t="e">
        <f t="shared" si="80"/>
        <v>#N/A</v>
      </c>
      <c r="AA969" s="4">
        <f>IF($S969=Lookups!$B$113,VLOOKUP(L969,'Points Table C'!A$3:$E$11,5),VLOOKUP(U969,'Points Table C'!B$3:$E$11,4))</f>
        <v>0</v>
      </c>
      <c r="AB969" s="4" t="e">
        <f>IF($Q969=1,0,VLOOKUP($J969,'Points Table C'!$C$3:$E$18,3))</f>
        <v>#N/A</v>
      </c>
      <c r="AC969" s="4">
        <f>VLOOKUP($K969,'Points Table C'!$D$3:$E$18,2)</f>
        <v>0</v>
      </c>
      <c r="AD969" s="4" t="e">
        <f>IF($Z969&lt;Lookups!$C$106,($AA969+AB969+AC969),IF($AA969&gt;=Lookups!$C$120,($AA969+AB969+AC969),$AA969+$AB969))</f>
        <v>#N/A</v>
      </c>
      <c r="AF969" s="7"/>
      <c r="AG969" s="7"/>
      <c r="AH969" s="7"/>
      <c r="AI969" s="7"/>
      <c r="AJ969" s="7"/>
      <c r="AK969" s="7"/>
      <c r="AL969" s="7"/>
      <c r="AM969" s="7"/>
      <c r="AN969" s="7"/>
      <c r="AO969" s="7"/>
      <c r="AP969" s="7"/>
      <c r="AQ969" s="7"/>
      <c r="AR969" s="7"/>
      <c r="AS969" s="7"/>
      <c r="AT969" s="7"/>
      <c r="AU969" s="7"/>
      <c r="AV969" s="7"/>
      <c r="AW969" s="7"/>
      <c r="AY969" s="7"/>
      <c r="AZ969" s="7"/>
      <c r="BA969" s="7"/>
      <c r="BB969" s="7"/>
    </row>
    <row r="970" spans="2:54" x14ac:dyDescent="0.2">
      <c r="B970" s="174"/>
      <c r="C970" s="176"/>
      <c r="F970" s="5">
        <v>0</v>
      </c>
      <c r="G970" s="192">
        <v>0</v>
      </c>
      <c r="H970" s="192">
        <v>0</v>
      </c>
      <c r="I970" s="5">
        <v>0</v>
      </c>
      <c r="J970" s="192">
        <v>0</v>
      </c>
      <c r="K970" s="192">
        <v>0</v>
      </c>
      <c r="L970" s="5">
        <v>0</v>
      </c>
      <c r="M970" s="5">
        <v>0</v>
      </c>
      <c r="N970" s="4" t="e">
        <f t="shared" si="81"/>
        <v>#N/A</v>
      </c>
      <c r="O970" s="4" t="e">
        <f>IF(ROUND(10.499-(((N970-VLOOKUP($C970,Lookups!$A$55:$D$64,3))/(VLOOKUP($C970,Lookups!$A$55:$D$64,4))*VLOOKUP($C970,Lookups!$C$2:$D$11,2))),0)&lt;1,1,IF(ROUND(10.499-(((N970-VLOOKUP($C970,Lookups!$A$55:$D$64,3))/(VLOOKUP($C970,Lookups!$A$55:$D$64,4))*VLOOKUP($C970,Lookups!$C$2:$D$11,2))),0)&lt;11,ROUND(10.499-(((N970-VLOOKUP($C970,Lookups!$A$55:$D$64,3))/(VLOOKUP($C970,Lookups!$A$55:$D$64,4))*VLOOKUP($C970,Lookups!$C$2:$D$11,2))),0),10))</f>
        <v>#N/A</v>
      </c>
      <c r="P970" s="13" t="str">
        <f>IF((SUM(F970:M970)=0),"J",VLOOKUP(O970,Lookups!$A$1:$B$11,2))</f>
        <v>J</v>
      </c>
      <c r="Q970" s="8" t="e">
        <f>VLOOKUP(C970,Lookups!$A$136:$C$144,3)</f>
        <v>#N/A</v>
      </c>
      <c r="R970" s="8" t="e">
        <f>VLOOKUP(C970,Lookups!$A$136:$C$144,2)</f>
        <v>#N/A</v>
      </c>
      <c r="S970" s="4" t="str">
        <f t="shared" si="77"/>
        <v>No</v>
      </c>
      <c r="T970" s="125">
        <f t="shared" si="78"/>
        <v>0</v>
      </c>
      <c r="U970" s="125">
        <f t="shared" si="79"/>
        <v>0</v>
      </c>
      <c r="V970" s="4" t="e">
        <f>IF($Q970&lt;&gt;3,VLOOKUP(F970,'Points Table A'!B$3:$F$33,5),VLOOKUP(F970,'Points Table A'!H$3:$L$33,5))</f>
        <v>#N/A</v>
      </c>
      <c r="W970" s="4" t="e">
        <f>IF($Q970&lt;&gt;3,VLOOKUP(G970,'Points Table A'!C$3:$F$33,4),VLOOKUP(G970,'Points Table A'!I$3:$L$33,4))</f>
        <v>#N/A</v>
      </c>
      <c r="X970" s="4" t="e">
        <f>IF($Q970&lt;&gt;3,VLOOKUP(H970,'Points Table A'!D$3:$F$28,3),VLOOKUP(H970,'Points Table A'!J$3:$L$33,3))</f>
        <v>#N/A</v>
      </c>
      <c r="Y970" s="4" t="e">
        <f>IF($Q970&lt;&gt;3,VLOOKUP(I970,'Points Table A'!E$3:$F$33,2),VLOOKUP(I970,'Points Table A'!K$3:$L$33,2))</f>
        <v>#N/A</v>
      </c>
      <c r="Z970" s="4" t="e">
        <f t="shared" si="80"/>
        <v>#N/A</v>
      </c>
      <c r="AA970" s="4">
        <f>IF($S970=Lookups!$B$113,VLOOKUP(L970,'Points Table C'!A$3:$E$11,5),VLOOKUP(U970,'Points Table C'!B$3:$E$11,4))</f>
        <v>0</v>
      </c>
      <c r="AB970" s="4" t="e">
        <f>IF($Q970=1,0,VLOOKUP($J970,'Points Table C'!$C$3:$E$18,3))</f>
        <v>#N/A</v>
      </c>
      <c r="AC970" s="4">
        <f>VLOOKUP($K970,'Points Table C'!$D$3:$E$18,2)</f>
        <v>0</v>
      </c>
      <c r="AD970" s="4" t="e">
        <f>IF($Z970&lt;Lookups!$C$106,($AA970+AB970+AC970),IF($AA970&gt;=Lookups!$C$120,($AA970+AB970+AC970),$AA970+$AB970))</f>
        <v>#N/A</v>
      </c>
      <c r="AF970" s="7"/>
      <c r="AG970" s="7"/>
      <c r="AH970" s="7"/>
      <c r="AI970" s="7"/>
      <c r="AJ970" s="7"/>
      <c r="AK970" s="7"/>
      <c r="AL970" s="7"/>
      <c r="AM970" s="7"/>
      <c r="AN970" s="7"/>
      <c r="AO970" s="7"/>
      <c r="AP970" s="7"/>
      <c r="AQ970" s="7"/>
      <c r="AR970" s="7"/>
      <c r="AS970" s="7"/>
      <c r="AT970" s="7"/>
      <c r="AU970" s="7"/>
      <c r="AV970" s="7"/>
      <c r="AW970" s="7"/>
      <c r="AY970" s="7"/>
      <c r="AZ970" s="7"/>
      <c r="BA970" s="7"/>
      <c r="BB970" s="7"/>
    </row>
    <row r="971" spans="2:54" x14ac:dyDescent="0.2">
      <c r="B971" s="174"/>
      <c r="C971" s="176"/>
      <c r="F971" s="5">
        <v>0</v>
      </c>
      <c r="G971" s="192">
        <v>0</v>
      </c>
      <c r="H971" s="192">
        <v>0</v>
      </c>
      <c r="I971" s="5">
        <v>0</v>
      </c>
      <c r="J971" s="192">
        <v>0</v>
      </c>
      <c r="K971" s="192">
        <v>0</v>
      </c>
      <c r="L971" s="5">
        <v>0</v>
      </c>
      <c r="M971" s="5">
        <v>0</v>
      </c>
      <c r="N971" s="4" t="e">
        <f t="shared" si="81"/>
        <v>#N/A</v>
      </c>
      <c r="O971" s="4" t="e">
        <f>IF(ROUND(10.499-(((N971-VLOOKUP($C971,Lookups!$A$55:$D$64,3))/(VLOOKUP($C971,Lookups!$A$55:$D$64,4))*VLOOKUP($C971,Lookups!$C$2:$D$11,2))),0)&lt;1,1,IF(ROUND(10.499-(((N971-VLOOKUP($C971,Lookups!$A$55:$D$64,3))/(VLOOKUP($C971,Lookups!$A$55:$D$64,4))*VLOOKUP($C971,Lookups!$C$2:$D$11,2))),0)&lt;11,ROUND(10.499-(((N971-VLOOKUP($C971,Lookups!$A$55:$D$64,3))/(VLOOKUP($C971,Lookups!$A$55:$D$64,4))*VLOOKUP($C971,Lookups!$C$2:$D$11,2))),0),10))</f>
        <v>#N/A</v>
      </c>
      <c r="P971" s="13" t="str">
        <f>IF((SUM(F971:M971)=0),"J",VLOOKUP(O971,Lookups!$A$1:$B$11,2))</f>
        <v>J</v>
      </c>
      <c r="Q971" s="8" t="e">
        <f>VLOOKUP(C971,Lookups!$A$136:$C$144,3)</f>
        <v>#N/A</v>
      </c>
      <c r="R971" s="8" t="e">
        <f>VLOOKUP(C971,Lookups!$A$136:$C$144,2)</f>
        <v>#N/A</v>
      </c>
      <c r="S971" s="4" t="str">
        <f t="shared" si="77"/>
        <v>No</v>
      </c>
      <c r="T971" s="125">
        <f t="shared" si="78"/>
        <v>0</v>
      </c>
      <c r="U971" s="125">
        <f t="shared" si="79"/>
        <v>0</v>
      </c>
      <c r="V971" s="4" t="e">
        <f>IF($Q971&lt;&gt;3,VLOOKUP(F971,'Points Table A'!B$3:$F$33,5),VLOOKUP(F971,'Points Table A'!H$3:$L$33,5))</f>
        <v>#N/A</v>
      </c>
      <c r="W971" s="4" t="e">
        <f>IF($Q971&lt;&gt;3,VLOOKUP(G971,'Points Table A'!C$3:$F$33,4),VLOOKUP(G971,'Points Table A'!I$3:$L$33,4))</f>
        <v>#N/A</v>
      </c>
      <c r="X971" s="4" t="e">
        <f>IF($Q971&lt;&gt;3,VLOOKUP(H971,'Points Table A'!D$3:$F$28,3),VLOOKUP(H971,'Points Table A'!J$3:$L$33,3))</f>
        <v>#N/A</v>
      </c>
      <c r="Y971" s="4" t="e">
        <f>IF($Q971&lt;&gt;3,VLOOKUP(I971,'Points Table A'!E$3:$F$33,2),VLOOKUP(I971,'Points Table A'!K$3:$L$33,2))</f>
        <v>#N/A</v>
      </c>
      <c r="Z971" s="4" t="e">
        <f t="shared" si="80"/>
        <v>#N/A</v>
      </c>
      <c r="AA971" s="4">
        <f>IF($S971=Lookups!$B$113,VLOOKUP(L971,'Points Table C'!A$3:$E$11,5),VLOOKUP(U971,'Points Table C'!B$3:$E$11,4))</f>
        <v>0</v>
      </c>
      <c r="AB971" s="4" t="e">
        <f>IF($Q971=1,0,VLOOKUP($J971,'Points Table C'!$C$3:$E$18,3))</f>
        <v>#N/A</v>
      </c>
      <c r="AC971" s="4">
        <f>VLOOKUP($K971,'Points Table C'!$D$3:$E$18,2)</f>
        <v>0</v>
      </c>
      <c r="AD971" s="4" t="e">
        <f>IF($Z971&lt;Lookups!$C$106,($AA971+AB971+AC971),IF($AA971&gt;=Lookups!$C$120,($AA971+AB971+AC971),$AA971+$AB971))</f>
        <v>#N/A</v>
      </c>
      <c r="AF971" s="7"/>
      <c r="AG971" s="7"/>
      <c r="AH971" s="7"/>
      <c r="AI971" s="7"/>
      <c r="AJ971" s="7"/>
      <c r="AK971" s="7"/>
      <c r="AL971" s="7"/>
      <c r="AM971" s="7"/>
      <c r="AN971" s="7"/>
      <c r="AO971" s="7"/>
      <c r="AP971" s="7"/>
      <c r="AQ971" s="7"/>
      <c r="AR971" s="7"/>
      <c r="AS971" s="7"/>
      <c r="AT971" s="7"/>
      <c r="AU971" s="7"/>
      <c r="AV971" s="7"/>
      <c r="AW971" s="7"/>
      <c r="AY971" s="7"/>
      <c r="AZ971" s="7"/>
      <c r="BA971" s="7"/>
      <c r="BB971" s="7"/>
    </row>
    <row r="972" spans="2:54" x14ac:dyDescent="0.2">
      <c r="B972" s="174"/>
      <c r="C972" s="176"/>
      <c r="F972" s="5">
        <v>0</v>
      </c>
      <c r="G972" s="192">
        <v>0</v>
      </c>
      <c r="H972" s="192">
        <v>0</v>
      </c>
      <c r="I972" s="5">
        <v>0</v>
      </c>
      <c r="J972" s="192">
        <v>0</v>
      </c>
      <c r="K972" s="192">
        <v>0</v>
      </c>
      <c r="L972" s="5">
        <v>0</v>
      </c>
      <c r="M972" s="5">
        <v>0</v>
      </c>
      <c r="N972" s="4" t="e">
        <f t="shared" si="81"/>
        <v>#N/A</v>
      </c>
      <c r="O972" s="4" t="e">
        <f>IF(ROUND(10.499-(((N972-VLOOKUP($C972,Lookups!$A$55:$D$64,3))/(VLOOKUP($C972,Lookups!$A$55:$D$64,4))*VLOOKUP($C972,Lookups!$C$2:$D$11,2))),0)&lt;1,1,IF(ROUND(10.499-(((N972-VLOOKUP($C972,Lookups!$A$55:$D$64,3))/(VLOOKUP($C972,Lookups!$A$55:$D$64,4))*VLOOKUP($C972,Lookups!$C$2:$D$11,2))),0)&lt;11,ROUND(10.499-(((N972-VLOOKUP($C972,Lookups!$A$55:$D$64,3))/(VLOOKUP($C972,Lookups!$A$55:$D$64,4))*VLOOKUP($C972,Lookups!$C$2:$D$11,2))),0),10))</f>
        <v>#N/A</v>
      </c>
      <c r="P972" s="13" t="str">
        <f>IF((SUM(F972:M972)=0),"J",VLOOKUP(O972,Lookups!$A$1:$B$11,2))</f>
        <v>J</v>
      </c>
      <c r="Q972" s="8" t="e">
        <f>VLOOKUP(C972,Lookups!$A$136:$C$144,3)</f>
        <v>#N/A</v>
      </c>
      <c r="R972" s="8" t="e">
        <f>VLOOKUP(C972,Lookups!$A$136:$C$144,2)</f>
        <v>#N/A</v>
      </c>
      <c r="S972" s="4" t="str">
        <f t="shared" si="77"/>
        <v>No</v>
      </c>
      <c r="T972" s="125">
        <f t="shared" si="78"/>
        <v>0</v>
      </c>
      <c r="U972" s="125">
        <f t="shared" si="79"/>
        <v>0</v>
      </c>
      <c r="V972" s="4" t="e">
        <f>IF($Q972&lt;&gt;3,VLOOKUP(F972,'Points Table A'!B$3:$F$33,5),VLOOKUP(F972,'Points Table A'!H$3:$L$33,5))</f>
        <v>#N/A</v>
      </c>
      <c r="W972" s="4" t="e">
        <f>IF($Q972&lt;&gt;3,VLOOKUP(G972,'Points Table A'!C$3:$F$33,4),VLOOKUP(G972,'Points Table A'!I$3:$L$33,4))</f>
        <v>#N/A</v>
      </c>
      <c r="X972" s="4" t="e">
        <f>IF($Q972&lt;&gt;3,VLOOKUP(H972,'Points Table A'!D$3:$F$28,3),VLOOKUP(H972,'Points Table A'!J$3:$L$33,3))</f>
        <v>#N/A</v>
      </c>
      <c r="Y972" s="4" t="e">
        <f>IF($Q972&lt;&gt;3,VLOOKUP(I972,'Points Table A'!E$3:$F$33,2),VLOOKUP(I972,'Points Table A'!K$3:$L$33,2))</f>
        <v>#N/A</v>
      </c>
      <c r="Z972" s="4" t="e">
        <f t="shared" si="80"/>
        <v>#N/A</v>
      </c>
      <c r="AA972" s="4">
        <f>IF($S972=Lookups!$B$113,VLOOKUP(L972,'Points Table C'!A$3:$E$11,5),VLOOKUP(U972,'Points Table C'!B$3:$E$11,4))</f>
        <v>0</v>
      </c>
      <c r="AB972" s="4" t="e">
        <f>IF($Q972=1,0,VLOOKUP($J972,'Points Table C'!$C$3:$E$18,3))</f>
        <v>#N/A</v>
      </c>
      <c r="AC972" s="4">
        <f>VLOOKUP($K972,'Points Table C'!$D$3:$E$18,2)</f>
        <v>0</v>
      </c>
      <c r="AD972" s="4" t="e">
        <f>IF($Z972&lt;Lookups!$C$106,($AA972+AB972+AC972),IF($AA972&gt;=Lookups!$C$120,($AA972+AB972+AC972),$AA972+$AB972))</f>
        <v>#N/A</v>
      </c>
      <c r="AF972" s="7"/>
      <c r="AG972" s="7"/>
      <c r="AH972" s="7"/>
      <c r="AI972" s="7"/>
      <c r="AJ972" s="7"/>
      <c r="AK972" s="7"/>
      <c r="AL972" s="7"/>
      <c r="AM972" s="7"/>
      <c r="AN972" s="7"/>
      <c r="AO972" s="7"/>
      <c r="AP972" s="7"/>
      <c r="AQ972" s="7"/>
      <c r="AR972" s="7"/>
      <c r="AS972" s="7"/>
      <c r="AT972" s="7"/>
      <c r="AU972" s="7"/>
      <c r="AV972" s="7"/>
      <c r="AW972" s="7"/>
      <c r="AY972" s="7"/>
      <c r="AZ972" s="7"/>
      <c r="BA972" s="7"/>
      <c r="BB972" s="7"/>
    </row>
    <row r="973" spans="2:54" x14ac:dyDescent="0.2">
      <c r="B973" s="174"/>
      <c r="C973" s="176"/>
      <c r="F973" s="5">
        <v>0</v>
      </c>
      <c r="G973" s="192">
        <v>0</v>
      </c>
      <c r="H973" s="192">
        <v>0</v>
      </c>
      <c r="I973" s="5">
        <v>0</v>
      </c>
      <c r="J973" s="192">
        <v>0</v>
      </c>
      <c r="K973" s="192">
        <v>0</v>
      </c>
      <c r="L973" s="5">
        <v>0</v>
      </c>
      <c r="M973" s="5">
        <v>0</v>
      </c>
      <c r="N973" s="4" t="e">
        <f t="shared" si="81"/>
        <v>#N/A</v>
      </c>
      <c r="O973" s="4" t="e">
        <f>IF(ROUND(10.499-(((N973-VLOOKUP($C973,Lookups!$A$55:$D$64,3))/(VLOOKUP($C973,Lookups!$A$55:$D$64,4))*VLOOKUP($C973,Lookups!$C$2:$D$11,2))),0)&lt;1,1,IF(ROUND(10.499-(((N973-VLOOKUP($C973,Lookups!$A$55:$D$64,3))/(VLOOKUP($C973,Lookups!$A$55:$D$64,4))*VLOOKUP($C973,Lookups!$C$2:$D$11,2))),0)&lt;11,ROUND(10.499-(((N973-VLOOKUP($C973,Lookups!$A$55:$D$64,3))/(VLOOKUP($C973,Lookups!$A$55:$D$64,4))*VLOOKUP($C973,Lookups!$C$2:$D$11,2))),0),10))</f>
        <v>#N/A</v>
      </c>
      <c r="P973" s="13" t="str">
        <f>IF((SUM(F973:M973)=0),"J",VLOOKUP(O973,Lookups!$A$1:$B$11,2))</f>
        <v>J</v>
      </c>
      <c r="Q973" s="8" t="e">
        <f>VLOOKUP(C973,Lookups!$A$136:$C$144,3)</f>
        <v>#N/A</v>
      </c>
      <c r="R973" s="8" t="e">
        <f>VLOOKUP(C973,Lookups!$A$136:$C$144,2)</f>
        <v>#N/A</v>
      </c>
      <c r="S973" s="4" t="str">
        <f t="shared" si="77"/>
        <v>No</v>
      </c>
      <c r="T973" s="125">
        <f t="shared" si="78"/>
        <v>0</v>
      </c>
      <c r="U973" s="125">
        <f t="shared" si="79"/>
        <v>0</v>
      </c>
      <c r="V973" s="4" t="e">
        <f>IF($Q973&lt;&gt;3,VLOOKUP(F973,'Points Table A'!B$3:$F$33,5),VLOOKUP(F973,'Points Table A'!H$3:$L$33,5))</f>
        <v>#N/A</v>
      </c>
      <c r="W973" s="4" t="e">
        <f>IF($Q973&lt;&gt;3,VLOOKUP(G973,'Points Table A'!C$3:$F$33,4),VLOOKUP(G973,'Points Table A'!I$3:$L$33,4))</f>
        <v>#N/A</v>
      </c>
      <c r="X973" s="4" t="e">
        <f>IF($Q973&lt;&gt;3,VLOOKUP(H973,'Points Table A'!D$3:$F$28,3),VLOOKUP(H973,'Points Table A'!J$3:$L$33,3))</f>
        <v>#N/A</v>
      </c>
      <c r="Y973" s="4" t="e">
        <f>IF($Q973&lt;&gt;3,VLOOKUP(I973,'Points Table A'!E$3:$F$33,2),VLOOKUP(I973,'Points Table A'!K$3:$L$33,2))</f>
        <v>#N/A</v>
      </c>
      <c r="Z973" s="4" t="e">
        <f t="shared" si="80"/>
        <v>#N/A</v>
      </c>
      <c r="AA973" s="4">
        <f>IF($S973=Lookups!$B$113,VLOOKUP(L973,'Points Table C'!A$3:$E$11,5),VLOOKUP(U973,'Points Table C'!B$3:$E$11,4))</f>
        <v>0</v>
      </c>
      <c r="AB973" s="4" t="e">
        <f>IF($Q973=1,0,VLOOKUP($J973,'Points Table C'!$C$3:$E$18,3))</f>
        <v>#N/A</v>
      </c>
      <c r="AC973" s="4">
        <f>VLOOKUP($K973,'Points Table C'!$D$3:$E$18,2)</f>
        <v>0</v>
      </c>
      <c r="AD973" s="4" t="e">
        <f>IF($Z973&lt;Lookups!$C$106,($AA973+AB973+AC973),IF($AA973&gt;=Lookups!$C$120,($AA973+AB973+AC973),$AA973+$AB973))</f>
        <v>#N/A</v>
      </c>
      <c r="AF973" s="7"/>
      <c r="AG973" s="7"/>
      <c r="AH973" s="7"/>
      <c r="AI973" s="7"/>
      <c r="AJ973" s="7"/>
      <c r="AK973" s="7"/>
      <c r="AL973" s="7"/>
      <c r="AM973" s="7"/>
      <c r="AN973" s="7"/>
      <c r="AO973" s="7"/>
      <c r="AP973" s="7"/>
      <c r="AQ973" s="7"/>
      <c r="AR973" s="7"/>
      <c r="AS973" s="7"/>
      <c r="AT973" s="7"/>
      <c r="AU973" s="7"/>
      <c r="AV973" s="7"/>
      <c r="AW973" s="7"/>
      <c r="AY973" s="7"/>
      <c r="AZ973" s="7"/>
      <c r="BA973" s="7"/>
      <c r="BB973" s="7"/>
    </row>
    <row r="974" spans="2:54" x14ac:dyDescent="0.2">
      <c r="B974" s="174"/>
      <c r="C974" s="176"/>
      <c r="F974" s="5">
        <v>0</v>
      </c>
      <c r="G974" s="192">
        <v>0</v>
      </c>
      <c r="H974" s="192">
        <v>0</v>
      </c>
      <c r="I974" s="5">
        <v>0</v>
      </c>
      <c r="J974" s="192">
        <v>0</v>
      </c>
      <c r="K974" s="192">
        <v>0</v>
      </c>
      <c r="L974" s="5">
        <v>0</v>
      </c>
      <c r="M974" s="5">
        <v>0</v>
      </c>
      <c r="N974" s="4" t="e">
        <f t="shared" si="81"/>
        <v>#N/A</v>
      </c>
      <c r="O974" s="4" t="e">
        <f>IF(ROUND(10.499-(((N974-VLOOKUP($C974,Lookups!$A$55:$D$64,3))/(VLOOKUP($C974,Lookups!$A$55:$D$64,4))*VLOOKUP($C974,Lookups!$C$2:$D$11,2))),0)&lt;1,1,IF(ROUND(10.499-(((N974-VLOOKUP($C974,Lookups!$A$55:$D$64,3))/(VLOOKUP($C974,Lookups!$A$55:$D$64,4))*VLOOKUP($C974,Lookups!$C$2:$D$11,2))),0)&lt;11,ROUND(10.499-(((N974-VLOOKUP($C974,Lookups!$A$55:$D$64,3))/(VLOOKUP($C974,Lookups!$A$55:$D$64,4))*VLOOKUP($C974,Lookups!$C$2:$D$11,2))),0),10))</f>
        <v>#N/A</v>
      </c>
      <c r="P974" s="13" t="str">
        <f>IF((SUM(F974:M974)=0),"J",VLOOKUP(O974,Lookups!$A$1:$B$11,2))</f>
        <v>J</v>
      </c>
      <c r="Q974" s="8" t="e">
        <f>VLOOKUP(C974,Lookups!$A$136:$C$144,3)</f>
        <v>#N/A</v>
      </c>
      <c r="R974" s="8" t="e">
        <f>VLOOKUP(C974,Lookups!$A$136:$C$144,2)</f>
        <v>#N/A</v>
      </c>
      <c r="S974" s="4" t="str">
        <f t="shared" si="77"/>
        <v>No</v>
      </c>
      <c r="T974" s="125">
        <f t="shared" si="78"/>
        <v>0</v>
      </c>
      <c r="U974" s="125">
        <f t="shared" si="79"/>
        <v>0</v>
      </c>
      <c r="V974" s="4" t="e">
        <f>IF($Q974&lt;&gt;3,VLOOKUP(F974,'Points Table A'!B$3:$F$33,5),VLOOKUP(F974,'Points Table A'!H$3:$L$33,5))</f>
        <v>#N/A</v>
      </c>
      <c r="W974" s="4" t="e">
        <f>IF($Q974&lt;&gt;3,VLOOKUP(G974,'Points Table A'!C$3:$F$33,4),VLOOKUP(G974,'Points Table A'!I$3:$L$33,4))</f>
        <v>#N/A</v>
      </c>
      <c r="X974" s="4" t="e">
        <f>IF($Q974&lt;&gt;3,VLOOKUP(H974,'Points Table A'!D$3:$F$28,3),VLOOKUP(H974,'Points Table A'!J$3:$L$33,3))</f>
        <v>#N/A</v>
      </c>
      <c r="Y974" s="4" t="e">
        <f>IF($Q974&lt;&gt;3,VLOOKUP(I974,'Points Table A'!E$3:$F$33,2),VLOOKUP(I974,'Points Table A'!K$3:$L$33,2))</f>
        <v>#N/A</v>
      </c>
      <c r="Z974" s="4" t="e">
        <f t="shared" si="80"/>
        <v>#N/A</v>
      </c>
      <c r="AA974" s="4">
        <f>IF($S974=Lookups!$B$113,VLOOKUP(L974,'Points Table C'!A$3:$E$11,5),VLOOKUP(U974,'Points Table C'!B$3:$E$11,4))</f>
        <v>0</v>
      </c>
      <c r="AB974" s="4" t="e">
        <f>IF($Q974=1,0,VLOOKUP($J974,'Points Table C'!$C$3:$E$18,3))</f>
        <v>#N/A</v>
      </c>
      <c r="AC974" s="4">
        <f>VLOOKUP($K974,'Points Table C'!$D$3:$E$18,2)</f>
        <v>0</v>
      </c>
      <c r="AD974" s="4" t="e">
        <f>IF($Z974&lt;Lookups!$C$106,($AA974+AB974+AC974),IF($AA974&gt;=Lookups!$C$120,($AA974+AB974+AC974),$AA974+$AB974))</f>
        <v>#N/A</v>
      </c>
      <c r="AF974" s="7"/>
      <c r="AG974" s="7"/>
      <c r="AH974" s="7"/>
      <c r="AI974" s="7"/>
      <c r="AJ974" s="7"/>
      <c r="AK974" s="7"/>
      <c r="AL974" s="7"/>
      <c r="AM974" s="7"/>
      <c r="AN974" s="7"/>
      <c r="AO974" s="7"/>
      <c r="AP974" s="7"/>
      <c r="AQ974" s="7"/>
      <c r="AR974" s="7"/>
      <c r="AS974" s="7"/>
      <c r="AT974" s="7"/>
      <c r="AU974" s="7"/>
      <c r="AV974" s="7"/>
      <c r="AW974" s="7"/>
      <c r="AY974" s="7"/>
      <c r="AZ974" s="7"/>
      <c r="BA974" s="7"/>
      <c r="BB974" s="7"/>
    </row>
    <row r="975" spans="2:54" x14ac:dyDescent="0.2">
      <c r="B975" s="174"/>
      <c r="C975" s="176"/>
      <c r="F975" s="5">
        <v>0</v>
      </c>
      <c r="G975" s="192">
        <v>0</v>
      </c>
      <c r="H975" s="192">
        <v>0</v>
      </c>
      <c r="I975" s="5">
        <v>0</v>
      </c>
      <c r="J975" s="192">
        <v>0</v>
      </c>
      <c r="K975" s="192">
        <v>0</v>
      </c>
      <c r="L975" s="5">
        <v>0</v>
      </c>
      <c r="M975" s="5">
        <v>0</v>
      </c>
      <c r="N975" s="4" t="e">
        <f t="shared" si="81"/>
        <v>#N/A</v>
      </c>
      <c r="O975" s="4" t="e">
        <f>IF(ROUND(10.499-(((N975-VLOOKUP($C975,Lookups!$A$55:$D$64,3))/(VLOOKUP($C975,Lookups!$A$55:$D$64,4))*VLOOKUP($C975,Lookups!$C$2:$D$11,2))),0)&lt;1,1,IF(ROUND(10.499-(((N975-VLOOKUP($C975,Lookups!$A$55:$D$64,3))/(VLOOKUP($C975,Lookups!$A$55:$D$64,4))*VLOOKUP($C975,Lookups!$C$2:$D$11,2))),0)&lt;11,ROUND(10.499-(((N975-VLOOKUP($C975,Lookups!$A$55:$D$64,3))/(VLOOKUP($C975,Lookups!$A$55:$D$64,4))*VLOOKUP($C975,Lookups!$C$2:$D$11,2))),0),10))</f>
        <v>#N/A</v>
      </c>
      <c r="P975" s="13" t="str">
        <f>IF((SUM(F975:M975)=0),"J",VLOOKUP(O975,Lookups!$A$1:$B$11,2))</f>
        <v>J</v>
      </c>
      <c r="Q975" s="8" t="e">
        <f>VLOOKUP(C975,Lookups!$A$136:$C$144,3)</f>
        <v>#N/A</v>
      </c>
      <c r="R975" s="8" t="e">
        <f>VLOOKUP(C975,Lookups!$A$136:$C$144,2)</f>
        <v>#N/A</v>
      </c>
      <c r="S975" s="4" t="str">
        <f t="shared" ref="S975:S1000" si="82">IF(AND(L975&gt;0,M975=0),"Yes","No")</f>
        <v>No</v>
      </c>
      <c r="T975" s="125">
        <f t="shared" ref="T975:T1000" si="83">L975+M975</f>
        <v>0</v>
      </c>
      <c r="U975" s="125">
        <f t="shared" ref="U975:U1000" si="84">ROUND(100*(M975+2*L975)/(M975+2*L975+(100-L975-M975)),2)</f>
        <v>0</v>
      </c>
      <c r="V975" s="4" t="e">
        <f>IF($Q975&lt;&gt;3,VLOOKUP(F975,'Points Table A'!B$3:$F$33,5),VLOOKUP(F975,'Points Table A'!H$3:$L$33,5))</f>
        <v>#N/A</v>
      </c>
      <c r="W975" s="4" t="e">
        <f>IF($Q975&lt;&gt;3,VLOOKUP(G975,'Points Table A'!C$3:$F$33,4),VLOOKUP(G975,'Points Table A'!I$3:$L$33,4))</f>
        <v>#N/A</v>
      </c>
      <c r="X975" s="4" t="e">
        <f>IF($Q975&lt;&gt;3,VLOOKUP(H975,'Points Table A'!D$3:$F$28,3),VLOOKUP(H975,'Points Table A'!J$3:$L$33,3))</f>
        <v>#N/A</v>
      </c>
      <c r="Y975" s="4" t="e">
        <f>IF($Q975&lt;&gt;3,VLOOKUP(I975,'Points Table A'!E$3:$F$33,2),VLOOKUP(I975,'Points Table A'!K$3:$L$33,2))</f>
        <v>#N/A</v>
      </c>
      <c r="Z975" s="4" t="e">
        <f t="shared" ref="Z975:Z1000" si="85">SUM(V975:Y975)</f>
        <v>#N/A</v>
      </c>
      <c r="AA975" s="4">
        <f>IF($S975=Lookups!$B$113,VLOOKUP(L975,'Points Table C'!A$3:$E$11,5),VLOOKUP(U975,'Points Table C'!B$3:$E$11,4))</f>
        <v>0</v>
      </c>
      <c r="AB975" s="4" t="e">
        <f>IF($Q975=1,0,VLOOKUP($J975,'Points Table C'!$C$3:$E$18,3))</f>
        <v>#N/A</v>
      </c>
      <c r="AC975" s="4">
        <f>VLOOKUP($K975,'Points Table C'!$D$3:$E$18,2)</f>
        <v>0</v>
      </c>
      <c r="AD975" s="4" t="e">
        <f>IF($Z975&lt;Lookups!$C$106,($AA975+AB975+AC975),IF($AA975&gt;=Lookups!$C$120,($AA975+AB975+AC975),$AA975+$AB975))</f>
        <v>#N/A</v>
      </c>
      <c r="AF975" s="7"/>
      <c r="AG975" s="7"/>
      <c r="AH975" s="7"/>
      <c r="AI975" s="7"/>
      <c r="AJ975" s="7"/>
      <c r="AK975" s="7"/>
      <c r="AL975" s="7"/>
      <c r="AM975" s="7"/>
      <c r="AN975" s="7"/>
      <c r="AO975" s="7"/>
      <c r="AP975" s="7"/>
      <c r="AQ975" s="7"/>
      <c r="AR975" s="7"/>
      <c r="AS975" s="7"/>
      <c r="AT975" s="7"/>
      <c r="AU975" s="7"/>
      <c r="AV975" s="7"/>
      <c r="AW975" s="7"/>
      <c r="AY975" s="7"/>
      <c r="AZ975" s="7"/>
      <c r="BA975" s="7"/>
      <c r="BB975" s="7"/>
    </row>
    <row r="976" spans="2:54" x14ac:dyDescent="0.2">
      <c r="B976" s="174"/>
      <c r="C976" s="176"/>
      <c r="F976" s="5">
        <v>0</v>
      </c>
      <c r="G976" s="192">
        <v>0</v>
      </c>
      <c r="H976" s="192">
        <v>0</v>
      </c>
      <c r="I976" s="5">
        <v>0</v>
      </c>
      <c r="J976" s="192">
        <v>0</v>
      </c>
      <c r="K976" s="192">
        <v>0</v>
      </c>
      <c r="L976" s="5">
        <v>0</v>
      </c>
      <c r="M976" s="5">
        <v>0</v>
      </c>
      <c r="N976" s="4" t="e">
        <f t="shared" si="81"/>
        <v>#N/A</v>
      </c>
      <c r="O976" s="4" t="e">
        <f>IF(ROUND(10.499-(((N976-VLOOKUP($C976,Lookups!$A$55:$D$64,3))/(VLOOKUP($C976,Lookups!$A$55:$D$64,4))*VLOOKUP($C976,Lookups!$C$2:$D$11,2))),0)&lt;1,1,IF(ROUND(10.499-(((N976-VLOOKUP($C976,Lookups!$A$55:$D$64,3))/(VLOOKUP($C976,Lookups!$A$55:$D$64,4))*VLOOKUP($C976,Lookups!$C$2:$D$11,2))),0)&lt;11,ROUND(10.499-(((N976-VLOOKUP($C976,Lookups!$A$55:$D$64,3))/(VLOOKUP($C976,Lookups!$A$55:$D$64,4))*VLOOKUP($C976,Lookups!$C$2:$D$11,2))),0),10))</f>
        <v>#N/A</v>
      </c>
      <c r="P976" s="13" t="str">
        <f>IF((SUM(F976:M976)=0),"J",VLOOKUP(O976,Lookups!$A$1:$B$11,2))</f>
        <v>J</v>
      </c>
      <c r="Q976" s="8" t="e">
        <f>VLOOKUP(C976,Lookups!$A$136:$C$144,3)</f>
        <v>#N/A</v>
      </c>
      <c r="R976" s="8" t="e">
        <f>VLOOKUP(C976,Lookups!$A$136:$C$144,2)</f>
        <v>#N/A</v>
      </c>
      <c r="S976" s="4" t="str">
        <f t="shared" si="82"/>
        <v>No</v>
      </c>
      <c r="T976" s="125">
        <f t="shared" si="83"/>
        <v>0</v>
      </c>
      <c r="U976" s="125">
        <f t="shared" si="84"/>
        <v>0</v>
      </c>
      <c r="V976" s="4" t="e">
        <f>IF($Q976&lt;&gt;3,VLOOKUP(F976,'Points Table A'!B$3:$F$33,5),VLOOKUP(F976,'Points Table A'!H$3:$L$33,5))</f>
        <v>#N/A</v>
      </c>
      <c r="W976" s="4" t="e">
        <f>IF($Q976&lt;&gt;3,VLOOKUP(G976,'Points Table A'!C$3:$F$33,4),VLOOKUP(G976,'Points Table A'!I$3:$L$33,4))</f>
        <v>#N/A</v>
      </c>
      <c r="X976" s="4" t="e">
        <f>IF($Q976&lt;&gt;3,VLOOKUP(H976,'Points Table A'!D$3:$F$28,3),VLOOKUP(H976,'Points Table A'!J$3:$L$33,3))</f>
        <v>#N/A</v>
      </c>
      <c r="Y976" s="4" t="e">
        <f>IF($Q976&lt;&gt;3,VLOOKUP(I976,'Points Table A'!E$3:$F$33,2),VLOOKUP(I976,'Points Table A'!K$3:$L$33,2))</f>
        <v>#N/A</v>
      </c>
      <c r="Z976" s="4" t="e">
        <f t="shared" si="85"/>
        <v>#N/A</v>
      </c>
      <c r="AA976" s="4">
        <f>IF($S976=Lookups!$B$113,VLOOKUP(L976,'Points Table C'!A$3:$E$11,5),VLOOKUP(U976,'Points Table C'!B$3:$E$11,4))</f>
        <v>0</v>
      </c>
      <c r="AB976" s="4" t="e">
        <f>IF($Q976=1,0,VLOOKUP($J976,'Points Table C'!$C$3:$E$18,3))</f>
        <v>#N/A</v>
      </c>
      <c r="AC976" s="4">
        <f>VLOOKUP($K976,'Points Table C'!$D$3:$E$18,2)</f>
        <v>0</v>
      </c>
      <c r="AD976" s="4" t="e">
        <f>IF($Z976&lt;Lookups!$C$106,($AA976+AB976+AC976),IF($AA976&gt;=Lookups!$C$120,($AA976+AB976+AC976),$AA976+$AB976))</f>
        <v>#N/A</v>
      </c>
      <c r="AF976" s="7"/>
      <c r="AG976" s="7"/>
      <c r="AH976" s="7"/>
      <c r="AI976" s="7"/>
      <c r="AJ976" s="7"/>
      <c r="AK976" s="7"/>
      <c r="AL976" s="7"/>
      <c r="AM976" s="7"/>
      <c r="AN976" s="7"/>
      <c r="AO976" s="7"/>
      <c r="AP976" s="7"/>
      <c r="AQ976" s="7"/>
      <c r="AR976" s="7"/>
      <c r="AS976" s="7"/>
      <c r="AT976" s="7"/>
      <c r="AU976" s="7"/>
      <c r="AV976" s="7"/>
      <c r="AW976" s="7"/>
      <c r="AY976" s="7"/>
      <c r="AZ976" s="7"/>
      <c r="BA976" s="7"/>
      <c r="BB976" s="7"/>
    </row>
    <row r="977" spans="2:54" x14ac:dyDescent="0.2">
      <c r="B977" s="174"/>
      <c r="C977" s="176"/>
      <c r="F977" s="5">
        <v>0</v>
      </c>
      <c r="G977" s="192">
        <v>0</v>
      </c>
      <c r="H977" s="192">
        <v>0</v>
      </c>
      <c r="I977" s="5">
        <v>0</v>
      </c>
      <c r="J977" s="192">
        <v>0</v>
      </c>
      <c r="K977" s="192">
        <v>0</v>
      </c>
      <c r="L977" s="5">
        <v>0</v>
      </c>
      <c r="M977" s="5">
        <v>0</v>
      </c>
      <c r="N977" s="4" t="e">
        <f t="shared" si="81"/>
        <v>#N/A</v>
      </c>
      <c r="O977" s="4" t="e">
        <f>IF(ROUND(10.499-(((N977-VLOOKUP($C977,Lookups!$A$55:$D$64,3))/(VLOOKUP($C977,Lookups!$A$55:$D$64,4))*VLOOKUP($C977,Lookups!$C$2:$D$11,2))),0)&lt;1,1,IF(ROUND(10.499-(((N977-VLOOKUP($C977,Lookups!$A$55:$D$64,3))/(VLOOKUP($C977,Lookups!$A$55:$D$64,4))*VLOOKUP($C977,Lookups!$C$2:$D$11,2))),0)&lt;11,ROUND(10.499-(((N977-VLOOKUP($C977,Lookups!$A$55:$D$64,3))/(VLOOKUP($C977,Lookups!$A$55:$D$64,4))*VLOOKUP($C977,Lookups!$C$2:$D$11,2))),0),10))</f>
        <v>#N/A</v>
      </c>
      <c r="P977" s="13" t="str">
        <f>IF((SUM(F977:M977)=0),"J",VLOOKUP(O977,Lookups!$A$1:$B$11,2))</f>
        <v>J</v>
      </c>
      <c r="Q977" s="8" t="e">
        <f>VLOOKUP(C977,Lookups!$A$136:$C$144,3)</f>
        <v>#N/A</v>
      </c>
      <c r="R977" s="8" t="e">
        <f>VLOOKUP(C977,Lookups!$A$136:$C$144,2)</f>
        <v>#N/A</v>
      </c>
      <c r="S977" s="4" t="str">
        <f t="shared" si="82"/>
        <v>No</v>
      </c>
      <c r="T977" s="125">
        <f t="shared" si="83"/>
        <v>0</v>
      </c>
      <c r="U977" s="125">
        <f t="shared" si="84"/>
        <v>0</v>
      </c>
      <c r="V977" s="4" t="e">
        <f>IF($Q977&lt;&gt;3,VLOOKUP(F977,'Points Table A'!B$3:$F$33,5),VLOOKUP(F977,'Points Table A'!H$3:$L$33,5))</f>
        <v>#N/A</v>
      </c>
      <c r="W977" s="4" t="e">
        <f>IF($Q977&lt;&gt;3,VLOOKUP(G977,'Points Table A'!C$3:$F$33,4),VLOOKUP(G977,'Points Table A'!I$3:$L$33,4))</f>
        <v>#N/A</v>
      </c>
      <c r="X977" s="4" t="e">
        <f>IF($Q977&lt;&gt;3,VLOOKUP(H977,'Points Table A'!D$3:$F$28,3),VLOOKUP(H977,'Points Table A'!J$3:$L$33,3))</f>
        <v>#N/A</v>
      </c>
      <c r="Y977" s="4" t="e">
        <f>IF($Q977&lt;&gt;3,VLOOKUP(I977,'Points Table A'!E$3:$F$33,2),VLOOKUP(I977,'Points Table A'!K$3:$L$33,2))</f>
        <v>#N/A</v>
      </c>
      <c r="Z977" s="4" t="e">
        <f t="shared" si="85"/>
        <v>#N/A</v>
      </c>
      <c r="AA977" s="4">
        <f>IF($S977=Lookups!$B$113,VLOOKUP(L977,'Points Table C'!A$3:$E$11,5),VLOOKUP(U977,'Points Table C'!B$3:$E$11,4))</f>
        <v>0</v>
      </c>
      <c r="AB977" s="4" t="e">
        <f>IF($Q977=1,0,VLOOKUP($J977,'Points Table C'!$C$3:$E$18,3))</f>
        <v>#N/A</v>
      </c>
      <c r="AC977" s="4">
        <f>VLOOKUP($K977,'Points Table C'!$D$3:$E$18,2)</f>
        <v>0</v>
      </c>
      <c r="AD977" s="4" t="e">
        <f>IF($Z977&lt;Lookups!$C$106,($AA977+AB977+AC977),IF($AA977&gt;=Lookups!$C$120,($AA977+AB977+AC977),$AA977+$AB977))</f>
        <v>#N/A</v>
      </c>
      <c r="AF977" s="7"/>
      <c r="AG977" s="7"/>
      <c r="AH977" s="7"/>
      <c r="AI977" s="7"/>
      <c r="AJ977" s="7"/>
      <c r="AK977" s="7"/>
      <c r="AL977" s="7"/>
      <c r="AM977" s="7"/>
      <c r="AN977" s="7"/>
      <c r="AO977" s="7"/>
      <c r="AP977" s="7"/>
      <c r="AQ977" s="7"/>
      <c r="AR977" s="7"/>
      <c r="AS977" s="7"/>
      <c r="AT977" s="7"/>
      <c r="AU977" s="7"/>
      <c r="AV977" s="7"/>
      <c r="AW977" s="7"/>
      <c r="AY977" s="7"/>
      <c r="AZ977" s="7"/>
      <c r="BA977" s="7"/>
      <c r="BB977" s="7"/>
    </row>
    <row r="978" spans="2:54" x14ac:dyDescent="0.2">
      <c r="B978" s="174"/>
      <c r="C978" s="176"/>
      <c r="F978" s="5">
        <v>0</v>
      </c>
      <c r="G978" s="192">
        <v>0</v>
      </c>
      <c r="H978" s="192">
        <v>0</v>
      </c>
      <c r="I978" s="5">
        <v>0</v>
      </c>
      <c r="J978" s="192">
        <v>0</v>
      </c>
      <c r="K978" s="192">
        <v>0</v>
      </c>
      <c r="L978" s="5">
        <v>0</v>
      </c>
      <c r="M978" s="5">
        <v>0</v>
      </c>
      <c r="N978" s="4" t="e">
        <f t="shared" si="81"/>
        <v>#N/A</v>
      </c>
      <c r="O978" s="4" t="e">
        <f>IF(ROUND(10.499-(((N978-VLOOKUP($C978,Lookups!$A$55:$D$64,3))/(VLOOKUP($C978,Lookups!$A$55:$D$64,4))*VLOOKUP($C978,Lookups!$C$2:$D$11,2))),0)&lt;1,1,IF(ROUND(10.499-(((N978-VLOOKUP($C978,Lookups!$A$55:$D$64,3))/(VLOOKUP($C978,Lookups!$A$55:$D$64,4))*VLOOKUP($C978,Lookups!$C$2:$D$11,2))),0)&lt;11,ROUND(10.499-(((N978-VLOOKUP($C978,Lookups!$A$55:$D$64,3))/(VLOOKUP($C978,Lookups!$A$55:$D$64,4))*VLOOKUP($C978,Lookups!$C$2:$D$11,2))),0),10))</f>
        <v>#N/A</v>
      </c>
      <c r="P978" s="13" t="str">
        <f>IF((SUM(F978:M978)=0),"J",VLOOKUP(O978,Lookups!$A$1:$B$11,2))</f>
        <v>J</v>
      </c>
      <c r="Q978" s="8" t="e">
        <f>VLOOKUP(C978,Lookups!$A$136:$C$144,3)</f>
        <v>#N/A</v>
      </c>
      <c r="R978" s="8" t="e">
        <f>VLOOKUP(C978,Lookups!$A$136:$C$144,2)</f>
        <v>#N/A</v>
      </c>
      <c r="S978" s="4" t="str">
        <f t="shared" si="82"/>
        <v>No</v>
      </c>
      <c r="T978" s="125">
        <f t="shared" si="83"/>
        <v>0</v>
      </c>
      <c r="U978" s="125">
        <f t="shared" si="84"/>
        <v>0</v>
      </c>
      <c r="V978" s="4" t="e">
        <f>IF($Q978&lt;&gt;3,VLOOKUP(F978,'Points Table A'!B$3:$F$33,5),VLOOKUP(F978,'Points Table A'!H$3:$L$33,5))</f>
        <v>#N/A</v>
      </c>
      <c r="W978" s="4" t="e">
        <f>IF($Q978&lt;&gt;3,VLOOKUP(G978,'Points Table A'!C$3:$F$33,4),VLOOKUP(G978,'Points Table A'!I$3:$L$33,4))</f>
        <v>#N/A</v>
      </c>
      <c r="X978" s="4" t="e">
        <f>IF($Q978&lt;&gt;3,VLOOKUP(H978,'Points Table A'!D$3:$F$28,3),VLOOKUP(H978,'Points Table A'!J$3:$L$33,3))</f>
        <v>#N/A</v>
      </c>
      <c r="Y978" s="4" t="e">
        <f>IF($Q978&lt;&gt;3,VLOOKUP(I978,'Points Table A'!E$3:$F$33,2),VLOOKUP(I978,'Points Table A'!K$3:$L$33,2))</f>
        <v>#N/A</v>
      </c>
      <c r="Z978" s="4" t="e">
        <f t="shared" si="85"/>
        <v>#N/A</v>
      </c>
      <c r="AA978" s="4">
        <f>IF($S978=Lookups!$B$113,VLOOKUP(L978,'Points Table C'!A$3:$E$11,5),VLOOKUP(U978,'Points Table C'!B$3:$E$11,4))</f>
        <v>0</v>
      </c>
      <c r="AB978" s="4" t="e">
        <f>IF($Q978=1,0,VLOOKUP($J978,'Points Table C'!$C$3:$E$18,3))</f>
        <v>#N/A</v>
      </c>
      <c r="AC978" s="4">
        <f>VLOOKUP($K978,'Points Table C'!$D$3:$E$18,2)</f>
        <v>0</v>
      </c>
      <c r="AD978" s="4" t="e">
        <f>IF($Z978&lt;Lookups!$C$106,($AA978+AB978+AC978),IF($AA978&gt;=Lookups!$C$120,($AA978+AB978+AC978),$AA978+$AB978))</f>
        <v>#N/A</v>
      </c>
      <c r="AF978" s="7"/>
      <c r="AG978" s="7"/>
      <c r="AH978" s="7"/>
      <c r="AI978" s="7"/>
      <c r="AJ978" s="7"/>
      <c r="AK978" s="7"/>
      <c r="AL978" s="7"/>
      <c r="AM978" s="7"/>
      <c r="AN978" s="7"/>
      <c r="AO978" s="7"/>
      <c r="AP978" s="7"/>
      <c r="AQ978" s="7"/>
      <c r="AR978" s="7"/>
      <c r="AS978" s="7"/>
      <c r="AT978" s="7"/>
      <c r="AU978" s="7"/>
      <c r="AV978" s="7"/>
      <c r="AW978" s="7"/>
      <c r="AY978" s="7"/>
      <c r="AZ978" s="7"/>
      <c r="BA978" s="7"/>
      <c r="BB978" s="7"/>
    </row>
    <row r="979" spans="2:54" x14ac:dyDescent="0.2">
      <c r="B979" s="174"/>
      <c r="C979" s="176"/>
      <c r="F979" s="5">
        <v>0</v>
      </c>
      <c r="G979" s="192">
        <v>0</v>
      </c>
      <c r="H979" s="192">
        <v>0</v>
      </c>
      <c r="I979" s="5">
        <v>0</v>
      </c>
      <c r="J979" s="192">
        <v>0</v>
      </c>
      <c r="K979" s="192">
        <v>0</v>
      </c>
      <c r="L979" s="5">
        <v>0</v>
      </c>
      <c r="M979" s="5">
        <v>0</v>
      </c>
      <c r="N979" s="4" t="e">
        <f t="shared" si="81"/>
        <v>#N/A</v>
      </c>
      <c r="O979" s="4" t="e">
        <f>IF(ROUND(10.499-(((N979-VLOOKUP($C979,Lookups!$A$55:$D$64,3))/(VLOOKUP($C979,Lookups!$A$55:$D$64,4))*VLOOKUP($C979,Lookups!$C$2:$D$11,2))),0)&lt;1,1,IF(ROUND(10.499-(((N979-VLOOKUP($C979,Lookups!$A$55:$D$64,3))/(VLOOKUP($C979,Lookups!$A$55:$D$64,4))*VLOOKUP($C979,Lookups!$C$2:$D$11,2))),0)&lt;11,ROUND(10.499-(((N979-VLOOKUP($C979,Lookups!$A$55:$D$64,3))/(VLOOKUP($C979,Lookups!$A$55:$D$64,4))*VLOOKUP($C979,Lookups!$C$2:$D$11,2))),0),10))</f>
        <v>#N/A</v>
      </c>
      <c r="P979" s="13" t="str">
        <f>IF((SUM(F979:M979)=0),"J",VLOOKUP(O979,Lookups!$A$1:$B$11,2))</f>
        <v>J</v>
      </c>
      <c r="Q979" s="8" t="e">
        <f>VLOOKUP(C979,Lookups!$A$136:$C$144,3)</f>
        <v>#N/A</v>
      </c>
      <c r="R979" s="8" t="e">
        <f>VLOOKUP(C979,Lookups!$A$136:$C$144,2)</f>
        <v>#N/A</v>
      </c>
      <c r="S979" s="4" t="str">
        <f t="shared" si="82"/>
        <v>No</v>
      </c>
      <c r="T979" s="125">
        <f t="shared" si="83"/>
        <v>0</v>
      </c>
      <c r="U979" s="125">
        <f t="shared" si="84"/>
        <v>0</v>
      </c>
      <c r="V979" s="4" t="e">
        <f>IF($Q979&lt;&gt;3,VLOOKUP(F979,'Points Table A'!B$3:$F$33,5),VLOOKUP(F979,'Points Table A'!H$3:$L$33,5))</f>
        <v>#N/A</v>
      </c>
      <c r="W979" s="4" t="e">
        <f>IF($Q979&lt;&gt;3,VLOOKUP(G979,'Points Table A'!C$3:$F$33,4),VLOOKUP(G979,'Points Table A'!I$3:$L$33,4))</f>
        <v>#N/A</v>
      </c>
      <c r="X979" s="4" t="e">
        <f>IF($Q979&lt;&gt;3,VLOOKUP(H979,'Points Table A'!D$3:$F$28,3),VLOOKUP(H979,'Points Table A'!J$3:$L$33,3))</f>
        <v>#N/A</v>
      </c>
      <c r="Y979" s="4" t="e">
        <f>IF($Q979&lt;&gt;3,VLOOKUP(I979,'Points Table A'!E$3:$F$33,2),VLOOKUP(I979,'Points Table A'!K$3:$L$33,2))</f>
        <v>#N/A</v>
      </c>
      <c r="Z979" s="4" t="e">
        <f t="shared" si="85"/>
        <v>#N/A</v>
      </c>
      <c r="AA979" s="4">
        <f>IF($S979=Lookups!$B$113,VLOOKUP(L979,'Points Table C'!A$3:$E$11,5),VLOOKUP(U979,'Points Table C'!B$3:$E$11,4))</f>
        <v>0</v>
      </c>
      <c r="AB979" s="4" t="e">
        <f>IF($Q979=1,0,VLOOKUP($J979,'Points Table C'!$C$3:$E$18,3))</f>
        <v>#N/A</v>
      </c>
      <c r="AC979" s="4">
        <f>VLOOKUP($K979,'Points Table C'!$D$3:$E$18,2)</f>
        <v>0</v>
      </c>
      <c r="AD979" s="4" t="e">
        <f>IF($Z979&lt;Lookups!$C$106,($AA979+AB979+AC979),IF($AA979&gt;=Lookups!$C$120,($AA979+AB979+AC979),$AA979+$AB979))</f>
        <v>#N/A</v>
      </c>
      <c r="AF979" s="7"/>
      <c r="AG979" s="7"/>
      <c r="AH979" s="7"/>
      <c r="AI979" s="7"/>
      <c r="AJ979" s="7"/>
      <c r="AK979" s="7"/>
      <c r="AL979" s="7"/>
      <c r="AM979" s="7"/>
      <c r="AN979" s="7"/>
      <c r="AO979" s="7"/>
      <c r="AP979" s="7"/>
      <c r="AQ979" s="7"/>
      <c r="AR979" s="7"/>
      <c r="AS979" s="7"/>
      <c r="AT979" s="7"/>
      <c r="AU979" s="7"/>
      <c r="AV979" s="7"/>
      <c r="AW979" s="7"/>
      <c r="AY979" s="7"/>
      <c r="AZ979" s="7"/>
      <c r="BA979" s="7"/>
      <c r="BB979" s="7"/>
    </row>
    <row r="980" spans="2:54" x14ac:dyDescent="0.2">
      <c r="B980" s="174"/>
      <c r="C980" s="176"/>
      <c r="F980" s="5">
        <v>0</v>
      </c>
      <c r="G980" s="192">
        <v>0</v>
      </c>
      <c r="H980" s="192">
        <v>0</v>
      </c>
      <c r="I980" s="5">
        <v>0</v>
      </c>
      <c r="J980" s="192">
        <v>0</v>
      </c>
      <c r="K980" s="192">
        <v>0</v>
      </c>
      <c r="L980" s="5">
        <v>0</v>
      </c>
      <c r="M980" s="5">
        <v>0</v>
      </c>
      <c r="N980" s="4" t="e">
        <f t="shared" si="81"/>
        <v>#N/A</v>
      </c>
      <c r="O980" s="4" t="e">
        <f>IF(ROUND(10.499-(((N980-VLOOKUP($C980,Lookups!$A$55:$D$64,3))/(VLOOKUP($C980,Lookups!$A$55:$D$64,4))*VLOOKUP($C980,Lookups!$C$2:$D$11,2))),0)&lt;1,1,IF(ROUND(10.499-(((N980-VLOOKUP($C980,Lookups!$A$55:$D$64,3))/(VLOOKUP($C980,Lookups!$A$55:$D$64,4))*VLOOKUP($C980,Lookups!$C$2:$D$11,2))),0)&lt;11,ROUND(10.499-(((N980-VLOOKUP($C980,Lookups!$A$55:$D$64,3))/(VLOOKUP($C980,Lookups!$A$55:$D$64,4))*VLOOKUP($C980,Lookups!$C$2:$D$11,2))),0),10))</f>
        <v>#N/A</v>
      </c>
      <c r="P980" s="13" t="str">
        <f>IF((SUM(F980:M980)=0),"J",VLOOKUP(O980,Lookups!$A$1:$B$11,2))</f>
        <v>J</v>
      </c>
      <c r="Q980" s="8" t="e">
        <f>VLOOKUP(C980,Lookups!$A$136:$C$144,3)</f>
        <v>#N/A</v>
      </c>
      <c r="R980" s="8" t="e">
        <f>VLOOKUP(C980,Lookups!$A$136:$C$144,2)</f>
        <v>#N/A</v>
      </c>
      <c r="S980" s="4" t="str">
        <f t="shared" si="82"/>
        <v>No</v>
      </c>
      <c r="T980" s="125">
        <f t="shared" si="83"/>
        <v>0</v>
      </c>
      <c r="U980" s="125">
        <f t="shared" si="84"/>
        <v>0</v>
      </c>
      <c r="V980" s="4" t="e">
        <f>IF($Q980&lt;&gt;3,VLOOKUP(F980,'Points Table A'!B$3:$F$33,5),VLOOKUP(F980,'Points Table A'!H$3:$L$33,5))</f>
        <v>#N/A</v>
      </c>
      <c r="W980" s="4" t="e">
        <f>IF($Q980&lt;&gt;3,VLOOKUP(G980,'Points Table A'!C$3:$F$33,4),VLOOKUP(G980,'Points Table A'!I$3:$L$33,4))</f>
        <v>#N/A</v>
      </c>
      <c r="X980" s="4" t="e">
        <f>IF($Q980&lt;&gt;3,VLOOKUP(H980,'Points Table A'!D$3:$F$28,3),VLOOKUP(H980,'Points Table A'!J$3:$L$33,3))</f>
        <v>#N/A</v>
      </c>
      <c r="Y980" s="4" t="e">
        <f>IF($Q980&lt;&gt;3,VLOOKUP(I980,'Points Table A'!E$3:$F$33,2),VLOOKUP(I980,'Points Table A'!K$3:$L$33,2))</f>
        <v>#N/A</v>
      </c>
      <c r="Z980" s="4" t="e">
        <f t="shared" si="85"/>
        <v>#N/A</v>
      </c>
      <c r="AA980" s="4">
        <f>IF($S980=Lookups!$B$113,VLOOKUP(L980,'Points Table C'!A$3:$E$11,5),VLOOKUP(U980,'Points Table C'!B$3:$E$11,4))</f>
        <v>0</v>
      </c>
      <c r="AB980" s="4" t="e">
        <f>IF($Q980=1,0,VLOOKUP($J980,'Points Table C'!$C$3:$E$18,3))</f>
        <v>#N/A</v>
      </c>
      <c r="AC980" s="4">
        <f>VLOOKUP($K980,'Points Table C'!$D$3:$E$18,2)</f>
        <v>0</v>
      </c>
      <c r="AD980" s="4" t="e">
        <f>IF($Z980&lt;Lookups!$C$106,($AA980+AB980+AC980),IF($AA980&gt;=Lookups!$C$120,($AA980+AB980+AC980),$AA980+$AB980))</f>
        <v>#N/A</v>
      </c>
      <c r="AF980" s="7"/>
      <c r="AG980" s="7"/>
      <c r="AH980" s="7"/>
      <c r="AI980" s="7"/>
      <c r="AJ980" s="7"/>
      <c r="AK980" s="7"/>
      <c r="AL980" s="7"/>
      <c r="AM980" s="7"/>
      <c r="AN980" s="7"/>
      <c r="AO980" s="7"/>
      <c r="AP980" s="7"/>
      <c r="AQ980" s="7"/>
      <c r="AR980" s="7"/>
      <c r="AS980" s="7"/>
      <c r="AT980" s="7"/>
      <c r="AU980" s="7"/>
      <c r="AV980" s="7"/>
      <c r="AW980" s="7"/>
      <c r="AY980" s="7"/>
      <c r="AZ980" s="7"/>
      <c r="BA980" s="7"/>
      <c r="BB980" s="7"/>
    </row>
    <row r="981" spans="2:54" x14ac:dyDescent="0.2">
      <c r="B981" s="174"/>
      <c r="C981" s="176"/>
      <c r="F981" s="5">
        <v>0</v>
      </c>
      <c r="G981" s="192">
        <v>0</v>
      </c>
      <c r="H981" s="192">
        <v>0</v>
      </c>
      <c r="I981" s="5">
        <v>0</v>
      </c>
      <c r="J981" s="192">
        <v>0</v>
      </c>
      <c r="K981" s="192">
        <v>0</v>
      </c>
      <c r="L981" s="5">
        <v>0</v>
      </c>
      <c r="M981" s="5">
        <v>0</v>
      </c>
      <c r="N981" s="4" t="e">
        <f t="shared" si="81"/>
        <v>#N/A</v>
      </c>
      <c r="O981" s="4" t="e">
        <f>IF(ROUND(10.499-(((N981-VLOOKUP($C981,Lookups!$A$55:$D$64,3))/(VLOOKUP($C981,Lookups!$A$55:$D$64,4))*VLOOKUP($C981,Lookups!$C$2:$D$11,2))),0)&lt;1,1,IF(ROUND(10.499-(((N981-VLOOKUP($C981,Lookups!$A$55:$D$64,3))/(VLOOKUP($C981,Lookups!$A$55:$D$64,4))*VLOOKUP($C981,Lookups!$C$2:$D$11,2))),0)&lt;11,ROUND(10.499-(((N981-VLOOKUP($C981,Lookups!$A$55:$D$64,3))/(VLOOKUP($C981,Lookups!$A$55:$D$64,4))*VLOOKUP($C981,Lookups!$C$2:$D$11,2))),0),10))</f>
        <v>#N/A</v>
      </c>
      <c r="P981" s="13" t="str">
        <f>IF((SUM(F981:M981)=0),"J",VLOOKUP(O981,Lookups!$A$1:$B$11,2))</f>
        <v>J</v>
      </c>
      <c r="Q981" s="8" t="e">
        <f>VLOOKUP(C981,Lookups!$A$136:$C$144,3)</f>
        <v>#N/A</v>
      </c>
      <c r="R981" s="8" t="e">
        <f>VLOOKUP(C981,Lookups!$A$136:$C$144,2)</f>
        <v>#N/A</v>
      </c>
      <c r="S981" s="4" t="str">
        <f t="shared" si="82"/>
        <v>No</v>
      </c>
      <c r="T981" s="125">
        <f t="shared" si="83"/>
        <v>0</v>
      </c>
      <c r="U981" s="125">
        <f t="shared" si="84"/>
        <v>0</v>
      </c>
      <c r="V981" s="4" t="e">
        <f>IF($Q981&lt;&gt;3,VLOOKUP(F981,'Points Table A'!B$3:$F$33,5),VLOOKUP(F981,'Points Table A'!H$3:$L$33,5))</f>
        <v>#N/A</v>
      </c>
      <c r="W981" s="4" t="e">
        <f>IF($Q981&lt;&gt;3,VLOOKUP(G981,'Points Table A'!C$3:$F$33,4),VLOOKUP(G981,'Points Table A'!I$3:$L$33,4))</f>
        <v>#N/A</v>
      </c>
      <c r="X981" s="4" t="e">
        <f>IF($Q981&lt;&gt;3,VLOOKUP(H981,'Points Table A'!D$3:$F$28,3),VLOOKUP(H981,'Points Table A'!J$3:$L$33,3))</f>
        <v>#N/A</v>
      </c>
      <c r="Y981" s="4" t="e">
        <f>IF($Q981&lt;&gt;3,VLOOKUP(I981,'Points Table A'!E$3:$F$33,2),VLOOKUP(I981,'Points Table A'!K$3:$L$33,2))</f>
        <v>#N/A</v>
      </c>
      <c r="Z981" s="4" t="e">
        <f t="shared" si="85"/>
        <v>#N/A</v>
      </c>
      <c r="AA981" s="4">
        <f>IF($S981=Lookups!$B$113,VLOOKUP(L981,'Points Table C'!A$3:$E$11,5),VLOOKUP(U981,'Points Table C'!B$3:$E$11,4))</f>
        <v>0</v>
      </c>
      <c r="AB981" s="4" t="e">
        <f>IF($Q981=1,0,VLOOKUP($J981,'Points Table C'!$C$3:$E$18,3))</f>
        <v>#N/A</v>
      </c>
      <c r="AC981" s="4">
        <f>VLOOKUP($K981,'Points Table C'!$D$3:$E$18,2)</f>
        <v>0</v>
      </c>
      <c r="AD981" s="4" t="e">
        <f>IF($Z981&lt;Lookups!$C$106,($AA981+AB981+AC981),IF($AA981&gt;=Lookups!$C$120,($AA981+AB981+AC981),$AA981+$AB981))</f>
        <v>#N/A</v>
      </c>
      <c r="AF981" s="7"/>
      <c r="AG981" s="7"/>
      <c r="AH981" s="7"/>
      <c r="AI981" s="7"/>
      <c r="AJ981" s="7"/>
      <c r="AK981" s="7"/>
      <c r="AL981" s="7"/>
      <c r="AM981" s="7"/>
      <c r="AN981" s="7"/>
      <c r="AO981" s="7"/>
      <c r="AP981" s="7"/>
      <c r="AQ981" s="7"/>
      <c r="AR981" s="7"/>
      <c r="AS981" s="7"/>
      <c r="AT981" s="7"/>
      <c r="AU981" s="7"/>
      <c r="AV981" s="7"/>
      <c r="AW981" s="7"/>
      <c r="AY981" s="7"/>
      <c r="AZ981" s="7"/>
      <c r="BA981" s="7"/>
      <c r="BB981" s="7"/>
    </row>
    <row r="982" spans="2:54" x14ac:dyDescent="0.2">
      <c r="B982" s="174"/>
      <c r="C982" s="176"/>
      <c r="F982" s="5">
        <v>0</v>
      </c>
      <c r="G982" s="192">
        <v>0</v>
      </c>
      <c r="H982" s="192">
        <v>0</v>
      </c>
      <c r="I982" s="5">
        <v>0</v>
      </c>
      <c r="J982" s="192">
        <v>0</v>
      </c>
      <c r="K982" s="192">
        <v>0</v>
      </c>
      <c r="L982" s="5">
        <v>0</v>
      </c>
      <c r="M982" s="5">
        <v>0</v>
      </c>
      <c r="N982" s="4" t="e">
        <f t="shared" si="81"/>
        <v>#N/A</v>
      </c>
      <c r="O982" s="4" t="e">
        <f>IF(ROUND(10.499-(((N982-VLOOKUP($C982,Lookups!$A$55:$D$64,3))/(VLOOKUP($C982,Lookups!$A$55:$D$64,4))*VLOOKUP($C982,Lookups!$C$2:$D$11,2))),0)&lt;1,1,IF(ROUND(10.499-(((N982-VLOOKUP($C982,Lookups!$A$55:$D$64,3))/(VLOOKUP($C982,Lookups!$A$55:$D$64,4))*VLOOKUP($C982,Lookups!$C$2:$D$11,2))),0)&lt;11,ROUND(10.499-(((N982-VLOOKUP($C982,Lookups!$A$55:$D$64,3))/(VLOOKUP($C982,Lookups!$A$55:$D$64,4))*VLOOKUP($C982,Lookups!$C$2:$D$11,2))),0),10))</f>
        <v>#N/A</v>
      </c>
      <c r="P982" s="13" t="str">
        <f>IF((SUM(F982:M982)=0),"J",VLOOKUP(O982,Lookups!$A$1:$B$11,2))</f>
        <v>J</v>
      </c>
      <c r="Q982" s="8" t="e">
        <f>VLOOKUP(C982,Lookups!$A$136:$C$144,3)</f>
        <v>#N/A</v>
      </c>
      <c r="R982" s="8" t="e">
        <f>VLOOKUP(C982,Lookups!$A$136:$C$144,2)</f>
        <v>#N/A</v>
      </c>
      <c r="S982" s="4" t="str">
        <f t="shared" si="82"/>
        <v>No</v>
      </c>
      <c r="T982" s="125">
        <f t="shared" si="83"/>
        <v>0</v>
      </c>
      <c r="U982" s="125">
        <f t="shared" si="84"/>
        <v>0</v>
      </c>
      <c r="V982" s="4" t="e">
        <f>IF($Q982&lt;&gt;3,VLOOKUP(F982,'Points Table A'!B$3:$F$33,5),VLOOKUP(F982,'Points Table A'!H$3:$L$33,5))</f>
        <v>#N/A</v>
      </c>
      <c r="W982" s="4" t="e">
        <f>IF($Q982&lt;&gt;3,VLOOKUP(G982,'Points Table A'!C$3:$F$33,4),VLOOKUP(G982,'Points Table A'!I$3:$L$33,4))</f>
        <v>#N/A</v>
      </c>
      <c r="X982" s="4" t="e">
        <f>IF($Q982&lt;&gt;3,VLOOKUP(H982,'Points Table A'!D$3:$F$28,3),VLOOKUP(H982,'Points Table A'!J$3:$L$33,3))</f>
        <v>#N/A</v>
      </c>
      <c r="Y982" s="4" t="e">
        <f>IF($Q982&lt;&gt;3,VLOOKUP(I982,'Points Table A'!E$3:$F$33,2),VLOOKUP(I982,'Points Table A'!K$3:$L$33,2))</f>
        <v>#N/A</v>
      </c>
      <c r="Z982" s="4" t="e">
        <f t="shared" si="85"/>
        <v>#N/A</v>
      </c>
      <c r="AA982" s="4">
        <f>IF($S982=Lookups!$B$113,VLOOKUP(L982,'Points Table C'!A$3:$E$11,5),VLOOKUP(U982,'Points Table C'!B$3:$E$11,4))</f>
        <v>0</v>
      </c>
      <c r="AB982" s="4" t="e">
        <f>IF($Q982=1,0,VLOOKUP($J982,'Points Table C'!$C$3:$E$18,3))</f>
        <v>#N/A</v>
      </c>
      <c r="AC982" s="4">
        <f>VLOOKUP($K982,'Points Table C'!$D$3:$E$18,2)</f>
        <v>0</v>
      </c>
      <c r="AD982" s="4" t="e">
        <f>IF($Z982&lt;Lookups!$C$106,($AA982+AB982+AC982),IF($AA982&gt;=Lookups!$C$120,($AA982+AB982+AC982),$AA982+$AB982))</f>
        <v>#N/A</v>
      </c>
      <c r="AF982" s="7"/>
      <c r="AG982" s="7"/>
      <c r="AH982" s="7"/>
      <c r="AI982" s="7"/>
      <c r="AJ982" s="7"/>
      <c r="AK982" s="7"/>
      <c r="AL982" s="7"/>
      <c r="AM982" s="7"/>
      <c r="AN982" s="7"/>
      <c r="AO982" s="7"/>
      <c r="AP982" s="7"/>
      <c r="AQ982" s="7"/>
      <c r="AR982" s="7"/>
      <c r="AS982" s="7"/>
      <c r="AT982" s="7"/>
      <c r="AU982" s="7"/>
      <c r="AV982" s="7"/>
      <c r="AW982" s="7"/>
      <c r="AY982" s="7"/>
      <c r="AZ982" s="7"/>
      <c r="BA982" s="7"/>
      <c r="BB982" s="7"/>
    </row>
    <row r="983" spans="2:54" x14ac:dyDescent="0.2">
      <c r="B983" s="174"/>
      <c r="C983" s="176"/>
      <c r="F983" s="5">
        <v>0</v>
      </c>
      <c r="G983" s="192">
        <v>0</v>
      </c>
      <c r="H983" s="192">
        <v>0</v>
      </c>
      <c r="I983" s="5">
        <v>0</v>
      </c>
      <c r="J983" s="192">
        <v>0</v>
      </c>
      <c r="K983" s="192">
        <v>0</v>
      </c>
      <c r="L983" s="5">
        <v>0</v>
      </c>
      <c r="M983" s="5">
        <v>0</v>
      </c>
      <c r="N983" s="4" t="e">
        <f t="shared" si="81"/>
        <v>#N/A</v>
      </c>
      <c r="O983" s="4" t="e">
        <f>IF(ROUND(10.499-(((N983-VLOOKUP($C983,Lookups!$A$55:$D$64,3))/(VLOOKUP($C983,Lookups!$A$55:$D$64,4))*VLOOKUP($C983,Lookups!$C$2:$D$11,2))),0)&lt;1,1,IF(ROUND(10.499-(((N983-VLOOKUP($C983,Lookups!$A$55:$D$64,3))/(VLOOKUP($C983,Lookups!$A$55:$D$64,4))*VLOOKUP($C983,Lookups!$C$2:$D$11,2))),0)&lt;11,ROUND(10.499-(((N983-VLOOKUP($C983,Lookups!$A$55:$D$64,3))/(VLOOKUP($C983,Lookups!$A$55:$D$64,4))*VLOOKUP($C983,Lookups!$C$2:$D$11,2))),0),10))</f>
        <v>#N/A</v>
      </c>
      <c r="P983" s="13" t="str">
        <f>IF((SUM(F983:M983)=0),"J",VLOOKUP(O983,Lookups!$A$1:$B$11,2))</f>
        <v>J</v>
      </c>
      <c r="Q983" s="8" t="e">
        <f>VLOOKUP(C983,Lookups!$A$136:$C$144,3)</f>
        <v>#N/A</v>
      </c>
      <c r="R983" s="8" t="e">
        <f>VLOOKUP(C983,Lookups!$A$136:$C$144,2)</f>
        <v>#N/A</v>
      </c>
      <c r="S983" s="4" t="str">
        <f t="shared" si="82"/>
        <v>No</v>
      </c>
      <c r="T983" s="125">
        <f t="shared" si="83"/>
        <v>0</v>
      </c>
      <c r="U983" s="125">
        <f t="shared" si="84"/>
        <v>0</v>
      </c>
      <c r="V983" s="4" t="e">
        <f>IF($Q983&lt;&gt;3,VLOOKUP(F983,'Points Table A'!B$3:$F$33,5),VLOOKUP(F983,'Points Table A'!H$3:$L$33,5))</f>
        <v>#N/A</v>
      </c>
      <c r="W983" s="4" t="e">
        <f>IF($Q983&lt;&gt;3,VLOOKUP(G983,'Points Table A'!C$3:$F$33,4),VLOOKUP(G983,'Points Table A'!I$3:$L$33,4))</f>
        <v>#N/A</v>
      </c>
      <c r="X983" s="4" t="e">
        <f>IF($Q983&lt;&gt;3,VLOOKUP(H983,'Points Table A'!D$3:$F$28,3),VLOOKUP(H983,'Points Table A'!J$3:$L$33,3))</f>
        <v>#N/A</v>
      </c>
      <c r="Y983" s="4" t="e">
        <f>IF($Q983&lt;&gt;3,VLOOKUP(I983,'Points Table A'!E$3:$F$33,2),VLOOKUP(I983,'Points Table A'!K$3:$L$33,2))</f>
        <v>#N/A</v>
      </c>
      <c r="Z983" s="4" t="e">
        <f t="shared" si="85"/>
        <v>#N/A</v>
      </c>
      <c r="AA983" s="4">
        <f>IF($S983=Lookups!$B$113,VLOOKUP(L983,'Points Table C'!A$3:$E$11,5),VLOOKUP(U983,'Points Table C'!B$3:$E$11,4))</f>
        <v>0</v>
      </c>
      <c r="AB983" s="4" t="e">
        <f>IF($Q983=1,0,VLOOKUP($J983,'Points Table C'!$C$3:$E$18,3))</f>
        <v>#N/A</v>
      </c>
      <c r="AC983" s="4">
        <f>VLOOKUP($K983,'Points Table C'!$D$3:$E$18,2)</f>
        <v>0</v>
      </c>
      <c r="AD983" s="4" t="e">
        <f>IF($Z983&lt;Lookups!$C$106,($AA983+AB983+AC983),IF($AA983&gt;=Lookups!$C$120,($AA983+AB983+AC983),$AA983+$AB983))</f>
        <v>#N/A</v>
      </c>
      <c r="AF983" s="7"/>
      <c r="AG983" s="7"/>
      <c r="AH983" s="7"/>
      <c r="AI983" s="7"/>
      <c r="AJ983" s="7"/>
      <c r="AK983" s="7"/>
      <c r="AL983" s="7"/>
      <c r="AM983" s="7"/>
      <c r="AN983" s="7"/>
      <c r="AO983" s="7"/>
      <c r="AP983" s="7"/>
      <c r="AQ983" s="7"/>
      <c r="AR983" s="7"/>
      <c r="AS983" s="7"/>
      <c r="AT983" s="7"/>
      <c r="AU983" s="7"/>
      <c r="AV983" s="7"/>
      <c r="AW983" s="7"/>
      <c r="AY983" s="7"/>
      <c r="AZ983" s="7"/>
      <c r="BA983" s="7"/>
      <c r="BB983" s="7"/>
    </row>
    <row r="984" spans="2:54" x14ac:dyDescent="0.2">
      <c r="B984" s="174"/>
      <c r="C984" s="176"/>
      <c r="F984" s="5">
        <v>0</v>
      </c>
      <c r="G984" s="192">
        <v>0</v>
      </c>
      <c r="H984" s="192">
        <v>0</v>
      </c>
      <c r="I984" s="5">
        <v>0</v>
      </c>
      <c r="J984" s="192">
        <v>0</v>
      </c>
      <c r="K984" s="192">
        <v>0</v>
      </c>
      <c r="L984" s="5">
        <v>0</v>
      </c>
      <c r="M984" s="5">
        <v>0</v>
      </c>
      <c r="N984" s="4" t="e">
        <f t="shared" si="81"/>
        <v>#N/A</v>
      </c>
      <c r="O984" s="4" t="e">
        <f>IF(ROUND(10.499-(((N984-VLOOKUP($C984,Lookups!$A$55:$D$64,3))/(VLOOKUP($C984,Lookups!$A$55:$D$64,4))*VLOOKUP($C984,Lookups!$C$2:$D$11,2))),0)&lt;1,1,IF(ROUND(10.499-(((N984-VLOOKUP($C984,Lookups!$A$55:$D$64,3))/(VLOOKUP($C984,Lookups!$A$55:$D$64,4))*VLOOKUP($C984,Lookups!$C$2:$D$11,2))),0)&lt;11,ROUND(10.499-(((N984-VLOOKUP($C984,Lookups!$A$55:$D$64,3))/(VLOOKUP($C984,Lookups!$A$55:$D$64,4))*VLOOKUP($C984,Lookups!$C$2:$D$11,2))),0),10))</f>
        <v>#N/A</v>
      </c>
      <c r="P984" s="13" t="str">
        <f>IF((SUM(F984:M984)=0),"J",VLOOKUP(O984,Lookups!$A$1:$B$11,2))</f>
        <v>J</v>
      </c>
      <c r="Q984" s="8" t="e">
        <f>VLOOKUP(C984,Lookups!$A$136:$C$144,3)</f>
        <v>#N/A</v>
      </c>
      <c r="R984" s="8" t="e">
        <f>VLOOKUP(C984,Lookups!$A$136:$C$144,2)</f>
        <v>#N/A</v>
      </c>
      <c r="S984" s="4" t="str">
        <f t="shared" si="82"/>
        <v>No</v>
      </c>
      <c r="T984" s="125">
        <f t="shared" si="83"/>
        <v>0</v>
      </c>
      <c r="U984" s="125">
        <f t="shared" si="84"/>
        <v>0</v>
      </c>
      <c r="V984" s="4" t="e">
        <f>IF($Q984&lt;&gt;3,VLOOKUP(F984,'Points Table A'!B$3:$F$33,5),VLOOKUP(F984,'Points Table A'!H$3:$L$33,5))</f>
        <v>#N/A</v>
      </c>
      <c r="W984" s="4" t="e">
        <f>IF($Q984&lt;&gt;3,VLOOKUP(G984,'Points Table A'!C$3:$F$33,4),VLOOKUP(G984,'Points Table A'!I$3:$L$33,4))</f>
        <v>#N/A</v>
      </c>
      <c r="X984" s="4" t="e">
        <f>IF($Q984&lt;&gt;3,VLOOKUP(H984,'Points Table A'!D$3:$F$28,3),VLOOKUP(H984,'Points Table A'!J$3:$L$33,3))</f>
        <v>#N/A</v>
      </c>
      <c r="Y984" s="4" t="e">
        <f>IF($Q984&lt;&gt;3,VLOOKUP(I984,'Points Table A'!E$3:$F$33,2),VLOOKUP(I984,'Points Table A'!K$3:$L$33,2))</f>
        <v>#N/A</v>
      </c>
      <c r="Z984" s="4" t="e">
        <f t="shared" si="85"/>
        <v>#N/A</v>
      </c>
      <c r="AA984" s="4">
        <f>IF($S984=Lookups!$B$113,VLOOKUP(L984,'Points Table C'!A$3:$E$11,5),VLOOKUP(U984,'Points Table C'!B$3:$E$11,4))</f>
        <v>0</v>
      </c>
      <c r="AB984" s="4" t="e">
        <f>IF($Q984=1,0,VLOOKUP($J984,'Points Table C'!$C$3:$E$18,3))</f>
        <v>#N/A</v>
      </c>
      <c r="AC984" s="4">
        <f>VLOOKUP($K984,'Points Table C'!$D$3:$E$18,2)</f>
        <v>0</v>
      </c>
      <c r="AD984" s="4" t="e">
        <f>IF($Z984&lt;Lookups!$C$106,($AA984+AB984+AC984),IF($AA984&gt;=Lookups!$C$120,($AA984+AB984+AC984),$AA984+$AB984))</f>
        <v>#N/A</v>
      </c>
      <c r="AF984" s="7"/>
      <c r="AG984" s="7"/>
      <c r="AH984" s="7"/>
      <c r="AI984" s="7"/>
      <c r="AJ984" s="7"/>
      <c r="AK984" s="7"/>
      <c r="AL984" s="7"/>
      <c r="AM984" s="7"/>
      <c r="AN984" s="7"/>
      <c r="AO984" s="7"/>
      <c r="AP984" s="7"/>
      <c r="AQ984" s="7"/>
      <c r="AR984" s="7"/>
      <c r="AS984" s="7"/>
      <c r="AT984" s="7"/>
      <c r="AU984" s="7"/>
      <c r="AV984" s="7"/>
      <c r="AW984" s="7"/>
      <c r="AY984" s="7"/>
      <c r="AZ984" s="7"/>
      <c r="BA984" s="7"/>
      <c r="BB984" s="7"/>
    </row>
    <row r="985" spans="2:54" x14ac:dyDescent="0.2">
      <c r="B985" s="174"/>
      <c r="C985" s="176"/>
      <c r="F985" s="5">
        <v>0</v>
      </c>
      <c r="G985" s="192">
        <v>0</v>
      </c>
      <c r="H985" s="192">
        <v>0</v>
      </c>
      <c r="I985" s="5">
        <v>0</v>
      </c>
      <c r="J985" s="192">
        <v>0</v>
      </c>
      <c r="K985" s="192">
        <v>0</v>
      </c>
      <c r="L985" s="5">
        <v>0</v>
      </c>
      <c r="M985" s="5">
        <v>0</v>
      </c>
      <c r="N985" s="4" t="e">
        <f t="shared" si="81"/>
        <v>#N/A</v>
      </c>
      <c r="O985" s="4" t="e">
        <f>IF(ROUND(10.499-(((N985-VLOOKUP($C985,Lookups!$A$55:$D$64,3))/(VLOOKUP($C985,Lookups!$A$55:$D$64,4))*VLOOKUP($C985,Lookups!$C$2:$D$11,2))),0)&lt;1,1,IF(ROUND(10.499-(((N985-VLOOKUP($C985,Lookups!$A$55:$D$64,3))/(VLOOKUP($C985,Lookups!$A$55:$D$64,4))*VLOOKUP($C985,Lookups!$C$2:$D$11,2))),0)&lt;11,ROUND(10.499-(((N985-VLOOKUP($C985,Lookups!$A$55:$D$64,3))/(VLOOKUP($C985,Lookups!$A$55:$D$64,4))*VLOOKUP($C985,Lookups!$C$2:$D$11,2))),0),10))</f>
        <v>#N/A</v>
      </c>
      <c r="P985" s="13" t="str">
        <f>IF((SUM(F985:M985)=0),"J",VLOOKUP(O985,Lookups!$A$1:$B$11,2))</f>
        <v>J</v>
      </c>
      <c r="Q985" s="8" t="e">
        <f>VLOOKUP(C985,Lookups!$A$136:$C$144,3)</f>
        <v>#N/A</v>
      </c>
      <c r="R985" s="8" t="e">
        <f>VLOOKUP(C985,Lookups!$A$136:$C$144,2)</f>
        <v>#N/A</v>
      </c>
      <c r="S985" s="4" t="str">
        <f t="shared" si="82"/>
        <v>No</v>
      </c>
      <c r="T985" s="125">
        <f t="shared" si="83"/>
        <v>0</v>
      </c>
      <c r="U985" s="125">
        <f t="shared" si="84"/>
        <v>0</v>
      </c>
      <c r="V985" s="4" t="e">
        <f>IF($Q985&lt;&gt;3,VLOOKUP(F985,'Points Table A'!B$3:$F$33,5),VLOOKUP(F985,'Points Table A'!H$3:$L$33,5))</f>
        <v>#N/A</v>
      </c>
      <c r="W985" s="4" t="e">
        <f>IF($Q985&lt;&gt;3,VLOOKUP(G985,'Points Table A'!C$3:$F$33,4),VLOOKUP(G985,'Points Table A'!I$3:$L$33,4))</f>
        <v>#N/A</v>
      </c>
      <c r="X985" s="4" t="e">
        <f>IF($Q985&lt;&gt;3,VLOOKUP(H985,'Points Table A'!D$3:$F$28,3),VLOOKUP(H985,'Points Table A'!J$3:$L$33,3))</f>
        <v>#N/A</v>
      </c>
      <c r="Y985" s="4" t="e">
        <f>IF($Q985&lt;&gt;3,VLOOKUP(I985,'Points Table A'!E$3:$F$33,2),VLOOKUP(I985,'Points Table A'!K$3:$L$33,2))</f>
        <v>#N/A</v>
      </c>
      <c r="Z985" s="4" t="e">
        <f t="shared" si="85"/>
        <v>#N/A</v>
      </c>
      <c r="AA985" s="4">
        <f>IF($S985=Lookups!$B$113,VLOOKUP(L985,'Points Table C'!A$3:$E$11,5),VLOOKUP(U985,'Points Table C'!B$3:$E$11,4))</f>
        <v>0</v>
      </c>
      <c r="AB985" s="4" t="e">
        <f>IF($Q985=1,0,VLOOKUP($J985,'Points Table C'!$C$3:$E$18,3))</f>
        <v>#N/A</v>
      </c>
      <c r="AC985" s="4">
        <f>VLOOKUP($K985,'Points Table C'!$D$3:$E$18,2)</f>
        <v>0</v>
      </c>
      <c r="AD985" s="4" t="e">
        <f>IF($Z985&lt;Lookups!$C$106,($AA985+AB985+AC985),IF($AA985&gt;=Lookups!$C$120,($AA985+AB985+AC985),$AA985+$AB985))</f>
        <v>#N/A</v>
      </c>
      <c r="AF985" s="7"/>
      <c r="AG985" s="7"/>
      <c r="AH985" s="7"/>
      <c r="AI985" s="7"/>
      <c r="AJ985" s="7"/>
      <c r="AK985" s="7"/>
      <c r="AL985" s="7"/>
      <c r="AM985" s="7"/>
      <c r="AN985" s="7"/>
      <c r="AO985" s="7"/>
      <c r="AP985" s="7"/>
      <c r="AQ985" s="7"/>
      <c r="AR985" s="7"/>
      <c r="AS985" s="7"/>
      <c r="AT985" s="7"/>
      <c r="AU985" s="7"/>
      <c r="AV985" s="7"/>
      <c r="AW985" s="7"/>
      <c r="AY985" s="7"/>
      <c r="AZ985" s="7"/>
      <c r="BA985" s="7"/>
      <c r="BB985" s="7"/>
    </row>
    <row r="986" spans="2:54" x14ac:dyDescent="0.2">
      <c r="B986" s="174"/>
      <c r="C986" s="176"/>
      <c r="F986" s="5">
        <v>0</v>
      </c>
      <c r="G986" s="192">
        <v>0</v>
      </c>
      <c r="H986" s="192">
        <v>0</v>
      </c>
      <c r="I986" s="5">
        <v>0</v>
      </c>
      <c r="J986" s="192">
        <v>0</v>
      </c>
      <c r="K986" s="192">
        <v>0</v>
      </c>
      <c r="L986" s="5">
        <v>0</v>
      </c>
      <c r="M986" s="5">
        <v>0</v>
      </c>
      <c r="N986" s="4" t="e">
        <f t="shared" si="81"/>
        <v>#N/A</v>
      </c>
      <c r="O986" s="4" t="e">
        <f>IF(ROUND(10.499-(((N986-VLOOKUP($C986,Lookups!$A$55:$D$64,3))/(VLOOKUP($C986,Lookups!$A$55:$D$64,4))*VLOOKUP($C986,Lookups!$C$2:$D$11,2))),0)&lt;1,1,IF(ROUND(10.499-(((N986-VLOOKUP($C986,Lookups!$A$55:$D$64,3))/(VLOOKUP($C986,Lookups!$A$55:$D$64,4))*VLOOKUP($C986,Lookups!$C$2:$D$11,2))),0)&lt;11,ROUND(10.499-(((N986-VLOOKUP($C986,Lookups!$A$55:$D$64,3))/(VLOOKUP($C986,Lookups!$A$55:$D$64,4))*VLOOKUP($C986,Lookups!$C$2:$D$11,2))),0),10))</f>
        <v>#N/A</v>
      </c>
      <c r="P986" s="13" t="str">
        <f>IF((SUM(F986:M986)=0),"J",VLOOKUP(O986,Lookups!$A$1:$B$11,2))</f>
        <v>J</v>
      </c>
      <c r="Q986" s="8" t="e">
        <f>VLOOKUP(C986,Lookups!$A$136:$C$144,3)</f>
        <v>#N/A</v>
      </c>
      <c r="R986" s="8" t="e">
        <f>VLOOKUP(C986,Lookups!$A$136:$C$144,2)</f>
        <v>#N/A</v>
      </c>
      <c r="S986" s="4" t="str">
        <f t="shared" si="82"/>
        <v>No</v>
      </c>
      <c r="T986" s="125">
        <f t="shared" si="83"/>
        <v>0</v>
      </c>
      <c r="U986" s="125">
        <f t="shared" si="84"/>
        <v>0</v>
      </c>
      <c r="V986" s="4" t="e">
        <f>IF($Q986&lt;&gt;3,VLOOKUP(F986,'Points Table A'!B$3:$F$33,5),VLOOKUP(F986,'Points Table A'!H$3:$L$33,5))</f>
        <v>#N/A</v>
      </c>
      <c r="W986" s="4" t="e">
        <f>IF($Q986&lt;&gt;3,VLOOKUP(G986,'Points Table A'!C$3:$F$33,4),VLOOKUP(G986,'Points Table A'!I$3:$L$33,4))</f>
        <v>#N/A</v>
      </c>
      <c r="X986" s="4" t="e">
        <f>IF($Q986&lt;&gt;3,VLOOKUP(H986,'Points Table A'!D$3:$F$28,3),VLOOKUP(H986,'Points Table A'!J$3:$L$33,3))</f>
        <v>#N/A</v>
      </c>
      <c r="Y986" s="4" t="e">
        <f>IF($Q986&lt;&gt;3,VLOOKUP(I986,'Points Table A'!E$3:$F$33,2),VLOOKUP(I986,'Points Table A'!K$3:$L$33,2))</f>
        <v>#N/A</v>
      </c>
      <c r="Z986" s="4" t="e">
        <f t="shared" si="85"/>
        <v>#N/A</v>
      </c>
      <c r="AA986" s="4">
        <f>IF($S986=Lookups!$B$113,VLOOKUP(L986,'Points Table C'!A$3:$E$11,5),VLOOKUP(U986,'Points Table C'!B$3:$E$11,4))</f>
        <v>0</v>
      </c>
      <c r="AB986" s="4" t="e">
        <f>IF($Q986=1,0,VLOOKUP($J986,'Points Table C'!$C$3:$E$18,3))</f>
        <v>#N/A</v>
      </c>
      <c r="AC986" s="4">
        <f>VLOOKUP($K986,'Points Table C'!$D$3:$E$18,2)</f>
        <v>0</v>
      </c>
      <c r="AD986" s="4" t="e">
        <f>IF($Z986&lt;Lookups!$C$106,($AA986+AB986+AC986),IF($AA986&gt;=Lookups!$C$120,($AA986+AB986+AC986),$AA986+$AB986))</f>
        <v>#N/A</v>
      </c>
      <c r="AF986" s="7"/>
      <c r="AG986" s="7"/>
      <c r="AH986" s="7"/>
      <c r="AI986" s="7"/>
      <c r="AJ986" s="7"/>
      <c r="AK986" s="7"/>
      <c r="AL986" s="7"/>
      <c r="AM986" s="7"/>
      <c r="AN986" s="7"/>
      <c r="AO986" s="7"/>
      <c r="AP986" s="7"/>
      <c r="AQ986" s="7"/>
      <c r="AR986" s="7"/>
      <c r="AS986" s="7"/>
      <c r="AT986" s="7"/>
      <c r="AU986" s="7"/>
      <c r="AV986" s="7"/>
      <c r="AW986" s="7"/>
      <c r="AY986" s="7"/>
      <c r="AZ986" s="7"/>
      <c r="BA986" s="7"/>
      <c r="BB986" s="7"/>
    </row>
    <row r="987" spans="2:54" x14ac:dyDescent="0.2">
      <c r="B987" s="174"/>
      <c r="C987" s="176"/>
      <c r="F987" s="5">
        <v>0</v>
      </c>
      <c r="G987" s="192">
        <v>0</v>
      </c>
      <c r="H987" s="192">
        <v>0</v>
      </c>
      <c r="I987" s="5">
        <v>0</v>
      </c>
      <c r="J987" s="192">
        <v>0</v>
      </c>
      <c r="K987" s="192">
        <v>0</v>
      </c>
      <c r="L987" s="5">
        <v>0</v>
      </c>
      <c r="M987" s="5">
        <v>0</v>
      </c>
      <c r="N987" s="4" t="e">
        <f t="shared" si="81"/>
        <v>#N/A</v>
      </c>
      <c r="O987" s="4" t="e">
        <f>IF(ROUND(10.499-(((N987-VLOOKUP($C987,Lookups!$A$55:$D$64,3))/(VLOOKUP($C987,Lookups!$A$55:$D$64,4))*VLOOKUP($C987,Lookups!$C$2:$D$11,2))),0)&lt;1,1,IF(ROUND(10.499-(((N987-VLOOKUP($C987,Lookups!$A$55:$D$64,3))/(VLOOKUP($C987,Lookups!$A$55:$D$64,4))*VLOOKUP($C987,Lookups!$C$2:$D$11,2))),0)&lt;11,ROUND(10.499-(((N987-VLOOKUP($C987,Lookups!$A$55:$D$64,3))/(VLOOKUP($C987,Lookups!$A$55:$D$64,4))*VLOOKUP($C987,Lookups!$C$2:$D$11,2))),0),10))</f>
        <v>#N/A</v>
      </c>
      <c r="P987" s="13" t="str">
        <f>IF((SUM(F987:M987)=0),"J",VLOOKUP(O987,Lookups!$A$1:$B$11,2))</f>
        <v>J</v>
      </c>
      <c r="Q987" s="8" t="e">
        <f>VLOOKUP(C987,Lookups!$A$136:$C$144,3)</f>
        <v>#N/A</v>
      </c>
      <c r="R987" s="8" t="e">
        <f>VLOOKUP(C987,Lookups!$A$136:$C$144,2)</f>
        <v>#N/A</v>
      </c>
      <c r="S987" s="4" t="str">
        <f t="shared" si="82"/>
        <v>No</v>
      </c>
      <c r="T987" s="125">
        <f t="shared" si="83"/>
        <v>0</v>
      </c>
      <c r="U987" s="125">
        <f t="shared" si="84"/>
        <v>0</v>
      </c>
      <c r="V987" s="4" t="e">
        <f>IF($Q987&lt;&gt;3,VLOOKUP(F987,'Points Table A'!B$3:$F$33,5),VLOOKUP(F987,'Points Table A'!H$3:$L$33,5))</f>
        <v>#N/A</v>
      </c>
      <c r="W987" s="4" t="e">
        <f>IF($Q987&lt;&gt;3,VLOOKUP(G987,'Points Table A'!C$3:$F$33,4),VLOOKUP(G987,'Points Table A'!I$3:$L$33,4))</f>
        <v>#N/A</v>
      </c>
      <c r="X987" s="4" t="e">
        <f>IF($Q987&lt;&gt;3,VLOOKUP(H987,'Points Table A'!D$3:$F$28,3),VLOOKUP(H987,'Points Table A'!J$3:$L$33,3))</f>
        <v>#N/A</v>
      </c>
      <c r="Y987" s="4" t="e">
        <f>IF($Q987&lt;&gt;3,VLOOKUP(I987,'Points Table A'!E$3:$F$33,2),VLOOKUP(I987,'Points Table A'!K$3:$L$33,2))</f>
        <v>#N/A</v>
      </c>
      <c r="Z987" s="4" t="e">
        <f t="shared" si="85"/>
        <v>#N/A</v>
      </c>
      <c r="AA987" s="4">
        <f>IF($S987=Lookups!$B$113,VLOOKUP(L987,'Points Table C'!A$3:$E$11,5),VLOOKUP(U987,'Points Table C'!B$3:$E$11,4))</f>
        <v>0</v>
      </c>
      <c r="AB987" s="4" t="e">
        <f>IF($Q987=1,0,VLOOKUP($J987,'Points Table C'!$C$3:$E$18,3))</f>
        <v>#N/A</v>
      </c>
      <c r="AC987" s="4">
        <f>VLOOKUP($K987,'Points Table C'!$D$3:$E$18,2)</f>
        <v>0</v>
      </c>
      <c r="AD987" s="4" t="e">
        <f>IF($Z987&lt;Lookups!$C$106,($AA987+AB987+AC987),IF($AA987&gt;=Lookups!$C$120,($AA987+AB987+AC987),$AA987+$AB987))</f>
        <v>#N/A</v>
      </c>
      <c r="AF987" s="7"/>
      <c r="AG987" s="7"/>
      <c r="AH987" s="7"/>
      <c r="AI987" s="7"/>
      <c r="AJ987" s="7"/>
      <c r="AK987" s="7"/>
      <c r="AL987" s="7"/>
      <c r="AM987" s="7"/>
      <c r="AN987" s="7"/>
      <c r="AO987" s="7"/>
      <c r="AP987" s="7"/>
      <c r="AQ987" s="7"/>
      <c r="AR987" s="7"/>
      <c r="AS987" s="7"/>
      <c r="AT987" s="7"/>
      <c r="AU987" s="7"/>
      <c r="AV987" s="7"/>
      <c r="AW987" s="7"/>
      <c r="AY987" s="7"/>
      <c r="AZ987" s="7"/>
      <c r="BA987" s="7"/>
      <c r="BB987" s="7"/>
    </row>
    <row r="988" spans="2:54" x14ac:dyDescent="0.2">
      <c r="B988" s="174"/>
      <c r="C988" s="176"/>
      <c r="F988" s="5">
        <v>0</v>
      </c>
      <c r="G988" s="192">
        <v>0</v>
      </c>
      <c r="H988" s="192">
        <v>0</v>
      </c>
      <c r="I988" s="5">
        <v>0</v>
      </c>
      <c r="J988" s="192">
        <v>0</v>
      </c>
      <c r="K988" s="192">
        <v>0</v>
      </c>
      <c r="L988" s="5">
        <v>0</v>
      </c>
      <c r="M988" s="5">
        <v>0</v>
      </c>
      <c r="N988" s="4" t="e">
        <f t="shared" si="81"/>
        <v>#N/A</v>
      </c>
      <c r="O988" s="4" t="e">
        <f>IF(ROUND(10.499-(((N988-VLOOKUP($C988,Lookups!$A$55:$D$64,3))/(VLOOKUP($C988,Lookups!$A$55:$D$64,4))*VLOOKUP($C988,Lookups!$C$2:$D$11,2))),0)&lt;1,1,IF(ROUND(10.499-(((N988-VLOOKUP($C988,Lookups!$A$55:$D$64,3))/(VLOOKUP($C988,Lookups!$A$55:$D$64,4))*VLOOKUP($C988,Lookups!$C$2:$D$11,2))),0)&lt;11,ROUND(10.499-(((N988-VLOOKUP($C988,Lookups!$A$55:$D$64,3))/(VLOOKUP($C988,Lookups!$A$55:$D$64,4))*VLOOKUP($C988,Lookups!$C$2:$D$11,2))),0),10))</f>
        <v>#N/A</v>
      </c>
      <c r="P988" s="13" t="str">
        <f>IF((SUM(F988:M988)=0),"J",VLOOKUP(O988,Lookups!$A$1:$B$11,2))</f>
        <v>J</v>
      </c>
      <c r="Q988" s="8" t="e">
        <f>VLOOKUP(C988,Lookups!$A$136:$C$144,3)</f>
        <v>#N/A</v>
      </c>
      <c r="R988" s="8" t="e">
        <f>VLOOKUP(C988,Lookups!$A$136:$C$144,2)</f>
        <v>#N/A</v>
      </c>
      <c r="S988" s="4" t="str">
        <f t="shared" si="82"/>
        <v>No</v>
      </c>
      <c r="T988" s="125">
        <f t="shared" si="83"/>
        <v>0</v>
      </c>
      <c r="U988" s="125">
        <f t="shared" si="84"/>
        <v>0</v>
      </c>
      <c r="V988" s="4" t="e">
        <f>IF($Q988&lt;&gt;3,VLOOKUP(F988,'Points Table A'!B$3:$F$33,5),VLOOKUP(F988,'Points Table A'!H$3:$L$33,5))</f>
        <v>#N/A</v>
      </c>
      <c r="W988" s="4" t="e">
        <f>IF($Q988&lt;&gt;3,VLOOKUP(G988,'Points Table A'!C$3:$F$33,4),VLOOKUP(G988,'Points Table A'!I$3:$L$33,4))</f>
        <v>#N/A</v>
      </c>
      <c r="X988" s="4" t="e">
        <f>IF($Q988&lt;&gt;3,VLOOKUP(H988,'Points Table A'!D$3:$F$28,3),VLOOKUP(H988,'Points Table A'!J$3:$L$33,3))</f>
        <v>#N/A</v>
      </c>
      <c r="Y988" s="4" t="e">
        <f>IF($Q988&lt;&gt;3,VLOOKUP(I988,'Points Table A'!E$3:$F$33,2),VLOOKUP(I988,'Points Table A'!K$3:$L$33,2))</f>
        <v>#N/A</v>
      </c>
      <c r="Z988" s="4" t="e">
        <f t="shared" si="85"/>
        <v>#N/A</v>
      </c>
      <c r="AA988" s="4">
        <f>IF($S988=Lookups!$B$113,VLOOKUP(L988,'Points Table C'!A$3:$E$11,5),VLOOKUP(U988,'Points Table C'!B$3:$E$11,4))</f>
        <v>0</v>
      </c>
      <c r="AB988" s="4" t="e">
        <f>IF($Q988=1,0,VLOOKUP($J988,'Points Table C'!$C$3:$E$18,3))</f>
        <v>#N/A</v>
      </c>
      <c r="AC988" s="4">
        <f>VLOOKUP($K988,'Points Table C'!$D$3:$E$18,2)</f>
        <v>0</v>
      </c>
      <c r="AD988" s="4" t="e">
        <f>IF($Z988&lt;Lookups!$C$106,($AA988+AB988+AC988),IF($AA988&gt;=Lookups!$C$120,($AA988+AB988+AC988),$AA988+$AB988))</f>
        <v>#N/A</v>
      </c>
      <c r="AF988" s="7"/>
      <c r="AG988" s="7"/>
      <c r="AH988" s="7"/>
      <c r="AI988" s="7"/>
      <c r="AJ988" s="7"/>
      <c r="AK988" s="7"/>
      <c r="AL988" s="7"/>
      <c r="AM988" s="7"/>
      <c r="AN988" s="7"/>
      <c r="AO988" s="7"/>
      <c r="AP988" s="7"/>
      <c r="AQ988" s="7"/>
      <c r="AR988" s="7"/>
      <c r="AS988" s="7"/>
      <c r="AT988" s="7"/>
      <c r="AU988" s="7"/>
      <c r="AV988" s="7"/>
      <c r="AW988" s="7"/>
      <c r="AY988" s="7"/>
      <c r="AZ988" s="7"/>
      <c r="BA988" s="7"/>
      <c r="BB988" s="7"/>
    </row>
    <row r="989" spans="2:54" x14ac:dyDescent="0.2">
      <c r="B989" s="174"/>
      <c r="C989" s="176"/>
      <c r="F989" s="5">
        <v>0</v>
      </c>
      <c r="G989" s="192">
        <v>0</v>
      </c>
      <c r="H989" s="192">
        <v>0</v>
      </c>
      <c r="I989" s="5">
        <v>0</v>
      </c>
      <c r="J989" s="192">
        <v>0</v>
      </c>
      <c r="K989" s="192">
        <v>0</v>
      </c>
      <c r="L989" s="5">
        <v>0</v>
      </c>
      <c r="M989" s="5">
        <v>0</v>
      </c>
      <c r="N989" s="4" t="e">
        <f t="shared" si="81"/>
        <v>#N/A</v>
      </c>
      <c r="O989" s="4" t="e">
        <f>IF(ROUND(10.499-(((N989-VLOOKUP($C989,Lookups!$A$55:$D$64,3))/(VLOOKUP($C989,Lookups!$A$55:$D$64,4))*VLOOKUP($C989,Lookups!$C$2:$D$11,2))),0)&lt;1,1,IF(ROUND(10.499-(((N989-VLOOKUP($C989,Lookups!$A$55:$D$64,3))/(VLOOKUP($C989,Lookups!$A$55:$D$64,4))*VLOOKUP($C989,Lookups!$C$2:$D$11,2))),0)&lt;11,ROUND(10.499-(((N989-VLOOKUP($C989,Lookups!$A$55:$D$64,3))/(VLOOKUP($C989,Lookups!$A$55:$D$64,4))*VLOOKUP($C989,Lookups!$C$2:$D$11,2))),0),10))</f>
        <v>#N/A</v>
      </c>
      <c r="P989" s="13" t="str">
        <f>IF((SUM(F989:M989)=0),"J",VLOOKUP(O989,Lookups!$A$1:$B$11,2))</f>
        <v>J</v>
      </c>
      <c r="Q989" s="8" t="e">
        <f>VLOOKUP(C989,Lookups!$A$136:$C$144,3)</f>
        <v>#N/A</v>
      </c>
      <c r="R989" s="8" t="e">
        <f>VLOOKUP(C989,Lookups!$A$136:$C$144,2)</f>
        <v>#N/A</v>
      </c>
      <c r="S989" s="4" t="str">
        <f t="shared" si="82"/>
        <v>No</v>
      </c>
      <c r="T989" s="125">
        <f t="shared" si="83"/>
        <v>0</v>
      </c>
      <c r="U989" s="125">
        <f t="shared" si="84"/>
        <v>0</v>
      </c>
      <c r="V989" s="4" t="e">
        <f>IF($Q989&lt;&gt;3,VLOOKUP(F989,'Points Table A'!B$3:$F$33,5),VLOOKUP(F989,'Points Table A'!H$3:$L$33,5))</f>
        <v>#N/A</v>
      </c>
      <c r="W989" s="4" t="e">
        <f>IF($Q989&lt;&gt;3,VLOOKUP(G989,'Points Table A'!C$3:$F$33,4),VLOOKUP(G989,'Points Table A'!I$3:$L$33,4))</f>
        <v>#N/A</v>
      </c>
      <c r="X989" s="4" t="e">
        <f>IF($Q989&lt;&gt;3,VLOOKUP(H989,'Points Table A'!D$3:$F$28,3),VLOOKUP(H989,'Points Table A'!J$3:$L$33,3))</f>
        <v>#N/A</v>
      </c>
      <c r="Y989" s="4" t="e">
        <f>IF($Q989&lt;&gt;3,VLOOKUP(I989,'Points Table A'!E$3:$F$33,2),VLOOKUP(I989,'Points Table A'!K$3:$L$33,2))</f>
        <v>#N/A</v>
      </c>
      <c r="Z989" s="4" t="e">
        <f t="shared" si="85"/>
        <v>#N/A</v>
      </c>
      <c r="AA989" s="4">
        <f>IF($S989=Lookups!$B$113,VLOOKUP(L989,'Points Table C'!A$3:$E$11,5),VLOOKUP(U989,'Points Table C'!B$3:$E$11,4))</f>
        <v>0</v>
      </c>
      <c r="AB989" s="4" t="e">
        <f>IF($Q989=1,0,VLOOKUP($J989,'Points Table C'!$C$3:$E$18,3))</f>
        <v>#N/A</v>
      </c>
      <c r="AC989" s="4">
        <f>VLOOKUP($K989,'Points Table C'!$D$3:$E$18,2)</f>
        <v>0</v>
      </c>
      <c r="AD989" s="4" t="e">
        <f>IF($Z989&lt;Lookups!$C$106,($AA989+AB989+AC989),IF($AA989&gt;=Lookups!$C$120,($AA989+AB989+AC989),$AA989+$AB989))</f>
        <v>#N/A</v>
      </c>
      <c r="AF989" s="7"/>
      <c r="AG989" s="7"/>
      <c r="AH989" s="7"/>
      <c r="AI989" s="7"/>
      <c r="AJ989" s="7"/>
      <c r="AK989" s="7"/>
      <c r="AL989" s="7"/>
      <c r="AM989" s="7"/>
      <c r="AN989" s="7"/>
      <c r="AO989" s="7"/>
      <c r="AP989" s="7"/>
      <c r="AQ989" s="7"/>
      <c r="AR989" s="7"/>
      <c r="AS989" s="7"/>
      <c r="AT989" s="7"/>
      <c r="AU989" s="7"/>
      <c r="AV989" s="7"/>
      <c r="AW989" s="7"/>
      <c r="AY989" s="7"/>
      <c r="AZ989" s="7"/>
      <c r="BA989" s="7"/>
      <c r="BB989" s="7"/>
    </row>
    <row r="990" spans="2:54" x14ac:dyDescent="0.2">
      <c r="B990" s="174"/>
      <c r="C990" s="176"/>
      <c r="F990" s="5">
        <v>0</v>
      </c>
      <c r="G990" s="192">
        <v>0</v>
      </c>
      <c r="H990" s="192">
        <v>0</v>
      </c>
      <c r="I990" s="5">
        <v>0</v>
      </c>
      <c r="J990" s="192">
        <v>0</v>
      </c>
      <c r="K990" s="192">
        <v>0</v>
      </c>
      <c r="L990" s="5">
        <v>0</v>
      </c>
      <c r="M990" s="5">
        <v>0</v>
      </c>
      <c r="N990" s="4" t="e">
        <f t="shared" si="81"/>
        <v>#N/A</v>
      </c>
      <c r="O990" s="4" t="e">
        <f>IF(ROUND(10.499-(((N990-VLOOKUP($C990,Lookups!$A$55:$D$64,3))/(VLOOKUP($C990,Lookups!$A$55:$D$64,4))*VLOOKUP($C990,Lookups!$C$2:$D$11,2))),0)&lt;1,1,IF(ROUND(10.499-(((N990-VLOOKUP($C990,Lookups!$A$55:$D$64,3))/(VLOOKUP($C990,Lookups!$A$55:$D$64,4))*VLOOKUP($C990,Lookups!$C$2:$D$11,2))),0)&lt;11,ROUND(10.499-(((N990-VLOOKUP($C990,Lookups!$A$55:$D$64,3))/(VLOOKUP($C990,Lookups!$A$55:$D$64,4))*VLOOKUP($C990,Lookups!$C$2:$D$11,2))),0),10))</f>
        <v>#N/A</v>
      </c>
      <c r="P990" s="13" t="str">
        <f>IF((SUM(F990:M990)=0),"J",VLOOKUP(O990,Lookups!$A$1:$B$11,2))</f>
        <v>J</v>
      </c>
      <c r="Q990" s="8" t="e">
        <f>VLOOKUP(C990,Lookups!$A$136:$C$144,3)</f>
        <v>#N/A</v>
      </c>
      <c r="R990" s="8" t="e">
        <f>VLOOKUP(C990,Lookups!$A$136:$C$144,2)</f>
        <v>#N/A</v>
      </c>
      <c r="S990" s="4" t="str">
        <f t="shared" si="82"/>
        <v>No</v>
      </c>
      <c r="T990" s="125">
        <f t="shared" si="83"/>
        <v>0</v>
      </c>
      <c r="U990" s="125">
        <f t="shared" si="84"/>
        <v>0</v>
      </c>
      <c r="V990" s="4" t="e">
        <f>IF($Q990&lt;&gt;3,VLOOKUP(F990,'Points Table A'!B$3:$F$33,5),VLOOKUP(F990,'Points Table A'!H$3:$L$33,5))</f>
        <v>#N/A</v>
      </c>
      <c r="W990" s="4" t="e">
        <f>IF($Q990&lt;&gt;3,VLOOKUP(G990,'Points Table A'!C$3:$F$33,4),VLOOKUP(G990,'Points Table A'!I$3:$L$33,4))</f>
        <v>#N/A</v>
      </c>
      <c r="X990" s="4" t="e">
        <f>IF($Q990&lt;&gt;3,VLOOKUP(H990,'Points Table A'!D$3:$F$28,3),VLOOKUP(H990,'Points Table A'!J$3:$L$33,3))</f>
        <v>#N/A</v>
      </c>
      <c r="Y990" s="4" t="e">
        <f>IF($Q990&lt;&gt;3,VLOOKUP(I990,'Points Table A'!E$3:$F$33,2),VLOOKUP(I990,'Points Table A'!K$3:$L$33,2))</f>
        <v>#N/A</v>
      </c>
      <c r="Z990" s="4" t="e">
        <f t="shared" si="85"/>
        <v>#N/A</v>
      </c>
      <c r="AA990" s="4">
        <f>IF($S990=Lookups!$B$113,VLOOKUP(L990,'Points Table C'!A$3:$E$11,5),VLOOKUP(U990,'Points Table C'!B$3:$E$11,4))</f>
        <v>0</v>
      </c>
      <c r="AB990" s="4" t="e">
        <f>IF($Q990=1,0,VLOOKUP($J990,'Points Table C'!$C$3:$E$18,3))</f>
        <v>#N/A</v>
      </c>
      <c r="AC990" s="4">
        <f>VLOOKUP($K990,'Points Table C'!$D$3:$E$18,2)</f>
        <v>0</v>
      </c>
      <c r="AD990" s="4" t="e">
        <f>IF($Z990&lt;Lookups!$C$106,($AA990+AB990+AC990),IF($AA990&gt;=Lookups!$C$120,($AA990+AB990+AC990),$AA990+$AB990))</f>
        <v>#N/A</v>
      </c>
      <c r="AF990" s="7"/>
      <c r="AG990" s="7"/>
      <c r="AH990" s="7"/>
      <c r="AI990" s="7"/>
      <c r="AJ990" s="7"/>
      <c r="AK990" s="7"/>
      <c r="AL990" s="7"/>
      <c r="AM990" s="7"/>
      <c r="AN990" s="7"/>
      <c r="AO990" s="7"/>
      <c r="AP990" s="7"/>
      <c r="AQ990" s="7"/>
      <c r="AR990" s="7"/>
      <c r="AS990" s="7"/>
      <c r="AT990" s="7"/>
      <c r="AU990" s="7"/>
      <c r="AV990" s="7"/>
      <c r="AW990" s="7"/>
      <c r="AY990" s="7"/>
      <c r="AZ990" s="7"/>
      <c r="BA990" s="7"/>
      <c r="BB990" s="7"/>
    </row>
    <row r="991" spans="2:54" x14ac:dyDescent="0.2">
      <c r="B991" s="174"/>
      <c r="C991" s="176"/>
      <c r="F991" s="5">
        <v>0</v>
      </c>
      <c r="G991" s="192">
        <v>0</v>
      </c>
      <c r="H991" s="192">
        <v>0</v>
      </c>
      <c r="I991" s="5">
        <v>0</v>
      </c>
      <c r="J991" s="192">
        <v>0</v>
      </c>
      <c r="K991" s="192">
        <v>0</v>
      </c>
      <c r="L991" s="5">
        <v>0</v>
      </c>
      <c r="M991" s="5">
        <v>0</v>
      </c>
      <c r="N991" s="4" t="e">
        <f t="shared" si="81"/>
        <v>#N/A</v>
      </c>
      <c r="O991" s="4" t="e">
        <f>IF(ROUND(10.499-(((N991-VLOOKUP($C991,Lookups!$A$55:$D$64,3))/(VLOOKUP($C991,Lookups!$A$55:$D$64,4))*VLOOKUP($C991,Lookups!$C$2:$D$11,2))),0)&lt;1,1,IF(ROUND(10.499-(((N991-VLOOKUP($C991,Lookups!$A$55:$D$64,3))/(VLOOKUP($C991,Lookups!$A$55:$D$64,4))*VLOOKUP($C991,Lookups!$C$2:$D$11,2))),0)&lt;11,ROUND(10.499-(((N991-VLOOKUP($C991,Lookups!$A$55:$D$64,3))/(VLOOKUP($C991,Lookups!$A$55:$D$64,4))*VLOOKUP($C991,Lookups!$C$2:$D$11,2))),0),10))</f>
        <v>#N/A</v>
      </c>
      <c r="P991" s="13" t="str">
        <f>IF((SUM(F991:M991)=0),"J",VLOOKUP(O991,Lookups!$A$1:$B$11,2))</f>
        <v>J</v>
      </c>
      <c r="Q991" s="8" t="e">
        <f>VLOOKUP(C991,Lookups!$A$136:$C$144,3)</f>
        <v>#N/A</v>
      </c>
      <c r="R991" s="8" t="e">
        <f>VLOOKUP(C991,Lookups!$A$136:$C$144,2)</f>
        <v>#N/A</v>
      </c>
      <c r="S991" s="4" t="str">
        <f t="shared" si="82"/>
        <v>No</v>
      </c>
      <c r="T991" s="125">
        <f t="shared" si="83"/>
        <v>0</v>
      </c>
      <c r="U991" s="125">
        <f t="shared" si="84"/>
        <v>0</v>
      </c>
      <c r="V991" s="4" t="e">
        <f>IF($Q991&lt;&gt;3,VLOOKUP(F991,'Points Table A'!B$3:$F$33,5),VLOOKUP(F991,'Points Table A'!H$3:$L$33,5))</f>
        <v>#N/A</v>
      </c>
      <c r="W991" s="4" t="e">
        <f>IF($Q991&lt;&gt;3,VLOOKUP(G991,'Points Table A'!C$3:$F$33,4),VLOOKUP(G991,'Points Table A'!I$3:$L$33,4))</f>
        <v>#N/A</v>
      </c>
      <c r="X991" s="4" t="e">
        <f>IF($Q991&lt;&gt;3,VLOOKUP(H991,'Points Table A'!D$3:$F$28,3),VLOOKUP(H991,'Points Table A'!J$3:$L$33,3))</f>
        <v>#N/A</v>
      </c>
      <c r="Y991" s="4" t="e">
        <f>IF($Q991&lt;&gt;3,VLOOKUP(I991,'Points Table A'!E$3:$F$33,2),VLOOKUP(I991,'Points Table A'!K$3:$L$33,2))</f>
        <v>#N/A</v>
      </c>
      <c r="Z991" s="4" t="e">
        <f t="shared" si="85"/>
        <v>#N/A</v>
      </c>
      <c r="AA991" s="4">
        <f>IF($S991=Lookups!$B$113,VLOOKUP(L991,'Points Table C'!A$3:$E$11,5),VLOOKUP(U991,'Points Table C'!B$3:$E$11,4))</f>
        <v>0</v>
      </c>
      <c r="AB991" s="4" t="e">
        <f>IF($Q991=1,0,VLOOKUP($J991,'Points Table C'!$C$3:$E$18,3))</f>
        <v>#N/A</v>
      </c>
      <c r="AC991" s="4">
        <f>VLOOKUP($K991,'Points Table C'!$D$3:$E$18,2)</f>
        <v>0</v>
      </c>
      <c r="AD991" s="4" t="e">
        <f>IF($Z991&lt;Lookups!$C$106,($AA991+AB991+AC991),IF($AA991&gt;=Lookups!$C$120,($AA991+AB991+AC991),$AA991+$AB991))</f>
        <v>#N/A</v>
      </c>
      <c r="AF991" s="7"/>
      <c r="AG991" s="7"/>
      <c r="AH991" s="7"/>
      <c r="AI991" s="7"/>
      <c r="AJ991" s="7"/>
      <c r="AK991" s="7"/>
      <c r="AL991" s="7"/>
      <c r="AM991" s="7"/>
      <c r="AN991" s="7"/>
      <c r="AO991" s="7"/>
      <c r="AP991" s="7"/>
      <c r="AQ991" s="7"/>
      <c r="AR991" s="7"/>
      <c r="AS991" s="7"/>
      <c r="AT991" s="7"/>
      <c r="AU991" s="7"/>
      <c r="AV991" s="7"/>
      <c r="AW991" s="7"/>
      <c r="AY991" s="7"/>
      <c r="AZ991" s="7"/>
      <c r="BA991" s="7"/>
      <c r="BB991" s="7"/>
    </row>
    <row r="992" spans="2:54" x14ac:dyDescent="0.2">
      <c r="B992" s="174"/>
      <c r="C992" s="176"/>
      <c r="F992" s="5">
        <v>0</v>
      </c>
      <c r="G992" s="192">
        <v>0</v>
      </c>
      <c r="H992" s="192">
        <v>0</v>
      </c>
      <c r="I992" s="5">
        <v>0</v>
      </c>
      <c r="J992" s="192">
        <v>0</v>
      </c>
      <c r="K992" s="192">
        <v>0</v>
      </c>
      <c r="L992" s="5">
        <v>0</v>
      </c>
      <c r="M992" s="5">
        <v>0</v>
      </c>
      <c r="N992" s="4" t="e">
        <f t="shared" si="81"/>
        <v>#N/A</v>
      </c>
      <c r="O992" s="4" t="e">
        <f>IF(ROUND(10.499-(((N992-VLOOKUP($C992,Lookups!$A$55:$D$64,3))/(VLOOKUP($C992,Lookups!$A$55:$D$64,4))*VLOOKUP($C992,Lookups!$C$2:$D$11,2))),0)&lt;1,1,IF(ROUND(10.499-(((N992-VLOOKUP($C992,Lookups!$A$55:$D$64,3))/(VLOOKUP($C992,Lookups!$A$55:$D$64,4))*VLOOKUP($C992,Lookups!$C$2:$D$11,2))),0)&lt;11,ROUND(10.499-(((N992-VLOOKUP($C992,Lookups!$A$55:$D$64,3))/(VLOOKUP($C992,Lookups!$A$55:$D$64,4))*VLOOKUP($C992,Lookups!$C$2:$D$11,2))),0),10))</f>
        <v>#N/A</v>
      </c>
      <c r="P992" s="13" t="str">
        <f>IF((SUM(F992:M992)=0),"J",VLOOKUP(O992,Lookups!$A$1:$B$11,2))</f>
        <v>J</v>
      </c>
      <c r="Q992" s="8" t="e">
        <f>VLOOKUP(C992,Lookups!$A$136:$C$144,3)</f>
        <v>#N/A</v>
      </c>
      <c r="R992" s="8" t="e">
        <f>VLOOKUP(C992,Lookups!$A$136:$C$144,2)</f>
        <v>#N/A</v>
      </c>
      <c r="S992" s="4" t="str">
        <f t="shared" si="82"/>
        <v>No</v>
      </c>
      <c r="T992" s="125">
        <f t="shared" si="83"/>
        <v>0</v>
      </c>
      <c r="U992" s="125">
        <f t="shared" si="84"/>
        <v>0</v>
      </c>
      <c r="V992" s="4" t="e">
        <f>IF($Q992&lt;&gt;3,VLOOKUP(F992,'Points Table A'!B$3:$F$33,5),VLOOKUP(F992,'Points Table A'!H$3:$L$33,5))</f>
        <v>#N/A</v>
      </c>
      <c r="W992" s="4" t="e">
        <f>IF($Q992&lt;&gt;3,VLOOKUP(G992,'Points Table A'!C$3:$F$33,4),VLOOKUP(G992,'Points Table A'!I$3:$L$33,4))</f>
        <v>#N/A</v>
      </c>
      <c r="X992" s="4" t="e">
        <f>IF($Q992&lt;&gt;3,VLOOKUP(H992,'Points Table A'!D$3:$F$28,3),VLOOKUP(H992,'Points Table A'!J$3:$L$33,3))</f>
        <v>#N/A</v>
      </c>
      <c r="Y992" s="4" t="e">
        <f>IF($Q992&lt;&gt;3,VLOOKUP(I992,'Points Table A'!E$3:$F$33,2),VLOOKUP(I992,'Points Table A'!K$3:$L$33,2))</f>
        <v>#N/A</v>
      </c>
      <c r="Z992" s="4" t="e">
        <f t="shared" si="85"/>
        <v>#N/A</v>
      </c>
      <c r="AA992" s="4">
        <f>IF($S992=Lookups!$B$113,VLOOKUP(L992,'Points Table C'!A$3:$E$11,5),VLOOKUP(U992,'Points Table C'!B$3:$E$11,4))</f>
        <v>0</v>
      </c>
      <c r="AB992" s="4" t="e">
        <f>IF($Q992=1,0,VLOOKUP($J992,'Points Table C'!$C$3:$E$18,3))</f>
        <v>#N/A</v>
      </c>
      <c r="AC992" s="4">
        <f>VLOOKUP($K992,'Points Table C'!$D$3:$E$18,2)</f>
        <v>0</v>
      </c>
      <c r="AD992" s="4" t="e">
        <f>IF($Z992&lt;Lookups!$C$106,($AA992+AB992+AC992),IF($AA992&gt;=Lookups!$C$120,($AA992+AB992+AC992),$AA992+$AB992))</f>
        <v>#N/A</v>
      </c>
      <c r="AF992" s="7"/>
      <c r="AG992" s="7"/>
      <c r="AH992" s="7"/>
      <c r="AI992" s="7"/>
      <c r="AJ992" s="7"/>
      <c r="AK992" s="7"/>
      <c r="AL992" s="7"/>
      <c r="AM992" s="7"/>
      <c r="AN992" s="7"/>
      <c r="AO992" s="7"/>
      <c r="AP992" s="7"/>
      <c r="AQ992" s="7"/>
      <c r="AR992" s="7"/>
      <c r="AS992" s="7"/>
      <c r="AT992" s="7"/>
      <c r="AU992" s="7"/>
      <c r="AV992" s="7"/>
      <c r="AW992" s="7"/>
      <c r="AY992" s="7"/>
      <c r="AZ992" s="7"/>
      <c r="BA992" s="7"/>
      <c r="BB992" s="7"/>
    </row>
    <row r="993" spans="2:54" x14ac:dyDescent="0.2">
      <c r="B993" s="174"/>
      <c r="C993" s="176"/>
      <c r="F993" s="5">
        <v>0</v>
      </c>
      <c r="G993" s="192">
        <v>0</v>
      </c>
      <c r="H993" s="192">
        <v>0</v>
      </c>
      <c r="I993" s="5">
        <v>0</v>
      </c>
      <c r="J993" s="192">
        <v>0</v>
      </c>
      <c r="K993" s="192">
        <v>0</v>
      </c>
      <c r="L993" s="5">
        <v>0</v>
      </c>
      <c r="M993" s="5">
        <v>0</v>
      </c>
      <c r="N993" s="4" t="e">
        <f t="shared" si="81"/>
        <v>#N/A</v>
      </c>
      <c r="O993" s="4" t="e">
        <f>IF(ROUND(10.499-(((N993-VLOOKUP($C993,Lookups!$A$55:$D$64,3))/(VLOOKUP($C993,Lookups!$A$55:$D$64,4))*VLOOKUP($C993,Lookups!$C$2:$D$11,2))),0)&lt;1,1,IF(ROUND(10.499-(((N993-VLOOKUP($C993,Lookups!$A$55:$D$64,3))/(VLOOKUP($C993,Lookups!$A$55:$D$64,4))*VLOOKUP($C993,Lookups!$C$2:$D$11,2))),0)&lt;11,ROUND(10.499-(((N993-VLOOKUP($C993,Lookups!$A$55:$D$64,3))/(VLOOKUP($C993,Lookups!$A$55:$D$64,4))*VLOOKUP($C993,Lookups!$C$2:$D$11,2))),0),10))</f>
        <v>#N/A</v>
      </c>
      <c r="P993" s="13" t="str">
        <f>IF((SUM(F993:M993)=0),"J",VLOOKUP(O993,Lookups!$A$1:$B$11,2))</f>
        <v>J</v>
      </c>
      <c r="Q993" s="8" t="e">
        <f>VLOOKUP(C993,Lookups!$A$136:$C$144,3)</f>
        <v>#N/A</v>
      </c>
      <c r="R993" s="8" t="e">
        <f>VLOOKUP(C993,Lookups!$A$136:$C$144,2)</f>
        <v>#N/A</v>
      </c>
      <c r="S993" s="4" t="str">
        <f t="shared" si="82"/>
        <v>No</v>
      </c>
      <c r="T993" s="125">
        <f t="shared" si="83"/>
        <v>0</v>
      </c>
      <c r="U993" s="125">
        <f t="shared" si="84"/>
        <v>0</v>
      </c>
      <c r="V993" s="4" t="e">
        <f>IF($Q993&lt;&gt;3,VLOOKUP(F993,'Points Table A'!B$3:$F$33,5),VLOOKUP(F993,'Points Table A'!H$3:$L$33,5))</f>
        <v>#N/A</v>
      </c>
      <c r="W993" s="4" t="e">
        <f>IF($Q993&lt;&gt;3,VLOOKUP(G993,'Points Table A'!C$3:$F$33,4),VLOOKUP(G993,'Points Table A'!I$3:$L$33,4))</f>
        <v>#N/A</v>
      </c>
      <c r="X993" s="4" t="e">
        <f>IF($Q993&lt;&gt;3,VLOOKUP(H993,'Points Table A'!D$3:$F$28,3),VLOOKUP(H993,'Points Table A'!J$3:$L$33,3))</f>
        <v>#N/A</v>
      </c>
      <c r="Y993" s="4" t="e">
        <f>IF($Q993&lt;&gt;3,VLOOKUP(I993,'Points Table A'!E$3:$F$33,2),VLOOKUP(I993,'Points Table A'!K$3:$L$33,2))</f>
        <v>#N/A</v>
      </c>
      <c r="Z993" s="4" t="e">
        <f t="shared" si="85"/>
        <v>#N/A</v>
      </c>
      <c r="AA993" s="4">
        <f>IF($S993=Lookups!$B$113,VLOOKUP(L993,'Points Table C'!A$3:$E$11,5),VLOOKUP(U993,'Points Table C'!B$3:$E$11,4))</f>
        <v>0</v>
      </c>
      <c r="AB993" s="4" t="e">
        <f>IF($Q993=1,0,VLOOKUP($J993,'Points Table C'!$C$3:$E$18,3))</f>
        <v>#N/A</v>
      </c>
      <c r="AC993" s="4">
        <f>VLOOKUP($K993,'Points Table C'!$D$3:$E$18,2)</f>
        <v>0</v>
      </c>
      <c r="AD993" s="4" t="e">
        <f>IF($Z993&lt;Lookups!$C$106,($AA993+AB993+AC993),IF($AA993&gt;=Lookups!$C$120,($AA993+AB993+AC993),$AA993+$AB993))</f>
        <v>#N/A</v>
      </c>
      <c r="AF993" s="7"/>
      <c r="AG993" s="7"/>
      <c r="AH993" s="7"/>
      <c r="AI993" s="7"/>
      <c r="AJ993" s="7"/>
      <c r="AK993" s="7"/>
      <c r="AL993" s="7"/>
      <c r="AM993" s="7"/>
      <c r="AN993" s="7"/>
      <c r="AO993" s="7"/>
      <c r="AP993" s="7"/>
      <c r="AQ993" s="7"/>
      <c r="AR993" s="7"/>
      <c r="AS993" s="7"/>
      <c r="AT993" s="7"/>
      <c r="AU993" s="7"/>
      <c r="AV993" s="7"/>
      <c r="AW993" s="7"/>
      <c r="AY993" s="7"/>
      <c r="AZ993" s="7"/>
      <c r="BA993" s="7"/>
      <c r="BB993" s="7"/>
    </row>
    <row r="994" spans="2:54" x14ac:dyDescent="0.2">
      <c r="B994" s="174"/>
      <c r="C994" s="176"/>
      <c r="F994" s="5">
        <v>0</v>
      </c>
      <c r="G994" s="192">
        <v>0</v>
      </c>
      <c r="H994" s="192">
        <v>0</v>
      </c>
      <c r="I994" s="5">
        <v>0</v>
      </c>
      <c r="J994" s="192">
        <v>0</v>
      </c>
      <c r="K994" s="192">
        <v>0</v>
      </c>
      <c r="L994" s="5">
        <v>0</v>
      </c>
      <c r="M994" s="5">
        <v>0</v>
      </c>
      <c r="N994" s="4" t="e">
        <f t="shared" si="81"/>
        <v>#N/A</v>
      </c>
      <c r="O994" s="4" t="e">
        <f>IF(ROUND(10.499-(((N994-VLOOKUP($C994,Lookups!$A$55:$D$64,3))/(VLOOKUP($C994,Lookups!$A$55:$D$64,4))*VLOOKUP($C994,Lookups!$C$2:$D$11,2))),0)&lt;1,1,IF(ROUND(10.499-(((N994-VLOOKUP($C994,Lookups!$A$55:$D$64,3))/(VLOOKUP($C994,Lookups!$A$55:$D$64,4))*VLOOKUP($C994,Lookups!$C$2:$D$11,2))),0)&lt;11,ROUND(10.499-(((N994-VLOOKUP($C994,Lookups!$A$55:$D$64,3))/(VLOOKUP($C994,Lookups!$A$55:$D$64,4))*VLOOKUP($C994,Lookups!$C$2:$D$11,2))),0),10))</f>
        <v>#N/A</v>
      </c>
      <c r="P994" s="13" t="str">
        <f>IF((SUM(F994:M994)=0),"J",VLOOKUP(O994,Lookups!$A$1:$B$11,2))</f>
        <v>J</v>
      </c>
      <c r="Q994" s="8" t="e">
        <f>VLOOKUP(C994,Lookups!$A$136:$C$144,3)</f>
        <v>#N/A</v>
      </c>
      <c r="R994" s="8" t="e">
        <f>VLOOKUP(C994,Lookups!$A$136:$C$144,2)</f>
        <v>#N/A</v>
      </c>
      <c r="S994" s="4" t="str">
        <f t="shared" si="82"/>
        <v>No</v>
      </c>
      <c r="T994" s="125">
        <f t="shared" si="83"/>
        <v>0</v>
      </c>
      <c r="U994" s="125">
        <f t="shared" si="84"/>
        <v>0</v>
      </c>
      <c r="V994" s="4" t="e">
        <f>IF($Q994&lt;&gt;3,VLOOKUP(F994,'Points Table A'!B$3:$F$33,5),VLOOKUP(F994,'Points Table A'!H$3:$L$33,5))</f>
        <v>#N/A</v>
      </c>
      <c r="W994" s="4" t="e">
        <f>IF($Q994&lt;&gt;3,VLOOKUP(G994,'Points Table A'!C$3:$F$33,4),VLOOKUP(G994,'Points Table A'!I$3:$L$33,4))</f>
        <v>#N/A</v>
      </c>
      <c r="X994" s="4" t="e">
        <f>IF($Q994&lt;&gt;3,VLOOKUP(H994,'Points Table A'!D$3:$F$28,3),VLOOKUP(H994,'Points Table A'!J$3:$L$33,3))</f>
        <v>#N/A</v>
      </c>
      <c r="Y994" s="4" t="e">
        <f>IF($Q994&lt;&gt;3,VLOOKUP(I994,'Points Table A'!E$3:$F$33,2),VLOOKUP(I994,'Points Table A'!K$3:$L$33,2))</f>
        <v>#N/A</v>
      </c>
      <c r="Z994" s="4" t="e">
        <f t="shared" si="85"/>
        <v>#N/A</v>
      </c>
      <c r="AA994" s="4">
        <f>IF($S994=Lookups!$B$113,VLOOKUP(L994,'Points Table C'!A$3:$E$11,5),VLOOKUP(U994,'Points Table C'!B$3:$E$11,4))</f>
        <v>0</v>
      </c>
      <c r="AB994" s="4" t="e">
        <f>IF($Q994=1,0,VLOOKUP($J994,'Points Table C'!$C$3:$E$18,3))</f>
        <v>#N/A</v>
      </c>
      <c r="AC994" s="4">
        <f>VLOOKUP($K994,'Points Table C'!$D$3:$E$18,2)</f>
        <v>0</v>
      </c>
      <c r="AD994" s="4" t="e">
        <f>IF($Z994&lt;Lookups!$C$106,($AA994+AB994+AC994),IF($AA994&gt;=Lookups!$C$120,($AA994+AB994+AC994),$AA994+$AB994))</f>
        <v>#N/A</v>
      </c>
      <c r="AF994" s="7"/>
      <c r="AG994" s="7"/>
      <c r="AH994" s="7"/>
      <c r="AI994" s="7"/>
      <c r="AJ994" s="7"/>
      <c r="AK994" s="7"/>
      <c r="AL994" s="7"/>
      <c r="AM994" s="7"/>
      <c r="AN994" s="7"/>
      <c r="AO994" s="7"/>
      <c r="AP994" s="7"/>
      <c r="AQ994" s="7"/>
      <c r="AR994" s="7"/>
      <c r="AS994" s="7"/>
      <c r="AT994" s="7"/>
      <c r="AU994" s="7"/>
      <c r="AV994" s="7"/>
      <c r="AW994" s="7"/>
      <c r="AY994" s="7"/>
      <c r="AZ994" s="7"/>
      <c r="BA994" s="7"/>
      <c r="BB994" s="7"/>
    </row>
    <row r="995" spans="2:54" x14ac:dyDescent="0.2">
      <c r="B995" s="174"/>
      <c r="C995" s="176"/>
      <c r="F995" s="5">
        <v>0</v>
      </c>
      <c r="G995" s="192">
        <v>0</v>
      </c>
      <c r="H995" s="192">
        <v>0</v>
      </c>
      <c r="I995" s="5">
        <v>0</v>
      </c>
      <c r="J995" s="192">
        <v>0</v>
      </c>
      <c r="K995" s="192">
        <v>0</v>
      </c>
      <c r="L995" s="5">
        <v>0</v>
      </c>
      <c r="M995" s="5">
        <v>0</v>
      </c>
      <c r="N995" s="4" t="e">
        <f t="shared" si="81"/>
        <v>#N/A</v>
      </c>
      <c r="O995" s="4" t="e">
        <f>IF(ROUND(10.499-(((N995-VLOOKUP($C995,Lookups!$A$55:$D$64,3))/(VLOOKUP($C995,Lookups!$A$55:$D$64,4))*VLOOKUP($C995,Lookups!$C$2:$D$11,2))),0)&lt;1,1,IF(ROUND(10.499-(((N995-VLOOKUP($C995,Lookups!$A$55:$D$64,3))/(VLOOKUP($C995,Lookups!$A$55:$D$64,4))*VLOOKUP($C995,Lookups!$C$2:$D$11,2))),0)&lt;11,ROUND(10.499-(((N995-VLOOKUP($C995,Lookups!$A$55:$D$64,3))/(VLOOKUP($C995,Lookups!$A$55:$D$64,4))*VLOOKUP($C995,Lookups!$C$2:$D$11,2))),0),10))</f>
        <v>#N/A</v>
      </c>
      <c r="P995" s="13" t="str">
        <f>IF((SUM(F995:M995)=0),"J",VLOOKUP(O995,Lookups!$A$1:$B$11,2))</f>
        <v>J</v>
      </c>
      <c r="Q995" s="8" t="e">
        <f>VLOOKUP(C995,Lookups!$A$136:$C$144,3)</f>
        <v>#N/A</v>
      </c>
      <c r="R995" s="8" t="e">
        <f>VLOOKUP(C995,Lookups!$A$136:$C$144,2)</f>
        <v>#N/A</v>
      </c>
      <c r="S995" s="4" t="str">
        <f t="shared" si="82"/>
        <v>No</v>
      </c>
      <c r="T995" s="125">
        <f t="shared" si="83"/>
        <v>0</v>
      </c>
      <c r="U995" s="125">
        <f t="shared" si="84"/>
        <v>0</v>
      </c>
      <c r="V995" s="4" t="e">
        <f>IF($Q995&lt;&gt;3,VLOOKUP(F995,'Points Table A'!B$3:$F$33,5),VLOOKUP(F995,'Points Table A'!H$3:$L$33,5))</f>
        <v>#N/A</v>
      </c>
      <c r="W995" s="4" t="e">
        <f>IF($Q995&lt;&gt;3,VLOOKUP(G995,'Points Table A'!C$3:$F$33,4),VLOOKUP(G995,'Points Table A'!I$3:$L$33,4))</f>
        <v>#N/A</v>
      </c>
      <c r="X995" s="4" t="e">
        <f>IF($Q995&lt;&gt;3,VLOOKUP(H995,'Points Table A'!D$3:$F$28,3),VLOOKUP(H995,'Points Table A'!J$3:$L$33,3))</f>
        <v>#N/A</v>
      </c>
      <c r="Y995" s="4" t="e">
        <f>IF($Q995&lt;&gt;3,VLOOKUP(I995,'Points Table A'!E$3:$F$33,2),VLOOKUP(I995,'Points Table A'!K$3:$L$33,2))</f>
        <v>#N/A</v>
      </c>
      <c r="Z995" s="4" t="e">
        <f t="shared" si="85"/>
        <v>#N/A</v>
      </c>
      <c r="AA995" s="4">
        <f>IF($S995=Lookups!$B$113,VLOOKUP(L995,'Points Table C'!A$3:$E$11,5),VLOOKUP(U995,'Points Table C'!B$3:$E$11,4))</f>
        <v>0</v>
      </c>
      <c r="AB995" s="4" t="e">
        <f>IF($Q995=1,0,VLOOKUP($J995,'Points Table C'!$C$3:$E$18,3))</f>
        <v>#N/A</v>
      </c>
      <c r="AC995" s="4">
        <f>VLOOKUP($K995,'Points Table C'!$D$3:$E$18,2)</f>
        <v>0</v>
      </c>
      <c r="AD995" s="4" t="e">
        <f>IF($Z995&lt;Lookups!$C$106,($AA995+AB995+AC995),IF($AA995&gt;=Lookups!$C$120,($AA995+AB995+AC995),$AA995+$AB995))</f>
        <v>#N/A</v>
      </c>
      <c r="AF995" s="7"/>
      <c r="AG995" s="7"/>
      <c r="AH995" s="7"/>
      <c r="AI995" s="7"/>
      <c r="AJ995" s="7"/>
      <c r="AK995" s="7"/>
      <c r="AL995" s="7"/>
      <c r="AM995" s="7"/>
      <c r="AN995" s="7"/>
      <c r="AO995" s="7"/>
      <c r="AP995" s="7"/>
      <c r="AQ995" s="7"/>
      <c r="AR995" s="7"/>
      <c r="AS995" s="7"/>
      <c r="AT995" s="7"/>
      <c r="AU995" s="7"/>
      <c r="AV995" s="7"/>
      <c r="AW995" s="7"/>
      <c r="AY995" s="7"/>
      <c r="AZ995" s="7"/>
      <c r="BA995" s="7"/>
      <c r="BB995" s="7"/>
    </row>
    <row r="996" spans="2:54" x14ac:dyDescent="0.2">
      <c r="B996" s="174"/>
      <c r="C996" s="176"/>
      <c r="F996" s="5">
        <v>0</v>
      </c>
      <c r="G996" s="192">
        <v>0</v>
      </c>
      <c r="H996" s="192">
        <v>0</v>
      </c>
      <c r="I996" s="5">
        <v>0</v>
      </c>
      <c r="J996" s="192">
        <v>0</v>
      </c>
      <c r="K996" s="192">
        <v>0</v>
      </c>
      <c r="L996" s="5">
        <v>0</v>
      </c>
      <c r="M996" s="5">
        <v>0</v>
      </c>
      <c r="N996" s="4" t="e">
        <f t="shared" si="81"/>
        <v>#N/A</v>
      </c>
      <c r="O996" s="4" t="e">
        <f>IF(ROUND(10.499-(((N996-VLOOKUP($C996,Lookups!$A$55:$D$64,3))/(VLOOKUP($C996,Lookups!$A$55:$D$64,4))*VLOOKUP($C996,Lookups!$C$2:$D$11,2))),0)&lt;1,1,IF(ROUND(10.499-(((N996-VLOOKUP($C996,Lookups!$A$55:$D$64,3))/(VLOOKUP($C996,Lookups!$A$55:$D$64,4))*VLOOKUP($C996,Lookups!$C$2:$D$11,2))),0)&lt;11,ROUND(10.499-(((N996-VLOOKUP($C996,Lookups!$A$55:$D$64,3))/(VLOOKUP($C996,Lookups!$A$55:$D$64,4))*VLOOKUP($C996,Lookups!$C$2:$D$11,2))),0),10))</f>
        <v>#N/A</v>
      </c>
      <c r="P996" s="13" t="str">
        <f>IF((SUM(F996:M996)=0),"J",VLOOKUP(O996,Lookups!$A$1:$B$11,2))</f>
        <v>J</v>
      </c>
      <c r="Q996" s="8" t="e">
        <f>VLOOKUP(C996,Lookups!$A$136:$C$144,3)</f>
        <v>#N/A</v>
      </c>
      <c r="R996" s="8" t="e">
        <f>VLOOKUP(C996,Lookups!$A$136:$C$144,2)</f>
        <v>#N/A</v>
      </c>
      <c r="S996" s="4" t="str">
        <f t="shared" si="82"/>
        <v>No</v>
      </c>
      <c r="T996" s="125">
        <f t="shared" si="83"/>
        <v>0</v>
      </c>
      <c r="U996" s="125">
        <f t="shared" si="84"/>
        <v>0</v>
      </c>
      <c r="V996" s="4" t="e">
        <f>IF($Q996&lt;&gt;3,VLOOKUP(F996,'Points Table A'!B$3:$F$33,5),VLOOKUP(F996,'Points Table A'!H$3:$L$33,5))</f>
        <v>#N/A</v>
      </c>
      <c r="W996" s="4" t="e">
        <f>IF($Q996&lt;&gt;3,VLOOKUP(G996,'Points Table A'!C$3:$F$33,4),VLOOKUP(G996,'Points Table A'!I$3:$L$33,4))</f>
        <v>#N/A</v>
      </c>
      <c r="X996" s="4" t="e">
        <f>IF($Q996&lt;&gt;3,VLOOKUP(H996,'Points Table A'!D$3:$F$28,3),VLOOKUP(H996,'Points Table A'!J$3:$L$33,3))</f>
        <v>#N/A</v>
      </c>
      <c r="Y996" s="4" t="e">
        <f>IF($Q996&lt;&gt;3,VLOOKUP(I996,'Points Table A'!E$3:$F$33,2),VLOOKUP(I996,'Points Table A'!K$3:$L$33,2))</f>
        <v>#N/A</v>
      </c>
      <c r="Z996" s="4" t="e">
        <f t="shared" si="85"/>
        <v>#N/A</v>
      </c>
      <c r="AA996" s="4">
        <f>IF($S996=Lookups!$B$113,VLOOKUP(L996,'Points Table C'!A$3:$E$11,5),VLOOKUP(U996,'Points Table C'!B$3:$E$11,4))</f>
        <v>0</v>
      </c>
      <c r="AB996" s="4" t="e">
        <f>IF($Q996=1,0,VLOOKUP($J996,'Points Table C'!$C$3:$E$18,3))</f>
        <v>#N/A</v>
      </c>
      <c r="AC996" s="4">
        <f>VLOOKUP($K996,'Points Table C'!$D$3:$E$18,2)</f>
        <v>0</v>
      </c>
      <c r="AD996" s="4" t="e">
        <f>IF($Z996&lt;Lookups!$C$106,($AA996+AB996+AC996),IF($AA996&gt;=Lookups!$C$120,($AA996+AB996+AC996),$AA996+$AB996))</f>
        <v>#N/A</v>
      </c>
      <c r="AF996" s="7"/>
      <c r="AG996" s="7"/>
      <c r="AH996" s="7"/>
      <c r="AI996" s="7"/>
      <c r="AJ996" s="7"/>
      <c r="AK996" s="7"/>
      <c r="AL996" s="7"/>
      <c r="AM996" s="7"/>
      <c r="AN996" s="7"/>
      <c r="AO996" s="7"/>
      <c r="AP996" s="7"/>
      <c r="AQ996" s="7"/>
      <c r="AR996" s="7"/>
      <c r="AS996" s="7"/>
      <c r="AT996" s="7"/>
      <c r="AU996" s="7"/>
      <c r="AV996" s="7"/>
      <c r="AW996" s="7"/>
      <c r="AY996" s="7"/>
      <c r="AZ996" s="7"/>
      <c r="BA996" s="7"/>
      <c r="BB996" s="7"/>
    </row>
    <row r="997" spans="2:54" x14ac:dyDescent="0.2">
      <c r="B997" s="174"/>
      <c r="C997" s="176"/>
      <c r="F997" s="5">
        <v>0</v>
      </c>
      <c r="G997" s="192">
        <v>0</v>
      </c>
      <c r="H997" s="192">
        <v>0</v>
      </c>
      <c r="I997" s="5">
        <v>0</v>
      </c>
      <c r="J997" s="192">
        <v>0</v>
      </c>
      <c r="K997" s="192">
        <v>0</v>
      </c>
      <c r="L997" s="5">
        <v>0</v>
      </c>
      <c r="M997" s="5">
        <v>0</v>
      </c>
      <c r="N997" s="4" t="e">
        <f t="shared" si="81"/>
        <v>#N/A</v>
      </c>
      <c r="O997" s="4" t="e">
        <f>IF(ROUND(10.499-(((N997-VLOOKUP($C997,Lookups!$A$55:$D$64,3))/(VLOOKUP($C997,Lookups!$A$55:$D$64,4))*VLOOKUP($C997,Lookups!$C$2:$D$11,2))),0)&lt;1,1,IF(ROUND(10.499-(((N997-VLOOKUP($C997,Lookups!$A$55:$D$64,3))/(VLOOKUP($C997,Lookups!$A$55:$D$64,4))*VLOOKUP($C997,Lookups!$C$2:$D$11,2))),0)&lt;11,ROUND(10.499-(((N997-VLOOKUP($C997,Lookups!$A$55:$D$64,3))/(VLOOKUP($C997,Lookups!$A$55:$D$64,4))*VLOOKUP($C997,Lookups!$C$2:$D$11,2))),0),10))</f>
        <v>#N/A</v>
      </c>
      <c r="P997" s="13" t="str">
        <f>IF((SUM(F997:M997)=0),"J",VLOOKUP(O997,Lookups!$A$1:$B$11,2))</f>
        <v>J</v>
      </c>
      <c r="Q997" s="8" t="e">
        <f>VLOOKUP(C997,Lookups!$A$136:$C$144,3)</f>
        <v>#N/A</v>
      </c>
      <c r="R997" s="8" t="e">
        <f>VLOOKUP(C997,Lookups!$A$136:$C$144,2)</f>
        <v>#N/A</v>
      </c>
      <c r="S997" s="4" t="str">
        <f t="shared" si="82"/>
        <v>No</v>
      </c>
      <c r="T997" s="125">
        <f t="shared" si="83"/>
        <v>0</v>
      </c>
      <c r="U997" s="125">
        <f t="shared" si="84"/>
        <v>0</v>
      </c>
      <c r="V997" s="4" t="e">
        <f>IF($Q997&lt;&gt;3,VLOOKUP(F997,'Points Table A'!B$3:$F$33,5),VLOOKUP(F997,'Points Table A'!H$3:$L$33,5))</f>
        <v>#N/A</v>
      </c>
      <c r="W997" s="4" t="e">
        <f>IF($Q997&lt;&gt;3,VLOOKUP(G997,'Points Table A'!C$3:$F$33,4),VLOOKUP(G997,'Points Table A'!I$3:$L$33,4))</f>
        <v>#N/A</v>
      </c>
      <c r="X997" s="4" t="e">
        <f>IF($Q997&lt;&gt;3,VLOOKUP(H997,'Points Table A'!D$3:$F$28,3),VLOOKUP(H997,'Points Table A'!J$3:$L$33,3))</f>
        <v>#N/A</v>
      </c>
      <c r="Y997" s="4" t="e">
        <f>IF($Q997&lt;&gt;3,VLOOKUP(I997,'Points Table A'!E$3:$F$33,2),VLOOKUP(I997,'Points Table A'!K$3:$L$33,2))</f>
        <v>#N/A</v>
      </c>
      <c r="Z997" s="4" t="e">
        <f t="shared" si="85"/>
        <v>#N/A</v>
      </c>
      <c r="AA997" s="4">
        <f>IF($S997=Lookups!$B$113,VLOOKUP(L997,'Points Table C'!A$3:$E$11,5),VLOOKUP(U997,'Points Table C'!B$3:$E$11,4))</f>
        <v>0</v>
      </c>
      <c r="AB997" s="4" t="e">
        <f>IF($Q997=1,0,VLOOKUP($J997,'Points Table C'!$C$3:$E$18,3))</f>
        <v>#N/A</v>
      </c>
      <c r="AC997" s="4">
        <f>VLOOKUP($K997,'Points Table C'!$D$3:$E$18,2)</f>
        <v>0</v>
      </c>
      <c r="AD997" s="4" t="e">
        <f>IF($Z997&lt;Lookups!$C$106,($AA997+AB997+AC997),IF($AA997&gt;=Lookups!$C$120,($AA997+AB997+AC997),$AA997+$AB997))</f>
        <v>#N/A</v>
      </c>
      <c r="AF997" s="7"/>
      <c r="AG997" s="7"/>
      <c r="AH997" s="7"/>
      <c r="AI997" s="7"/>
      <c r="AJ997" s="7"/>
      <c r="AK997" s="7"/>
      <c r="AL997" s="7"/>
      <c r="AM997" s="7"/>
      <c r="AN997" s="7"/>
      <c r="AO997" s="7"/>
      <c r="AP997" s="7"/>
      <c r="AQ997" s="7"/>
      <c r="AR997" s="7"/>
      <c r="AS997" s="7"/>
      <c r="AT997" s="7"/>
      <c r="AU997" s="7"/>
      <c r="AV997" s="7"/>
      <c r="AW997" s="7"/>
      <c r="AY997" s="7"/>
      <c r="AZ997" s="7"/>
      <c r="BA997" s="7"/>
      <c r="BB997" s="7"/>
    </row>
    <row r="998" spans="2:54" x14ac:dyDescent="0.2">
      <c r="B998" s="174"/>
      <c r="C998" s="176"/>
      <c r="F998" s="5">
        <v>0</v>
      </c>
      <c r="G998" s="192">
        <v>0</v>
      </c>
      <c r="H998" s="192">
        <v>0</v>
      </c>
      <c r="I998" s="5">
        <v>0</v>
      </c>
      <c r="J998" s="192">
        <v>0</v>
      </c>
      <c r="K998" s="192">
        <v>0</v>
      </c>
      <c r="L998" s="5">
        <v>0</v>
      </c>
      <c r="M998" s="5">
        <v>0</v>
      </c>
      <c r="N998" s="4" t="e">
        <f t="shared" si="81"/>
        <v>#N/A</v>
      </c>
      <c r="O998" s="4" t="e">
        <f>IF(ROUND(10.499-(((N998-VLOOKUP($C998,Lookups!$A$55:$D$64,3))/(VLOOKUP($C998,Lookups!$A$55:$D$64,4))*VLOOKUP($C998,Lookups!$C$2:$D$11,2))),0)&lt;1,1,IF(ROUND(10.499-(((N998-VLOOKUP($C998,Lookups!$A$55:$D$64,3))/(VLOOKUP($C998,Lookups!$A$55:$D$64,4))*VLOOKUP($C998,Lookups!$C$2:$D$11,2))),0)&lt;11,ROUND(10.499-(((N998-VLOOKUP($C998,Lookups!$A$55:$D$64,3))/(VLOOKUP($C998,Lookups!$A$55:$D$64,4))*VLOOKUP($C998,Lookups!$C$2:$D$11,2))),0),10))</f>
        <v>#N/A</v>
      </c>
      <c r="P998" s="13" t="str">
        <f>IF((SUM(F998:M998)=0),"J",VLOOKUP(O998,Lookups!$A$1:$B$11,2))</f>
        <v>J</v>
      </c>
      <c r="Q998" s="8" t="e">
        <f>VLOOKUP(C998,Lookups!$A$136:$C$144,3)</f>
        <v>#N/A</v>
      </c>
      <c r="R998" s="8" t="e">
        <f>VLOOKUP(C998,Lookups!$A$136:$C$144,2)</f>
        <v>#N/A</v>
      </c>
      <c r="S998" s="4" t="str">
        <f t="shared" si="82"/>
        <v>No</v>
      </c>
      <c r="T998" s="125">
        <f t="shared" si="83"/>
        <v>0</v>
      </c>
      <c r="U998" s="125">
        <f t="shared" si="84"/>
        <v>0</v>
      </c>
      <c r="V998" s="4" t="e">
        <f>IF($Q998&lt;&gt;3,VLOOKUP(F998,'Points Table A'!B$3:$F$33,5),VLOOKUP(F998,'Points Table A'!H$3:$L$33,5))</f>
        <v>#N/A</v>
      </c>
      <c r="W998" s="4" t="e">
        <f>IF($Q998&lt;&gt;3,VLOOKUP(G998,'Points Table A'!C$3:$F$33,4),VLOOKUP(G998,'Points Table A'!I$3:$L$33,4))</f>
        <v>#N/A</v>
      </c>
      <c r="X998" s="4" t="e">
        <f>IF($Q998&lt;&gt;3,VLOOKUP(H998,'Points Table A'!D$3:$F$28,3),VLOOKUP(H998,'Points Table A'!J$3:$L$33,3))</f>
        <v>#N/A</v>
      </c>
      <c r="Y998" s="4" t="e">
        <f>IF($Q998&lt;&gt;3,VLOOKUP(I998,'Points Table A'!E$3:$F$33,2),VLOOKUP(I998,'Points Table A'!K$3:$L$33,2))</f>
        <v>#N/A</v>
      </c>
      <c r="Z998" s="4" t="e">
        <f t="shared" si="85"/>
        <v>#N/A</v>
      </c>
      <c r="AA998" s="4">
        <f>IF($S998=Lookups!$B$113,VLOOKUP(L998,'Points Table C'!A$3:$E$11,5),VLOOKUP(U998,'Points Table C'!B$3:$E$11,4))</f>
        <v>0</v>
      </c>
      <c r="AB998" s="4" t="e">
        <f>IF($Q998=1,0,VLOOKUP($J998,'Points Table C'!$C$3:$E$18,3))</f>
        <v>#N/A</v>
      </c>
      <c r="AC998" s="4">
        <f>VLOOKUP($K998,'Points Table C'!$D$3:$E$18,2)</f>
        <v>0</v>
      </c>
      <c r="AD998" s="4" t="e">
        <f>IF($Z998&lt;Lookups!$C$106,($AA998+AB998+AC998),IF($AA998&gt;=Lookups!$C$120,($AA998+AB998+AC998),$AA998+$AB998))</f>
        <v>#N/A</v>
      </c>
      <c r="AF998" s="7"/>
      <c r="AG998" s="7"/>
      <c r="AH998" s="7"/>
      <c r="AI998" s="7"/>
      <c r="AJ998" s="7"/>
      <c r="AK998" s="7"/>
      <c r="AL998" s="7"/>
      <c r="AM998" s="7"/>
      <c r="AN998" s="7"/>
      <c r="AO998" s="7"/>
      <c r="AP998" s="7"/>
      <c r="AQ998" s="7"/>
      <c r="AR998" s="7"/>
      <c r="AS998" s="7"/>
      <c r="AT998" s="7"/>
      <c r="AU998" s="7"/>
      <c r="AV998" s="7"/>
      <c r="AW998" s="7"/>
      <c r="AY998" s="7"/>
      <c r="AZ998" s="7"/>
      <c r="BA998" s="7"/>
      <c r="BB998" s="7"/>
    </row>
    <row r="999" spans="2:54" x14ac:dyDescent="0.2">
      <c r="B999" s="174"/>
      <c r="C999" s="176"/>
      <c r="F999" s="5">
        <v>0</v>
      </c>
      <c r="G999" s="192">
        <v>0</v>
      </c>
      <c r="H999" s="192">
        <v>0</v>
      </c>
      <c r="I999" s="5">
        <v>0</v>
      </c>
      <c r="J999" s="192">
        <v>0</v>
      </c>
      <c r="K999" s="192">
        <v>0</v>
      </c>
      <c r="L999" s="5">
        <v>0</v>
      </c>
      <c r="M999" s="5">
        <v>0</v>
      </c>
      <c r="N999" s="4" t="e">
        <f t="shared" si="81"/>
        <v>#N/A</v>
      </c>
      <c r="O999" s="4" t="e">
        <f>IF(ROUND(10.499-(((N999-VLOOKUP($C999,Lookups!$A$55:$D$64,3))/(VLOOKUP($C999,Lookups!$A$55:$D$64,4))*VLOOKUP($C999,Lookups!$C$2:$D$11,2))),0)&lt;1,1,IF(ROUND(10.499-(((N999-VLOOKUP($C999,Lookups!$A$55:$D$64,3))/(VLOOKUP($C999,Lookups!$A$55:$D$64,4))*VLOOKUP($C999,Lookups!$C$2:$D$11,2))),0)&lt;11,ROUND(10.499-(((N999-VLOOKUP($C999,Lookups!$A$55:$D$64,3))/(VLOOKUP($C999,Lookups!$A$55:$D$64,4))*VLOOKUP($C999,Lookups!$C$2:$D$11,2))),0),10))</f>
        <v>#N/A</v>
      </c>
      <c r="P999" s="13" t="str">
        <f>IF((SUM(F999:M999)=0),"J",VLOOKUP(O999,Lookups!$A$1:$B$11,2))</f>
        <v>J</v>
      </c>
      <c r="Q999" s="8" t="e">
        <f>VLOOKUP(C999,Lookups!$A$136:$C$144,3)</f>
        <v>#N/A</v>
      </c>
      <c r="R999" s="8" t="e">
        <f>VLOOKUP(C999,Lookups!$A$136:$C$144,2)</f>
        <v>#N/A</v>
      </c>
      <c r="S999" s="4" t="str">
        <f t="shared" si="82"/>
        <v>No</v>
      </c>
      <c r="T999" s="125">
        <f t="shared" si="83"/>
        <v>0</v>
      </c>
      <c r="U999" s="125">
        <f t="shared" si="84"/>
        <v>0</v>
      </c>
      <c r="V999" s="4" t="e">
        <f>IF($Q999&lt;&gt;3,VLOOKUP(F999,'Points Table A'!B$3:$F$33,5),VLOOKUP(F999,'Points Table A'!H$3:$L$33,5))</f>
        <v>#N/A</v>
      </c>
      <c r="W999" s="4" t="e">
        <f>IF($Q999&lt;&gt;3,VLOOKUP(G999,'Points Table A'!C$3:$F$33,4),VLOOKUP(G999,'Points Table A'!I$3:$L$33,4))</f>
        <v>#N/A</v>
      </c>
      <c r="X999" s="4" t="e">
        <f>IF($Q999&lt;&gt;3,VLOOKUP(H999,'Points Table A'!D$3:$F$28,3),VLOOKUP(H999,'Points Table A'!J$3:$L$33,3))</f>
        <v>#N/A</v>
      </c>
      <c r="Y999" s="4" t="e">
        <f>IF($Q999&lt;&gt;3,VLOOKUP(I999,'Points Table A'!E$3:$F$33,2),VLOOKUP(I999,'Points Table A'!K$3:$L$33,2))</f>
        <v>#N/A</v>
      </c>
      <c r="Z999" s="4" t="e">
        <f t="shared" si="85"/>
        <v>#N/A</v>
      </c>
      <c r="AA999" s="4">
        <f>IF($S999=Lookups!$B$113,VLOOKUP(L999,'Points Table C'!A$3:$E$11,5),VLOOKUP(U999,'Points Table C'!B$3:$E$11,4))</f>
        <v>0</v>
      </c>
      <c r="AB999" s="4" t="e">
        <f>IF($Q999=1,0,VLOOKUP($J999,'Points Table C'!$C$3:$E$18,3))</f>
        <v>#N/A</v>
      </c>
      <c r="AC999" s="4">
        <f>VLOOKUP($K999,'Points Table C'!$D$3:$E$18,2)</f>
        <v>0</v>
      </c>
      <c r="AD999" s="4" t="e">
        <f>IF($Z999&lt;Lookups!$C$106,($AA999+AB999+AC999),IF($AA999&gt;=Lookups!$C$120,($AA999+AB999+AC999),$AA999+$AB999))</f>
        <v>#N/A</v>
      </c>
      <c r="AF999" s="7"/>
      <c r="AG999" s="7"/>
      <c r="AH999" s="7"/>
      <c r="AI999" s="7"/>
      <c r="AJ999" s="7"/>
      <c r="AK999" s="7"/>
      <c r="AL999" s="7"/>
      <c r="AM999" s="7"/>
      <c r="AN999" s="7"/>
      <c r="AO999" s="7"/>
      <c r="AP999" s="7"/>
      <c r="AQ999" s="7"/>
      <c r="AR999" s="7"/>
      <c r="AS999" s="7"/>
      <c r="AT999" s="7"/>
      <c r="AU999" s="7"/>
      <c r="AV999" s="7"/>
      <c r="AW999" s="7"/>
      <c r="AY999" s="7"/>
      <c r="AZ999" s="7"/>
      <c r="BA999" s="7"/>
      <c r="BB999" s="7"/>
    </row>
    <row r="1000" spans="2:54" x14ac:dyDescent="0.2">
      <c r="B1000" s="174"/>
      <c r="C1000" s="176"/>
      <c r="F1000" s="5">
        <v>0</v>
      </c>
      <c r="G1000" s="192">
        <v>0</v>
      </c>
      <c r="H1000" s="192">
        <v>0</v>
      </c>
      <c r="I1000" s="5">
        <v>0</v>
      </c>
      <c r="J1000" s="192">
        <v>0</v>
      </c>
      <c r="K1000" s="192">
        <v>0</v>
      </c>
      <c r="L1000" s="5">
        <v>0</v>
      </c>
      <c r="M1000" s="5">
        <v>0</v>
      </c>
      <c r="N1000" s="4" t="e">
        <f t="shared" si="81"/>
        <v>#N/A</v>
      </c>
      <c r="O1000" s="4" t="e">
        <f>IF(ROUND(10.499-(((N1000-VLOOKUP($C1000,Lookups!$A$55:$D$64,3))/(VLOOKUP($C1000,Lookups!$A$55:$D$64,4))*VLOOKUP($C1000,Lookups!$C$2:$D$11,2))),0)&lt;1,1,IF(ROUND(10.499-(((N1000-VLOOKUP($C1000,Lookups!$A$55:$D$64,3))/(VLOOKUP($C1000,Lookups!$A$55:$D$64,4))*VLOOKUP($C1000,Lookups!$C$2:$D$11,2))),0)&lt;11,ROUND(10.499-(((N1000-VLOOKUP($C1000,Lookups!$A$55:$D$64,3))/(VLOOKUP($C1000,Lookups!$A$55:$D$64,4))*VLOOKUP($C1000,Lookups!$C$2:$D$11,2))),0),10))</f>
        <v>#N/A</v>
      </c>
      <c r="P1000" s="13" t="str">
        <f>IF((SUM(F1000:M1000)=0),"J",VLOOKUP(O1000,Lookups!$A$1:$B$11,2))</f>
        <v>J</v>
      </c>
      <c r="Q1000" s="8" t="e">
        <f>VLOOKUP(C1000,Lookups!$A$136:$C$144,3)</f>
        <v>#N/A</v>
      </c>
      <c r="R1000" s="8" t="e">
        <f>VLOOKUP(C1000,Lookups!$A$136:$C$144,2)</f>
        <v>#N/A</v>
      </c>
      <c r="S1000" s="4" t="str">
        <f t="shared" si="82"/>
        <v>No</v>
      </c>
      <c r="T1000" s="125">
        <f t="shared" si="83"/>
        <v>0</v>
      </c>
      <c r="U1000" s="125">
        <f t="shared" si="84"/>
        <v>0</v>
      </c>
      <c r="V1000" s="4" t="e">
        <f>IF($Q1000&lt;&gt;3,VLOOKUP(F1000,'Points Table A'!B$3:$F$33,5),VLOOKUP(F1000,'Points Table A'!H$3:$L$33,5))</f>
        <v>#N/A</v>
      </c>
      <c r="W1000" s="4" t="e">
        <f>IF($Q1000&lt;&gt;3,VLOOKUP(G1000,'Points Table A'!C$3:$F$33,4),VLOOKUP(G1000,'Points Table A'!I$3:$L$33,4))</f>
        <v>#N/A</v>
      </c>
      <c r="X1000" s="4" t="e">
        <f>IF($Q1000&lt;&gt;3,VLOOKUP(H1000,'Points Table A'!D$3:$F$28,3),VLOOKUP(H1000,'Points Table A'!J$3:$L$33,3))</f>
        <v>#N/A</v>
      </c>
      <c r="Y1000" s="4" t="e">
        <f>IF($Q1000&lt;&gt;3,VLOOKUP(I1000,'Points Table A'!E$3:$F$33,2),VLOOKUP(I1000,'Points Table A'!K$3:$L$33,2))</f>
        <v>#N/A</v>
      </c>
      <c r="Z1000" s="4" t="e">
        <f t="shared" si="85"/>
        <v>#N/A</v>
      </c>
      <c r="AA1000" s="4">
        <f>IF($S1000=Lookups!$B$113,VLOOKUP(L1000,'Points Table C'!A$3:$E$11,5),VLOOKUP(U1000,'Points Table C'!B$3:$E$11,4))</f>
        <v>0</v>
      </c>
      <c r="AB1000" s="4" t="e">
        <f>IF($Q1000=1,0,VLOOKUP($J1000,'Points Table C'!$C$3:$E$18,3))</f>
        <v>#N/A</v>
      </c>
      <c r="AC1000" s="4">
        <f>VLOOKUP($K1000,'Points Table C'!$D$3:$E$18,2)</f>
        <v>0</v>
      </c>
      <c r="AD1000" s="4" t="e">
        <f>IF($Z1000&lt;Lookups!$C$106,($AA1000+AB1000+AC1000),IF($AA1000&gt;=Lookups!$C$120,($AA1000+AB1000+AC1000),$AA1000+$AB1000))</f>
        <v>#N/A</v>
      </c>
      <c r="AF1000" s="7"/>
      <c r="AG1000" s="7"/>
      <c r="AH1000" s="7"/>
      <c r="AI1000" s="7"/>
      <c r="AJ1000" s="7"/>
      <c r="AK1000" s="7"/>
      <c r="AL1000" s="7"/>
      <c r="AM1000" s="7"/>
      <c r="AN1000" s="7"/>
      <c r="AO1000" s="7"/>
      <c r="AP1000" s="7"/>
      <c r="AQ1000" s="7"/>
      <c r="AR1000" s="7"/>
      <c r="AS1000" s="7"/>
      <c r="AT1000" s="7"/>
      <c r="AU1000" s="7"/>
      <c r="AV1000" s="7"/>
      <c r="AW1000" s="7"/>
      <c r="AY1000" s="7"/>
      <c r="AZ1000" s="7"/>
      <c r="BA1000" s="7"/>
      <c r="BB1000" s="7"/>
    </row>
  </sheetData>
  <sheetProtection selectLockedCells="1" sort="0" autoFilter="0" selectUnlockedCells="1"/>
  <protectedRanges>
    <protectedRange sqref="A2:A1000 C2:M1000" name="Range1_1"/>
    <protectedRange sqref="B2:B23 B735:B1000" name="Range1_1_1"/>
    <protectedRange sqref="B24" name="Range1_1_2_1"/>
    <protectedRange sqref="B25:B44" name="Range1_1_3_1_1"/>
    <protectedRange sqref="B45" name="Range1_1_4_2"/>
    <protectedRange sqref="B46:B49" name="Range1_1_5_1"/>
    <protectedRange sqref="B50:B52" name="Range1_1_6_1"/>
    <protectedRange sqref="B53:B55" name="Range1_1_7_1"/>
    <protectedRange sqref="B56" name="Range1_1_8_1"/>
    <protectedRange sqref="B57:B66" name="Range1_1_9_1"/>
    <protectedRange sqref="B67:B70" name="Range1_1_10_1"/>
    <protectedRange sqref="B71" name="Range1_1_11_1"/>
    <protectedRange sqref="B72:B78" name="Range1_1_12_1"/>
    <protectedRange sqref="B79:B82" name="Range1_1_13_1"/>
    <protectedRange sqref="B83" name="Range1_1_14_1"/>
    <protectedRange sqref="B84" name="Range1_1_15_1"/>
    <protectedRange sqref="B85:B87" name="Range1_1_16_1_1"/>
    <protectedRange sqref="B88" name="Range1_1_17_1"/>
    <protectedRange sqref="B89:B94" name="Range1_1_18_1_1"/>
    <protectedRange sqref="B95:B97" name="Range1_1_19_1_1"/>
    <protectedRange sqref="B98:B109" name="Range1_1_20_1"/>
    <protectedRange sqref="B110" name="Range1_1_21_1"/>
    <protectedRange sqref="B111" name="Range1_1_22_1"/>
    <protectedRange sqref="B112" name="Range1_1_23_1"/>
    <protectedRange sqref="B113:B116" name="Range1_1_24_1"/>
    <protectedRange sqref="B117:B118" name="Range1_1_25_1"/>
    <protectedRange sqref="B119" name="Range1_1_26_1"/>
    <protectedRange sqref="B120" name="Range1_1_27_1"/>
    <protectedRange sqref="B121:B123" name="Range1_1_28_1"/>
    <protectedRange sqref="B124" name="Range1_1_29_1"/>
    <protectedRange sqref="B125:B128" name="Range1_1_30_1"/>
    <protectedRange sqref="B129:B131" name="Range1_1_31_1"/>
    <protectedRange sqref="B132" name="Range1_1_32_1"/>
    <protectedRange sqref="B133" name="Range1_1_33_1"/>
    <protectedRange sqref="B134" name="Range1_1_34_1"/>
    <protectedRange sqref="B135:B138" name="Range1_1_35_1"/>
    <protectedRange sqref="B139:B144" name="Range1_1_36_1"/>
    <protectedRange sqref="B145:B154" name="Range1_1_37_1"/>
    <protectedRange sqref="B155:B156" name="Range1_1_38_1"/>
    <protectedRange sqref="B157:B158" name="Range1_1_39_1"/>
    <protectedRange sqref="B159:B160" name="Range1_1_40_1"/>
    <protectedRange sqref="B161:B171" name="Range1_1_41_1"/>
    <protectedRange sqref="B172" name="Range1_1_42_1"/>
    <protectedRange sqref="B173" name="Range1_1_43_1"/>
    <protectedRange sqref="B174" name="Range1_1_44_1"/>
    <protectedRange sqref="B175:B180" name="Range1_1_45_1"/>
    <protectedRange sqref="B181:B186" name="Range1_1_46_1"/>
    <protectedRange sqref="B187:B198" name="Range1_1_47_1"/>
    <protectedRange sqref="B199:B214" name="Range1_1_48_1"/>
    <protectedRange sqref="B215:B222" name="Range1_1_49_1"/>
    <protectedRange sqref="B223:B227" name="Range1_1_50_1"/>
    <protectedRange sqref="B228:B233" name="Range1_1_51_1"/>
    <protectedRange sqref="B234:B238" name="Range1_1_52_1"/>
    <protectedRange sqref="B239:B240" name="Range1_1_53_2"/>
    <protectedRange sqref="B241:B242" name="Range1_1_54_1"/>
    <protectedRange sqref="B243:B263" name="Range1_1_55_1"/>
    <protectedRange sqref="B264:B270" name="Range1_1_56_1"/>
    <protectedRange sqref="B271:B279" name="Range1_1_57_1"/>
    <protectedRange sqref="B280:B285" name="Range1_1_58_1"/>
    <protectedRange sqref="B286:B317" name="Range1_1_59_1"/>
    <protectedRange sqref="B318:B319" name="Range1_1_60_1"/>
    <protectedRange sqref="B320:B321" name="Range1_1_61_1"/>
    <protectedRange sqref="B322" name="Range1_1_62_1"/>
    <protectedRange sqref="B323" name="Range1_1_63_1"/>
    <protectedRange sqref="B324" name="Range1_1_64_1"/>
    <protectedRange sqref="B325:B326" name="Range1_1_65_1"/>
    <protectedRange sqref="B398:B464 B327:B381 B383:B396" name="Range1_1_66_1"/>
    <protectedRange sqref="B382" name="Range1_1_53_1_1"/>
    <protectedRange sqref="B397" name="Range1_1_3_5_1"/>
    <protectedRange sqref="B465:B502" name="Range1_1_68_1"/>
    <protectedRange sqref="B503:B504" name="Range1_1_69_1"/>
    <protectedRange sqref="B505:B519" name="Range1_1_70_1"/>
    <protectedRange sqref="B520:B522" name="Range1_1_71_1"/>
    <protectedRange sqref="B523:B524" name="Range1_1_72_1"/>
    <protectedRange sqref="B525" name="Range1_1_73_1"/>
    <protectedRange sqref="B526" name="Range1_1_74_1"/>
    <protectedRange sqref="B527" name="Range1_1_75_1"/>
    <protectedRange sqref="B528" name="Range1_1_76_1"/>
    <protectedRange sqref="B529:B534" name="Range1_1_77_1"/>
    <protectedRange sqref="B535:B537" name="Range1_1_78_1"/>
    <protectedRange sqref="B538" name="Range1_1_79_1"/>
    <protectedRange sqref="B539" name="Range1_1_80_1"/>
    <protectedRange sqref="B540:B542" name="Range1_1_81_1"/>
    <protectedRange sqref="B543" name="Range1_1_82_1"/>
    <protectedRange sqref="B544" name="Range1_1_83_1"/>
    <protectedRange sqref="B545" name="Range1_1_84_1"/>
    <protectedRange sqref="B546:B549" name="Range1_1_85_1"/>
    <protectedRange sqref="B550" name="Range1_1_86_1"/>
    <protectedRange sqref="B551:B710" name="Range1_1_87_1"/>
    <protectedRange sqref="B711:B712" name="Range1_1_88_1"/>
    <protectedRange sqref="B713:B714" name="Range1_1_89_1"/>
    <protectedRange sqref="B715" name="Range1_1_90_1"/>
    <protectedRange sqref="B716" name="Range1_1_91_1"/>
    <protectedRange sqref="B717:B720" name="Range1_1_92_1"/>
    <protectedRange sqref="B721" name="Range1_1_93_1"/>
    <protectedRange sqref="B722:B727" name="Range1_1_94_1"/>
    <protectedRange sqref="B728" name="Range1_1_95_1"/>
    <protectedRange sqref="B729" name="Range1_1_96_1"/>
    <protectedRange sqref="B730" name="Range1_1_97_1"/>
    <protectedRange sqref="B731" name="Range1_1_98_1"/>
    <protectedRange sqref="B732:B734" name="Range1_1_99_1"/>
  </protectedRanges>
  <sortState xmlns:xlrd2="http://schemas.microsoft.com/office/spreadsheetml/2017/richdata2" ref="A2:AG3507">
    <sortCondition ref="C2:C3507"/>
    <sortCondition ref="N2:N3507"/>
  </sortState>
  <dataConsolidate function="count"/>
  <phoneticPr fontId="0" type="noConversion"/>
  <conditionalFormatting sqref="O2:P2 P3:P1000">
    <cfRule type="cellIs" dxfId="30" priority="2381" stopIfTrue="1" operator="equal">
      <formula>"Yes"</formula>
    </cfRule>
    <cfRule type="cellIs" dxfId="29" priority="2382" stopIfTrue="1" operator="equal">
      <formula>"No"</formula>
    </cfRule>
  </conditionalFormatting>
  <conditionalFormatting sqref="O3:O1000">
    <cfRule type="cellIs" dxfId="28" priority="15" stopIfTrue="1" operator="equal">
      <formula>"Yes"</formula>
    </cfRule>
    <cfRule type="cellIs" dxfId="27" priority="16" stopIfTrue="1" operator="equal">
      <formula>"No"</formula>
    </cfRule>
  </conditionalFormatting>
  <conditionalFormatting sqref="N2:N1000">
    <cfRule type="expression" dxfId="26" priority="2411">
      <formula>#REF!=3</formula>
    </cfRule>
    <cfRule type="expression" dxfId="25" priority="2412">
      <formula>#REF!=2</formula>
    </cfRule>
    <cfRule type="expression" dxfId="24" priority="2413">
      <formula>#REF!=1</formula>
    </cfRule>
  </conditionalFormatting>
  <dataValidations count="1">
    <dataValidation type="list" allowBlank="1" showInputMessage="1" showErrorMessage="1" sqref="Q2:Q1000" xr:uid="{00000000-0002-0000-0500-000000000000}">
      <formula1>Drop_down_list_Food_type_for_profiling</formula1>
    </dataValidation>
  </dataValidations>
  <pageMargins left="0.74803149606299213" right="0.74803149606299213" top="0.98425196850393704" bottom="0.98425196850393704" header="0.51181102362204722" footer="0.51181102362204722"/>
  <pageSetup paperSize="8" scale="55" fitToHeight="0" orientation="landscape" r:id="rId1"/>
  <headerFooter alignWithMargins="0">
    <oddHeader>&amp;F</oddHeader>
    <oddFooter>&amp;LSpreadsheet Design
Geoff Drewer 3/12/08&amp;R
Page &amp;P</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Lookups!$A$136:$A$140</xm:f>
          </x14:formula1>
          <xm:sqref>C2:C1000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pageSetUpPr autoPageBreaks="0"/>
  </sheetPr>
  <dimension ref="A1:V1001"/>
  <sheetViews>
    <sheetView workbookViewId="0">
      <pane ySplit="1" topLeftCell="A2" activePane="bottomLeft" state="frozen"/>
      <selection activeCell="A2" sqref="A2"/>
      <selection pane="bottomLeft" activeCell="O20" sqref="O20"/>
    </sheetView>
  </sheetViews>
  <sheetFormatPr defaultColWidth="8.85546875" defaultRowHeight="15" outlineLevelCol="1" x14ac:dyDescent="0.25"/>
  <cols>
    <col min="1" max="1" width="9.5703125" style="129" customWidth="1"/>
    <col min="2" max="2" width="32.85546875" style="131" customWidth="1"/>
    <col min="3" max="3" width="14" style="132" customWidth="1"/>
    <col min="4" max="6" width="8.28515625" style="133" customWidth="1"/>
    <col min="7" max="7" width="13.7109375" style="137" customWidth="1"/>
    <col min="8" max="8" width="15.28515625" style="136" customWidth="1"/>
    <col min="9" max="9" width="12.85546875" style="137" customWidth="1"/>
    <col min="10" max="10" width="8.85546875" style="129" customWidth="1"/>
    <col min="11" max="11" width="8.85546875" style="129" hidden="1" customWidth="1" outlineLevel="1"/>
    <col min="12" max="12" width="18.7109375" style="129" hidden="1" customWidth="1" outlineLevel="1"/>
    <col min="13" max="13" width="19.42578125" style="129" hidden="1" customWidth="1" outlineLevel="1"/>
    <col min="14" max="14" width="18.140625" style="129" hidden="1" customWidth="1" outlineLevel="1"/>
    <col min="15" max="15" width="9.140625" style="129" hidden="1" customWidth="1" outlineLevel="1"/>
    <col min="16" max="16" width="8.85546875" style="129" hidden="1" customWidth="1" outlineLevel="1"/>
    <col min="17" max="17" width="14.28515625" style="129" hidden="1" customWidth="1" outlineLevel="1"/>
    <col min="18" max="18" width="11.7109375" style="129" hidden="1" customWidth="1" outlineLevel="1"/>
    <col min="19" max="19" width="8.85546875" style="129" hidden="1" customWidth="1" outlineLevel="1"/>
    <col min="20" max="20" width="12.28515625" style="129" hidden="1" customWidth="1" outlineLevel="1"/>
    <col min="21" max="21" width="8.85546875" style="129" hidden="1" customWidth="1" outlineLevel="1"/>
    <col min="22" max="22" width="8.85546875" style="129" customWidth="1" collapsed="1"/>
    <col min="23" max="16384" width="8.85546875" style="129"/>
  </cols>
  <sheetData>
    <row r="1" spans="1:18" ht="35.25" thickBot="1" x14ac:dyDescent="0.3">
      <c r="A1" s="126" t="s">
        <v>182</v>
      </c>
      <c r="B1" s="126" t="s">
        <v>137</v>
      </c>
      <c r="C1" s="126" t="s">
        <v>21</v>
      </c>
      <c r="D1" s="127" t="s">
        <v>138</v>
      </c>
      <c r="E1" s="127" t="s">
        <v>139</v>
      </c>
      <c r="F1" s="127" t="s">
        <v>140</v>
      </c>
      <c r="G1" s="128" t="s">
        <v>141</v>
      </c>
      <c r="H1" s="128" t="s">
        <v>142</v>
      </c>
      <c r="I1" s="175" t="s">
        <v>143</v>
      </c>
      <c r="L1" s="129" t="s">
        <v>144</v>
      </c>
      <c r="Q1" s="130" t="s">
        <v>145</v>
      </c>
    </row>
    <row r="2" spans="1:18" ht="30.75" thickBot="1" x14ac:dyDescent="0.3">
      <c r="A2" s="174"/>
      <c r="B2" s="132"/>
      <c r="C2" s="133"/>
      <c r="D2" s="133">
        <v>0</v>
      </c>
      <c r="E2" s="134">
        <v>0</v>
      </c>
      <c r="F2" s="134">
        <v>0</v>
      </c>
      <c r="G2" s="135">
        <f>(VLOOKUP($D2,$L$3:$O$15,4))+(VLOOKUP($E2,$M$3:$O$15,3))-(VLOOKUP($F2,$N$3:$O$15,2))</f>
        <v>1</v>
      </c>
      <c r="H2" s="136">
        <f t="shared" ref="H2:H65" si="0">VLOOKUP($G2, $Q$3:$R$12, 2)</f>
        <v>7</v>
      </c>
      <c r="I2" s="137" t="str">
        <f>IF(AND((SUM(D2:F2)=0),B2=0), "J", VLOOKUP($H2, $Q$16:$R$25, 2))</f>
        <v>J</v>
      </c>
      <c r="L2" s="138" t="s">
        <v>138</v>
      </c>
      <c r="M2" s="139" t="s">
        <v>146</v>
      </c>
      <c r="N2" s="140" t="s">
        <v>147</v>
      </c>
      <c r="O2" s="141" t="s">
        <v>141</v>
      </c>
      <c r="Q2" s="142" t="s">
        <v>148</v>
      </c>
      <c r="R2" s="143" t="s">
        <v>149</v>
      </c>
    </row>
    <row r="3" spans="1:18" ht="15.75" thickBot="1" x14ac:dyDescent="0.3">
      <c r="A3" s="174"/>
      <c r="B3" s="132"/>
      <c r="C3" s="133"/>
      <c r="D3" s="133">
        <v>0</v>
      </c>
      <c r="E3" s="134">
        <v>0</v>
      </c>
      <c r="F3" s="134">
        <v>0</v>
      </c>
      <c r="G3" s="135">
        <f t="shared" ref="G3:G66" si="1">(VLOOKUP($D3,$L$3:$O$15,4))+(VLOOKUP($E3,$M$3:$O$15,3))-(VLOOKUP($F3,$N$3:$O$15,2))</f>
        <v>1</v>
      </c>
      <c r="H3" s="136">
        <f t="shared" si="0"/>
        <v>7</v>
      </c>
      <c r="I3" s="137" t="str">
        <f t="shared" ref="I3:I66" si="2">IF(AND((SUM(D3:F3)=0),B3=0), "J", VLOOKUP($H3, $Q$16:$R$25, 2))</f>
        <v>J</v>
      </c>
      <c r="L3" s="144">
        <v>0</v>
      </c>
      <c r="M3" s="145">
        <v>0</v>
      </c>
      <c r="N3" s="146">
        <v>0</v>
      </c>
      <c r="O3" s="147">
        <v>0</v>
      </c>
      <c r="Q3" s="148" t="s">
        <v>44</v>
      </c>
      <c r="R3" s="149">
        <v>10</v>
      </c>
    </row>
    <row r="4" spans="1:18" ht="15.75" thickBot="1" x14ac:dyDescent="0.3">
      <c r="A4" s="174"/>
      <c r="B4" s="132"/>
      <c r="C4" s="133"/>
      <c r="D4" s="133">
        <v>0</v>
      </c>
      <c r="E4" s="134">
        <v>0</v>
      </c>
      <c r="F4" s="134">
        <v>0</v>
      </c>
      <c r="G4" s="135">
        <f t="shared" si="1"/>
        <v>1</v>
      </c>
      <c r="H4" s="136">
        <f t="shared" si="0"/>
        <v>7</v>
      </c>
      <c r="I4" s="137" t="str">
        <f t="shared" si="2"/>
        <v>J</v>
      </c>
      <c r="L4" s="144">
        <v>0</v>
      </c>
      <c r="M4" s="145">
        <v>0.11</v>
      </c>
      <c r="N4" s="146">
        <v>25</v>
      </c>
      <c r="O4" s="147">
        <v>1</v>
      </c>
      <c r="Q4" s="148" t="s">
        <v>150</v>
      </c>
      <c r="R4" s="150">
        <v>9</v>
      </c>
    </row>
    <row r="5" spans="1:18" ht="15.75" thickBot="1" x14ac:dyDescent="0.3">
      <c r="A5" s="174"/>
      <c r="B5" s="132"/>
      <c r="C5" s="133"/>
      <c r="D5" s="133">
        <v>0</v>
      </c>
      <c r="E5" s="134">
        <v>0</v>
      </c>
      <c r="F5" s="134">
        <v>0</v>
      </c>
      <c r="G5" s="135">
        <f t="shared" si="1"/>
        <v>1</v>
      </c>
      <c r="H5" s="136">
        <f t="shared" si="0"/>
        <v>7</v>
      </c>
      <c r="I5" s="137" t="str">
        <f t="shared" si="2"/>
        <v>J</v>
      </c>
      <c r="L5" s="144">
        <v>31.01</v>
      </c>
      <c r="M5" s="145">
        <v>1.61</v>
      </c>
      <c r="N5" s="146">
        <v>33</v>
      </c>
      <c r="O5" s="147">
        <v>2</v>
      </c>
      <c r="Q5" s="148">
        <v>-10</v>
      </c>
      <c r="R5" s="149">
        <v>8</v>
      </c>
    </row>
    <row r="6" spans="1:18" ht="15.75" thickBot="1" x14ac:dyDescent="0.3">
      <c r="A6" s="174"/>
      <c r="B6" s="132"/>
      <c r="C6" s="133"/>
      <c r="D6" s="133">
        <v>0</v>
      </c>
      <c r="E6" s="134">
        <v>0</v>
      </c>
      <c r="F6" s="134">
        <v>0</v>
      </c>
      <c r="G6" s="135">
        <f t="shared" si="1"/>
        <v>1</v>
      </c>
      <c r="H6" s="136">
        <f t="shared" si="0"/>
        <v>7</v>
      </c>
      <c r="I6" s="137" t="str">
        <f t="shared" si="2"/>
        <v>J</v>
      </c>
      <c r="L6" s="144">
        <v>61.01</v>
      </c>
      <c r="M6" s="145">
        <v>3.11</v>
      </c>
      <c r="N6" s="146">
        <v>41</v>
      </c>
      <c r="O6" s="147">
        <v>3</v>
      </c>
      <c r="Q6" s="148">
        <v>1</v>
      </c>
      <c r="R6" s="149">
        <v>7</v>
      </c>
    </row>
    <row r="7" spans="1:18" ht="15.75" thickBot="1" x14ac:dyDescent="0.3">
      <c r="A7" s="174"/>
      <c r="B7" s="132"/>
      <c r="C7" s="133"/>
      <c r="D7" s="133">
        <v>0</v>
      </c>
      <c r="E7" s="134">
        <v>0</v>
      </c>
      <c r="F7" s="134">
        <v>0</v>
      </c>
      <c r="G7" s="135">
        <f t="shared" si="1"/>
        <v>1</v>
      </c>
      <c r="H7" s="136">
        <f t="shared" si="0"/>
        <v>7</v>
      </c>
      <c r="I7" s="137" t="str">
        <f t="shared" si="2"/>
        <v>J</v>
      </c>
      <c r="L7" s="144">
        <v>91.01</v>
      </c>
      <c r="M7" s="145">
        <v>4.6100000000000003</v>
      </c>
      <c r="N7" s="146">
        <v>49</v>
      </c>
      <c r="O7" s="147">
        <v>4</v>
      </c>
      <c r="Q7" s="148">
        <v>2</v>
      </c>
      <c r="R7" s="149">
        <v>6</v>
      </c>
    </row>
    <row r="8" spans="1:18" ht="15.75" thickBot="1" x14ac:dyDescent="0.3">
      <c r="A8" s="174"/>
      <c r="B8" s="132"/>
      <c r="C8" s="133"/>
      <c r="D8" s="133">
        <v>0</v>
      </c>
      <c r="E8" s="134">
        <v>0</v>
      </c>
      <c r="F8" s="134">
        <v>0</v>
      </c>
      <c r="G8" s="135">
        <f t="shared" si="1"/>
        <v>1</v>
      </c>
      <c r="H8" s="136">
        <f t="shared" si="0"/>
        <v>7</v>
      </c>
      <c r="I8" s="137" t="str">
        <f t="shared" si="2"/>
        <v>J</v>
      </c>
      <c r="L8" s="144">
        <v>121.01</v>
      </c>
      <c r="M8" s="145">
        <v>6.11</v>
      </c>
      <c r="N8" s="146">
        <v>57</v>
      </c>
      <c r="O8" s="147">
        <v>5</v>
      </c>
      <c r="Q8" s="148">
        <v>4</v>
      </c>
      <c r="R8" s="149">
        <v>5</v>
      </c>
    </row>
    <row r="9" spans="1:18" ht="15.75" thickBot="1" x14ac:dyDescent="0.3">
      <c r="A9" s="174"/>
      <c r="B9" s="132"/>
      <c r="C9" s="133"/>
      <c r="D9" s="133">
        <v>0</v>
      </c>
      <c r="E9" s="134">
        <v>0</v>
      </c>
      <c r="F9" s="134">
        <v>0</v>
      </c>
      <c r="G9" s="135">
        <f t="shared" si="1"/>
        <v>1</v>
      </c>
      <c r="H9" s="136">
        <f t="shared" si="0"/>
        <v>7</v>
      </c>
      <c r="I9" s="137" t="str">
        <f t="shared" si="2"/>
        <v>J</v>
      </c>
      <c r="L9" s="144">
        <v>151.01</v>
      </c>
      <c r="M9" s="145">
        <v>7.61</v>
      </c>
      <c r="N9" s="146">
        <v>65</v>
      </c>
      <c r="O9" s="147">
        <v>6</v>
      </c>
      <c r="Q9" s="148">
        <v>6</v>
      </c>
      <c r="R9" s="151">
        <v>4</v>
      </c>
    </row>
    <row r="10" spans="1:18" ht="15.75" thickBot="1" x14ac:dyDescent="0.3">
      <c r="A10" s="174"/>
      <c r="B10" s="132"/>
      <c r="C10" s="133"/>
      <c r="D10" s="133">
        <v>0</v>
      </c>
      <c r="E10" s="134">
        <v>0</v>
      </c>
      <c r="F10" s="134">
        <v>0</v>
      </c>
      <c r="G10" s="135">
        <f t="shared" si="1"/>
        <v>1</v>
      </c>
      <c r="H10" s="136">
        <f t="shared" si="0"/>
        <v>7</v>
      </c>
      <c r="I10" s="137" t="str">
        <f t="shared" si="2"/>
        <v>J</v>
      </c>
      <c r="L10" s="144">
        <v>181.01</v>
      </c>
      <c r="M10" s="145">
        <v>9.11</v>
      </c>
      <c r="N10" s="146">
        <v>73</v>
      </c>
      <c r="O10" s="147">
        <v>7</v>
      </c>
      <c r="Q10" s="152">
        <v>8</v>
      </c>
      <c r="R10" s="150">
        <v>3</v>
      </c>
    </row>
    <row r="11" spans="1:18" ht="15.75" thickBot="1" x14ac:dyDescent="0.3">
      <c r="A11" s="174"/>
      <c r="B11" s="154"/>
      <c r="C11" s="133"/>
      <c r="D11" s="133">
        <v>0</v>
      </c>
      <c r="E11" s="134">
        <v>0</v>
      </c>
      <c r="F11" s="134">
        <v>0</v>
      </c>
      <c r="G11" s="135">
        <f t="shared" si="1"/>
        <v>1</v>
      </c>
      <c r="H11" s="136">
        <f t="shared" si="0"/>
        <v>7</v>
      </c>
      <c r="I11" s="137" t="str">
        <f t="shared" si="2"/>
        <v>J</v>
      </c>
      <c r="L11" s="144">
        <v>211.01</v>
      </c>
      <c r="M11" s="145">
        <v>10.61</v>
      </c>
      <c r="N11" s="146">
        <v>81</v>
      </c>
      <c r="O11" s="147">
        <v>8</v>
      </c>
      <c r="Q11" s="148">
        <v>10</v>
      </c>
      <c r="R11" s="150">
        <v>2</v>
      </c>
    </row>
    <row r="12" spans="1:18" ht="15.75" thickBot="1" x14ac:dyDescent="0.3">
      <c r="A12" s="174"/>
      <c r="B12" s="132"/>
      <c r="C12" s="133"/>
      <c r="D12" s="133">
        <v>0</v>
      </c>
      <c r="E12" s="134">
        <v>0</v>
      </c>
      <c r="F12" s="134">
        <v>0</v>
      </c>
      <c r="G12" s="135">
        <f t="shared" si="1"/>
        <v>1</v>
      </c>
      <c r="H12" s="136">
        <f t="shared" si="0"/>
        <v>7</v>
      </c>
      <c r="I12" s="137" t="str">
        <f t="shared" si="2"/>
        <v>J</v>
      </c>
      <c r="L12" s="144">
        <v>241.01</v>
      </c>
      <c r="M12" s="145">
        <v>12.11</v>
      </c>
      <c r="N12" s="146">
        <v>89</v>
      </c>
      <c r="O12" s="147">
        <v>9</v>
      </c>
      <c r="Q12" s="148">
        <v>12</v>
      </c>
      <c r="R12" s="151">
        <v>1</v>
      </c>
    </row>
    <row r="13" spans="1:18" ht="15.75" thickBot="1" x14ac:dyDescent="0.3">
      <c r="A13" s="174"/>
      <c r="B13" s="132"/>
      <c r="C13" s="133"/>
      <c r="D13" s="133">
        <v>0</v>
      </c>
      <c r="E13" s="134">
        <v>0</v>
      </c>
      <c r="F13" s="134">
        <v>0</v>
      </c>
      <c r="G13" s="135">
        <f t="shared" si="1"/>
        <v>1</v>
      </c>
      <c r="H13" s="136">
        <f t="shared" si="0"/>
        <v>7</v>
      </c>
      <c r="I13" s="137" t="str">
        <f t="shared" si="2"/>
        <v>J</v>
      </c>
      <c r="L13" s="144">
        <v>271.01</v>
      </c>
      <c r="M13" s="145">
        <v>13.61</v>
      </c>
      <c r="N13" s="146">
        <v>96</v>
      </c>
      <c r="O13" s="147">
        <v>10</v>
      </c>
    </row>
    <row r="14" spans="1:18" ht="15.75" thickBot="1" x14ac:dyDescent="0.3">
      <c r="A14" s="174"/>
      <c r="B14" s="132"/>
      <c r="C14" s="133"/>
      <c r="D14" s="133">
        <v>0</v>
      </c>
      <c r="E14" s="134">
        <v>0</v>
      </c>
      <c r="F14" s="134">
        <v>0</v>
      </c>
      <c r="G14" s="135">
        <f t="shared" si="1"/>
        <v>1</v>
      </c>
      <c r="H14" s="136">
        <f t="shared" si="0"/>
        <v>7</v>
      </c>
      <c r="I14" s="137" t="str">
        <f t="shared" si="2"/>
        <v>J</v>
      </c>
      <c r="L14" s="138"/>
      <c r="M14" s="139"/>
      <c r="N14" s="146"/>
      <c r="O14" s="147">
        <v>11</v>
      </c>
      <c r="Q14" s="130" t="s">
        <v>151</v>
      </c>
      <c r="R14" s="135"/>
    </row>
    <row r="15" spans="1:18" ht="15.75" thickBot="1" x14ac:dyDescent="0.3">
      <c r="A15" s="174"/>
      <c r="B15" s="132"/>
      <c r="C15" s="133"/>
      <c r="D15" s="133">
        <v>0</v>
      </c>
      <c r="E15" s="134">
        <v>0</v>
      </c>
      <c r="F15" s="134">
        <v>0</v>
      </c>
      <c r="G15" s="135">
        <f t="shared" si="1"/>
        <v>1</v>
      </c>
      <c r="H15" s="136">
        <f t="shared" si="0"/>
        <v>7</v>
      </c>
      <c r="I15" s="137" t="str">
        <f t="shared" si="2"/>
        <v>J</v>
      </c>
      <c r="L15" s="138"/>
      <c r="M15" s="139"/>
      <c r="N15" s="146"/>
      <c r="O15" s="147">
        <v>12</v>
      </c>
      <c r="Q15" s="155" t="s">
        <v>149</v>
      </c>
      <c r="R15" s="156" t="s">
        <v>152</v>
      </c>
    </row>
    <row r="16" spans="1:18" ht="15.75" thickBot="1" x14ac:dyDescent="0.3">
      <c r="A16" s="174"/>
      <c r="B16" s="132"/>
      <c r="C16" s="133"/>
      <c r="D16" s="133">
        <v>0</v>
      </c>
      <c r="E16" s="134">
        <v>0</v>
      </c>
      <c r="F16" s="134">
        <v>0</v>
      </c>
      <c r="G16" s="135">
        <f t="shared" si="1"/>
        <v>1</v>
      </c>
      <c r="H16" s="136">
        <f t="shared" si="0"/>
        <v>7</v>
      </c>
      <c r="I16" s="137" t="str">
        <f t="shared" si="2"/>
        <v>J</v>
      </c>
      <c r="Q16" s="157">
        <v>1</v>
      </c>
      <c r="R16" s="158" t="s">
        <v>23</v>
      </c>
    </row>
    <row r="17" spans="1:18" ht="15.75" thickBot="1" x14ac:dyDescent="0.3">
      <c r="A17" s="174"/>
      <c r="B17" s="132"/>
      <c r="C17" s="133"/>
      <c r="D17" s="133">
        <v>0</v>
      </c>
      <c r="E17" s="134">
        <v>0</v>
      </c>
      <c r="F17" s="134">
        <v>0</v>
      </c>
      <c r="G17" s="135">
        <f t="shared" si="1"/>
        <v>1</v>
      </c>
      <c r="H17" s="136">
        <f t="shared" si="0"/>
        <v>7</v>
      </c>
      <c r="I17" s="137" t="str">
        <f t="shared" si="2"/>
        <v>J</v>
      </c>
      <c r="Q17" s="159">
        <v>2</v>
      </c>
      <c r="R17" s="160" t="s">
        <v>24</v>
      </c>
    </row>
    <row r="18" spans="1:18" ht="15.75" thickBot="1" x14ac:dyDescent="0.3">
      <c r="A18" s="174"/>
      <c r="B18" s="132"/>
      <c r="C18" s="133"/>
      <c r="D18" s="133">
        <v>0</v>
      </c>
      <c r="E18" s="134">
        <v>0</v>
      </c>
      <c r="F18" s="134">
        <v>0</v>
      </c>
      <c r="G18" s="135">
        <f t="shared" si="1"/>
        <v>1</v>
      </c>
      <c r="H18" s="136">
        <f t="shared" si="0"/>
        <v>7</v>
      </c>
      <c r="I18" s="137" t="str">
        <f t="shared" si="2"/>
        <v>J</v>
      </c>
      <c r="Q18" s="157">
        <v>3</v>
      </c>
      <c r="R18" s="160" t="s">
        <v>26</v>
      </c>
    </row>
    <row r="19" spans="1:18" ht="15.75" thickBot="1" x14ac:dyDescent="0.3">
      <c r="A19" s="174"/>
      <c r="B19" s="132"/>
      <c r="C19" s="133"/>
      <c r="D19" s="133">
        <v>0</v>
      </c>
      <c r="E19" s="134">
        <v>0</v>
      </c>
      <c r="F19" s="134">
        <v>0</v>
      </c>
      <c r="G19" s="135">
        <f t="shared" si="1"/>
        <v>1</v>
      </c>
      <c r="H19" s="136">
        <f t="shared" si="0"/>
        <v>7</v>
      </c>
      <c r="I19" s="137" t="str">
        <f t="shared" si="2"/>
        <v>J</v>
      </c>
      <c r="Q19" s="157">
        <v>4</v>
      </c>
      <c r="R19" s="158" t="s">
        <v>25</v>
      </c>
    </row>
    <row r="20" spans="1:18" ht="15.75" thickBot="1" x14ac:dyDescent="0.3">
      <c r="A20" s="174"/>
      <c r="B20" s="132"/>
      <c r="C20" s="133"/>
      <c r="D20" s="133">
        <v>0</v>
      </c>
      <c r="E20" s="134">
        <v>0</v>
      </c>
      <c r="F20" s="134">
        <v>0</v>
      </c>
      <c r="G20" s="135">
        <f t="shared" si="1"/>
        <v>1</v>
      </c>
      <c r="H20" s="136">
        <f t="shared" si="0"/>
        <v>7</v>
      </c>
      <c r="I20" s="137" t="str">
        <f t="shared" si="2"/>
        <v>J</v>
      </c>
      <c r="Q20" s="157">
        <v>5</v>
      </c>
      <c r="R20" s="160" t="s">
        <v>29</v>
      </c>
    </row>
    <row r="21" spans="1:18" ht="15.75" thickBot="1" x14ac:dyDescent="0.3">
      <c r="A21" s="174"/>
      <c r="B21" s="132"/>
      <c r="C21" s="133"/>
      <c r="D21" s="133">
        <v>0</v>
      </c>
      <c r="E21" s="134">
        <v>0</v>
      </c>
      <c r="F21" s="134">
        <v>0</v>
      </c>
      <c r="G21" s="135">
        <f t="shared" si="1"/>
        <v>1</v>
      </c>
      <c r="H21" s="136">
        <f t="shared" si="0"/>
        <v>7</v>
      </c>
      <c r="I21" s="137" t="str">
        <f t="shared" si="2"/>
        <v>J</v>
      </c>
      <c r="Q21" s="157">
        <v>6</v>
      </c>
      <c r="R21" s="160" t="s">
        <v>27</v>
      </c>
    </row>
    <row r="22" spans="1:18" ht="15.75" thickBot="1" x14ac:dyDescent="0.3">
      <c r="A22" s="174"/>
      <c r="B22" s="132"/>
      <c r="C22" s="133"/>
      <c r="D22" s="133">
        <v>0</v>
      </c>
      <c r="E22" s="134">
        <v>0</v>
      </c>
      <c r="F22" s="134">
        <v>0</v>
      </c>
      <c r="G22" s="135">
        <f t="shared" si="1"/>
        <v>1</v>
      </c>
      <c r="H22" s="136">
        <f t="shared" si="0"/>
        <v>7</v>
      </c>
      <c r="I22" s="137" t="str">
        <f t="shared" si="2"/>
        <v>J</v>
      </c>
      <c r="Q22" s="161">
        <v>7</v>
      </c>
      <c r="R22" s="160" t="s">
        <v>31</v>
      </c>
    </row>
    <row r="23" spans="1:18" ht="15.75" thickBot="1" x14ac:dyDescent="0.3">
      <c r="A23" s="174"/>
      <c r="B23" s="132"/>
      <c r="C23" s="133"/>
      <c r="D23" s="133">
        <v>0</v>
      </c>
      <c r="E23" s="134">
        <v>0</v>
      </c>
      <c r="F23" s="134">
        <v>0</v>
      </c>
      <c r="G23" s="135">
        <f t="shared" si="1"/>
        <v>1</v>
      </c>
      <c r="H23" s="136">
        <f t="shared" si="0"/>
        <v>7</v>
      </c>
      <c r="I23" s="137" t="str">
        <f t="shared" si="2"/>
        <v>J</v>
      </c>
      <c r="Q23" s="159">
        <v>8</v>
      </c>
      <c r="R23" s="160" t="s">
        <v>28</v>
      </c>
    </row>
    <row r="24" spans="1:18" ht="15.75" thickBot="1" x14ac:dyDescent="0.3">
      <c r="A24" s="174"/>
      <c r="B24" s="132"/>
      <c r="C24" s="133"/>
      <c r="D24" s="133">
        <v>0</v>
      </c>
      <c r="E24" s="134">
        <v>0</v>
      </c>
      <c r="F24" s="134">
        <v>0</v>
      </c>
      <c r="G24" s="135">
        <f t="shared" si="1"/>
        <v>1</v>
      </c>
      <c r="H24" s="136">
        <f t="shared" si="0"/>
        <v>7</v>
      </c>
      <c r="I24" s="137" t="str">
        <f t="shared" si="2"/>
        <v>J</v>
      </c>
      <c r="Q24" s="159">
        <v>9</v>
      </c>
      <c r="R24" s="160" t="s">
        <v>32</v>
      </c>
    </row>
    <row r="25" spans="1:18" ht="15.75" thickBot="1" x14ac:dyDescent="0.3">
      <c r="A25" s="174"/>
      <c r="B25" s="132"/>
      <c r="C25" s="133"/>
      <c r="D25" s="133">
        <v>0</v>
      </c>
      <c r="E25" s="134">
        <v>0</v>
      </c>
      <c r="F25" s="134">
        <v>0</v>
      </c>
      <c r="G25" s="135">
        <f t="shared" si="1"/>
        <v>1</v>
      </c>
      <c r="H25" s="136">
        <f t="shared" si="0"/>
        <v>7</v>
      </c>
      <c r="I25" s="137" t="str">
        <f t="shared" si="2"/>
        <v>J</v>
      </c>
      <c r="Q25" s="161">
        <v>10</v>
      </c>
      <c r="R25" s="160" t="s">
        <v>30</v>
      </c>
    </row>
    <row r="26" spans="1:18" x14ac:dyDescent="0.25">
      <c r="A26" s="174"/>
      <c r="B26" s="132"/>
      <c r="C26" s="133"/>
      <c r="D26" s="133">
        <v>0</v>
      </c>
      <c r="E26" s="134">
        <v>0</v>
      </c>
      <c r="F26" s="134">
        <v>0</v>
      </c>
      <c r="G26" s="135">
        <f t="shared" si="1"/>
        <v>1</v>
      </c>
      <c r="H26" s="136">
        <f t="shared" si="0"/>
        <v>7</v>
      </c>
      <c r="I26" s="137" t="str">
        <f t="shared" si="2"/>
        <v>J</v>
      </c>
    </row>
    <row r="27" spans="1:18" x14ac:dyDescent="0.25">
      <c r="A27" s="174"/>
      <c r="B27" s="154"/>
      <c r="C27" s="133"/>
      <c r="D27" s="133">
        <v>0</v>
      </c>
      <c r="E27" s="134">
        <v>0</v>
      </c>
      <c r="F27" s="134">
        <v>0</v>
      </c>
      <c r="G27" s="135">
        <f t="shared" si="1"/>
        <v>1</v>
      </c>
      <c r="H27" s="136">
        <f t="shared" si="0"/>
        <v>7</v>
      </c>
      <c r="I27" s="137" t="str">
        <f t="shared" si="2"/>
        <v>J</v>
      </c>
    </row>
    <row r="28" spans="1:18" x14ac:dyDescent="0.25">
      <c r="A28" s="174"/>
      <c r="B28" s="132"/>
      <c r="C28" s="133"/>
      <c r="D28" s="133">
        <v>0</v>
      </c>
      <c r="E28" s="134">
        <v>0</v>
      </c>
      <c r="F28" s="134">
        <v>0</v>
      </c>
      <c r="G28" s="135">
        <f t="shared" si="1"/>
        <v>1</v>
      </c>
      <c r="H28" s="136">
        <f t="shared" si="0"/>
        <v>7</v>
      </c>
      <c r="I28" s="137" t="str">
        <f t="shared" si="2"/>
        <v>J</v>
      </c>
    </row>
    <row r="29" spans="1:18" x14ac:dyDescent="0.25">
      <c r="A29" s="174"/>
      <c r="B29" s="132"/>
      <c r="C29" s="133"/>
      <c r="D29" s="133">
        <v>0</v>
      </c>
      <c r="E29" s="134">
        <v>0</v>
      </c>
      <c r="F29" s="134">
        <v>0</v>
      </c>
      <c r="G29" s="135">
        <f t="shared" si="1"/>
        <v>1</v>
      </c>
      <c r="H29" s="136">
        <f t="shared" si="0"/>
        <v>7</v>
      </c>
      <c r="I29" s="137" t="str">
        <f t="shared" si="2"/>
        <v>J</v>
      </c>
    </row>
    <row r="30" spans="1:18" x14ac:dyDescent="0.25">
      <c r="A30" s="174"/>
      <c r="B30" s="132"/>
      <c r="C30" s="133"/>
      <c r="D30" s="133">
        <v>0</v>
      </c>
      <c r="E30" s="134">
        <v>0</v>
      </c>
      <c r="F30" s="134">
        <v>0</v>
      </c>
      <c r="G30" s="135">
        <f t="shared" si="1"/>
        <v>1</v>
      </c>
      <c r="H30" s="136">
        <f t="shared" si="0"/>
        <v>7</v>
      </c>
      <c r="I30" s="137" t="str">
        <f t="shared" si="2"/>
        <v>J</v>
      </c>
    </row>
    <row r="31" spans="1:18" x14ac:dyDescent="0.25">
      <c r="A31" s="174"/>
      <c r="B31" s="132"/>
      <c r="C31" s="133"/>
      <c r="D31" s="133">
        <v>0</v>
      </c>
      <c r="E31" s="134">
        <v>0</v>
      </c>
      <c r="F31" s="134">
        <v>0</v>
      </c>
      <c r="G31" s="135">
        <f t="shared" si="1"/>
        <v>1</v>
      </c>
      <c r="H31" s="136">
        <f t="shared" si="0"/>
        <v>7</v>
      </c>
      <c r="I31" s="137" t="str">
        <f t="shared" si="2"/>
        <v>J</v>
      </c>
    </row>
    <row r="32" spans="1:18" x14ac:dyDescent="0.25">
      <c r="A32" s="174"/>
      <c r="B32" s="132"/>
      <c r="C32" s="133"/>
      <c r="D32" s="133">
        <v>0</v>
      </c>
      <c r="E32" s="134">
        <v>0</v>
      </c>
      <c r="F32" s="134">
        <v>0</v>
      </c>
      <c r="G32" s="135">
        <f t="shared" si="1"/>
        <v>1</v>
      </c>
      <c r="H32" s="136">
        <f t="shared" si="0"/>
        <v>7</v>
      </c>
      <c r="I32" s="137" t="str">
        <f t="shared" si="2"/>
        <v>J</v>
      </c>
      <c r="N32" s="134"/>
      <c r="O32" s="135"/>
    </row>
    <row r="33" spans="1:9" x14ac:dyDescent="0.25">
      <c r="A33" s="174"/>
      <c r="B33" s="132"/>
      <c r="C33" s="133"/>
      <c r="D33" s="133">
        <v>0</v>
      </c>
      <c r="E33" s="134">
        <v>0</v>
      </c>
      <c r="F33" s="134">
        <v>0</v>
      </c>
      <c r="G33" s="135">
        <f t="shared" si="1"/>
        <v>1</v>
      </c>
      <c r="H33" s="136">
        <f t="shared" si="0"/>
        <v>7</v>
      </c>
      <c r="I33" s="137" t="str">
        <f t="shared" si="2"/>
        <v>J</v>
      </c>
    </row>
    <row r="34" spans="1:9" x14ac:dyDescent="0.25">
      <c r="A34" s="174"/>
      <c r="B34" s="132"/>
      <c r="C34" s="133"/>
      <c r="D34" s="133">
        <v>0</v>
      </c>
      <c r="E34" s="134">
        <v>0</v>
      </c>
      <c r="F34" s="134">
        <v>0</v>
      </c>
      <c r="G34" s="135">
        <f t="shared" si="1"/>
        <v>1</v>
      </c>
      <c r="H34" s="136">
        <f t="shared" si="0"/>
        <v>7</v>
      </c>
      <c r="I34" s="137" t="str">
        <f t="shared" si="2"/>
        <v>J</v>
      </c>
    </row>
    <row r="35" spans="1:9" x14ac:dyDescent="0.25">
      <c r="A35" s="174"/>
      <c r="B35" s="132"/>
      <c r="C35" s="133"/>
      <c r="D35" s="133">
        <v>0</v>
      </c>
      <c r="E35" s="134">
        <v>0</v>
      </c>
      <c r="F35" s="134">
        <v>0</v>
      </c>
      <c r="G35" s="135">
        <f t="shared" si="1"/>
        <v>1</v>
      </c>
      <c r="H35" s="136">
        <f t="shared" si="0"/>
        <v>7</v>
      </c>
      <c r="I35" s="137" t="str">
        <f t="shared" si="2"/>
        <v>J</v>
      </c>
    </row>
    <row r="36" spans="1:9" x14ac:dyDescent="0.25">
      <c r="A36" s="174"/>
      <c r="B36" s="132"/>
      <c r="C36" s="133"/>
      <c r="D36" s="133">
        <v>0</v>
      </c>
      <c r="E36" s="134">
        <v>0</v>
      </c>
      <c r="F36" s="134">
        <v>0</v>
      </c>
      <c r="G36" s="135">
        <f t="shared" si="1"/>
        <v>1</v>
      </c>
      <c r="H36" s="136">
        <f t="shared" si="0"/>
        <v>7</v>
      </c>
      <c r="I36" s="137" t="str">
        <f t="shared" si="2"/>
        <v>J</v>
      </c>
    </row>
    <row r="37" spans="1:9" x14ac:dyDescent="0.25">
      <c r="A37" s="174"/>
      <c r="B37" s="132"/>
      <c r="C37" s="133"/>
      <c r="D37" s="133">
        <v>0</v>
      </c>
      <c r="E37" s="134">
        <v>0</v>
      </c>
      <c r="F37" s="134">
        <v>0</v>
      </c>
      <c r="G37" s="135">
        <f t="shared" si="1"/>
        <v>1</v>
      </c>
      <c r="H37" s="136">
        <f t="shared" si="0"/>
        <v>7</v>
      </c>
      <c r="I37" s="137" t="str">
        <f t="shared" si="2"/>
        <v>J</v>
      </c>
    </row>
    <row r="38" spans="1:9" x14ac:dyDescent="0.25">
      <c r="A38" s="174"/>
      <c r="B38" s="132"/>
      <c r="C38" s="133"/>
      <c r="D38" s="133">
        <v>0</v>
      </c>
      <c r="E38" s="134">
        <v>0</v>
      </c>
      <c r="F38" s="134">
        <v>0</v>
      </c>
      <c r="G38" s="135">
        <f t="shared" si="1"/>
        <v>1</v>
      </c>
      <c r="H38" s="136">
        <f t="shared" si="0"/>
        <v>7</v>
      </c>
      <c r="I38" s="137" t="str">
        <f t="shared" si="2"/>
        <v>J</v>
      </c>
    </row>
    <row r="39" spans="1:9" x14ac:dyDescent="0.25">
      <c r="A39" s="174"/>
      <c r="B39" s="132"/>
      <c r="C39" s="133"/>
      <c r="D39" s="133">
        <v>0</v>
      </c>
      <c r="E39" s="134">
        <v>0</v>
      </c>
      <c r="F39" s="134">
        <v>0</v>
      </c>
      <c r="G39" s="135">
        <f t="shared" si="1"/>
        <v>1</v>
      </c>
      <c r="H39" s="136">
        <f t="shared" si="0"/>
        <v>7</v>
      </c>
      <c r="I39" s="137" t="str">
        <f t="shared" si="2"/>
        <v>J</v>
      </c>
    </row>
    <row r="40" spans="1:9" x14ac:dyDescent="0.25">
      <c r="A40" s="174"/>
      <c r="B40" s="132"/>
      <c r="C40" s="133"/>
      <c r="D40" s="133">
        <v>0</v>
      </c>
      <c r="E40" s="134">
        <v>0</v>
      </c>
      <c r="F40" s="134">
        <v>0</v>
      </c>
      <c r="G40" s="135">
        <f t="shared" si="1"/>
        <v>1</v>
      </c>
      <c r="H40" s="136">
        <f t="shared" si="0"/>
        <v>7</v>
      </c>
      <c r="I40" s="137" t="str">
        <f t="shared" si="2"/>
        <v>J</v>
      </c>
    </row>
    <row r="41" spans="1:9" x14ac:dyDescent="0.25">
      <c r="A41" s="174"/>
      <c r="B41" s="132"/>
      <c r="C41" s="133"/>
      <c r="D41" s="133">
        <v>0</v>
      </c>
      <c r="E41" s="134">
        <v>0</v>
      </c>
      <c r="F41" s="134">
        <v>0</v>
      </c>
      <c r="G41" s="135">
        <f t="shared" si="1"/>
        <v>1</v>
      </c>
      <c r="H41" s="136">
        <f t="shared" si="0"/>
        <v>7</v>
      </c>
      <c r="I41" s="137" t="str">
        <f t="shared" si="2"/>
        <v>J</v>
      </c>
    </row>
    <row r="42" spans="1:9" x14ac:dyDescent="0.25">
      <c r="A42" s="174"/>
      <c r="B42" s="132"/>
      <c r="C42" s="133"/>
      <c r="D42" s="133">
        <v>0</v>
      </c>
      <c r="E42" s="134">
        <v>0</v>
      </c>
      <c r="F42" s="134">
        <v>0</v>
      </c>
      <c r="G42" s="135">
        <f t="shared" si="1"/>
        <v>1</v>
      </c>
      <c r="H42" s="136">
        <f t="shared" si="0"/>
        <v>7</v>
      </c>
      <c r="I42" s="137" t="str">
        <f t="shared" si="2"/>
        <v>J</v>
      </c>
    </row>
    <row r="43" spans="1:9" x14ac:dyDescent="0.25">
      <c r="A43" s="174"/>
      <c r="B43" s="132"/>
      <c r="C43" s="133"/>
      <c r="D43" s="133">
        <v>0</v>
      </c>
      <c r="E43" s="134">
        <v>0</v>
      </c>
      <c r="F43" s="134">
        <v>0</v>
      </c>
      <c r="G43" s="135">
        <f t="shared" si="1"/>
        <v>1</v>
      </c>
      <c r="H43" s="136">
        <f t="shared" si="0"/>
        <v>7</v>
      </c>
      <c r="I43" s="137" t="str">
        <f t="shared" si="2"/>
        <v>J</v>
      </c>
    </row>
    <row r="44" spans="1:9" x14ac:dyDescent="0.25">
      <c r="A44" s="174"/>
      <c r="B44" s="132"/>
      <c r="C44" s="133"/>
      <c r="D44" s="133">
        <v>0</v>
      </c>
      <c r="E44" s="134">
        <v>0</v>
      </c>
      <c r="F44" s="134">
        <v>0</v>
      </c>
      <c r="G44" s="135">
        <f t="shared" si="1"/>
        <v>1</v>
      </c>
      <c r="H44" s="136">
        <f t="shared" si="0"/>
        <v>7</v>
      </c>
      <c r="I44" s="137" t="str">
        <f t="shared" si="2"/>
        <v>J</v>
      </c>
    </row>
    <row r="45" spans="1:9" x14ac:dyDescent="0.25">
      <c r="A45" s="174"/>
      <c r="B45" s="132"/>
      <c r="C45" s="133"/>
      <c r="D45" s="133">
        <v>0</v>
      </c>
      <c r="E45" s="134">
        <v>0</v>
      </c>
      <c r="F45" s="134">
        <v>0</v>
      </c>
      <c r="G45" s="135">
        <f t="shared" si="1"/>
        <v>1</v>
      </c>
      <c r="H45" s="136">
        <f t="shared" si="0"/>
        <v>7</v>
      </c>
      <c r="I45" s="137" t="str">
        <f t="shared" si="2"/>
        <v>J</v>
      </c>
    </row>
    <row r="46" spans="1:9" x14ac:dyDescent="0.25">
      <c r="A46" s="174"/>
      <c r="B46" s="132"/>
      <c r="C46" s="133"/>
      <c r="D46" s="133">
        <v>0</v>
      </c>
      <c r="E46" s="134">
        <v>0</v>
      </c>
      <c r="F46" s="134">
        <v>0</v>
      </c>
      <c r="G46" s="135">
        <f t="shared" si="1"/>
        <v>1</v>
      </c>
      <c r="H46" s="136">
        <f t="shared" si="0"/>
        <v>7</v>
      </c>
      <c r="I46" s="137" t="str">
        <f t="shared" si="2"/>
        <v>J</v>
      </c>
    </row>
    <row r="47" spans="1:9" x14ac:dyDescent="0.25">
      <c r="A47" s="174"/>
      <c r="B47" s="132"/>
      <c r="C47" s="133"/>
      <c r="D47" s="133">
        <v>0</v>
      </c>
      <c r="E47" s="134">
        <v>0</v>
      </c>
      <c r="F47" s="134">
        <v>0</v>
      </c>
      <c r="G47" s="135">
        <f t="shared" si="1"/>
        <v>1</v>
      </c>
      <c r="H47" s="136">
        <f t="shared" si="0"/>
        <v>7</v>
      </c>
      <c r="I47" s="137" t="str">
        <f t="shared" si="2"/>
        <v>J</v>
      </c>
    </row>
    <row r="48" spans="1:9" x14ac:dyDescent="0.25">
      <c r="A48" s="174"/>
      <c r="B48" s="132"/>
      <c r="C48" s="133"/>
      <c r="D48" s="133">
        <v>0</v>
      </c>
      <c r="E48" s="134">
        <v>0</v>
      </c>
      <c r="F48" s="134">
        <v>0</v>
      </c>
      <c r="G48" s="135">
        <f t="shared" si="1"/>
        <v>1</v>
      </c>
      <c r="H48" s="136">
        <f t="shared" si="0"/>
        <v>7</v>
      </c>
      <c r="I48" s="137" t="str">
        <f t="shared" si="2"/>
        <v>J</v>
      </c>
    </row>
    <row r="49" spans="1:9" x14ac:dyDescent="0.25">
      <c r="A49" s="174"/>
      <c r="B49" s="132"/>
      <c r="C49" s="133"/>
      <c r="D49" s="133">
        <v>0</v>
      </c>
      <c r="E49" s="134">
        <v>0</v>
      </c>
      <c r="F49" s="134">
        <v>0</v>
      </c>
      <c r="G49" s="135">
        <f t="shared" si="1"/>
        <v>1</v>
      </c>
      <c r="H49" s="136">
        <f t="shared" si="0"/>
        <v>7</v>
      </c>
      <c r="I49" s="137" t="str">
        <f t="shared" si="2"/>
        <v>J</v>
      </c>
    </row>
    <row r="50" spans="1:9" x14ac:dyDescent="0.25">
      <c r="A50" s="174"/>
      <c r="B50" s="132"/>
      <c r="C50" s="133"/>
      <c r="D50" s="133">
        <v>0</v>
      </c>
      <c r="E50" s="134">
        <v>0</v>
      </c>
      <c r="F50" s="134">
        <v>0</v>
      </c>
      <c r="G50" s="135">
        <f t="shared" si="1"/>
        <v>1</v>
      </c>
      <c r="H50" s="136">
        <f t="shared" si="0"/>
        <v>7</v>
      </c>
      <c r="I50" s="137" t="str">
        <f t="shared" si="2"/>
        <v>J</v>
      </c>
    </row>
    <row r="51" spans="1:9" x14ac:dyDescent="0.25">
      <c r="A51" s="174"/>
      <c r="B51" s="132"/>
      <c r="C51" s="133"/>
      <c r="D51" s="133">
        <v>0</v>
      </c>
      <c r="E51" s="134">
        <v>0</v>
      </c>
      <c r="F51" s="134">
        <v>0</v>
      </c>
      <c r="G51" s="135">
        <f t="shared" si="1"/>
        <v>1</v>
      </c>
      <c r="H51" s="136">
        <f t="shared" si="0"/>
        <v>7</v>
      </c>
      <c r="I51" s="137" t="str">
        <f t="shared" si="2"/>
        <v>J</v>
      </c>
    </row>
    <row r="52" spans="1:9" x14ac:dyDescent="0.25">
      <c r="A52" s="174"/>
      <c r="B52" s="132"/>
      <c r="C52" s="133"/>
      <c r="D52" s="133">
        <v>0</v>
      </c>
      <c r="E52" s="134">
        <v>0</v>
      </c>
      <c r="F52" s="134">
        <v>0</v>
      </c>
      <c r="G52" s="135">
        <f t="shared" si="1"/>
        <v>1</v>
      </c>
      <c r="H52" s="136">
        <f t="shared" si="0"/>
        <v>7</v>
      </c>
      <c r="I52" s="137" t="str">
        <f t="shared" si="2"/>
        <v>J</v>
      </c>
    </row>
    <row r="53" spans="1:9" x14ac:dyDescent="0.25">
      <c r="A53" s="174"/>
      <c r="B53" s="132"/>
      <c r="C53" s="133"/>
      <c r="D53" s="133">
        <v>0</v>
      </c>
      <c r="E53" s="134">
        <v>0</v>
      </c>
      <c r="F53" s="134">
        <v>0</v>
      </c>
      <c r="G53" s="135">
        <f t="shared" si="1"/>
        <v>1</v>
      </c>
      <c r="H53" s="136">
        <f t="shared" si="0"/>
        <v>7</v>
      </c>
      <c r="I53" s="137" t="str">
        <f t="shared" si="2"/>
        <v>J</v>
      </c>
    </row>
    <row r="54" spans="1:9" x14ac:dyDescent="0.25">
      <c r="A54" s="174"/>
      <c r="B54" s="132"/>
      <c r="C54" s="133"/>
      <c r="D54" s="133">
        <v>0</v>
      </c>
      <c r="E54" s="134">
        <v>0</v>
      </c>
      <c r="F54" s="134">
        <v>0</v>
      </c>
      <c r="G54" s="135">
        <f t="shared" si="1"/>
        <v>1</v>
      </c>
      <c r="H54" s="136">
        <f t="shared" si="0"/>
        <v>7</v>
      </c>
      <c r="I54" s="137" t="str">
        <f t="shared" si="2"/>
        <v>J</v>
      </c>
    </row>
    <row r="55" spans="1:9" x14ac:dyDescent="0.25">
      <c r="A55" s="174"/>
      <c r="B55" s="132"/>
      <c r="C55" s="133"/>
      <c r="D55" s="133">
        <v>0</v>
      </c>
      <c r="E55" s="134">
        <v>0</v>
      </c>
      <c r="F55" s="134">
        <v>0</v>
      </c>
      <c r="G55" s="135">
        <f t="shared" si="1"/>
        <v>1</v>
      </c>
      <c r="H55" s="136">
        <f t="shared" si="0"/>
        <v>7</v>
      </c>
      <c r="I55" s="137" t="str">
        <f t="shared" si="2"/>
        <v>J</v>
      </c>
    </row>
    <row r="56" spans="1:9" x14ac:dyDescent="0.25">
      <c r="A56" s="174"/>
      <c r="B56" s="132"/>
      <c r="C56" s="133"/>
      <c r="D56" s="133">
        <v>0</v>
      </c>
      <c r="E56" s="134">
        <v>0</v>
      </c>
      <c r="F56" s="134">
        <v>0</v>
      </c>
      <c r="G56" s="135">
        <f t="shared" si="1"/>
        <v>1</v>
      </c>
      <c r="H56" s="136">
        <f t="shared" si="0"/>
        <v>7</v>
      </c>
      <c r="I56" s="137" t="str">
        <f t="shared" si="2"/>
        <v>J</v>
      </c>
    </row>
    <row r="57" spans="1:9" x14ac:dyDescent="0.25">
      <c r="A57" s="174"/>
      <c r="B57" s="132"/>
      <c r="C57" s="133"/>
      <c r="D57" s="133">
        <v>0</v>
      </c>
      <c r="E57" s="134">
        <v>0</v>
      </c>
      <c r="F57" s="134">
        <v>0</v>
      </c>
      <c r="G57" s="135">
        <f t="shared" si="1"/>
        <v>1</v>
      </c>
      <c r="H57" s="136">
        <f t="shared" si="0"/>
        <v>7</v>
      </c>
      <c r="I57" s="137" t="str">
        <f t="shared" si="2"/>
        <v>J</v>
      </c>
    </row>
    <row r="58" spans="1:9" x14ac:dyDescent="0.25">
      <c r="A58" s="174"/>
      <c r="B58" s="132"/>
      <c r="C58" s="133"/>
      <c r="D58" s="133">
        <v>0</v>
      </c>
      <c r="E58" s="134">
        <v>0</v>
      </c>
      <c r="F58" s="134">
        <v>0</v>
      </c>
      <c r="G58" s="135">
        <f t="shared" si="1"/>
        <v>1</v>
      </c>
      <c r="H58" s="136">
        <f t="shared" si="0"/>
        <v>7</v>
      </c>
      <c r="I58" s="137" t="str">
        <f t="shared" si="2"/>
        <v>J</v>
      </c>
    </row>
    <row r="59" spans="1:9" x14ac:dyDescent="0.25">
      <c r="A59" s="174"/>
      <c r="B59" s="132"/>
      <c r="C59" s="133"/>
      <c r="D59" s="133">
        <v>0</v>
      </c>
      <c r="E59" s="134">
        <v>0</v>
      </c>
      <c r="F59" s="134">
        <v>0</v>
      </c>
      <c r="G59" s="135">
        <f t="shared" si="1"/>
        <v>1</v>
      </c>
      <c r="H59" s="136">
        <f t="shared" si="0"/>
        <v>7</v>
      </c>
      <c r="I59" s="137" t="str">
        <f t="shared" si="2"/>
        <v>J</v>
      </c>
    </row>
    <row r="60" spans="1:9" x14ac:dyDescent="0.25">
      <c r="A60" s="174"/>
      <c r="B60" s="132"/>
      <c r="C60" s="133"/>
      <c r="D60" s="133">
        <v>0</v>
      </c>
      <c r="E60" s="134">
        <v>0</v>
      </c>
      <c r="F60" s="134">
        <v>0</v>
      </c>
      <c r="G60" s="135">
        <f t="shared" si="1"/>
        <v>1</v>
      </c>
      <c r="H60" s="136">
        <f t="shared" si="0"/>
        <v>7</v>
      </c>
      <c r="I60" s="137" t="str">
        <f t="shared" si="2"/>
        <v>J</v>
      </c>
    </row>
    <row r="61" spans="1:9" x14ac:dyDescent="0.25">
      <c r="A61" s="174"/>
      <c r="B61" s="132"/>
      <c r="C61" s="133"/>
      <c r="D61" s="133">
        <v>0</v>
      </c>
      <c r="E61" s="134">
        <v>0</v>
      </c>
      <c r="F61" s="134">
        <v>0</v>
      </c>
      <c r="G61" s="135">
        <f t="shared" si="1"/>
        <v>1</v>
      </c>
      <c r="H61" s="136">
        <f t="shared" si="0"/>
        <v>7</v>
      </c>
      <c r="I61" s="137" t="str">
        <f t="shared" si="2"/>
        <v>J</v>
      </c>
    </row>
    <row r="62" spans="1:9" x14ac:dyDescent="0.25">
      <c r="A62" s="174"/>
      <c r="B62" s="132"/>
      <c r="C62" s="133"/>
      <c r="D62" s="133">
        <v>0</v>
      </c>
      <c r="E62" s="134">
        <v>0</v>
      </c>
      <c r="F62" s="134">
        <v>0</v>
      </c>
      <c r="G62" s="135">
        <f t="shared" si="1"/>
        <v>1</v>
      </c>
      <c r="H62" s="136">
        <f t="shared" si="0"/>
        <v>7</v>
      </c>
      <c r="I62" s="137" t="str">
        <f t="shared" si="2"/>
        <v>J</v>
      </c>
    </row>
    <row r="63" spans="1:9" x14ac:dyDescent="0.25">
      <c r="A63" s="174"/>
      <c r="B63" s="132"/>
      <c r="C63" s="133"/>
      <c r="D63" s="133">
        <v>0</v>
      </c>
      <c r="E63" s="134">
        <v>0</v>
      </c>
      <c r="F63" s="134">
        <v>0</v>
      </c>
      <c r="G63" s="135">
        <f t="shared" si="1"/>
        <v>1</v>
      </c>
      <c r="H63" s="136">
        <f t="shared" si="0"/>
        <v>7</v>
      </c>
      <c r="I63" s="137" t="str">
        <f t="shared" si="2"/>
        <v>J</v>
      </c>
    </row>
    <row r="64" spans="1:9" x14ac:dyDescent="0.25">
      <c r="A64" s="174"/>
      <c r="B64" s="132"/>
      <c r="C64" s="133"/>
      <c r="D64" s="133">
        <v>0</v>
      </c>
      <c r="E64" s="134">
        <v>0</v>
      </c>
      <c r="F64" s="134">
        <v>0</v>
      </c>
      <c r="G64" s="135">
        <f t="shared" si="1"/>
        <v>1</v>
      </c>
      <c r="H64" s="136">
        <f t="shared" si="0"/>
        <v>7</v>
      </c>
      <c r="I64" s="137" t="str">
        <f t="shared" si="2"/>
        <v>J</v>
      </c>
    </row>
    <row r="65" spans="1:9" x14ac:dyDescent="0.25">
      <c r="A65" s="174"/>
      <c r="B65" s="132"/>
      <c r="C65" s="133"/>
      <c r="D65" s="133">
        <v>0</v>
      </c>
      <c r="E65" s="134">
        <v>0</v>
      </c>
      <c r="F65" s="134">
        <v>0</v>
      </c>
      <c r="G65" s="135">
        <f t="shared" si="1"/>
        <v>1</v>
      </c>
      <c r="H65" s="136">
        <f t="shared" si="0"/>
        <v>7</v>
      </c>
      <c r="I65" s="137" t="str">
        <f t="shared" si="2"/>
        <v>J</v>
      </c>
    </row>
    <row r="66" spans="1:9" x14ac:dyDescent="0.25">
      <c r="A66" s="174"/>
      <c r="B66" s="132"/>
      <c r="C66" s="133"/>
      <c r="D66" s="133">
        <v>0</v>
      </c>
      <c r="E66" s="134">
        <v>0</v>
      </c>
      <c r="F66" s="134">
        <v>0</v>
      </c>
      <c r="G66" s="135">
        <f t="shared" si="1"/>
        <v>1</v>
      </c>
      <c r="H66" s="136">
        <f t="shared" ref="H66:H129" si="3">VLOOKUP($G66, $Q$3:$R$12, 2)</f>
        <v>7</v>
      </c>
      <c r="I66" s="137" t="str">
        <f t="shared" si="2"/>
        <v>J</v>
      </c>
    </row>
    <row r="67" spans="1:9" x14ac:dyDescent="0.25">
      <c r="A67" s="174"/>
      <c r="B67" s="132"/>
      <c r="C67" s="133"/>
      <c r="D67" s="133">
        <v>0</v>
      </c>
      <c r="E67" s="134">
        <v>0</v>
      </c>
      <c r="F67" s="134">
        <v>0</v>
      </c>
      <c r="G67" s="135">
        <f t="shared" ref="G67:G130" si="4">(VLOOKUP($D67,$L$3:$O$15,4))+(VLOOKUP($E67,$M$3:$O$15,3))-(VLOOKUP($F67,$N$3:$O$15,2))</f>
        <v>1</v>
      </c>
      <c r="H67" s="136">
        <f t="shared" si="3"/>
        <v>7</v>
      </c>
      <c r="I67" s="137" t="str">
        <f t="shared" ref="I67:I130" si="5">IF(AND((SUM(D67:F67)=0),B67=0), "J", VLOOKUP($H67, $Q$16:$R$25, 2))</f>
        <v>J</v>
      </c>
    </row>
    <row r="68" spans="1:9" x14ac:dyDescent="0.25">
      <c r="A68" s="174"/>
      <c r="B68" s="132"/>
      <c r="C68" s="133"/>
      <c r="D68" s="133">
        <v>0</v>
      </c>
      <c r="E68" s="134">
        <v>0</v>
      </c>
      <c r="F68" s="134">
        <v>0</v>
      </c>
      <c r="G68" s="135">
        <f t="shared" si="4"/>
        <v>1</v>
      </c>
      <c r="H68" s="136">
        <f t="shared" si="3"/>
        <v>7</v>
      </c>
      <c r="I68" s="137" t="str">
        <f t="shared" si="5"/>
        <v>J</v>
      </c>
    </row>
    <row r="69" spans="1:9" x14ac:dyDescent="0.25">
      <c r="A69" s="174"/>
      <c r="B69" s="132"/>
      <c r="C69" s="133"/>
      <c r="D69" s="133">
        <v>0</v>
      </c>
      <c r="E69" s="134">
        <v>0</v>
      </c>
      <c r="F69" s="134">
        <v>0</v>
      </c>
      <c r="G69" s="135">
        <f t="shared" si="4"/>
        <v>1</v>
      </c>
      <c r="H69" s="136">
        <f t="shared" si="3"/>
        <v>7</v>
      </c>
      <c r="I69" s="137" t="str">
        <f t="shared" si="5"/>
        <v>J</v>
      </c>
    </row>
    <row r="70" spans="1:9" x14ac:dyDescent="0.25">
      <c r="A70" s="174"/>
      <c r="B70" s="132"/>
      <c r="C70" s="133"/>
      <c r="D70" s="133">
        <v>0</v>
      </c>
      <c r="E70" s="134">
        <v>0</v>
      </c>
      <c r="F70" s="134">
        <v>0</v>
      </c>
      <c r="G70" s="135">
        <f t="shared" si="4"/>
        <v>1</v>
      </c>
      <c r="H70" s="136">
        <f t="shared" si="3"/>
        <v>7</v>
      </c>
      <c r="I70" s="137" t="str">
        <f t="shared" si="5"/>
        <v>J</v>
      </c>
    </row>
    <row r="71" spans="1:9" x14ac:dyDescent="0.25">
      <c r="A71" s="174"/>
      <c r="B71" s="132"/>
      <c r="C71" s="133"/>
      <c r="D71" s="133">
        <v>0</v>
      </c>
      <c r="E71" s="134">
        <v>0</v>
      </c>
      <c r="F71" s="134">
        <v>0</v>
      </c>
      <c r="G71" s="135">
        <f t="shared" si="4"/>
        <v>1</v>
      </c>
      <c r="H71" s="136">
        <f t="shared" si="3"/>
        <v>7</v>
      </c>
      <c r="I71" s="137" t="str">
        <f t="shared" si="5"/>
        <v>J</v>
      </c>
    </row>
    <row r="72" spans="1:9" x14ac:dyDescent="0.25">
      <c r="A72" s="174"/>
      <c r="B72" s="132"/>
      <c r="C72" s="133"/>
      <c r="D72" s="133">
        <v>0</v>
      </c>
      <c r="E72" s="134">
        <v>0</v>
      </c>
      <c r="F72" s="134">
        <v>0</v>
      </c>
      <c r="G72" s="135">
        <f t="shared" si="4"/>
        <v>1</v>
      </c>
      <c r="H72" s="136">
        <f t="shared" si="3"/>
        <v>7</v>
      </c>
      <c r="I72" s="137" t="str">
        <f t="shared" si="5"/>
        <v>J</v>
      </c>
    </row>
    <row r="73" spans="1:9" x14ac:dyDescent="0.25">
      <c r="A73" s="174"/>
      <c r="B73" s="132"/>
      <c r="C73" s="133"/>
      <c r="D73" s="133">
        <v>0</v>
      </c>
      <c r="E73" s="134">
        <v>0</v>
      </c>
      <c r="F73" s="134">
        <v>0</v>
      </c>
      <c r="G73" s="135">
        <f t="shared" si="4"/>
        <v>1</v>
      </c>
      <c r="H73" s="136">
        <f t="shared" si="3"/>
        <v>7</v>
      </c>
      <c r="I73" s="137" t="str">
        <f t="shared" si="5"/>
        <v>J</v>
      </c>
    </row>
    <row r="74" spans="1:9" x14ac:dyDescent="0.25">
      <c r="A74" s="174"/>
      <c r="B74" s="132"/>
      <c r="C74" s="133"/>
      <c r="D74" s="133">
        <v>0</v>
      </c>
      <c r="E74" s="134">
        <v>0</v>
      </c>
      <c r="F74" s="134">
        <v>0</v>
      </c>
      <c r="G74" s="135">
        <f t="shared" si="4"/>
        <v>1</v>
      </c>
      <c r="H74" s="136">
        <f t="shared" si="3"/>
        <v>7</v>
      </c>
      <c r="I74" s="137" t="str">
        <f t="shared" si="5"/>
        <v>J</v>
      </c>
    </row>
    <row r="75" spans="1:9" x14ac:dyDescent="0.25">
      <c r="A75" s="174"/>
      <c r="B75" s="132"/>
      <c r="C75" s="133"/>
      <c r="D75" s="133">
        <v>0</v>
      </c>
      <c r="E75" s="134">
        <v>0</v>
      </c>
      <c r="F75" s="134">
        <v>0</v>
      </c>
      <c r="G75" s="135">
        <f t="shared" si="4"/>
        <v>1</v>
      </c>
      <c r="H75" s="136">
        <f t="shared" si="3"/>
        <v>7</v>
      </c>
      <c r="I75" s="137" t="str">
        <f t="shared" si="5"/>
        <v>J</v>
      </c>
    </row>
    <row r="76" spans="1:9" x14ac:dyDescent="0.25">
      <c r="A76" s="174"/>
      <c r="B76" s="132"/>
      <c r="C76" s="133"/>
      <c r="D76" s="133">
        <v>0</v>
      </c>
      <c r="E76" s="134">
        <v>0</v>
      </c>
      <c r="F76" s="134">
        <v>0</v>
      </c>
      <c r="G76" s="135">
        <f t="shared" si="4"/>
        <v>1</v>
      </c>
      <c r="H76" s="136">
        <f t="shared" si="3"/>
        <v>7</v>
      </c>
      <c r="I76" s="137" t="str">
        <f t="shared" si="5"/>
        <v>J</v>
      </c>
    </row>
    <row r="77" spans="1:9" x14ac:dyDescent="0.25">
      <c r="A77" s="174"/>
      <c r="B77" s="132"/>
      <c r="C77" s="133"/>
      <c r="D77" s="133">
        <v>0</v>
      </c>
      <c r="E77" s="134">
        <v>0</v>
      </c>
      <c r="F77" s="134">
        <v>0</v>
      </c>
      <c r="G77" s="135">
        <f t="shared" si="4"/>
        <v>1</v>
      </c>
      <c r="H77" s="136">
        <f t="shared" si="3"/>
        <v>7</v>
      </c>
      <c r="I77" s="137" t="str">
        <f t="shared" si="5"/>
        <v>J</v>
      </c>
    </row>
    <row r="78" spans="1:9" x14ac:dyDescent="0.25">
      <c r="A78" s="174"/>
      <c r="B78" s="132"/>
      <c r="C78" s="133"/>
      <c r="D78" s="133">
        <v>0</v>
      </c>
      <c r="E78" s="134">
        <v>0</v>
      </c>
      <c r="F78" s="134">
        <v>0</v>
      </c>
      <c r="G78" s="135">
        <f t="shared" si="4"/>
        <v>1</v>
      </c>
      <c r="H78" s="136">
        <f t="shared" si="3"/>
        <v>7</v>
      </c>
      <c r="I78" s="137" t="str">
        <f t="shared" si="5"/>
        <v>J</v>
      </c>
    </row>
    <row r="79" spans="1:9" x14ac:dyDescent="0.25">
      <c r="A79" s="174"/>
      <c r="B79" s="132"/>
      <c r="C79" s="133"/>
      <c r="D79" s="133">
        <v>0</v>
      </c>
      <c r="E79" s="134">
        <v>0</v>
      </c>
      <c r="F79" s="134">
        <v>0</v>
      </c>
      <c r="G79" s="135">
        <f t="shared" si="4"/>
        <v>1</v>
      </c>
      <c r="H79" s="136">
        <f t="shared" si="3"/>
        <v>7</v>
      </c>
      <c r="I79" s="137" t="str">
        <f t="shared" si="5"/>
        <v>J</v>
      </c>
    </row>
    <row r="80" spans="1:9" x14ac:dyDescent="0.25">
      <c r="A80" s="174"/>
      <c r="B80" s="132"/>
      <c r="C80" s="133"/>
      <c r="D80" s="133">
        <v>0</v>
      </c>
      <c r="E80" s="134">
        <v>0</v>
      </c>
      <c r="F80" s="134">
        <v>0</v>
      </c>
      <c r="G80" s="135">
        <f t="shared" si="4"/>
        <v>1</v>
      </c>
      <c r="H80" s="136">
        <f t="shared" si="3"/>
        <v>7</v>
      </c>
      <c r="I80" s="137" t="str">
        <f t="shared" si="5"/>
        <v>J</v>
      </c>
    </row>
    <row r="81" spans="1:9" x14ac:dyDescent="0.25">
      <c r="A81" s="174"/>
      <c r="B81" s="132"/>
      <c r="C81" s="133"/>
      <c r="D81" s="133">
        <v>0</v>
      </c>
      <c r="E81" s="134">
        <v>0</v>
      </c>
      <c r="F81" s="134">
        <v>0</v>
      </c>
      <c r="G81" s="135">
        <f t="shared" si="4"/>
        <v>1</v>
      </c>
      <c r="H81" s="136">
        <f t="shared" si="3"/>
        <v>7</v>
      </c>
      <c r="I81" s="137" t="str">
        <f t="shared" si="5"/>
        <v>J</v>
      </c>
    </row>
    <row r="82" spans="1:9" x14ac:dyDescent="0.25">
      <c r="A82" s="174"/>
      <c r="B82" s="132"/>
      <c r="C82" s="133"/>
      <c r="D82" s="133">
        <v>0</v>
      </c>
      <c r="E82" s="134">
        <v>0</v>
      </c>
      <c r="F82" s="134">
        <v>0</v>
      </c>
      <c r="G82" s="135">
        <f t="shared" si="4"/>
        <v>1</v>
      </c>
      <c r="H82" s="136">
        <f t="shared" si="3"/>
        <v>7</v>
      </c>
      <c r="I82" s="137" t="str">
        <f t="shared" si="5"/>
        <v>J</v>
      </c>
    </row>
    <row r="83" spans="1:9" x14ac:dyDescent="0.25">
      <c r="A83" s="174"/>
      <c r="B83" s="132"/>
      <c r="C83" s="133"/>
      <c r="D83" s="133">
        <v>0</v>
      </c>
      <c r="E83" s="134">
        <v>0</v>
      </c>
      <c r="F83" s="134">
        <v>0</v>
      </c>
      <c r="G83" s="135">
        <f t="shared" si="4"/>
        <v>1</v>
      </c>
      <c r="H83" s="136">
        <f t="shared" si="3"/>
        <v>7</v>
      </c>
      <c r="I83" s="137" t="str">
        <f t="shared" si="5"/>
        <v>J</v>
      </c>
    </row>
    <row r="84" spans="1:9" x14ac:dyDescent="0.25">
      <c r="A84" s="174"/>
      <c r="B84" s="132"/>
      <c r="C84" s="133"/>
      <c r="D84" s="133">
        <v>0</v>
      </c>
      <c r="E84" s="134">
        <v>0</v>
      </c>
      <c r="F84" s="134">
        <v>0</v>
      </c>
      <c r="G84" s="135">
        <f t="shared" si="4"/>
        <v>1</v>
      </c>
      <c r="H84" s="136">
        <f t="shared" si="3"/>
        <v>7</v>
      </c>
      <c r="I84" s="137" t="str">
        <f t="shared" si="5"/>
        <v>J</v>
      </c>
    </row>
    <row r="85" spans="1:9" x14ac:dyDescent="0.25">
      <c r="A85" s="174"/>
      <c r="B85" s="132"/>
      <c r="C85" s="133"/>
      <c r="D85" s="133">
        <v>0</v>
      </c>
      <c r="E85" s="134">
        <v>0</v>
      </c>
      <c r="F85" s="134">
        <v>0</v>
      </c>
      <c r="G85" s="135">
        <f t="shared" si="4"/>
        <v>1</v>
      </c>
      <c r="H85" s="136">
        <f t="shared" si="3"/>
        <v>7</v>
      </c>
      <c r="I85" s="137" t="str">
        <f t="shared" si="5"/>
        <v>J</v>
      </c>
    </row>
    <row r="86" spans="1:9" x14ac:dyDescent="0.25">
      <c r="A86" s="174"/>
      <c r="B86" s="132"/>
      <c r="C86" s="133"/>
      <c r="D86" s="133">
        <v>0</v>
      </c>
      <c r="E86" s="134">
        <v>0</v>
      </c>
      <c r="F86" s="134">
        <v>0</v>
      </c>
      <c r="G86" s="135">
        <f t="shared" si="4"/>
        <v>1</v>
      </c>
      <c r="H86" s="136">
        <f t="shared" si="3"/>
        <v>7</v>
      </c>
      <c r="I86" s="137" t="str">
        <f t="shared" si="5"/>
        <v>J</v>
      </c>
    </row>
    <row r="87" spans="1:9" x14ac:dyDescent="0.25">
      <c r="A87" s="174"/>
      <c r="B87" s="132"/>
      <c r="C87" s="133"/>
      <c r="D87" s="133">
        <v>0</v>
      </c>
      <c r="E87" s="134">
        <v>0</v>
      </c>
      <c r="F87" s="134">
        <v>0</v>
      </c>
      <c r="G87" s="135">
        <f t="shared" si="4"/>
        <v>1</v>
      </c>
      <c r="H87" s="136">
        <f t="shared" si="3"/>
        <v>7</v>
      </c>
      <c r="I87" s="137" t="str">
        <f t="shared" si="5"/>
        <v>J</v>
      </c>
    </row>
    <row r="88" spans="1:9" x14ac:dyDescent="0.25">
      <c r="A88" s="174"/>
      <c r="B88" s="132"/>
      <c r="C88" s="133"/>
      <c r="D88" s="133">
        <v>0</v>
      </c>
      <c r="E88" s="134">
        <v>0</v>
      </c>
      <c r="F88" s="134">
        <v>0</v>
      </c>
      <c r="G88" s="135">
        <f t="shared" si="4"/>
        <v>1</v>
      </c>
      <c r="H88" s="136">
        <f t="shared" si="3"/>
        <v>7</v>
      </c>
      <c r="I88" s="137" t="str">
        <f t="shared" si="5"/>
        <v>J</v>
      </c>
    </row>
    <row r="89" spans="1:9" x14ac:dyDescent="0.25">
      <c r="A89" s="174"/>
      <c r="B89" s="132"/>
      <c r="C89" s="133"/>
      <c r="D89" s="133">
        <v>0</v>
      </c>
      <c r="E89" s="134">
        <v>0</v>
      </c>
      <c r="F89" s="134">
        <v>0</v>
      </c>
      <c r="G89" s="135">
        <f t="shared" si="4"/>
        <v>1</v>
      </c>
      <c r="H89" s="136">
        <f t="shared" si="3"/>
        <v>7</v>
      </c>
      <c r="I89" s="137" t="str">
        <f t="shared" si="5"/>
        <v>J</v>
      </c>
    </row>
    <row r="90" spans="1:9" x14ac:dyDescent="0.25">
      <c r="A90" s="174"/>
      <c r="B90" s="132"/>
      <c r="C90" s="133"/>
      <c r="D90" s="133">
        <v>0</v>
      </c>
      <c r="E90" s="134">
        <v>0</v>
      </c>
      <c r="F90" s="134">
        <v>0</v>
      </c>
      <c r="G90" s="135">
        <f t="shared" si="4"/>
        <v>1</v>
      </c>
      <c r="H90" s="136">
        <f t="shared" si="3"/>
        <v>7</v>
      </c>
      <c r="I90" s="137" t="str">
        <f t="shared" si="5"/>
        <v>J</v>
      </c>
    </row>
    <row r="91" spans="1:9" x14ac:dyDescent="0.25">
      <c r="A91" s="174"/>
      <c r="B91" s="132"/>
      <c r="C91" s="133"/>
      <c r="D91" s="133">
        <v>0</v>
      </c>
      <c r="E91" s="134">
        <v>0</v>
      </c>
      <c r="F91" s="134">
        <v>0</v>
      </c>
      <c r="G91" s="135">
        <f t="shared" si="4"/>
        <v>1</v>
      </c>
      <c r="H91" s="136">
        <f t="shared" si="3"/>
        <v>7</v>
      </c>
      <c r="I91" s="137" t="str">
        <f t="shared" si="5"/>
        <v>J</v>
      </c>
    </row>
    <row r="92" spans="1:9" x14ac:dyDescent="0.25">
      <c r="A92" s="174"/>
      <c r="B92" s="132"/>
      <c r="C92" s="133"/>
      <c r="D92" s="133">
        <v>0</v>
      </c>
      <c r="E92" s="134">
        <v>0</v>
      </c>
      <c r="F92" s="134">
        <v>0</v>
      </c>
      <c r="G92" s="135">
        <f t="shared" si="4"/>
        <v>1</v>
      </c>
      <c r="H92" s="136">
        <f t="shared" si="3"/>
        <v>7</v>
      </c>
      <c r="I92" s="137" t="str">
        <f t="shared" si="5"/>
        <v>J</v>
      </c>
    </row>
    <row r="93" spans="1:9" x14ac:dyDescent="0.25">
      <c r="A93" s="174"/>
      <c r="B93" s="132"/>
      <c r="C93" s="133"/>
      <c r="D93" s="133">
        <v>0</v>
      </c>
      <c r="E93" s="134">
        <v>0</v>
      </c>
      <c r="F93" s="134">
        <v>0</v>
      </c>
      <c r="G93" s="135">
        <f t="shared" si="4"/>
        <v>1</v>
      </c>
      <c r="H93" s="136">
        <f t="shared" si="3"/>
        <v>7</v>
      </c>
      <c r="I93" s="137" t="str">
        <f t="shared" si="5"/>
        <v>J</v>
      </c>
    </row>
    <row r="94" spans="1:9" x14ac:dyDescent="0.25">
      <c r="A94" s="174"/>
      <c r="B94" s="132"/>
      <c r="C94" s="133"/>
      <c r="D94" s="133">
        <v>0</v>
      </c>
      <c r="E94" s="134">
        <v>0</v>
      </c>
      <c r="F94" s="134">
        <v>0</v>
      </c>
      <c r="G94" s="135">
        <f t="shared" si="4"/>
        <v>1</v>
      </c>
      <c r="H94" s="136">
        <f t="shared" si="3"/>
        <v>7</v>
      </c>
      <c r="I94" s="137" t="str">
        <f t="shared" si="5"/>
        <v>J</v>
      </c>
    </row>
    <row r="95" spans="1:9" x14ac:dyDescent="0.25">
      <c r="A95" s="174"/>
      <c r="B95" s="132"/>
      <c r="C95" s="133"/>
      <c r="D95" s="133">
        <v>0</v>
      </c>
      <c r="E95" s="134">
        <v>0</v>
      </c>
      <c r="F95" s="134">
        <v>0</v>
      </c>
      <c r="G95" s="135">
        <f t="shared" si="4"/>
        <v>1</v>
      </c>
      <c r="H95" s="136">
        <f t="shared" si="3"/>
        <v>7</v>
      </c>
      <c r="I95" s="137" t="str">
        <f t="shared" si="5"/>
        <v>J</v>
      </c>
    </row>
    <row r="96" spans="1:9" x14ac:dyDescent="0.25">
      <c r="A96" s="174"/>
      <c r="B96" s="132"/>
      <c r="C96" s="133"/>
      <c r="D96" s="133">
        <v>0</v>
      </c>
      <c r="E96" s="134">
        <v>0</v>
      </c>
      <c r="F96" s="134">
        <v>0</v>
      </c>
      <c r="G96" s="135">
        <f t="shared" si="4"/>
        <v>1</v>
      </c>
      <c r="H96" s="136">
        <f t="shared" si="3"/>
        <v>7</v>
      </c>
      <c r="I96" s="137" t="str">
        <f t="shared" si="5"/>
        <v>J</v>
      </c>
    </row>
    <row r="97" spans="1:9" x14ac:dyDescent="0.25">
      <c r="A97" s="174"/>
      <c r="B97" s="132"/>
      <c r="C97" s="133"/>
      <c r="D97" s="133">
        <v>0</v>
      </c>
      <c r="E97" s="134">
        <v>0</v>
      </c>
      <c r="F97" s="134">
        <v>0</v>
      </c>
      <c r="G97" s="135">
        <f t="shared" si="4"/>
        <v>1</v>
      </c>
      <c r="H97" s="136">
        <f t="shared" si="3"/>
        <v>7</v>
      </c>
      <c r="I97" s="137" t="str">
        <f t="shared" si="5"/>
        <v>J</v>
      </c>
    </row>
    <row r="98" spans="1:9" x14ac:dyDescent="0.25">
      <c r="A98" s="174"/>
      <c r="B98" s="132"/>
      <c r="C98" s="133"/>
      <c r="D98" s="133">
        <v>0</v>
      </c>
      <c r="E98" s="134">
        <v>0</v>
      </c>
      <c r="F98" s="134">
        <v>0</v>
      </c>
      <c r="G98" s="135">
        <f t="shared" si="4"/>
        <v>1</v>
      </c>
      <c r="H98" s="136">
        <f t="shared" si="3"/>
        <v>7</v>
      </c>
      <c r="I98" s="137" t="str">
        <f t="shared" si="5"/>
        <v>J</v>
      </c>
    </row>
    <row r="99" spans="1:9" x14ac:dyDescent="0.25">
      <c r="A99" s="174"/>
      <c r="B99" s="132"/>
      <c r="C99" s="133"/>
      <c r="D99" s="133">
        <v>0</v>
      </c>
      <c r="E99" s="134">
        <v>0</v>
      </c>
      <c r="F99" s="134">
        <v>0</v>
      </c>
      <c r="G99" s="135">
        <f t="shared" si="4"/>
        <v>1</v>
      </c>
      <c r="H99" s="136">
        <f t="shared" si="3"/>
        <v>7</v>
      </c>
      <c r="I99" s="137" t="str">
        <f t="shared" si="5"/>
        <v>J</v>
      </c>
    </row>
    <row r="100" spans="1:9" x14ac:dyDescent="0.25">
      <c r="A100" s="174"/>
      <c r="B100" s="132"/>
      <c r="C100" s="133"/>
      <c r="D100" s="133">
        <v>0</v>
      </c>
      <c r="E100" s="134">
        <v>0</v>
      </c>
      <c r="F100" s="134">
        <v>0</v>
      </c>
      <c r="G100" s="135">
        <f t="shared" si="4"/>
        <v>1</v>
      </c>
      <c r="H100" s="136">
        <f t="shared" si="3"/>
        <v>7</v>
      </c>
      <c r="I100" s="137" t="str">
        <f t="shared" si="5"/>
        <v>J</v>
      </c>
    </row>
    <row r="101" spans="1:9" x14ac:dyDescent="0.25">
      <c r="A101" s="174"/>
      <c r="B101" s="132"/>
      <c r="C101" s="133"/>
      <c r="D101" s="133">
        <v>0</v>
      </c>
      <c r="E101" s="134">
        <v>0</v>
      </c>
      <c r="F101" s="134">
        <v>0</v>
      </c>
      <c r="G101" s="135">
        <f t="shared" si="4"/>
        <v>1</v>
      </c>
      <c r="H101" s="136">
        <f t="shared" si="3"/>
        <v>7</v>
      </c>
      <c r="I101" s="137" t="str">
        <f t="shared" si="5"/>
        <v>J</v>
      </c>
    </row>
    <row r="102" spans="1:9" x14ac:dyDescent="0.25">
      <c r="A102" s="174"/>
      <c r="B102" s="132"/>
      <c r="C102" s="133"/>
      <c r="D102" s="133">
        <v>0</v>
      </c>
      <c r="E102" s="134">
        <v>0</v>
      </c>
      <c r="F102" s="134">
        <v>0</v>
      </c>
      <c r="G102" s="135">
        <f t="shared" si="4"/>
        <v>1</v>
      </c>
      <c r="H102" s="136">
        <f t="shared" si="3"/>
        <v>7</v>
      </c>
      <c r="I102" s="137" t="str">
        <f t="shared" si="5"/>
        <v>J</v>
      </c>
    </row>
    <row r="103" spans="1:9" x14ac:dyDescent="0.25">
      <c r="A103" s="174"/>
      <c r="B103" s="132"/>
      <c r="C103" s="133"/>
      <c r="D103" s="133">
        <v>0</v>
      </c>
      <c r="E103" s="134">
        <v>0</v>
      </c>
      <c r="F103" s="134">
        <v>0</v>
      </c>
      <c r="G103" s="135">
        <f t="shared" si="4"/>
        <v>1</v>
      </c>
      <c r="H103" s="136">
        <f t="shared" si="3"/>
        <v>7</v>
      </c>
      <c r="I103" s="137" t="str">
        <f t="shared" si="5"/>
        <v>J</v>
      </c>
    </row>
    <row r="104" spans="1:9" x14ac:dyDescent="0.25">
      <c r="A104" s="174"/>
      <c r="B104" s="132"/>
      <c r="C104" s="133"/>
      <c r="D104" s="133">
        <v>0</v>
      </c>
      <c r="E104" s="134">
        <v>0</v>
      </c>
      <c r="F104" s="134">
        <v>0</v>
      </c>
      <c r="G104" s="135">
        <f t="shared" si="4"/>
        <v>1</v>
      </c>
      <c r="H104" s="136">
        <f t="shared" si="3"/>
        <v>7</v>
      </c>
      <c r="I104" s="137" t="str">
        <f t="shared" si="5"/>
        <v>J</v>
      </c>
    </row>
    <row r="105" spans="1:9" x14ac:dyDescent="0.25">
      <c r="A105" s="174"/>
      <c r="B105" s="132"/>
      <c r="C105" s="133"/>
      <c r="D105" s="133">
        <v>0</v>
      </c>
      <c r="E105" s="134">
        <v>0</v>
      </c>
      <c r="F105" s="134">
        <v>0</v>
      </c>
      <c r="G105" s="135">
        <f t="shared" si="4"/>
        <v>1</v>
      </c>
      <c r="H105" s="136">
        <f t="shared" si="3"/>
        <v>7</v>
      </c>
      <c r="I105" s="137" t="str">
        <f t="shared" si="5"/>
        <v>J</v>
      </c>
    </row>
    <row r="106" spans="1:9" x14ac:dyDescent="0.25">
      <c r="A106" s="174"/>
      <c r="B106" s="132"/>
      <c r="C106" s="133"/>
      <c r="D106" s="133">
        <v>0</v>
      </c>
      <c r="E106" s="134">
        <v>0</v>
      </c>
      <c r="F106" s="134">
        <v>0</v>
      </c>
      <c r="G106" s="135">
        <f t="shared" si="4"/>
        <v>1</v>
      </c>
      <c r="H106" s="136">
        <f t="shared" si="3"/>
        <v>7</v>
      </c>
      <c r="I106" s="137" t="str">
        <f t="shared" si="5"/>
        <v>J</v>
      </c>
    </row>
    <row r="107" spans="1:9" x14ac:dyDescent="0.25">
      <c r="A107" s="174"/>
      <c r="B107" s="132"/>
      <c r="C107" s="133"/>
      <c r="D107" s="133">
        <v>0</v>
      </c>
      <c r="E107" s="134">
        <v>0</v>
      </c>
      <c r="F107" s="134">
        <v>0</v>
      </c>
      <c r="G107" s="135">
        <f t="shared" si="4"/>
        <v>1</v>
      </c>
      <c r="H107" s="136">
        <f t="shared" si="3"/>
        <v>7</v>
      </c>
      <c r="I107" s="137" t="str">
        <f t="shared" si="5"/>
        <v>J</v>
      </c>
    </row>
    <row r="108" spans="1:9" x14ac:dyDescent="0.25">
      <c r="A108" s="174"/>
      <c r="B108" s="132"/>
      <c r="C108" s="133"/>
      <c r="D108" s="133">
        <v>0</v>
      </c>
      <c r="E108" s="134">
        <v>0</v>
      </c>
      <c r="F108" s="134">
        <v>0</v>
      </c>
      <c r="G108" s="135">
        <f t="shared" si="4"/>
        <v>1</v>
      </c>
      <c r="H108" s="136">
        <f t="shared" si="3"/>
        <v>7</v>
      </c>
      <c r="I108" s="137" t="str">
        <f t="shared" si="5"/>
        <v>J</v>
      </c>
    </row>
    <row r="109" spans="1:9" x14ac:dyDescent="0.25">
      <c r="A109" s="174"/>
      <c r="B109" s="132"/>
      <c r="C109" s="133"/>
      <c r="D109" s="133">
        <v>0</v>
      </c>
      <c r="E109" s="134">
        <v>0</v>
      </c>
      <c r="F109" s="134">
        <v>0</v>
      </c>
      <c r="G109" s="135">
        <f t="shared" si="4"/>
        <v>1</v>
      </c>
      <c r="H109" s="136">
        <f t="shared" si="3"/>
        <v>7</v>
      </c>
      <c r="I109" s="137" t="str">
        <f t="shared" si="5"/>
        <v>J</v>
      </c>
    </row>
    <row r="110" spans="1:9" x14ac:dyDescent="0.25">
      <c r="A110" s="174"/>
      <c r="B110" s="132"/>
      <c r="C110" s="133"/>
      <c r="D110" s="133">
        <v>0</v>
      </c>
      <c r="E110" s="134">
        <v>0</v>
      </c>
      <c r="F110" s="134">
        <v>0</v>
      </c>
      <c r="G110" s="135">
        <f t="shared" si="4"/>
        <v>1</v>
      </c>
      <c r="H110" s="136">
        <f t="shared" si="3"/>
        <v>7</v>
      </c>
      <c r="I110" s="137" t="str">
        <f t="shared" si="5"/>
        <v>J</v>
      </c>
    </row>
    <row r="111" spans="1:9" x14ac:dyDescent="0.25">
      <c r="A111" s="174"/>
      <c r="B111" s="132"/>
      <c r="C111" s="133"/>
      <c r="D111" s="133">
        <v>0</v>
      </c>
      <c r="E111" s="134">
        <v>0</v>
      </c>
      <c r="F111" s="134">
        <v>0</v>
      </c>
      <c r="G111" s="135">
        <f t="shared" si="4"/>
        <v>1</v>
      </c>
      <c r="H111" s="136">
        <f t="shared" si="3"/>
        <v>7</v>
      </c>
      <c r="I111" s="137" t="str">
        <f t="shared" si="5"/>
        <v>J</v>
      </c>
    </row>
    <row r="112" spans="1:9" x14ac:dyDescent="0.25">
      <c r="A112" s="174"/>
      <c r="B112" s="132"/>
      <c r="C112" s="133"/>
      <c r="D112" s="133">
        <v>0</v>
      </c>
      <c r="E112" s="134">
        <v>0</v>
      </c>
      <c r="F112" s="134">
        <v>0</v>
      </c>
      <c r="G112" s="135">
        <f t="shared" si="4"/>
        <v>1</v>
      </c>
      <c r="H112" s="136">
        <f t="shared" si="3"/>
        <v>7</v>
      </c>
      <c r="I112" s="137" t="str">
        <f t="shared" si="5"/>
        <v>J</v>
      </c>
    </row>
    <row r="113" spans="1:9" x14ac:dyDescent="0.25">
      <c r="A113" s="174"/>
      <c r="B113" s="132"/>
      <c r="C113" s="133"/>
      <c r="D113" s="133">
        <v>0</v>
      </c>
      <c r="E113" s="134">
        <v>0</v>
      </c>
      <c r="F113" s="134">
        <v>0</v>
      </c>
      <c r="G113" s="135">
        <f t="shared" si="4"/>
        <v>1</v>
      </c>
      <c r="H113" s="136">
        <f t="shared" si="3"/>
        <v>7</v>
      </c>
      <c r="I113" s="137" t="str">
        <f t="shared" si="5"/>
        <v>J</v>
      </c>
    </row>
    <row r="114" spans="1:9" x14ac:dyDescent="0.25">
      <c r="A114" s="174"/>
      <c r="B114" s="132"/>
      <c r="C114" s="133"/>
      <c r="D114" s="133">
        <v>0</v>
      </c>
      <c r="E114" s="134">
        <v>0</v>
      </c>
      <c r="F114" s="134">
        <v>0</v>
      </c>
      <c r="G114" s="135">
        <f t="shared" si="4"/>
        <v>1</v>
      </c>
      <c r="H114" s="136">
        <f t="shared" si="3"/>
        <v>7</v>
      </c>
      <c r="I114" s="137" t="str">
        <f t="shared" si="5"/>
        <v>J</v>
      </c>
    </row>
    <row r="115" spans="1:9" x14ac:dyDescent="0.25">
      <c r="A115" s="174"/>
      <c r="B115" s="132"/>
      <c r="C115" s="133"/>
      <c r="D115" s="133">
        <v>0</v>
      </c>
      <c r="E115" s="134">
        <v>0</v>
      </c>
      <c r="F115" s="134">
        <v>0</v>
      </c>
      <c r="G115" s="135">
        <f t="shared" si="4"/>
        <v>1</v>
      </c>
      <c r="H115" s="136">
        <f t="shared" si="3"/>
        <v>7</v>
      </c>
      <c r="I115" s="137" t="str">
        <f t="shared" si="5"/>
        <v>J</v>
      </c>
    </row>
    <row r="116" spans="1:9" x14ac:dyDescent="0.25">
      <c r="A116" s="174"/>
      <c r="B116" s="132"/>
      <c r="C116" s="133"/>
      <c r="D116" s="133">
        <v>0</v>
      </c>
      <c r="E116" s="134">
        <v>0</v>
      </c>
      <c r="F116" s="134">
        <v>0</v>
      </c>
      <c r="G116" s="135">
        <f t="shared" si="4"/>
        <v>1</v>
      </c>
      <c r="H116" s="136">
        <f t="shared" si="3"/>
        <v>7</v>
      </c>
      <c r="I116" s="137" t="str">
        <f t="shared" si="5"/>
        <v>J</v>
      </c>
    </row>
    <row r="117" spans="1:9" x14ac:dyDescent="0.25">
      <c r="A117" s="174"/>
      <c r="B117" s="132"/>
      <c r="C117" s="133"/>
      <c r="D117" s="133">
        <v>0</v>
      </c>
      <c r="E117" s="134">
        <v>0</v>
      </c>
      <c r="F117" s="134">
        <v>0</v>
      </c>
      <c r="G117" s="135">
        <f t="shared" si="4"/>
        <v>1</v>
      </c>
      <c r="H117" s="136">
        <f t="shared" si="3"/>
        <v>7</v>
      </c>
      <c r="I117" s="137" t="str">
        <f t="shared" si="5"/>
        <v>J</v>
      </c>
    </row>
    <row r="118" spans="1:9" x14ac:dyDescent="0.25">
      <c r="A118" s="174"/>
      <c r="B118" s="132"/>
      <c r="C118" s="133"/>
      <c r="D118" s="133">
        <v>0</v>
      </c>
      <c r="E118" s="134">
        <v>0</v>
      </c>
      <c r="F118" s="134">
        <v>0</v>
      </c>
      <c r="G118" s="135">
        <f t="shared" si="4"/>
        <v>1</v>
      </c>
      <c r="H118" s="136">
        <f t="shared" si="3"/>
        <v>7</v>
      </c>
      <c r="I118" s="137" t="str">
        <f t="shared" si="5"/>
        <v>J</v>
      </c>
    </row>
    <row r="119" spans="1:9" x14ac:dyDescent="0.25">
      <c r="A119" s="174"/>
      <c r="B119" s="132"/>
      <c r="C119" s="133"/>
      <c r="D119" s="133">
        <v>0</v>
      </c>
      <c r="E119" s="134">
        <v>0</v>
      </c>
      <c r="F119" s="134">
        <v>0</v>
      </c>
      <c r="G119" s="135">
        <f t="shared" si="4"/>
        <v>1</v>
      </c>
      <c r="H119" s="136">
        <f t="shared" si="3"/>
        <v>7</v>
      </c>
      <c r="I119" s="137" t="str">
        <f t="shared" si="5"/>
        <v>J</v>
      </c>
    </row>
    <row r="120" spans="1:9" x14ac:dyDescent="0.25">
      <c r="A120" s="174"/>
      <c r="B120" s="132"/>
      <c r="C120" s="133"/>
      <c r="D120" s="133">
        <v>0</v>
      </c>
      <c r="E120" s="134">
        <v>0</v>
      </c>
      <c r="F120" s="134">
        <v>0</v>
      </c>
      <c r="G120" s="135">
        <f t="shared" si="4"/>
        <v>1</v>
      </c>
      <c r="H120" s="136">
        <f t="shared" si="3"/>
        <v>7</v>
      </c>
      <c r="I120" s="137" t="str">
        <f t="shared" si="5"/>
        <v>J</v>
      </c>
    </row>
    <row r="121" spans="1:9" x14ac:dyDescent="0.25">
      <c r="A121" s="174"/>
      <c r="B121" s="132"/>
      <c r="C121" s="133"/>
      <c r="D121" s="133">
        <v>0</v>
      </c>
      <c r="E121" s="134">
        <v>0</v>
      </c>
      <c r="F121" s="134">
        <v>0</v>
      </c>
      <c r="G121" s="135">
        <f t="shared" si="4"/>
        <v>1</v>
      </c>
      <c r="H121" s="136">
        <f t="shared" si="3"/>
        <v>7</v>
      </c>
      <c r="I121" s="137" t="str">
        <f t="shared" si="5"/>
        <v>J</v>
      </c>
    </row>
    <row r="122" spans="1:9" x14ac:dyDescent="0.25">
      <c r="A122" s="174"/>
      <c r="B122" s="132"/>
      <c r="C122" s="133"/>
      <c r="D122" s="133">
        <v>0</v>
      </c>
      <c r="E122" s="134">
        <v>0</v>
      </c>
      <c r="F122" s="134">
        <v>0</v>
      </c>
      <c r="G122" s="135">
        <f t="shared" si="4"/>
        <v>1</v>
      </c>
      <c r="H122" s="136">
        <f t="shared" si="3"/>
        <v>7</v>
      </c>
      <c r="I122" s="137" t="str">
        <f t="shared" si="5"/>
        <v>J</v>
      </c>
    </row>
    <row r="123" spans="1:9" x14ac:dyDescent="0.25">
      <c r="A123" s="174"/>
      <c r="B123" s="132"/>
      <c r="C123" s="133"/>
      <c r="D123" s="133">
        <v>0</v>
      </c>
      <c r="E123" s="134">
        <v>0</v>
      </c>
      <c r="F123" s="134">
        <v>0</v>
      </c>
      <c r="G123" s="135">
        <f t="shared" si="4"/>
        <v>1</v>
      </c>
      <c r="H123" s="136">
        <f t="shared" si="3"/>
        <v>7</v>
      </c>
      <c r="I123" s="137" t="str">
        <f t="shared" si="5"/>
        <v>J</v>
      </c>
    </row>
    <row r="124" spans="1:9" x14ac:dyDescent="0.25">
      <c r="A124" s="174"/>
      <c r="B124" s="132"/>
      <c r="C124" s="133"/>
      <c r="D124" s="133">
        <v>0</v>
      </c>
      <c r="E124" s="134">
        <v>0</v>
      </c>
      <c r="F124" s="134">
        <v>0</v>
      </c>
      <c r="G124" s="135">
        <f t="shared" si="4"/>
        <v>1</v>
      </c>
      <c r="H124" s="136">
        <f t="shared" si="3"/>
        <v>7</v>
      </c>
      <c r="I124" s="137" t="str">
        <f t="shared" si="5"/>
        <v>J</v>
      </c>
    </row>
    <row r="125" spans="1:9" x14ac:dyDescent="0.25">
      <c r="A125" s="174"/>
      <c r="B125" s="132"/>
      <c r="C125" s="133"/>
      <c r="D125" s="133">
        <v>0</v>
      </c>
      <c r="E125" s="134">
        <v>0</v>
      </c>
      <c r="F125" s="134">
        <v>0</v>
      </c>
      <c r="G125" s="135">
        <f t="shared" si="4"/>
        <v>1</v>
      </c>
      <c r="H125" s="136">
        <f t="shared" si="3"/>
        <v>7</v>
      </c>
      <c r="I125" s="137" t="str">
        <f t="shared" si="5"/>
        <v>J</v>
      </c>
    </row>
    <row r="126" spans="1:9" x14ac:dyDescent="0.25">
      <c r="A126" s="174"/>
      <c r="B126" s="132"/>
      <c r="C126" s="133"/>
      <c r="D126" s="133">
        <v>0</v>
      </c>
      <c r="E126" s="134">
        <v>0</v>
      </c>
      <c r="F126" s="134">
        <v>0</v>
      </c>
      <c r="G126" s="135">
        <f t="shared" si="4"/>
        <v>1</v>
      </c>
      <c r="H126" s="136">
        <f t="shared" si="3"/>
        <v>7</v>
      </c>
      <c r="I126" s="137" t="str">
        <f t="shared" si="5"/>
        <v>J</v>
      </c>
    </row>
    <row r="127" spans="1:9" x14ac:dyDescent="0.25">
      <c r="A127" s="174"/>
      <c r="B127" s="132"/>
      <c r="C127" s="133"/>
      <c r="D127" s="133">
        <v>0</v>
      </c>
      <c r="E127" s="134">
        <v>0</v>
      </c>
      <c r="F127" s="134">
        <v>0</v>
      </c>
      <c r="G127" s="135">
        <f t="shared" si="4"/>
        <v>1</v>
      </c>
      <c r="H127" s="136">
        <f t="shared" si="3"/>
        <v>7</v>
      </c>
      <c r="I127" s="137" t="str">
        <f t="shared" si="5"/>
        <v>J</v>
      </c>
    </row>
    <row r="128" spans="1:9" x14ac:dyDescent="0.25">
      <c r="A128" s="174"/>
      <c r="B128" s="132"/>
      <c r="C128" s="133"/>
      <c r="D128" s="133">
        <v>0</v>
      </c>
      <c r="E128" s="134">
        <v>0</v>
      </c>
      <c r="F128" s="134">
        <v>0</v>
      </c>
      <c r="G128" s="135">
        <f t="shared" si="4"/>
        <v>1</v>
      </c>
      <c r="H128" s="136">
        <f t="shared" si="3"/>
        <v>7</v>
      </c>
      <c r="I128" s="137" t="str">
        <f t="shared" si="5"/>
        <v>J</v>
      </c>
    </row>
    <row r="129" spans="1:9" x14ac:dyDescent="0.25">
      <c r="A129" s="174"/>
      <c r="B129" s="132"/>
      <c r="C129" s="133"/>
      <c r="D129" s="133">
        <v>0</v>
      </c>
      <c r="E129" s="134">
        <v>0</v>
      </c>
      <c r="F129" s="134">
        <v>0</v>
      </c>
      <c r="G129" s="135">
        <f t="shared" si="4"/>
        <v>1</v>
      </c>
      <c r="H129" s="136">
        <f t="shared" si="3"/>
        <v>7</v>
      </c>
      <c r="I129" s="137" t="str">
        <f t="shared" si="5"/>
        <v>J</v>
      </c>
    </row>
    <row r="130" spans="1:9" x14ac:dyDescent="0.25">
      <c r="A130" s="174"/>
      <c r="B130" s="132"/>
      <c r="C130" s="133"/>
      <c r="D130" s="133">
        <v>0</v>
      </c>
      <c r="E130" s="134">
        <v>0</v>
      </c>
      <c r="F130" s="134">
        <v>0</v>
      </c>
      <c r="G130" s="135">
        <f t="shared" si="4"/>
        <v>1</v>
      </c>
      <c r="H130" s="136">
        <f t="shared" ref="H130:H193" si="6">VLOOKUP($G130, $Q$3:$R$12, 2)</f>
        <v>7</v>
      </c>
      <c r="I130" s="137" t="str">
        <f t="shared" si="5"/>
        <v>J</v>
      </c>
    </row>
    <row r="131" spans="1:9" x14ac:dyDescent="0.25">
      <c r="A131" s="174"/>
      <c r="B131" s="132"/>
      <c r="C131" s="133"/>
      <c r="D131" s="133">
        <v>0</v>
      </c>
      <c r="E131" s="134">
        <v>0</v>
      </c>
      <c r="F131" s="134">
        <v>0</v>
      </c>
      <c r="G131" s="135">
        <f t="shared" ref="G131:G194" si="7">(VLOOKUP($D131,$L$3:$O$15,4))+(VLOOKUP($E131,$M$3:$O$15,3))-(VLOOKUP($F131,$N$3:$O$15,2))</f>
        <v>1</v>
      </c>
      <c r="H131" s="136">
        <f t="shared" si="6"/>
        <v>7</v>
      </c>
      <c r="I131" s="137" t="str">
        <f t="shared" ref="I131:I194" si="8">IF(AND((SUM(D131:F131)=0),B131=0), "J", VLOOKUP($H131, $Q$16:$R$25, 2))</f>
        <v>J</v>
      </c>
    </row>
    <row r="132" spans="1:9" x14ac:dyDescent="0.25">
      <c r="A132" s="174"/>
      <c r="B132" s="132"/>
      <c r="C132" s="133"/>
      <c r="D132" s="133">
        <v>0</v>
      </c>
      <c r="E132" s="134">
        <v>0</v>
      </c>
      <c r="F132" s="134">
        <v>0</v>
      </c>
      <c r="G132" s="135">
        <f t="shared" si="7"/>
        <v>1</v>
      </c>
      <c r="H132" s="136">
        <f t="shared" si="6"/>
        <v>7</v>
      </c>
      <c r="I132" s="137" t="str">
        <f t="shared" si="8"/>
        <v>J</v>
      </c>
    </row>
    <row r="133" spans="1:9" x14ac:dyDescent="0.25">
      <c r="A133" s="174"/>
      <c r="B133" s="132"/>
      <c r="C133" s="133"/>
      <c r="D133" s="133">
        <v>0</v>
      </c>
      <c r="E133" s="134">
        <v>0</v>
      </c>
      <c r="F133" s="134">
        <v>0</v>
      </c>
      <c r="G133" s="135">
        <f t="shared" si="7"/>
        <v>1</v>
      </c>
      <c r="H133" s="136">
        <f t="shared" si="6"/>
        <v>7</v>
      </c>
      <c r="I133" s="137" t="str">
        <f t="shared" si="8"/>
        <v>J</v>
      </c>
    </row>
    <row r="134" spans="1:9" x14ac:dyDescent="0.25">
      <c r="A134" s="174"/>
      <c r="B134" s="132"/>
      <c r="C134" s="133"/>
      <c r="D134" s="133">
        <v>0</v>
      </c>
      <c r="E134" s="134">
        <v>0</v>
      </c>
      <c r="F134" s="134">
        <v>0</v>
      </c>
      <c r="G134" s="135">
        <f t="shared" si="7"/>
        <v>1</v>
      </c>
      <c r="H134" s="136">
        <f t="shared" si="6"/>
        <v>7</v>
      </c>
      <c r="I134" s="137" t="str">
        <f t="shared" si="8"/>
        <v>J</v>
      </c>
    </row>
    <row r="135" spans="1:9" x14ac:dyDescent="0.25">
      <c r="A135" s="174"/>
      <c r="B135" s="132"/>
      <c r="C135" s="133"/>
      <c r="D135" s="133">
        <v>0</v>
      </c>
      <c r="E135" s="134">
        <v>0</v>
      </c>
      <c r="F135" s="134">
        <v>0</v>
      </c>
      <c r="G135" s="135">
        <f t="shared" si="7"/>
        <v>1</v>
      </c>
      <c r="H135" s="136">
        <f t="shared" si="6"/>
        <v>7</v>
      </c>
      <c r="I135" s="137" t="str">
        <f t="shared" si="8"/>
        <v>J</v>
      </c>
    </row>
    <row r="136" spans="1:9" x14ac:dyDescent="0.25">
      <c r="A136" s="174"/>
      <c r="B136" s="132"/>
      <c r="C136" s="133"/>
      <c r="D136" s="133">
        <v>0</v>
      </c>
      <c r="E136" s="134">
        <v>0</v>
      </c>
      <c r="F136" s="134">
        <v>0</v>
      </c>
      <c r="G136" s="135">
        <f t="shared" si="7"/>
        <v>1</v>
      </c>
      <c r="H136" s="136">
        <f t="shared" si="6"/>
        <v>7</v>
      </c>
      <c r="I136" s="137" t="str">
        <f t="shared" si="8"/>
        <v>J</v>
      </c>
    </row>
    <row r="137" spans="1:9" x14ac:dyDescent="0.25">
      <c r="A137" s="174"/>
      <c r="B137" s="132"/>
      <c r="C137" s="133"/>
      <c r="D137" s="133">
        <v>0</v>
      </c>
      <c r="E137" s="134">
        <v>0</v>
      </c>
      <c r="F137" s="134">
        <v>0</v>
      </c>
      <c r="G137" s="135">
        <f t="shared" si="7"/>
        <v>1</v>
      </c>
      <c r="H137" s="136">
        <f t="shared" si="6"/>
        <v>7</v>
      </c>
      <c r="I137" s="137" t="str">
        <f t="shared" si="8"/>
        <v>J</v>
      </c>
    </row>
    <row r="138" spans="1:9" x14ac:dyDescent="0.25">
      <c r="A138" s="174"/>
      <c r="B138" s="132"/>
      <c r="C138" s="133"/>
      <c r="D138" s="133">
        <v>0</v>
      </c>
      <c r="E138" s="134">
        <v>0</v>
      </c>
      <c r="F138" s="134">
        <v>0</v>
      </c>
      <c r="G138" s="135">
        <f t="shared" si="7"/>
        <v>1</v>
      </c>
      <c r="H138" s="136">
        <f t="shared" si="6"/>
        <v>7</v>
      </c>
      <c r="I138" s="137" t="str">
        <f t="shared" si="8"/>
        <v>J</v>
      </c>
    </row>
    <row r="139" spans="1:9" x14ac:dyDescent="0.25">
      <c r="A139" s="174"/>
      <c r="B139" s="132"/>
      <c r="C139" s="133"/>
      <c r="D139" s="133">
        <v>0</v>
      </c>
      <c r="E139" s="134">
        <v>0</v>
      </c>
      <c r="F139" s="134">
        <v>0</v>
      </c>
      <c r="G139" s="135">
        <f t="shared" si="7"/>
        <v>1</v>
      </c>
      <c r="H139" s="136">
        <f t="shared" si="6"/>
        <v>7</v>
      </c>
      <c r="I139" s="137" t="str">
        <f t="shared" si="8"/>
        <v>J</v>
      </c>
    </row>
    <row r="140" spans="1:9" x14ac:dyDescent="0.25">
      <c r="A140" s="174"/>
      <c r="B140" s="132"/>
      <c r="C140" s="133"/>
      <c r="D140" s="133">
        <v>0</v>
      </c>
      <c r="E140" s="134">
        <v>0</v>
      </c>
      <c r="F140" s="134">
        <v>0</v>
      </c>
      <c r="G140" s="135">
        <f t="shared" si="7"/>
        <v>1</v>
      </c>
      <c r="H140" s="136">
        <f t="shared" si="6"/>
        <v>7</v>
      </c>
      <c r="I140" s="137" t="str">
        <f t="shared" si="8"/>
        <v>J</v>
      </c>
    </row>
    <row r="141" spans="1:9" x14ac:dyDescent="0.25">
      <c r="A141" s="174"/>
      <c r="B141" s="132"/>
      <c r="C141" s="133"/>
      <c r="D141" s="133">
        <v>0</v>
      </c>
      <c r="E141" s="134">
        <v>0</v>
      </c>
      <c r="F141" s="134">
        <v>0</v>
      </c>
      <c r="G141" s="135">
        <f t="shared" si="7"/>
        <v>1</v>
      </c>
      <c r="H141" s="136">
        <f t="shared" si="6"/>
        <v>7</v>
      </c>
      <c r="I141" s="137" t="str">
        <f t="shared" si="8"/>
        <v>J</v>
      </c>
    </row>
    <row r="142" spans="1:9" x14ac:dyDescent="0.25">
      <c r="A142" s="174"/>
      <c r="B142" s="132"/>
      <c r="C142" s="133"/>
      <c r="D142" s="133">
        <v>0</v>
      </c>
      <c r="E142" s="134">
        <v>0</v>
      </c>
      <c r="F142" s="134">
        <v>0</v>
      </c>
      <c r="G142" s="135">
        <f t="shared" si="7"/>
        <v>1</v>
      </c>
      <c r="H142" s="136">
        <f t="shared" si="6"/>
        <v>7</v>
      </c>
      <c r="I142" s="137" t="str">
        <f t="shared" si="8"/>
        <v>J</v>
      </c>
    </row>
    <row r="143" spans="1:9" x14ac:dyDescent="0.25">
      <c r="A143" s="174"/>
      <c r="B143" s="132"/>
      <c r="C143" s="133"/>
      <c r="D143" s="133">
        <v>0</v>
      </c>
      <c r="E143" s="134">
        <v>0</v>
      </c>
      <c r="F143" s="134">
        <v>0</v>
      </c>
      <c r="G143" s="135">
        <f t="shared" si="7"/>
        <v>1</v>
      </c>
      <c r="H143" s="136">
        <f t="shared" si="6"/>
        <v>7</v>
      </c>
      <c r="I143" s="137" t="str">
        <f t="shared" si="8"/>
        <v>J</v>
      </c>
    </row>
    <row r="144" spans="1:9" x14ac:dyDescent="0.25">
      <c r="A144" s="174"/>
      <c r="B144" s="132"/>
      <c r="C144" s="133"/>
      <c r="D144" s="133">
        <v>0</v>
      </c>
      <c r="E144" s="134">
        <v>0</v>
      </c>
      <c r="F144" s="134">
        <v>0</v>
      </c>
      <c r="G144" s="135">
        <f t="shared" si="7"/>
        <v>1</v>
      </c>
      <c r="H144" s="136">
        <f t="shared" si="6"/>
        <v>7</v>
      </c>
      <c r="I144" s="137" t="str">
        <f t="shared" si="8"/>
        <v>J</v>
      </c>
    </row>
    <row r="145" spans="1:9" x14ac:dyDescent="0.25">
      <c r="A145" s="174"/>
      <c r="B145" s="132"/>
      <c r="C145" s="133"/>
      <c r="D145" s="133">
        <v>0</v>
      </c>
      <c r="E145" s="134">
        <v>0</v>
      </c>
      <c r="F145" s="134">
        <v>0</v>
      </c>
      <c r="G145" s="135">
        <f t="shared" si="7"/>
        <v>1</v>
      </c>
      <c r="H145" s="136">
        <f t="shared" si="6"/>
        <v>7</v>
      </c>
      <c r="I145" s="137" t="str">
        <f t="shared" si="8"/>
        <v>J</v>
      </c>
    </row>
    <row r="146" spans="1:9" x14ac:dyDescent="0.25">
      <c r="A146" s="174"/>
      <c r="B146" s="132"/>
      <c r="C146" s="133"/>
      <c r="D146" s="133">
        <v>0</v>
      </c>
      <c r="E146" s="134">
        <v>0</v>
      </c>
      <c r="F146" s="134">
        <v>0</v>
      </c>
      <c r="G146" s="135">
        <f t="shared" si="7"/>
        <v>1</v>
      </c>
      <c r="H146" s="136">
        <f t="shared" si="6"/>
        <v>7</v>
      </c>
      <c r="I146" s="137" t="str">
        <f t="shared" si="8"/>
        <v>J</v>
      </c>
    </row>
    <row r="147" spans="1:9" x14ac:dyDescent="0.25">
      <c r="A147" s="174"/>
      <c r="B147" s="132"/>
      <c r="C147" s="133"/>
      <c r="D147" s="133">
        <v>0</v>
      </c>
      <c r="E147" s="134">
        <v>0</v>
      </c>
      <c r="F147" s="134">
        <v>0</v>
      </c>
      <c r="G147" s="135">
        <f t="shared" si="7"/>
        <v>1</v>
      </c>
      <c r="H147" s="136">
        <f t="shared" si="6"/>
        <v>7</v>
      </c>
      <c r="I147" s="137" t="str">
        <f t="shared" si="8"/>
        <v>J</v>
      </c>
    </row>
    <row r="148" spans="1:9" x14ac:dyDescent="0.25">
      <c r="A148" s="174"/>
      <c r="B148" s="132"/>
      <c r="C148" s="133"/>
      <c r="D148" s="133">
        <v>0</v>
      </c>
      <c r="E148" s="134">
        <v>0</v>
      </c>
      <c r="F148" s="134">
        <v>0</v>
      </c>
      <c r="G148" s="135">
        <f t="shared" si="7"/>
        <v>1</v>
      </c>
      <c r="H148" s="136">
        <f t="shared" si="6"/>
        <v>7</v>
      </c>
      <c r="I148" s="137" t="str">
        <f t="shared" si="8"/>
        <v>J</v>
      </c>
    </row>
    <row r="149" spans="1:9" x14ac:dyDescent="0.25">
      <c r="A149" s="174"/>
      <c r="B149" s="132"/>
      <c r="C149" s="133"/>
      <c r="D149" s="133">
        <v>0</v>
      </c>
      <c r="E149" s="134">
        <v>0</v>
      </c>
      <c r="F149" s="134">
        <v>0</v>
      </c>
      <c r="G149" s="135">
        <f t="shared" si="7"/>
        <v>1</v>
      </c>
      <c r="H149" s="136">
        <f t="shared" si="6"/>
        <v>7</v>
      </c>
      <c r="I149" s="137" t="str">
        <f t="shared" si="8"/>
        <v>J</v>
      </c>
    </row>
    <row r="150" spans="1:9" x14ac:dyDescent="0.25">
      <c r="A150" s="174"/>
      <c r="B150" s="132"/>
      <c r="C150" s="133"/>
      <c r="D150" s="133">
        <v>0</v>
      </c>
      <c r="E150" s="134">
        <v>0</v>
      </c>
      <c r="F150" s="134">
        <v>0</v>
      </c>
      <c r="G150" s="135">
        <f t="shared" si="7"/>
        <v>1</v>
      </c>
      <c r="H150" s="136">
        <f t="shared" si="6"/>
        <v>7</v>
      </c>
      <c r="I150" s="137" t="str">
        <f t="shared" si="8"/>
        <v>J</v>
      </c>
    </row>
    <row r="151" spans="1:9" x14ac:dyDescent="0.25">
      <c r="A151" s="174"/>
      <c r="B151" s="132"/>
      <c r="C151" s="133"/>
      <c r="D151" s="133">
        <v>0</v>
      </c>
      <c r="E151" s="134">
        <v>0</v>
      </c>
      <c r="F151" s="134">
        <v>0</v>
      </c>
      <c r="G151" s="135">
        <f t="shared" si="7"/>
        <v>1</v>
      </c>
      <c r="H151" s="136">
        <f t="shared" si="6"/>
        <v>7</v>
      </c>
      <c r="I151" s="137" t="str">
        <f t="shared" si="8"/>
        <v>J</v>
      </c>
    </row>
    <row r="152" spans="1:9" x14ac:dyDescent="0.25">
      <c r="A152" s="174"/>
      <c r="B152" s="132"/>
      <c r="C152" s="133"/>
      <c r="D152" s="133">
        <v>0</v>
      </c>
      <c r="E152" s="134">
        <v>0</v>
      </c>
      <c r="F152" s="134">
        <v>0</v>
      </c>
      <c r="G152" s="135">
        <f t="shared" si="7"/>
        <v>1</v>
      </c>
      <c r="H152" s="136">
        <f t="shared" si="6"/>
        <v>7</v>
      </c>
      <c r="I152" s="137" t="str">
        <f t="shared" si="8"/>
        <v>J</v>
      </c>
    </row>
    <row r="153" spans="1:9" x14ac:dyDescent="0.25">
      <c r="A153" s="174"/>
      <c r="B153" s="132"/>
      <c r="C153" s="133"/>
      <c r="D153" s="133">
        <v>0</v>
      </c>
      <c r="E153" s="134">
        <v>0</v>
      </c>
      <c r="F153" s="134">
        <v>0</v>
      </c>
      <c r="G153" s="135">
        <f t="shared" si="7"/>
        <v>1</v>
      </c>
      <c r="H153" s="136">
        <f t="shared" si="6"/>
        <v>7</v>
      </c>
      <c r="I153" s="137" t="str">
        <f t="shared" si="8"/>
        <v>J</v>
      </c>
    </row>
    <row r="154" spans="1:9" x14ac:dyDescent="0.25">
      <c r="A154" s="174"/>
      <c r="B154" s="132"/>
      <c r="C154" s="133"/>
      <c r="D154" s="133">
        <v>0</v>
      </c>
      <c r="E154" s="134">
        <v>0</v>
      </c>
      <c r="F154" s="134">
        <v>0</v>
      </c>
      <c r="G154" s="135">
        <f t="shared" si="7"/>
        <v>1</v>
      </c>
      <c r="H154" s="136">
        <f t="shared" si="6"/>
        <v>7</v>
      </c>
      <c r="I154" s="137" t="str">
        <f t="shared" si="8"/>
        <v>J</v>
      </c>
    </row>
    <row r="155" spans="1:9" x14ac:dyDescent="0.25">
      <c r="A155" s="174"/>
      <c r="B155" s="132"/>
      <c r="C155" s="133"/>
      <c r="D155" s="133">
        <v>0</v>
      </c>
      <c r="E155" s="134">
        <v>0</v>
      </c>
      <c r="F155" s="134">
        <v>0</v>
      </c>
      <c r="G155" s="135">
        <f t="shared" si="7"/>
        <v>1</v>
      </c>
      <c r="H155" s="136">
        <f t="shared" si="6"/>
        <v>7</v>
      </c>
      <c r="I155" s="137" t="str">
        <f t="shared" si="8"/>
        <v>J</v>
      </c>
    </row>
    <row r="156" spans="1:9" x14ac:dyDescent="0.25">
      <c r="A156" s="174"/>
      <c r="B156" s="132"/>
      <c r="C156" s="133"/>
      <c r="D156" s="133">
        <v>0</v>
      </c>
      <c r="E156" s="134">
        <v>0</v>
      </c>
      <c r="F156" s="134">
        <v>0</v>
      </c>
      <c r="G156" s="135">
        <f t="shared" si="7"/>
        <v>1</v>
      </c>
      <c r="H156" s="136">
        <f t="shared" si="6"/>
        <v>7</v>
      </c>
      <c r="I156" s="137" t="str">
        <f t="shared" si="8"/>
        <v>J</v>
      </c>
    </row>
    <row r="157" spans="1:9" x14ac:dyDescent="0.25">
      <c r="A157" s="174"/>
      <c r="B157" s="132"/>
      <c r="C157" s="133"/>
      <c r="D157" s="133">
        <v>0</v>
      </c>
      <c r="E157" s="134">
        <v>0</v>
      </c>
      <c r="F157" s="134">
        <v>0</v>
      </c>
      <c r="G157" s="135">
        <f t="shared" si="7"/>
        <v>1</v>
      </c>
      <c r="H157" s="136">
        <f t="shared" si="6"/>
        <v>7</v>
      </c>
      <c r="I157" s="137" t="str">
        <f t="shared" si="8"/>
        <v>J</v>
      </c>
    </row>
    <row r="158" spans="1:9" x14ac:dyDescent="0.25">
      <c r="A158" s="174"/>
      <c r="B158" s="132"/>
      <c r="C158" s="133"/>
      <c r="D158" s="133">
        <v>0</v>
      </c>
      <c r="E158" s="134">
        <v>0</v>
      </c>
      <c r="F158" s="134">
        <v>0</v>
      </c>
      <c r="G158" s="135">
        <f t="shared" si="7"/>
        <v>1</v>
      </c>
      <c r="H158" s="136">
        <f t="shared" si="6"/>
        <v>7</v>
      </c>
      <c r="I158" s="137" t="str">
        <f t="shared" si="8"/>
        <v>J</v>
      </c>
    </row>
    <row r="159" spans="1:9" x14ac:dyDescent="0.25">
      <c r="A159" s="174"/>
      <c r="B159" s="132"/>
      <c r="C159" s="133"/>
      <c r="D159" s="133">
        <v>0</v>
      </c>
      <c r="E159" s="134">
        <v>0</v>
      </c>
      <c r="F159" s="134">
        <v>0</v>
      </c>
      <c r="G159" s="135">
        <f t="shared" si="7"/>
        <v>1</v>
      </c>
      <c r="H159" s="136">
        <f t="shared" si="6"/>
        <v>7</v>
      </c>
      <c r="I159" s="137" t="str">
        <f t="shared" si="8"/>
        <v>J</v>
      </c>
    </row>
    <row r="160" spans="1:9" x14ac:dyDescent="0.25">
      <c r="A160" s="174"/>
      <c r="B160" s="132"/>
      <c r="C160" s="133"/>
      <c r="D160" s="133">
        <v>0</v>
      </c>
      <c r="E160" s="134">
        <v>0</v>
      </c>
      <c r="F160" s="134">
        <v>0</v>
      </c>
      <c r="G160" s="135">
        <f t="shared" si="7"/>
        <v>1</v>
      </c>
      <c r="H160" s="136">
        <f t="shared" si="6"/>
        <v>7</v>
      </c>
      <c r="I160" s="137" t="str">
        <f t="shared" si="8"/>
        <v>J</v>
      </c>
    </row>
    <row r="161" spans="1:9" x14ac:dyDescent="0.25">
      <c r="A161" s="174"/>
      <c r="B161" s="132"/>
      <c r="C161" s="133"/>
      <c r="D161" s="133">
        <v>0</v>
      </c>
      <c r="E161" s="134">
        <v>0</v>
      </c>
      <c r="F161" s="134">
        <v>0</v>
      </c>
      <c r="G161" s="135">
        <f t="shared" si="7"/>
        <v>1</v>
      </c>
      <c r="H161" s="136">
        <f t="shared" si="6"/>
        <v>7</v>
      </c>
      <c r="I161" s="137" t="str">
        <f t="shared" si="8"/>
        <v>J</v>
      </c>
    </row>
    <row r="162" spans="1:9" x14ac:dyDescent="0.25">
      <c r="A162" s="174"/>
      <c r="B162" s="132"/>
      <c r="C162" s="133"/>
      <c r="D162" s="133">
        <v>0</v>
      </c>
      <c r="E162" s="134">
        <v>0</v>
      </c>
      <c r="F162" s="134">
        <v>0</v>
      </c>
      <c r="G162" s="135">
        <f t="shared" si="7"/>
        <v>1</v>
      </c>
      <c r="H162" s="136">
        <f t="shared" si="6"/>
        <v>7</v>
      </c>
      <c r="I162" s="137" t="str">
        <f t="shared" si="8"/>
        <v>J</v>
      </c>
    </row>
    <row r="163" spans="1:9" x14ac:dyDescent="0.25">
      <c r="A163" s="174"/>
      <c r="B163" s="132"/>
      <c r="C163" s="133"/>
      <c r="D163" s="133">
        <v>0</v>
      </c>
      <c r="E163" s="134">
        <v>0</v>
      </c>
      <c r="F163" s="134">
        <v>0</v>
      </c>
      <c r="G163" s="135">
        <f t="shared" si="7"/>
        <v>1</v>
      </c>
      <c r="H163" s="136">
        <f t="shared" si="6"/>
        <v>7</v>
      </c>
      <c r="I163" s="137" t="str">
        <f t="shared" si="8"/>
        <v>J</v>
      </c>
    </row>
    <row r="164" spans="1:9" x14ac:dyDescent="0.25">
      <c r="A164" s="174"/>
      <c r="B164" s="132"/>
      <c r="C164" s="133"/>
      <c r="D164" s="133">
        <v>0</v>
      </c>
      <c r="E164" s="134">
        <v>0</v>
      </c>
      <c r="F164" s="134">
        <v>0</v>
      </c>
      <c r="G164" s="135">
        <f t="shared" si="7"/>
        <v>1</v>
      </c>
      <c r="H164" s="136">
        <f t="shared" si="6"/>
        <v>7</v>
      </c>
      <c r="I164" s="137" t="str">
        <f t="shared" si="8"/>
        <v>J</v>
      </c>
    </row>
    <row r="165" spans="1:9" x14ac:dyDescent="0.25">
      <c r="A165" s="174"/>
      <c r="B165" s="132"/>
      <c r="C165" s="133"/>
      <c r="D165" s="133">
        <v>0</v>
      </c>
      <c r="E165" s="134">
        <v>0</v>
      </c>
      <c r="F165" s="134">
        <v>0</v>
      </c>
      <c r="G165" s="135">
        <f t="shared" si="7"/>
        <v>1</v>
      </c>
      <c r="H165" s="136">
        <f t="shared" si="6"/>
        <v>7</v>
      </c>
      <c r="I165" s="137" t="str">
        <f t="shared" si="8"/>
        <v>J</v>
      </c>
    </row>
    <row r="166" spans="1:9" x14ac:dyDescent="0.25">
      <c r="A166" s="174"/>
      <c r="B166" s="132"/>
      <c r="C166" s="133"/>
      <c r="D166" s="133">
        <v>0</v>
      </c>
      <c r="E166" s="134">
        <v>0</v>
      </c>
      <c r="F166" s="134">
        <v>0</v>
      </c>
      <c r="G166" s="135">
        <f t="shared" si="7"/>
        <v>1</v>
      </c>
      <c r="H166" s="136">
        <f t="shared" si="6"/>
        <v>7</v>
      </c>
      <c r="I166" s="137" t="str">
        <f t="shared" si="8"/>
        <v>J</v>
      </c>
    </row>
    <row r="167" spans="1:9" x14ac:dyDescent="0.25">
      <c r="A167" s="174"/>
      <c r="B167" s="132"/>
      <c r="C167" s="133"/>
      <c r="D167" s="133">
        <v>0</v>
      </c>
      <c r="E167" s="134">
        <v>0</v>
      </c>
      <c r="F167" s="134">
        <v>0</v>
      </c>
      <c r="G167" s="135">
        <f t="shared" si="7"/>
        <v>1</v>
      </c>
      <c r="H167" s="136">
        <f t="shared" si="6"/>
        <v>7</v>
      </c>
      <c r="I167" s="137" t="str">
        <f t="shared" si="8"/>
        <v>J</v>
      </c>
    </row>
    <row r="168" spans="1:9" x14ac:dyDescent="0.25">
      <c r="A168" s="174"/>
      <c r="B168" s="132"/>
      <c r="C168" s="133"/>
      <c r="D168" s="133">
        <v>0</v>
      </c>
      <c r="E168" s="134">
        <v>0</v>
      </c>
      <c r="F168" s="134">
        <v>0</v>
      </c>
      <c r="G168" s="135">
        <f t="shared" si="7"/>
        <v>1</v>
      </c>
      <c r="H168" s="136">
        <f t="shared" si="6"/>
        <v>7</v>
      </c>
      <c r="I168" s="137" t="str">
        <f t="shared" si="8"/>
        <v>J</v>
      </c>
    </row>
    <row r="169" spans="1:9" x14ac:dyDescent="0.25">
      <c r="A169" s="174"/>
      <c r="B169" s="132"/>
      <c r="C169" s="133"/>
      <c r="D169" s="133">
        <v>0</v>
      </c>
      <c r="E169" s="134">
        <v>0</v>
      </c>
      <c r="F169" s="134">
        <v>0</v>
      </c>
      <c r="G169" s="135">
        <f t="shared" si="7"/>
        <v>1</v>
      </c>
      <c r="H169" s="136">
        <f t="shared" si="6"/>
        <v>7</v>
      </c>
      <c r="I169" s="137" t="str">
        <f t="shared" si="8"/>
        <v>J</v>
      </c>
    </row>
    <row r="170" spans="1:9" x14ac:dyDescent="0.25">
      <c r="A170" s="174"/>
      <c r="B170" s="132"/>
      <c r="C170" s="133"/>
      <c r="D170" s="133">
        <v>0</v>
      </c>
      <c r="E170" s="134">
        <v>0</v>
      </c>
      <c r="F170" s="134">
        <v>0</v>
      </c>
      <c r="G170" s="135">
        <f t="shared" si="7"/>
        <v>1</v>
      </c>
      <c r="H170" s="136">
        <f t="shared" si="6"/>
        <v>7</v>
      </c>
      <c r="I170" s="137" t="str">
        <f t="shared" si="8"/>
        <v>J</v>
      </c>
    </row>
    <row r="171" spans="1:9" x14ac:dyDescent="0.25">
      <c r="A171" s="174"/>
      <c r="B171" s="132"/>
      <c r="C171" s="133"/>
      <c r="D171" s="133">
        <v>0</v>
      </c>
      <c r="E171" s="134">
        <v>0</v>
      </c>
      <c r="F171" s="134">
        <v>0</v>
      </c>
      <c r="G171" s="135">
        <f t="shared" si="7"/>
        <v>1</v>
      </c>
      <c r="H171" s="136">
        <f t="shared" si="6"/>
        <v>7</v>
      </c>
      <c r="I171" s="137" t="str">
        <f t="shared" si="8"/>
        <v>J</v>
      </c>
    </row>
    <row r="172" spans="1:9" x14ac:dyDescent="0.25">
      <c r="A172" s="174"/>
      <c r="B172" s="132"/>
      <c r="C172" s="133"/>
      <c r="D172" s="133">
        <v>0</v>
      </c>
      <c r="E172" s="134">
        <v>0</v>
      </c>
      <c r="F172" s="134">
        <v>0</v>
      </c>
      <c r="G172" s="135">
        <f t="shared" si="7"/>
        <v>1</v>
      </c>
      <c r="H172" s="136">
        <f t="shared" si="6"/>
        <v>7</v>
      </c>
      <c r="I172" s="137" t="str">
        <f t="shared" si="8"/>
        <v>J</v>
      </c>
    </row>
    <row r="173" spans="1:9" x14ac:dyDescent="0.25">
      <c r="A173" s="174"/>
      <c r="B173" s="132"/>
      <c r="C173" s="133"/>
      <c r="D173" s="133">
        <v>0</v>
      </c>
      <c r="E173" s="134">
        <v>0</v>
      </c>
      <c r="F173" s="134">
        <v>0</v>
      </c>
      <c r="G173" s="135">
        <f t="shared" si="7"/>
        <v>1</v>
      </c>
      <c r="H173" s="136">
        <f t="shared" si="6"/>
        <v>7</v>
      </c>
      <c r="I173" s="137" t="str">
        <f t="shared" si="8"/>
        <v>J</v>
      </c>
    </row>
    <row r="174" spans="1:9" x14ac:dyDescent="0.25">
      <c r="A174" s="174"/>
      <c r="B174" s="132"/>
      <c r="C174" s="133"/>
      <c r="D174" s="133">
        <v>0</v>
      </c>
      <c r="E174" s="134">
        <v>0</v>
      </c>
      <c r="F174" s="134">
        <v>0</v>
      </c>
      <c r="G174" s="135">
        <f t="shared" si="7"/>
        <v>1</v>
      </c>
      <c r="H174" s="136">
        <f t="shared" si="6"/>
        <v>7</v>
      </c>
      <c r="I174" s="137" t="str">
        <f t="shared" si="8"/>
        <v>J</v>
      </c>
    </row>
    <row r="175" spans="1:9" x14ac:dyDescent="0.25">
      <c r="A175" s="174"/>
      <c r="B175" s="132"/>
      <c r="C175" s="133"/>
      <c r="D175" s="133">
        <v>0</v>
      </c>
      <c r="E175" s="134">
        <v>0</v>
      </c>
      <c r="F175" s="134">
        <v>0</v>
      </c>
      <c r="G175" s="135">
        <f t="shared" si="7"/>
        <v>1</v>
      </c>
      <c r="H175" s="136">
        <f t="shared" si="6"/>
        <v>7</v>
      </c>
      <c r="I175" s="137" t="str">
        <f t="shared" si="8"/>
        <v>J</v>
      </c>
    </row>
    <row r="176" spans="1:9" x14ac:dyDescent="0.25">
      <c r="A176" s="174"/>
      <c r="B176" s="132"/>
      <c r="C176" s="133"/>
      <c r="D176" s="133">
        <v>0</v>
      </c>
      <c r="E176" s="134">
        <v>0</v>
      </c>
      <c r="F176" s="134">
        <v>0</v>
      </c>
      <c r="G176" s="135">
        <f t="shared" si="7"/>
        <v>1</v>
      </c>
      <c r="H176" s="136">
        <f t="shared" si="6"/>
        <v>7</v>
      </c>
      <c r="I176" s="137" t="str">
        <f t="shared" si="8"/>
        <v>J</v>
      </c>
    </row>
    <row r="177" spans="1:9" x14ac:dyDescent="0.25">
      <c r="A177" s="174"/>
      <c r="B177" s="132"/>
      <c r="C177" s="133"/>
      <c r="D177" s="133">
        <v>0</v>
      </c>
      <c r="E177" s="134">
        <v>0</v>
      </c>
      <c r="F177" s="134">
        <v>0</v>
      </c>
      <c r="G177" s="135">
        <f t="shared" si="7"/>
        <v>1</v>
      </c>
      <c r="H177" s="136">
        <f t="shared" si="6"/>
        <v>7</v>
      </c>
      <c r="I177" s="137" t="str">
        <f t="shared" si="8"/>
        <v>J</v>
      </c>
    </row>
    <row r="178" spans="1:9" x14ac:dyDescent="0.25">
      <c r="A178" s="174"/>
      <c r="B178" s="132"/>
      <c r="C178" s="133"/>
      <c r="D178" s="133">
        <v>0</v>
      </c>
      <c r="E178" s="134">
        <v>0</v>
      </c>
      <c r="F178" s="134">
        <v>0</v>
      </c>
      <c r="G178" s="135">
        <f t="shared" si="7"/>
        <v>1</v>
      </c>
      <c r="H178" s="136">
        <f t="shared" si="6"/>
        <v>7</v>
      </c>
      <c r="I178" s="137" t="str">
        <f t="shared" si="8"/>
        <v>J</v>
      </c>
    </row>
    <row r="179" spans="1:9" x14ac:dyDescent="0.25">
      <c r="A179" s="174"/>
      <c r="B179" s="132"/>
      <c r="C179" s="133"/>
      <c r="D179" s="133">
        <v>0</v>
      </c>
      <c r="E179" s="134">
        <v>0</v>
      </c>
      <c r="F179" s="134">
        <v>0</v>
      </c>
      <c r="G179" s="135">
        <f t="shared" si="7"/>
        <v>1</v>
      </c>
      <c r="H179" s="136">
        <f t="shared" si="6"/>
        <v>7</v>
      </c>
      <c r="I179" s="137" t="str">
        <f t="shared" si="8"/>
        <v>J</v>
      </c>
    </row>
    <row r="180" spans="1:9" x14ac:dyDescent="0.25">
      <c r="A180" s="174"/>
      <c r="B180" s="132"/>
      <c r="C180" s="133"/>
      <c r="D180" s="133">
        <v>0</v>
      </c>
      <c r="E180" s="134">
        <v>0</v>
      </c>
      <c r="F180" s="134">
        <v>0</v>
      </c>
      <c r="G180" s="135">
        <f t="shared" si="7"/>
        <v>1</v>
      </c>
      <c r="H180" s="136">
        <f t="shared" si="6"/>
        <v>7</v>
      </c>
      <c r="I180" s="137" t="str">
        <f t="shared" si="8"/>
        <v>J</v>
      </c>
    </row>
    <row r="181" spans="1:9" x14ac:dyDescent="0.25">
      <c r="A181" s="174"/>
      <c r="B181" s="132"/>
      <c r="C181" s="133"/>
      <c r="D181" s="133">
        <v>0</v>
      </c>
      <c r="E181" s="134">
        <v>0</v>
      </c>
      <c r="F181" s="134">
        <v>0</v>
      </c>
      <c r="G181" s="135">
        <f t="shared" si="7"/>
        <v>1</v>
      </c>
      <c r="H181" s="136">
        <f t="shared" si="6"/>
        <v>7</v>
      </c>
      <c r="I181" s="137" t="str">
        <f t="shared" si="8"/>
        <v>J</v>
      </c>
    </row>
    <row r="182" spans="1:9" x14ac:dyDescent="0.25">
      <c r="A182" s="174"/>
      <c r="B182" s="132"/>
      <c r="C182" s="133"/>
      <c r="D182" s="133">
        <v>0</v>
      </c>
      <c r="E182" s="134">
        <v>0</v>
      </c>
      <c r="F182" s="134">
        <v>0</v>
      </c>
      <c r="G182" s="135">
        <f t="shared" si="7"/>
        <v>1</v>
      </c>
      <c r="H182" s="136">
        <f t="shared" si="6"/>
        <v>7</v>
      </c>
      <c r="I182" s="137" t="str">
        <f t="shared" si="8"/>
        <v>J</v>
      </c>
    </row>
    <row r="183" spans="1:9" x14ac:dyDescent="0.25">
      <c r="A183" s="174"/>
      <c r="B183" s="132"/>
      <c r="C183" s="133"/>
      <c r="D183" s="133">
        <v>0</v>
      </c>
      <c r="E183" s="134">
        <v>0</v>
      </c>
      <c r="F183" s="134">
        <v>0</v>
      </c>
      <c r="G183" s="135">
        <f t="shared" si="7"/>
        <v>1</v>
      </c>
      <c r="H183" s="136">
        <f t="shared" si="6"/>
        <v>7</v>
      </c>
      <c r="I183" s="137" t="str">
        <f t="shared" si="8"/>
        <v>J</v>
      </c>
    </row>
    <row r="184" spans="1:9" x14ac:dyDescent="0.25">
      <c r="A184" s="174"/>
      <c r="B184" s="132"/>
      <c r="C184" s="133"/>
      <c r="D184" s="133">
        <v>0</v>
      </c>
      <c r="E184" s="134">
        <v>0</v>
      </c>
      <c r="F184" s="134">
        <v>0</v>
      </c>
      <c r="G184" s="135">
        <f t="shared" si="7"/>
        <v>1</v>
      </c>
      <c r="H184" s="136">
        <f t="shared" si="6"/>
        <v>7</v>
      </c>
      <c r="I184" s="137" t="str">
        <f t="shared" si="8"/>
        <v>J</v>
      </c>
    </row>
    <row r="185" spans="1:9" x14ac:dyDescent="0.25">
      <c r="A185" s="174"/>
      <c r="B185" s="132"/>
      <c r="C185" s="133"/>
      <c r="D185" s="133">
        <v>0</v>
      </c>
      <c r="E185" s="134">
        <v>0</v>
      </c>
      <c r="F185" s="134">
        <v>0</v>
      </c>
      <c r="G185" s="135">
        <f t="shared" si="7"/>
        <v>1</v>
      </c>
      <c r="H185" s="136">
        <f t="shared" si="6"/>
        <v>7</v>
      </c>
      <c r="I185" s="137" t="str">
        <f t="shared" si="8"/>
        <v>J</v>
      </c>
    </row>
    <row r="186" spans="1:9" x14ac:dyDescent="0.25">
      <c r="A186" s="174"/>
      <c r="B186" s="132"/>
      <c r="C186" s="133"/>
      <c r="D186" s="133">
        <v>0</v>
      </c>
      <c r="E186" s="134">
        <v>0</v>
      </c>
      <c r="F186" s="134">
        <v>0</v>
      </c>
      <c r="G186" s="135">
        <f t="shared" si="7"/>
        <v>1</v>
      </c>
      <c r="H186" s="136">
        <f t="shared" si="6"/>
        <v>7</v>
      </c>
      <c r="I186" s="137" t="str">
        <f t="shared" si="8"/>
        <v>J</v>
      </c>
    </row>
    <row r="187" spans="1:9" x14ac:dyDescent="0.25">
      <c r="A187" s="174"/>
      <c r="B187" s="132"/>
      <c r="C187" s="133"/>
      <c r="D187" s="133">
        <v>0</v>
      </c>
      <c r="E187" s="134">
        <v>0</v>
      </c>
      <c r="F187" s="134">
        <v>0</v>
      </c>
      <c r="G187" s="135">
        <f t="shared" si="7"/>
        <v>1</v>
      </c>
      <c r="H187" s="136">
        <f t="shared" si="6"/>
        <v>7</v>
      </c>
      <c r="I187" s="137" t="str">
        <f t="shared" si="8"/>
        <v>J</v>
      </c>
    </row>
    <row r="188" spans="1:9" x14ac:dyDescent="0.25">
      <c r="A188" s="174"/>
      <c r="B188" s="132"/>
      <c r="C188" s="133"/>
      <c r="D188" s="133">
        <v>0</v>
      </c>
      <c r="E188" s="134">
        <v>0</v>
      </c>
      <c r="F188" s="134">
        <v>0</v>
      </c>
      <c r="G188" s="135">
        <f t="shared" si="7"/>
        <v>1</v>
      </c>
      <c r="H188" s="136">
        <f t="shared" si="6"/>
        <v>7</v>
      </c>
      <c r="I188" s="137" t="str">
        <f t="shared" si="8"/>
        <v>J</v>
      </c>
    </row>
    <row r="189" spans="1:9" x14ac:dyDescent="0.25">
      <c r="A189" s="174"/>
      <c r="B189" s="132"/>
      <c r="C189" s="133"/>
      <c r="D189" s="133">
        <v>0</v>
      </c>
      <c r="E189" s="134">
        <v>0</v>
      </c>
      <c r="F189" s="134">
        <v>0</v>
      </c>
      <c r="G189" s="135">
        <f t="shared" si="7"/>
        <v>1</v>
      </c>
      <c r="H189" s="136">
        <f t="shared" si="6"/>
        <v>7</v>
      </c>
      <c r="I189" s="137" t="str">
        <f t="shared" si="8"/>
        <v>J</v>
      </c>
    </row>
    <row r="190" spans="1:9" x14ac:dyDescent="0.25">
      <c r="A190" s="174"/>
      <c r="B190" s="132"/>
      <c r="C190" s="133"/>
      <c r="D190" s="133">
        <v>0</v>
      </c>
      <c r="E190" s="134">
        <v>0</v>
      </c>
      <c r="F190" s="134">
        <v>0</v>
      </c>
      <c r="G190" s="135">
        <f t="shared" si="7"/>
        <v>1</v>
      </c>
      <c r="H190" s="136">
        <f t="shared" si="6"/>
        <v>7</v>
      </c>
      <c r="I190" s="137" t="str">
        <f t="shared" si="8"/>
        <v>J</v>
      </c>
    </row>
    <row r="191" spans="1:9" x14ac:dyDescent="0.25">
      <c r="A191" s="174"/>
      <c r="B191" s="132"/>
      <c r="C191" s="133"/>
      <c r="D191" s="133">
        <v>0</v>
      </c>
      <c r="E191" s="134">
        <v>0</v>
      </c>
      <c r="F191" s="134">
        <v>0</v>
      </c>
      <c r="G191" s="135">
        <f t="shared" si="7"/>
        <v>1</v>
      </c>
      <c r="H191" s="136">
        <f t="shared" si="6"/>
        <v>7</v>
      </c>
      <c r="I191" s="137" t="str">
        <f t="shared" si="8"/>
        <v>J</v>
      </c>
    </row>
    <row r="192" spans="1:9" x14ac:dyDescent="0.25">
      <c r="A192" s="174"/>
      <c r="B192" s="132"/>
      <c r="C192" s="133"/>
      <c r="D192" s="133">
        <v>0</v>
      </c>
      <c r="E192" s="134">
        <v>0</v>
      </c>
      <c r="F192" s="134">
        <v>0</v>
      </c>
      <c r="G192" s="135">
        <f t="shared" si="7"/>
        <v>1</v>
      </c>
      <c r="H192" s="136">
        <f t="shared" si="6"/>
        <v>7</v>
      </c>
      <c r="I192" s="137" t="str">
        <f t="shared" si="8"/>
        <v>J</v>
      </c>
    </row>
    <row r="193" spans="1:9" x14ac:dyDescent="0.25">
      <c r="A193" s="174"/>
      <c r="B193" s="132"/>
      <c r="C193" s="133"/>
      <c r="D193" s="133">
        <v>0</v>
      </c>
      <c r="E193" s="134">
        <v>0</v>
      </c>
      <c r="F193" s="134">
        <v>0</v>
      </c>
      <c r="G193" s="135">
        <f t="shared" si="7"/>
        <v>1</v>
      </c>
      <c r="H193" s="136">
        <f t="shared" si="6"/>
        <v>7</v>
      </c>
      <c r="I193" s="137" t="str">
        <f t="shared" si="8"/>
        <v>J</v>
      </c>
    </row>
    <row r="194" spans="1:9" x14ac:dyDescent="0.25">
      <c r="A194" s="174"/>
      <c r="B194" s="132"/>
      <c r="C194" s="133"/>
      <c r="D194" s="133">
        <v>0</v>
      </c>
      <c r="E194" s="134">
        <v>0</v>
      </c>
      <c r="F194" s="134">
        <v>0</v>
      </c>
      <c r="G194" s="135">
        <f t="shared" si="7"/>
        <v>1</v>
      </c>
      <c r="H194" s="136">
        <f t="shared" ref="H194:H257" si="9">VLOOKUP($G194, $Q$3:$R$12, 2)</f>
        <v>7</v>
      </c>
      <c r="I194" s="137" t="str">
        <f t="shared" si="8"/>
        <v>J</v>
      </c>
    </row>
    <row r="195" spans="1:9" x14ac:dyDescent="0.25">
      <c r="A195" s="174"/>
      <c r="B195" s="132"/>
      <c r="C195" s="133"/>
      <c r="D195" s="133">
        <v>0</v>
      </c>
      <c r="E195" s="134">
        <v>0</v>
      </c>
      <c r="F195" s="134">
        <v>0</v>
      </c>
      <c r="G195" s="135">
        <f t="shared" ref="G195:G258" si="10">(VLOOKUP($D195,$L$3:$O$15,4))+(VLOOKUP($E195,$M$3:$O$15,3))-(VLOOKUP($F195,$N$3:$O$15,2))</f>
        <v>1</v>
      </c>
      <c r="H195" s="136">
        <f t="shared" si="9"/>
        <v>7</v>
      </c>
      <c r="I195" s="137" t="str">
        <f t="shared" ref="I195:I258" si="11">IF(AND((SUM(D195:F195)=0),B195=0), "J", VLOOKUP($H195, $Q$16:$R$25, 2))</f>
        <v>J</v>
      </c>
    </row>
    <row r="196" spans="1:9" x14ac:dyDescent="0.25">
      <c r="A196" s="174"/>
      <c r="B196" s="132"/>
      <c r="C196" s="133"/>
      <c r="D196" s="133">
        <v>0</v>
      </c>
      <c r="E196" s="134">
        <v>0</v>
      </c>
      <c r="F196" s="134">
        <v>0</v>
      </c>
      <c r="G196" s="135">
        <f t="shared" si="10"/>
        <v>1</v>
      </c>
      <c r="H196" s="136">
        <f t="shared" si="9"/>
        <v>7</v>
      </c>
      <c r="I196" s="137" t="str">
        <f t="shared" si="11"/>
        <v>J</v>
      </c>
    </row>
    <row r="197" spans="1:9" x14ac:dyDescent="0.25">
      <c r="A197" s="174"/>
      <c r="B197" s="132"/>
      <c r="C197" s="133"/>
      <c r="D197" s="133">
        <v>0</v>
      </c>
      <c r="E197" s="134">
        <v>0</v>
      </c>
      <c r="F197" s="134">
        <v>0</v>
      </c>
      <c r="G197" s="135">
        <f t="shared" si="10"/>
        <v>1</v>
      </c>
      <c r="H197" s="136">
        <f t="shared" si="9"/>
        <v>7</v>
      </c>
      <c r="I197" s="137" t="str">
        <f t="shared" si="11"/>
        <v>J</v>
      </c>
    </row>
    <row r="198" spans="1:9" x14ac:dyDescent="0.25">
      <c r="A198" s="174"/>
      <c r="B198" s="132"/>
      <c r="C198" s="133"/>
      <c r="D198" s="133">
        <v>0</v>
      </c>
      <c r="E198" s="134">
        <v>0</v>
      </c>
      <c r="F198" s="134">
        <v>0</v>
      </c>
      <c r="G198" s="135">
        <f t="shared" si="10"/>
        <v>1</v>
      </c>
      <c r="H198" s="136">
        <f t="shared" si="9"/>
        <v>7</v>
      </c>
      <c r="I198" s="137" t="str">
        <f t="shared" si="11"/>
        <v>J</v>
      </c>
    </row>
    <row r="199" spans="1:9" x14ac:dyDescent="0.25">
      <c r="A199" s="174"/>
      <c r="B199" s="132"/>
      <c r="C199" s="133"/>
      <c r="D199" s="133">
        <v>0</v>
      </c>
      <c r="E199" s="134">
        <v>0</v>
      </c>
      <c r="F199" s="134">
        <v>0</v>
      </c>
      <c r="G199" s="135">
        <f t="shared" si="10"/>
        <v>1</v>
      </c>
      <c r="H199" s="136">
        <f t="shared" si="9"/>
        <v>7</v>
      </c>
      <c r="I199" s="137" t="str">
        <f t="shared" si="11"/>
        <v>J</v>
      </c>
    </row>
    <row r="200" spans="1:9" x14ac:dyDescent="0.25">
      <c r="A200" s="174"/>
      <c r="B200" s="132"/>
      <c r="C200" s="133"/>
      <c r="D200" s="133">
        <v>0</v>
      </c>
      <c r="E200" s="134">
        <v>0</v>
      </c>
      <c r="F200" s="134">
        <v>0</v>
      </c>
      <c r="G200" s="135">
        <f t="shared" si="10"/>
        <v>1</v>
      </c>
      <c r="H200" s="136">
        <f t="shared" si="9"/>
        <v>7</v>
      </c>
      <c r="I200" s="137" t="str">
        <f t="shared" si="11"/>
        <v>J</v>
      </c>
    </row>
    <row r="201" spans="1:9" x14ac:dyDescent="0.25">
      <c r="A201" s="174"/>
      <c r="B201" s="132"/>
      <c r="C201" s="133"/>
      <c r="D201" s="133">
        <v>0</v>
      </c>
      <c r="E201" s="134">
        <v>0</v>
      </c>
      <c r="F201" s="134">
        <v>0</v>
      </c>
      <c r="G201" s="135">
        <f t="shared" si="10"/>
        <v>1</v>
      </c>
      <c r="H201" s="136">
        <f t="shared" si="9"/>
        <v>7</v>
      </c>
      <c r="I201" s="137" t="str">
        <f t="shared" si="11"/>
        <v>J</v>
      </c>
    </row>
    <row r="202" spans="1:9" x14ac:dyDescent="0.25">
      <c r="A202" s="174"/>
      <c r="B202" s="132"/>
      <c r="C202" s="133"/>
      <c r="D202" s="133">
        <v>0</v>
      </c>
      <c r="E202" s="134">
        <v>0</v>
      </c>
      <c r="F202" s="134">
        <v>0</v>
      </c>
      <c r="G202" s="135">
        <f t="shared" si="10"/>
        <v>1</v>
      </c>
      <c r="H202" s="136">
        <f t="shared" si="9"/>
        <v>7</v>
      </c>
      <c r="I202" s="137" t="str">
        <f t="shared" si="11"/>
        <v>J</v>
      </c>
    </row>
    <row r="203" spans="1:9" x14ac:dyDescent="0.25">
      <c r="A203" s="174"/>
      <c r="B203" s="132"/>
      <c r="C203" s="133"/>
      <c r="D203" s="133">
        <v>0</v>
      </c>
      <c r="E203" s="134">
        <v>0</v>
      </c>
      <c r="F203" s="134">
        <v>0</v>
      </c>
      <c r="G203" s="135">
        <f t="shared" si="10"/>
        <v>1</v>
      </c>
      <c r="H203" s="136">
        <f t="shared" si="9"/>
        <v>7</v>
      </c>
      <c r="I203" s="137" t="str">
        <f t="shared" si="11"/>
        <v>J</v>
      </c>
    </row>
    <row r="204" spans="1:9" x14ac:dyDescent="0.25">
      <c r="A204" s="174"/>
      <c r="B204" s="132"/>
      <c r="C204" s="133"/>
      <c r="D204" s="133">
        <v>0</v>
      </c>
      <c r="E204" s="134">
        <v>0</v>
      </c>
      <c r="F204" s="134">
        <v>0</v>
      </c>
      <c r="G204" s="135">
        <f t="shared" si="10"/>
        <v>1</v>
      </c>
      <c r="H204" s="136">
        <f t="shared" si="9"/>
        <v>7</v>
      </c>
      <c r="I204" s="137" t="str">
        <f t="shared" si="11"/>
        <v>J</v>
      </c>
    </row>
    <row r="205" spans="1:9" x14ac:dyDescent="0.25">
      <c r="A205" s="174"/>
      <c r="B205" s="132"/>
      <c r="C205" s="133"/>
      <c r="D205" s="133">
        <v>0</v>
      </c>
      <c r="E205" s="134">
        <v>0</v>
      </c>
      <c r="F205" s="134">
        <v>0</v>
      </c>
      <c r="G205" s="135">
        <f t="shared" si="10"/>
        <v>1</v>
      </c>
      <c r="H205" s="136">
        <f t="shared" si="9"/>
        <v>7</v>
      </c>
      <c r="I205" s="137" t="str">
        <f t="shared" si="11"/>
        <v>J</v>
      </c>
    </row>
    <row r="206" spans="1:9" x14ac:dyDescent="0.25">
      <c r="A206" s="174"/>
      <c r="B206" s="132"/>
      <c r="C206" s="133"/>
      <c r="D206" s="133">
        <v>0</v>
      </c>
      <c r="E206" s="134">
        <v>0</v>
      </c>
      <c r="F206" s="134">
        <v>0</v>
      </c>
      <c r="G206" s="135">
        <f t="shared" si="10"/>
        <v>1</v>
      </c>
      <c r="H206" s="136">
        <f t="shared" si="9"/>
        <v>7</v>
      </c>
      <c r="I206" s="137" t="str">
        <f t="shared" si="11"/>
        <v>J</v>
      </c>
    </row>
    <row r="207" spans="1:9" x14ac:dyDescent="0.25">
      <c r="A207" s="174"/>
      <c r="B207" s="132"/>
      <c r="C207" s="133"/>
      <c r="D207" s="133">
        <v>0</v>
      </c>
      <c r="E207" s="134">
        <v>0</v>
      </c>
      <c r="F207" s="134">
        <v>0</v>
      </c>
      <c r="G207" s="135">
        <f t="shared" si="10"/>
        <v>1</v>
      </c>
      <c r="H207" s="136">
        <f t="shared" si="9"/>
        <v>7</v>
      </c>
      <c r="I207" s="137" t="str">
        <f t="shared" si="11"/>
        <v>J</v>
      </c>
    </row>
    <row r="208" spans="1:9" x14ac:dyDescent="0.25">
      <c r="A208" s="174"/>
      <c r="B208" s="132"/>
      <c r="C208" s="133"/>
      <c r="D208" s="133">
        <v>0</v>
      </c>
      <c r="E208" s="134">
        <v>0</v>
      </c>
      <c r="F208" s="134">
        <v>0</v>
      </c>
      <c r="G208" s="135">
        <f t="shared" si="10"/>
        <v>1</v>
      </c>
      <c r="H208" s="136">
        <f t="shared" si="9"/>
        <v>7</v>
      </c>
      <c r="I208" s="137" t="str">
        <f t="shared" si="11"/>
        <v>J</v>
      </c>
    </row>
    <row r="209" spans="1:9" x14ac:dyDescent="0.25">
      <c r="A209" s="174"/>
      <c r="B209" s="132"/>
      <c r="C209" s="133"/>
      <c r="D209" s="133">
        <v>0</v>
      </c>
      <c r="E209" s="134">
        <v>0</v>
      </c>
      <c r="F209" s="134">
        <v>0</v>
      </c>
      <c r="G209" s="135">
        <f t="shared" si="10"/>
        <v>1</v>
      </c>
      <c r="H209" s="136">
        <f t="shared" si="9"/>
        <v>7</v>
      </c>
      <c r="I209" s="137" t="str">
        <f t="shared" si="11"/>
        <v>J</v>
      </c>
    </row>
    <row r="210" spans="1:9" x14ac:dyDescent="0.25">
      <c r="A210" s="174"/>
      <c r="B210" s="132"/>
      <c r="C210" s="133"/>
      <c r="D210" s="133">
        <v>0</v>
      </c>
      <c r="E210" s="134">
        <v>0</v>
      </c>
      <c r="F210" s="134">
        <v>0</v>
      </c>
      <c r="G210" s="135">
        <f t="shared" si="10"/>
        <v>1</v>
      </c>
      <c r="H210" s="136">
        <f t="shared" si="9"/>
        <v>7</v>
      </c>
      <c r="I210" s="137" t="str">
        <f t="shared" si="11"/>
        <v>J</v>
      </c>
    </row>
    <row r="211" spans="1:9" x14ac:dyDescent="0.25">
      <c r="A211" s="174"/>
      <c r="B211" s="132"/>
      <c r="C211" s="133"/>
      <c r="D211" s="133">
        <v>0</v>
      </c>
      <c r="E211" s="134">
        <v>0</v>
      </c>
      <c r="F211" s="134">
        <v>0</v>
      </c>
      <c r="G211" s="135">
        <f t="shared" si="10"/>
        <v>1</v>
      </c>
      <c r="H211" s="136">
        <f t="shared" si="9"/>
        <v>7</v>
      </c>
      <c r="I211" s="137" t="str">
        <f t="shared" si="11"/>
        <v>J</v>
      </c>
    </row>
    <row r="212" spans="1:9" x14ac:dyDescent="0.25">
      <c r="A212" s="174"/>
      <c r="B212" s="132"/>
      <c r="C212" s="133"/>
      <c r="D212" s="133">
        <v>0</v>
      </c>
      <c r="E212" s="134">
        <v>0</v>
      </c>
      <c r="F212" s="134">
        <v>0</v>
      </c>
      <c r="G212" s="135">
        <f t="shared" si="10"/>
        <v>1</v>
      </c>
      <c r="H212" s="136">
        <f t="shared" si="9"/>
        <v>7</v>
      </c>
      <c r="I212" s="137" t="str">
        <f t="shared" si="11"/>
        <v>J</v>
      </c>
    </row>
    <row r="213" spans="1:9" x14ac:dyDescent="0.25">
      <c r="A213" s="174"/>
      <c r="B213" s="132"/>
      <c r="C213" s="133"/>
      <c r="D213" s="133">
        <v>0</v>
      </c>
      <c r="E213" s="134">
        <v>0</v>
      </c>
      <c r="F213" s="134">
        <v>0</v>
      </c>
      <c r="G213" s="135">
        <f t="shared" si="10"/>
        <v>1</v>
      </c>
      <c r="H213" s="136">
        <f t="shared" si="9"/>
        <v>7</v>
      </c>
      <c r="I213" s="137" t="str">
        <f t="shared" si="11"/>
        <v>J</v>
      </c>
    </row>
    <row r="214" spans="1:9" x14ac:dyDescent="0.25">
      <c r="A214" s="174"/>
      <c r="B214" s="132"/>
      <c r="C214" s="133"/>
      <c r="D214" s="133">
        <v>0</v>
      </c>
      <c r="E214" s="134">
        <v>0</v>
      </c>
      <c r="F214" s="134">
        <v>0</v>
      </c>
      <c r="G214" s="135">
        <f t="shared" si="10"/>
        <v>1</v>
      </c>
      <c r="H214" s="136">
        <f t="shared" si="9"/>
        <v>7</v>
      </c>
      <c r="I214" s="137" t="str">
        <f t="shared" si="11"/>
        <v>J</v>
      </c>
    </row>
    <row r="215" spans="1:9" x14ac:dyDescent="0.25">
      <c r="A215" s="174"/>
      <c r="B215" s="132"/>
      <c r="C215" s="133"/>
      <c r="D215" s="133">
        <v>0</v>
      </c>
      <c r="E215" s="134">
        <v>0</v>
      </c>
      <c r="F215" s="134">
        <v>0</v>
      </c>
      <c r="G215" s="135">
        <f t="shared" si="10"/>
        <v>1</v>
      </c>
      <c r="H215" s="136">
        <f t="shared" si="9"/>
        <v>7</v>
      </c>
      <c r="I215" s="137" t="str">
        <f t="shared" si="11"/>
        <v>J</v>
      </c>
    </row>
    <row r="216" spans="1:9" x14ac:dyDescent="0.25">
      <c r="A216" s="174"/>
      <c r="B216" s="132"/>
      <c r="C216" s="133"/>
      <c r="D216" s="133">
        <v>0</v>
      </c>
      <c r="E216" s="134">
        <v>0</v>
      </c>
      <c r="F216" s="134">
        <v>0</v>
      </c>
      <c r="G216" s="135">
        <f t="shared" si="10"/>
        <v>1</v>
      </c>
      <c r="H216" s="136">
        <f t="shared" si="9"/>
        <v>7</v>
      </c>
      <c r="I216" s="137" t="str">
        <f t="shared" si="11"/>
        <v>J</v>
      </c>
    </row>
    <row r="217" spans="1:9" x14ac:dyDescent="0.25">
      <c r="A217" s="174"/>
      <c r="B217" s="132"/>
      <c r="C217" s="133"/>
      <c r="D217" s="133">
        <v>0</v>
      </c>
      <c r="E217" s="134">
        <v>0</v>
      </c>
      <c r="F217" s="134">
        <v>0</v>
      </c>
      <c r="G217" s="135">
        <f t="shared" si="10"/>
        <v>1</v>
      </c>
      <c r="H217" s="136">
        <f t="shared" si="9"/>
        <v>7</v>
      </c>
      <c r="I217" s="137" t="str">
        <f t="shared" si="11"/>
        <v>J</v>
      </c>
    </row>
    <row r="218" spans="1:9" x14ac:dyDescent="0.25">
      <c r="A218" s="174"/>
      <c r="B218" s="132"/>
      <c r="C218" s="133"/>
      <c r="D218" s="133">
        <v>0</v>
      </c>
      <c r="E218" s="134">
        <v>0</v>
      </c>
      <c r="F218" s="134">
        <v>0</v>
      </c>
      <c r="G218" s="135">
        <f t="shared" si="10"/>
        <v>1</v>
      </c>
      <c r="H218" s="136">
        <f t="shared" si="9"/>
        <v>7</v>
      </c>
      <c r="I218" s="137" t="str">
        <f t="shared" si="11"/>
        <v>J</v>
      </c>
    </row>
    <row r="219" spans="1:9" x14ac:dyDescent="0.25">
      <c r="A219" s="174"/>
      <c r="B219" s="132"/>
      <c r="C219" s="133"/>
      <c r="D219" s="133">
        <v>0</v>
      </c>
      <c r="E219" s="134">
        <v>0</v>
      </c>
      <c r="F219" s="134">
        <v>0</v>
      </c>
      <c r="G219" s="135">
        <f t="shared" si="10"/>
        <v>1</v>
      </c>
      <c r="H219" s="136">
        <f t="shared" si="9"/>
        <v>7</v>
      </c>
      <c r="I219" s="137" t="str">
        <f t="shared" si="11"/>
        <v>J</v>
      </c>
    </row>
    <row r="220" spans="1:9" x14ac:dyDescent="0.25">
      <c r="A220" s="174"/>
      <c r="B220" s="132"/>
      <c r="C220" s="133"/>
      <c r="D220" s="133">
        <v>0</v>
      </c>
      <c r="E220" s="134">
        <v>0</v>
      </c>
      <c r="F220" s="134">
        <v>0</v>
      </c>
      <c r="G220" s="135">
        <f t="shared" si="10"/>
        <v>1</v>
      </c>
      <c r="H220" s="136">
        <f t="shared" si="9"/>
        <v>7</v>
      </c>
      <c r="I220" s="137" t="str">
        <f t="shared" si="11"/>
        <v>J</v>
      </c>
    </row>
    <row r="221" spans="1:9" x14ac:dyDescent="0.25">
      <c r="A221" s="174"/>
      <c r="B221" s="132"/>
      <c r="C221" s="133"/>
      <c r="D221" s="133">
        <v>0</v>
      </c>
      <c r="E221" s="134">
        <v>0</v>
      </c>
      <c r="F221" s="134">
        <v>0</v>
      </c>
      <c r="G221" s="135">
        <f t="shared" si="10"/>
        <v>1</v>
      </c>
      <c r="H221" s="136">
        <f t="shared" si="9"/>
        <v>7</v>
      </c>
      <c r="I221" s="137" t="str">
        <f t="shared" si="11"/>
        <v>J</v>
      </c>
    </row>
    <row r="222" spans="1:9" x14ac:dyDescent="0.25">
      <c r="A222" s="174"/>
      <c r="B222" s="132"/>
      <c r="C222" s="133"/>
      <c r="D222" s="133">
        <v>0</v>
      </c>
      <c r="E222" s="134">
        <v>0</v>
      </c>
      <c r="F222" s="134">
        <v>0</v>
      </c>
      <c r="G222" s="135">
        <f t="shared" si="10"/>
        <v>1</v>
      </c>
      <c r="H222" s="136">
        <f t="shared" si="9"/>
        <v>7</v>
      </c>
      <c r="I222" s="137" t="str">
        <f t="shared" si="11"/>
        <v>J</v>
      </c>
    </row>
    <row r="223" spans="1:9" x14ac:dyDescent="0.25">
      <c r="A223" s="174"/>
      <c r="B223" s="132"/>
      <c r="C223" s="133"/>
      <c r="D223" s="133">
        <v>0</v>
      </c>
      <c r="E223" s="134">
        <v>0</v>
      </c>
      <c r="F223" s="134">
        <v>0</v>
      </c>
      <c r="G223" s="135">
        <f t="shared" si="10"/>
        <v>1</v>
      </c>
      <c r="H223" s="136">
        <f t="shared" si="9"/>
        <v>7</v>
      </c>
      <c r="I223" s="137" t="str">
        <f t="shared" si="11"/>
        <v>J</v>
      </c>
    </row>
    <row r="224" spans="1:9" x14ac:dyDescent="0.25">
      <c r="A224" s="174"/>
      <c r="B224" s="132"/>
      <c r="C224" s="133"/>
      <c r="D224" s="133">
        <v>0</v>
      </c>
      <c r="E224" s="134">
        <v>0</v>
      </c>
      <c r="F224" s="134">
        <v>0</v>
      </c>
      <c r="G224" s="135">
        <f t="shared" si="10"/>
        <v>1</v>
      </c>
      <c r="H224" s="136">
        <f t="shared" si="9"/>
        <v>7</v>
      </c>
      <c r="I224" s="137" t="str">
        <f t="shared" si="11"/>
        <v>J</v>
      </c>
    </row>
    <row r="225" spans="1:9" x14ac:dyDescent="0.25">
      <c r="A225" s="174"/>
      <c r="B225" s="132"/>
      <c r="C225" s="133"/>
      <c r="D225" s="133">
        <v>0</v>
      </c>
      <c r="E225" s="134">
        <v>0</v>
      </c>
      <c r="F225" s="134">
        <v>0</v>
      </c>
      <c r="G225" s="135">
        <f t="shared" si="10"/>
        <v>1</v>
      </c>
      <c r="H225" s="136">
        <f t="shared" si="9"/>
        <v>7</v>
      </c>
      <c r="I225" s="137" t="str">
        <f t="shared" si="11"/>
        <v>J</v>
      </c>
    </row>
    <row r="226" spans="1:9" x14ac:dyDescent="0.25">
      <c r="A226" s="174"/>
      <c r="B226" s="132"/>
      <c r="C226" s="133"/>
      <c r="D226" s="133">
        <v>0</v>
      </c>
      <c r="E226" s="134">
        <v>0</v>
      </c>
      <c r="F226" s="134">
        <v>0</v>
      </c>
      <c r="G226" s="135">
        <f t="shared" si="10"/>
        <v>1</v>
      </c>
      <c r="H226" s="136">
        <f t="shared" si="9"/>
        <v>7</v>
      </c>
      <c r="I226" s="137" t="str">
        <f t="shared" si="11"/>
        <v>J</v>
      </c>
    </row>
    <row r="227" spans="1:9" x14ac:dyDescent="0.25">
      <c r="A227" s="174"/>
      <c r="B227" s="132"/>
      <c r="C227" s="133"/>
      <c r="D227" s="133">
        <v>0</v>
      </c>
      <c r="E227" s="134">
        <v>0</v>
      </c>
      <c r="F227" s="134">
        <v>0</v>
      </c>
      <c r="G227" s="135">
        <f t="shared" si="10"/>
        <v>1</v>
      </c>
      <c r="H227" s="136">
        <f t="shared" si="9"/>
        <v>7</v>
      </c>
      <c r="I227" s="137" t="str">
        <f t="shared" si="11"/>
        <v>J</v>
      </c>
    </row>
    <row r="228" spans="1:9" x14ac:dyDescent="0.25">
      <c r="A228" s="174"/>
      <c r="B228" s="132"/>
      <c r="C228" s="133"/>
      <c r="D228" s="133">
        <v>0</v>
      </c>
      <c r="E228" s="134">
        <v>0</v>
      </c>
      <c r="F228" s="134">
        <v>0</v>
      </c>
      <c r="G228" s="135">
        <f t="shared" si="10"/>
        <v>1</v>
      </c>
      <c r="H228" s="136">
        <f t="shared" si="9"/>
        <v>7</v>
      </c>
      <c r="I228" s="137" t="str">
        <f t="shared" si="11"/>
        <v>J</v>
      </c>
    </row>
    <row r="229" spans="1:9" x14ac:dyDescent="0.25">
      <c r="A229" s="174"/>
      <c r="B229" s="132"/>
      <c r="C229" s="133"/>
      <c r="D229" s="133">
        <v>0</v>
      </c>
      <c r="E229" s="134">
        <v>0</v>
      </c>
      <c r="F229" s="134">
        <v>0</v>
      </c>
      <c r="G229" s="135">
        <f t="shared" si="10"/>
        <v>1</v>
      </c>
      <c r="H229" s="136">
        <f t="shared" si="9"/>
        <v>7</v>
      </c>
      <c r="I229" s="137" t="str">
        <f t="shared" si="11"/>
        <v>J</v>
      </c>
    </row>
    <row r="230" spans="1:9" x14ac:dyDescent="0.25">
      <c r="A230" s="174"/>
      <c r="B230" s="132"/>
      <c r="C230" s="133"/>
      <c r="D230" s="133">
        <v>0</v>
      </c>
      <c r="E230" s="134">
        <v>0</v>
      </c>
      <c r="F230" s="134">
        <v>0</v>
      </c>
      <c r="G230" s="135">
        <f t="shared" si="10"/>
        <v>1</v>
      </c>
      <c r="H230" s="136">
        <f t="shared" si="9"/>
        <v>7</v>
      </c>
      <c r="I230" s="137" t="str">
        <f t="shared" si="11"/>
        <v>J</v>
      </c>
    </row>
    <row r="231" spans="1:9" x14ac:dyDescent="0.25">
      <c r="A231" s="174"/>
      <c r="B231" s="132"/>
      <c r="C231" s="133"/>
      <c r="D231" s="133">
        <v>0</v>
      </c>
      <c r="E231" s="134">
        <v>0</v>
      </c>
      <c r="F231" s="134">
        <v>0</v>
      </c>
      <c r="G231" s="135">
        <f t="shared" si="10"/>
        <v>1</v>
      </c>
      <c r="H231" s="136">
        <f t="shared" si="9"/>
        <v>7</v>
      </c>
      <c r="I231" s="137" t="str">
        <f t="shared" si="11"/>
        <v>J</v>
      </c>
    </row>
    <row r="232" spans="1:9" x14ac:dyDescent="0.25">
      <c r="A232" s="174"/>
      <c r="B232" s="132"/>
      <c r="C232" s="133"/>
      <c r="D232" s="133">
        <v>0</v>
      </c>
      <c r="E232" s="134">
        <v>0</v>
      </c>
      <c r="F232" s="134">
        <v>0</v>
      </c>
      <c r="G232" s="135">
        <f t="shared" si="10"/>
        <v>1</v>
      </c>
      <c r="H232" s="136">
        <f t="shared" si="9"/>
        <v>7</v>
      </c>
      <c r="I232" s="137" t="str">
        <f t="shared" si="11"/>
        <v>J</v>
      </c>
    </row>
    <row r="233" spans="1:9" x14ac:dyDescent="0.25">
      <c r="A233" s="174"/>
      <c r="B233" s="132"/>
      <c r="C233" s="133"/>
      <c r="D233" s="133">
        <v>0</v>
      </c>
      <c r="E233" s="134">
        <v>0</v>
      </c>
      <c r="F233" s="134">
        <v>0</v>
      </c>
      <c r="G233" s="135">
        <f t="shared" si="10"/>
        <v>1</v>
      </c>
      <c r="H233" s="136">
        <f t="shared" si="9"/>
        <v>7</v>
      </c>
      <c r="I233" s="137" t="str">
        <f t="shared" si="11"/>
        <v>J</v>
      </c>
    </row>
    <row r="234" spans="1:9" x14ac:dyDescent="0.25">
      <c r="A234" s="174"/>
      <c r="B234" s="132"/>
      <c r="C234" s="133"/>
      <c r="D234" s="133">
        <v>0</v>
      </c>
      <c r="E234" s="134">
        <v>0</v>
      </c>
      <c r="F234" s="134">
        <v>0</v>
      </c>
      <c r="G234" s="135">
        <f t="shared" si="10"/>
        <v>1</v>
      </c>
      <c r="H234" s="136">
        <f t="shared" si="9"/>
        <v>7</v>
      </c>
      <c r="I234" s="137" t="str">
        <f t="shared" si="11"/>
        <v>J</v>
      </c>
    </row>
    <row r="235" spans="1:9" x14ac:dyDescent="0.25">
      <c r="A235" s="174"/>
      <c r="B235" s="132"/>
      <c r="C235" s="133"/>
      <c r="D235" s="133">
        <v>0</v>
      </c>
      <c r="E235" s="134">
        <v>0</v>
      </c>
      <c r="F235" s="134">
        <v>0</v>
      </c>
      <c r="G235" s="135">
        <f t="shared" si="10"/>
        <v>1</v>
      </c>
      <c r="H235" s="136">
        <f t="shared" si="9"/>
        <v>7</v>
      </c>
      <c r="I235" s="137" t="str">
        <f t="shared" si="11"/>
        <v>J</v>
      </c>
    </row>
    <row r="236" spans="1:9" x14ac:dyDescent="0.25">
      <c r="A236" s="174"/>
      <c r="B236" s="132"/>
      <c r="C236" s="133"/>
      <c r="D236" s="133">
        <v>0</v>
      </c>
      <c r="E236" s="134">
        <v>0</v>
      </c>
      <c r="F236" s="134">
        <v>0</v>
      </c>
      <c r="G236" s="135">
        <f t="shared" si="10"/>
        <v>1</v>
      </c>
      <c r="H236" s="136">
        <f t="shared" si="9"/>
        <v>7</v>
      </c>
      <c r="I236" s="137" t="str">
        <f t="shared" si="11"/>
        <v>J</v>
      </c>
    </row>
    <row r="237" spans="1:9" x14ac:dyDescent="0.25">
      <c r="A237" s="174"/>
      <c r="B237" s="132"/>
      <c r="C237" s="133"/>
      <c r="D237" s="133">
        <v>0</v>
      </c>
      <c r="E237" s="134">
        <v>0</v>
      </c>
      <c r="F237" s="134">
        <v>0</v>
      </c>
      <c r="G237" s="135">
        <f t="shared" si="10"/>
        <v>1</v>
      </c>
      <c r="H237" s="136">
        <f t="shared" si="9"/>
        <v>7</v>
      </c>
      <c r="I237" s="137" t="str">
        <f t="shared" si="11"/>
        <v>J</v>
      </c>
    </row>
    <row r="238" spans="1:9" x14ac:dyDescent="0.25">
      <c r="A238" s="174"/>
      <c r="B238" s="132"/>
      <c r="C238" s="133"/>
      <c r="D238" s="133">
        <v>0</v>
      </c>
      <c r="E238" s="134">
        <v>0</v>
      </c>
      <c r="F238" s="134">
        <v>0</v>
      </c>
      <c r="G238" s="135">
        <f t="shared" si="10"/>
        <v>1</v>
      </c>
      <c r="H238" s="136">
        <f t="shared" si="9"/>
        <v>7</v>
      </c>
      <c r="I238" s="137" t="str">
        <f t="shared" si="11"/>
        <v>J</v>
      </c>
    </row>
    <row r="239" spans="1:9" x14ac:dyDescent="0.25">
      <c r="A239" s="174"/>
      <c r="B239" s="132"/>
      <c r="C239" s="133"/>
      <c r="D239" s="133">
        <v>0</v>
      </c>
      <c r="E239" s="134">
        <v>0</v>
      </c>
      <c r="F239" s="134">
        <v>0</v>
      </c>
      <c r="G239" s="135">
        <f t="shared" si="10"/>
        <v>1</v>
      </c>
      <c r="H239" s="136">
        <f t="shared" si="9"/>
        <v>7</v>
      </c>
      <c r="I239" s="137" t="str">
        <f t="shared" si="11"/>
        <v>J</v>
      </c>
    </row>
    <row r="240" spans="1:9" x14ac:dyDescent="0.25">
      <c r="A240" s="174"/>
      <c r="B240" s="132"/>
      <c r="C240" s="133"/>
      <c r="D240" s="133">
        <v>0</v>
      </c>
      <c r="E240" s="134">
        <v>0</v>
      </c>
      <c r="F240" s="134">
        <v>0</v>
      </c>
      <c r="G240" s="135">
        <f t="shared" si="10"/>
        <v>1</v>
      </c>
      <c r="H240" s="136">
        <f t="shared" si="9"/>
        <v>7</v>
      </c>
      <c r="I240" s="137" t="str">
        <f t="shared" si="11"/>
        <v>J</v>
      </c>
    </row>
    <row r="241" spans="1:9" x14ac:dyDescent="0.25">
      <c r="A241" s="174"/>
      <c r="B241" s="132"/>
      <c r="C241" s="133"/>
      <c r="D241" s="133">
        <v>0</v>
      </c>
      <c r="E241" s="134">
        <v>0</v>
      </c>
      <c r="F241" s="134">
        <v>0</v>
      </c>
      <c r="G241" s="135">
        <f t="shared" si="10"/>
        <v>1</v>
      </c>
      <c r="H241" s="136">
        <f t="shared" si="9"/>
        <v>7</v>
      </c>
      <c r="I241" s="137" t="str">
        <f t="shared" si="11"/>
        <v>J</v>
      </c>
    </row>
    <row r="242" spans="1:9" x14ac:dyDescent="0.25">
      <c r="A242" s="174"/>
      <c r="B242" s="132"/>
      <c r="C242" s="133"/>
      <c r="D242" s="133">
        <v>0</v>
      </c>
      <c r="E242" s="134">
        <v>0</v>
      </c>
      <c r="F242" s="134">
        <v>0</v>
      </c>
      <c r="G242" s="135">
        <f t="shared" si="10"/>
        <v>1</v>
      </c>
      <c r="H242" s="136">
        <f t="shared" si="9"/>
        <v>7</v>
      </c>
      <c r="I242" s="137" t="str">
        <f t="shared" si="11"/>
        <v>J</v>
      </c>
    </row>
    <row r="243" spans="1:9" x14ac:dyDescent="0.25">
      <c r="A243" s="174"/>
      <c r="B243" s="132"/>
      <c r="C243" s="133"/>
      <c r="D243" s="133">
        <v>0</v>
      </c>
      <c r="E243" s="134">
        <v>0</v>
      </c>
      <c r="F243" s="134">
        <v>0</v>
      </c>
      <c r="G243" s="135">
        <f t="shared" si="10"/>
        <v>1</v>
      </c>
      <c r="H243" s="136">
        <f t="shared" si="9"/>
        <v>7</v>
      </c>
      <c r="I243" s="137" t="str">
        <f t="shared" si="11"/>
        <v>J</v>
      </c>
    </row>
    <row r="244" spans="1:9" x14ac:dyDescent="0.25">
      <c r="A244" s="174"/>
      <c r="B244" s="132"/>
      <c r="C244" s="133"/>
      <c r="D244" s="133">
        <v>0</v>
      </c>
      <c r="E244" s="134">
        <v>0</v>
      </c>
      <c r="F244" s="134">
        <v>0</v>
      </c>
      <c r="G244" s="135">
        <f t="shared" si="10"/>
        <v>1</v>
      </c>
      <c r="H244" s="136">
        <f t="shared" si="9"/>
        <v>7</v>
      </c>
      <c r="I244" s="137" t="str">
        <f t="shared" si="11"/>
        <v>J</v>
      </c>
    </row>
    <row r="245" spans="1:9" x14ac:dyDescent="0.25">
      <c r="A245" s="174"/>
      <c r="B245" s="132"/>
      <c r="C245" s="133"/>
      <c r="D245" s="133">
        <v>0</v>
      </c>
      <c r="E245" s="134">
        <v>0</v>
      </c>
      <c r="F245" s="134">
        <v>0</v>
      </c>
      <c r="G245" s="135">
        <f t="shared" si="10"/>
        <v>1</v>
      </c>
      <c r="H245" s="136">
        <f t="shared" si="9"/>
        <v>7</v>
      </c>
      <c r="I245" s="137" t="str">
        <f t="shared" si="11"/>
        <v>J</v>
      </c>
    </row>
    <row r="246" spans="1:9" x14ac:dyDescent="0.25">
      <c r="A246" s="174"/>
      <c r="B246" s="132"/>
      <c r="C246" s="133"/>
      <c r="D246" s="133">
        <v>0</v>
      </c>
      <c r="E246" s="134">
        <v>0</v>
      </c>
      <c r="F246" s="134">
        <v>0</v>
      </c>
      <c r="G246" s="135">
        <f t="shared" si="10"/>
        <v>1</v>
      </c>
      <c r="H246" s="136">
        <f t="shared" si="9"/>
        <v>7</v>
      </c>
      <c r="I246" s="137" t="str">
        <f t="shared" si="11"/>
        <v>J</v>
      </c>
    </row>
    <row r="247" spans="1:9" x14ac:dyDescent="0.25">
      <c r="A247" s="174"/>
      <c r="B247" s="132"/>
      <c r="C247" s="133"/>
      <c r="D247" s="133">
        <v>0</v>
      </c>
      <c r="E247" s="134">
        <v>0</v>
      </c>
      <c r="F247" s="134">
        <v>0</v>
      </c>
      <c r="G247" s="135">
        <f t="shared" si="10"/>
        <v>1</v>
      </c>
      <c r="H247" s="136">
        <f t="shared" si="9"/>
        <v>7</v>
      </c>
      <c r="I247" s="137" t="str">
        <f t="shared" si="11"/>
        <v>J</v>
      </c>
    </row>
    <row r="248" spans="1:9" x14ac:dyDescent="0.25">
      <c r="A248" s="174"/>
      <c r="B248" s="132"/>
      <c r="C248" s="133"/>
      <c r="D248" s="133">
        <v>0</v>
      </c>
      <c r="E248" s="134">
        <v>0</v>
      </c>
      <c r="F248" s="134">
        <v>0</v>
      </c>
      <c r="G248" s="135">
        <f t="shared" si="10"/>
        <v>1</v>
      </c>
      <c r="H248" s="136">
        <f t="shared" si="9"/>
        <v>7</v>
      </c>
      <c r="I248" s="137" t="str">
        <f t="shared" si="11"/>
        <v>J</v>
      </c>
    </row>
    <row r="249" spans="1:9" x14ac:dyDescent="0.25">
      <c r="A249" s="174"/>
      <c r="B249" s="132"/>
      <c r="C249" s="133"/>
      <c r="D249" s="133">
        <v>0</v>
      </c>
      <c r="E249" s="134">
        <v>0</v>
      </c>
      <c r="F249" s="134">
        <v>0</v>
      </c>
      <c r="G249" s="135">
        <f t="shared" si="10"/>
        <v>1</v>
      </c>
      <c r="H249" s="136">
        <f t="shared" si="9"/>
        <v>7</v>
      </c>
      <c r="I249" s="137" t="str">
        <f t="shared" si="11"/>
        <v>J</v>
      </c>
    </row>
    <row r="250" spans="1:9" x14ac:dyDescent="0.25">
      <c r="A250" s="174"/>
      <c r="B250" s="132"/>
      <c r="C250" s="133"/>
      <c r="D250" s="133">
        <v>0</v>
      </c>
      <c r="E250" s="134">
        <v>0</v>
      </c>
      <c r="F250" s="134">
        <v>0</v>
      </c>
      <c r="G250" s="135">
        <f t="shared" si="10"/>
        <v>1</v>
      </c>
      <c r="H250" s="136">
        <f t="shared" si="9"/>
        <v>7</v>
      </c>
      <c r="I250" s="137" t="str">
        <f t="shared" si="11"/>
        <v>J</v>
      </c>
    </row>
    <row r="251" spans="1:9" x14ac:dyDescent="0.25">
      <c r="A251" s="174"/>
      <c r="B251" s="132"/>
      <c r="C251" s="133"/>
      <c r="D251" s="133">
        <v>0</v>
      </c>
      <c r="E251" s="134">
        <v>0</v>
      </c>
      <c r="F251" s="134">
        <v>0</v>
      </c>
      <c r="G251" s="135">
        <f t="shared" si="10"/>
        <v>1</v>
      </c>
      <c r="H251" s="136">
        <f t="shared" si="9"/>
        <v>7</v>
      </c>
      <c r="I251" s="137" t="str">
        <f t="shared" si="11"/>
        <v>J</v>
      </c>
    </row>
    <row r="252" spans="1:9" x14ac:dyDescent="0.25">
      <c r="A252" s="174"/>
      <c r="B252" s="132"/>
      <c r="C252" s="133"/>
      <c r="D252" s="133">
        <v>0</v>
      </c>
      <c r="E252" s="134">
        <v>0</v>
      </c>
      <c r="F252" s="134">
        <v>0</v>
      </c>
      <c r="G252" s="135">
        <f t="shared" si="10"/>
        <v>1</v>
      </c>
      <c r="H252" s="136">
        <f t="shared" si="9"/>
        <v>7</v>
      </c>
      <c r="I252" s="137" t="str">
        <f t="shared" si="11"/>
        <v>J</v>
      </c>
    </row>
    <row r="253" spans="1:9" x14ac:dyDescent="0.25">
      <c r="A253" s="174"/>
      <c r="B253" s="132"/>
      <c r="C253" s="133"/>
      <c r="D253" s="133">
        <v>0</v>
      </c>
      <c r="E253" s="134">
        <v>0</v>
      </c>
      <c r="F253" s="134">
        <v>0</v>
      </c>
      <c r="G253" s="135">
        <f t="shared" si="10"/>
        <v>1</v>
      </c>
      <c r="H253" s="136">
        <f t="shared" si="9"/>
        <v>7</v>
      </c>
      <c r="I253" s="137" t="str">
        <f t="shared" si="11"/>
        <v>J</v>
      </c>
    </row>
    <row r="254" spans="1:9" x14ac:dyDescent="0.25">
      <c r="A254" s="174"/>
      <c r="B254" s="132"/>
      <c r="C254" s="133"/>
      <c r="D254" s="133">
        <v>0</v>
      </c>
      <c r="E254" s="134">
        <v>0</v>
      </c>
      <c r="F254" s="134">
        <v>0</v>
      </c>
      <c r="G254" s="135">
        <f t="shared" si="10"/>
        <v>1</v>
      </c>
      <c r="H254" s="136">
        <f t="shared" si="9"/>
        <v>7</v>
      </c>
      <c r="I254" s="137" t="str">
        <f t="shared" si="11"/>
        <v>J</v>
      </c>
    </row>
    <row r="255" spans="1:9" x14ac:dyDescent="0.25">
      <c r="A255" s="174"/>
      <c r="B255" s="132"/>
      <c r="C255" s="133"/>
      <c r="D255" s="133">
        <v>0</v>
      </c>
      <c r="E255" s="134">
        <v>0</v>
      </c>
      <c r="F255" s="134">
        <v>0</v>
      </c>
      <c r="G255" s="135">
        <f t="shared" si="10"/>
        <v>1</v>
      </c>
      <c r="H255" s="136">
        <f t="shared" si="9"/>
        <v>7</v>
      </c>
      <c r="I255" s="137" t="str">
        <f t="shared" si="11"/>
        <v>J</v>
      </c>
    </row>
    <row r="256" spans="1:9" x14ac:dyDescent="0.25">
      <c r="A256" s="174"/>
      <c r="B256" s="132"/>
      <c r="C256" s="133"/>
      <c r="D256" s="133">
        <v>0</v>
      </c>
      <c r="E256" s="134">
        <v>0</v>
      </c>
      <c r="F256" s="134">
        <v>0</v>
      </c>
      <c r="G256" s="135">
        <f t="shared" si="10"/>
        <v>1</v>
      </c>
      <c r="H256" s="136">
        <f t="shared" si="9"/>
        <v>7</v>
      </c>
      <c r="I256" s="137" t="str">
        <f t="shared" si="11"/>
        <v>J</v>
      </c>
    </row>
    <row r="257" spans="1:9" x14ac:dyDescent="0.25">
      <c r="A257" s="174"/>
      <c r="B257" s="132"/>
      <c r="C257" s="133"/>
      <c r="D257" s="133">
        <v>0</v>
      </c>
      <c r="E257" s="134">
        <v>0</v>
      </c>
      <c r="F257" s="134">
        <v>0</v>
      </c>
      <c r="G257" s="135">
        <f t="shared" si="10"/>
        <v>1</v>
      </c>
      <c r="H257" s="136">
        <f t="shared" si="9"/>
        <v>7</v>
      </c>
      <c r="I257" s="137" t="str">
        <f t="shared" si="11"/>
        <v>J</v>
      </c>
    </row>
    <row r="258" spans="1:9" x14ac:dyDescent="0.25">
      <c r="A258" s="174"/>
      <c r="B258" s="132"/>
      <c r="C258" s="133"/>
      <c r="D258" s="133">
        <v>0</v>
      </c>
      <c r="E258" s="134">
        <v>0</v>
      </c>
      <c r="F258" s="134">
        <v>0</v>
      </c>
      <c r="G258" s="135">
        <f t="shared" si="10"/>
        <v>1</v>
      </c>
      <c r="H258" s="136">
        <f t="shared" ref="H258:H321" si="12">VLOOKUP($G258, $Q$3:$R$12, 2)</f>
        <v>7</v>
      </c>
      <c r="I258" s="137" t="str">
        <f t="shared" si="11"/>
        <v>J</v>
      </c>
    </row>
    <row r="259" spans="1:9" x14ac:dyDescent="0.25">
      <c r="A259" s="174"/>
      <c r="B259" s="132"/>
      <c r="C259" s="133"/>
      <c r="D259" s="133">
        <v>0</v>
      </c>
      <c r="E259" s="134">
        <v>0</v>
      </c>
      <c r="F259" s="134">
        <v>0</v>
      </c>
      <c r="G259" s="135">
        <f t="shared" ref="G259:G322" si="13">(VLOOKUP($D259,$L$3:$O$15,4))+(VLOOKUP($E259,$M$3:$O$15,3))-(VLOOKUP($F259,$N$3:$O$15,2))</f>
        <v>1</v>
      </c>
      <c r="H259" s="136">
        <f t="shared" si="12"/>
        <v>7</v>
      </c>
      <c r="I259" s="137" t="str">
        <f t="shared" ref="I259:I322" si="14">IF(AND((SUM(D259:F259)=0),B259=0), "J", VLOOKUP($H259, $Q$16:$R$25, 2))</f>
        <v>J</v>
      </c>
    </row>
    <row r="260" spans="1:9" x14ac:dyDescent="0.25">
      <c r="A260" s="174"/>
      <c r="B260" s="132"/>
      <c r="C260" s="133"/>
      <c r="D260" s="133">
        <v>0</v>
      </c>
      <c r="E260" s="134">
        <v>0</v>
      </c>
      <c r="F260" s="134">
        <v>0</v>
      </c>
      <c r="G260" s="135">
        <f t="shared" si="13"/>
        <v>1</v>
      </c>
      <c r="H260" s="136">
        <f t="shared" si="12"/>
        <v>7</v>
      </c>
      <c r="I260" s="137" t="str">
        <f t="shared" si="14"/>
        <v>J</v>
      </c>
    </row>
    <row r="261" spans="1:9" x14ac:dyDescent="0.25">
      <c r="A261" s="174"/>
      <c r="B261" s="132"/>
      <c r="C261" s="133"/>
      <c r="D261" s="133">
        <v>0</v>
      </c>
      <c r="E261" s="134">
        <v>0</v>
      </c>
      <c r="F261" s="134">
        <v>0</v>
      </c>
      <c r="G261" s="135">
        <f t="shared" si="13"/>
        <v>1</v>
      </c>
      <c r="H261" s="136">
        <f t="shared" si="12"/>
        <v>7</v>
      </c>
      <c r="I261" s="137" t="str">
        <f t="shared" si="14"/>
        <v>J</v>
      </c>
    </row>
    <row r="262" spans="1:9" x14ac:dyDescent="0.25">
      <c r="A262" s="174"/>
      <c r="B262" s="132"/>
      <c r="C262" s="133"/>
      <c r="D262" s="133">
        <v>0</v>
      </c>
      <c r="E262" s="134">
        <v>0</v>
      </c>
      <c r="F262" s="134">
        <v>0</v>
      </c>
      <c r="G262" s="135">
        <f t="shared" si="13"/>
        <v>1</v>
      </c>
      <c r="H262" s="136">
        <f t="shared" si="12"/>
        <v>7</v>
      </c>
      <c r="I262" s="137" t="str">
        <f t="shared" si="14"/>
        <v>J</v>
      </c>
    </row>
    <row r="263" spans="1:9" x14ac:dyDescent="0.25">
      <c r="A263" s="174"/>
      <c r="B263" s="132"/>
      <c r="C263" s="133"/>
      <c r="D263" s="133">
        <v>0</v>
      </c>
      <c r="E263" s="134">
        <v>0</v>
      </c>
      <c r="F263" s="134">
        <v>0</v>
      </c>
      <c r="G263" s="135">
        <f t="shared" si="13"/>
        <v>1</v>
      </c>
      <c r="H263" s="136">
        <f t="shared" si="12"/>
        <v>7</v>
      </c>
      <c r="I263" s="137" t="str">
        <f t="shared" si="14"/>
        <v>J</v>
      </c>
    </row>
    <row r="264" spans="1:9" x14ac:dyDescent="0.25">
      <c r="A264" s="174"/>
      <c r="B264" s="132"/>
      <c r="C264" s="133"/>
      <c r="D264" s="133">
        <v>0</v>
      </c>
      <c r="E264" s="134">
        <v>0</v>
      </c>
      <c r="F264" s="134">
        <v>0</v>
      </c>
      <c r="G264" s="135">
        <f t="shared" si="13"/>
        <v>1</v>
      </c>
      <c r="H264" s="136">
        <f t="shared" si="12"/>
        <v>7</v>
      </c>
      <c r="I264" s="137" t="str">
        <f t="shared" si="14"/>
        <v>J</v>
      </c>
    </row>
    <row r="265" spans="1:9" x14ac:dyDescent="0.25">
      <c r="A265" s="174"/>
      <c r="B265" s="132"/>
      <c r="C265" s="133"/>
      <c r="D265" s="133">
        <v>0</v>
      </c>
      <c r="E265" s="134">
        <v>0</v>
      </c>
      <c r="F265" s="134">
        <v>0</v>
      </c>
      <c r="G265" s="135">
        <f t="shared" si="13"/>
        <v>1</v>
      </c>
      <c r="H265" s="136">
        <f t="shared" si="12"/>
        <v>7</v>
      </c>
      <c r="I265" s="137" t="str">
        <f t="shared" si="14"/>
        <v>J</v>
      </c>
    </row>
    <row r="266" spans="1:9" x14ac:dyDescent="0.25">
      <c r="A266" s="174"/>
      <c r="B266" s="132"/>
      <c r="C266" s="133"/>
      <c r="D266" s="133">
        <v>0</v>
      </c>
      <c r="E266" s="134">
        <v>0</v>
      </c>
      <c r="F266" s="134">
        <v>0</v>
      </c>
      <c r="G266" s="135">
        <f t="shared" si="13"/>
        <v>1</v>
      </c>
      <c r="H266" s="136">
        <f t="shared" si="12"/>
        <v>7</v>
      </c>
      <c r="I266" s="137" t="str">
        <f t="shared" si="14"/>
        <v>J</v>
      </c>
    </row>
    <row r="267" spans="1:9" x14ac:dyDescent="0.25">
      <c r="A267" s="174"/>
      <c r="B267" s="132"/>
      <c r="C267" s="133"/>
      <c r="D267" s="133">
        <v>0</v>
      </c>
      <c r="E267" s="134">
        <v>0</v>
      </c>
      <c r="F267" s="134">
        <v>0</v>
      </c>
      <c r="G267" s="135">
        <f t="shared" si="13"/>
        <v>1</v>
      </c>
      <c r="H267" s="136">
        <f t="shared" si="12"/>
        <v>7</v>
      </c>
      <c r="I267" s="137" t="str">
        <f t="shared" si="14"/>
        <v>J</v>
      </c>
    </row>
    <row r="268" spans="1:9" x14ac:dyDescent="0.25">
      <c r="A268" s="174"/>
      <c r="B268" s="132"/>
      <c r="C268" s="133"/>
      <c r="D268" s="133">
        <v>0</v>
      </c>
      <c r="E268" s="134">
        <v>0</v>
      </c>
      <c r="F268" s="134">
        <v>0</v>
      </c>
      <c r="G268" s="135">
        <f t="shared" si="13"/>
        <v>1</v>
      </c>
      <c r="H268" s="136">
        <f t="shared" si="12"/>
        <v>7</v>
      </c>
      <c r="I268" s="137" t="str">
        <f t="shared" si="14"/>
        <v>J</v>
      </c>
    </row>
    <row r="269" spans="1:9" x14ac:dyDescent="0.25">
      <c r="A269" s="174"/>
      <c r="B269" s="132"/>
      <c r="C269" s="133"/>
      <c r="D269" s="133">
        <v>0</v>
      </c>
      <c r="E269" s="134">
        <v>0</v>
      </c>
      <c r="F269" s="134">
        <v>0</v>
      </c>
      <c r="G269" s="135">
        <f t="shared" si="13"/>
        <v>1</v>
      </c>
      <c r="H269" s="136">
        <f t="shared" si="12"/>
        <v>7</v>
      </c>
      <c r="I269" s="137" t="str">
        <f t="shared" si="14"/>
        <v>J</v>
      </c>
    </row>
    <row r="270" spans="1:9" x14ac:dyDescent="0.25">
      <c r="A270" s="174"/>
      <c r="B270" s="132"/>
      <c r="C270" s="133"/>
      <c r="D270" s="133">
        <v>0</v>
      </c>
      <c r="E270" s="134">
        <v>0</v>
      </c>
      <c r="F270" s="134">
        <v>0</v>
      </c>
      <c r="G270" s="135">
        <f t="shared" si="13"/>
        <v>1</v>
      </c>
      <c r="H270" s="136">
        <f t="shared" si="12"/>
        <v>7</v>
      </c>
      <c r="I270" s="137" t="str">
        <f t="shared" si="14"/>
        <v>J</v>
      </c>
    </row>
    <row r="271" spans="1:9" x14ac:dyDescent="0.25">
      <c r="A271" s="174"/>
      <c r="B271" s="132"/>
      <c r="C271" s="133"/>
      <c r="D271" s="133">
        <v>0</v>
      </c>
      <c r="E271" s="134">
        <v>0</v>
      </c>
      <c r="F271" s="134">
        <v>0</v>
      </c>
      <c r="G271" s="135">
        <f t="shared" si="13"/>
        <v>1</v>
      </c>
      <c r="H271" s="136">
        <f t="shared" si="12"/>
        <v>7</v>
      </c>
      <c r="I271" s="137" t="str">
        <f t="shared" si="14"/>
        <v>J</v>
      </c>
    </row>
    <row r="272" spans="1:9" x14ac:dyDescent="0.25">
      <c r="A272" s="174"/>
      <c r="B272" s="132"/>
      <c r="C272" s="133"/>
      <c r="D272" s="133">
        <v>0</v>
      </c>
      <c r="E272" s="134">
        <v>0</v>
      </c>
      <c r="F272" s="134">
        <v>0</v>
      </c>
      <c r="G272" s="135">
        <f t="shared" si="13"/>
        <v>1</v>
      </c>
      <c r="H272" s="136">
        <f t="shared" si="12"/>
        <v>7</v>
      </c>
      <c r="I272" s="137" t="str">
        <f t="shared" si="14"/>
        <v>J</v>
      </c>
    </row>
    <row r="273" spans="1:9" x14ac:dyDescent="0.25">
      <c r="A273" s="174"/>
      <c r="B273" s="132"/>
      <c r="C273" s="133"/>
      <c r="D273" s="133">
        <v>0</v>
      </c>
      <c r="E273" s="134">
        <v>0</v>
      </c>
      <c r="F273" s="134">
        <v>0</v>
      </c>
      <c r="G273" s="135">
        <f t="shared" si="13"/>
        <v>1</v>
      </c>
      <c r="H273" s="136">
        <f t="shared" si="12"/>
        <v>7</v>
      </c>
      <c r="I273" s="137" t="str">
        <f t="shared" si="14"/>
        <v>J</v>
      </c>
    </row>
    <row r="274" spans="1:9" x14ac:dyDescent="0.25">
      <c r="A274" s="174"/>
      <c r="B274" s="132"/>
      <c r="C274" s="133"/>
      <c r="D274" s="133">
        <v>0</v>
      </c>
      <c r="E274" s="134">
        <v>0</v>
      </c>
      <c r="F274" s="134">
        <v>0</v>
      </c>
      <c r="G274" s="135">
        <f t="shared" si="13"/>
        <v>1</v>
      </c>
      <c r="H274" s="136">
        <f t="shared" si="12"/>
        <v>7</v>
      </c>
      <c r="I274" s="137" t="str">
        <f t="shared" si="14"/>
        <v>J</v>
      </c>
    </row>
    <row r="275" spans="1:9" x14ac:dyDescent="0.25">
      <c r="A275" s="174"/>
      <c r="B275" s="132"/>
      <c r="C275" s="133"/>
      <c r="D275" s="133">
        <v>0</v>
      </c>
      <c r="E275" s="134">
        <v>0</v>
      </c>
      <c r="F275" s="134">
        <v>0</v>
      </c>
      <c r="G275" s="135">
        <f t="shared" si="13"/>
        <v>1</v>
      </c>
      <c r="H275" s="136">
        <f t="shared" si="12"/>
        <v>7</v>
      </c>
      <c r="I275" s="137" t="str">
        <f t="shared" si="14"/>
        <v>J</v>
      </c>
    </row>
    <row r="276" spans="1:9" x14ac:dyDescent="0.25">
      <c r="A276" s="174"/>
      <c r="B276" s="132"/>
      <c r="C276" s="133"/>
      <c r="D276" s="133">
        <v>0</v>
      </c>
      <c r="E276" s="134">
        <v>0</v>
      </c>
      <c r="F276" s="134">
        <v>0</v>
      </c>
      <c r="G276" s="135">
        <f t="shared" si="13"/>
        <v>1</v>
      </c>
      <c r="H276" s="136">
        <f t="shared" si="12"/>
        <v>7</v>
      </c>
      <c r="I276" s="137" t="str">
        <f t="shared" si="14"/>
        <v>J</v>
      </c>
    </row>
    <row r="277" spans="1:9" x14ac:dyDescent="0.25">
      <c r="A277" s="174"/>
      <c r="B277" s="132"/>
      <c r="C277" s="133"/>
      <c r="D277" s="133">
        <v>0</v>
      </c>
      <c r="E277" s="134">
        <v>0</v>
      </c>
      <c r="F277" s="134">
        <v>0</v>
      </c>
      <c r="G277" s="135">
        <f t="shared" si="13"/>
        <v>1</v>
      </c>
      <c r="H277" s="136">
        <f t="shared" si="12"/>
        <v>7</v>
      </c>
      <c r="I277" s="137" t="str">
        <f t="shared" si="14"/>
        <v>J</v>
      </c>
    </row>
    <row r="278" spans="1:9" x14ac:dyDescent="0.25">
      <c r="A278" s="174"/>
      <c r="B278" s="132"/>
      <c r="C278" s="133"/>
      <c r="D278" s="133">
        <v>0</v>
      </c>
      <c r="E278" s="134">
        <v>0</v>
      </c>
      <c r="F278" s="134">
        <v>0</v>
      </c>
      <c r="G278" s="135">
        <f t="shared" si="13"/>
        <v>1</v>
      </c>
      <c r="H278" s="136">
        <f t="shared" si="12"/>
        <v>7</v>
      </c>
      <c r="I278" s="137" t="str">
        <f t="shared" si="14"/>
        <v>J</v>
      </c>
    </row>
    <row r="279" spans="1:9" x14ac:dyDescent="0.25">
      <c r="A279" s="174"/>
      <c r="B279" s="132"/>
      <c r="C279" s="133"/>
      <c r="D279" s="133">
        <v>0</v>
      </c>
      <c r="E279" s="134">
        <v>0</v>
      </c>
      <c r="F279" s="134">
        <v>0</v>
      </c>
      <c r="G279" s="135">
        <f t="shared" si="13"/>
        <v>1</v>
      </c>
      <c r="H279" s="136">
        <f t="shared" si="12"/>
        <v>7</v>
      </c>
      <c r="I279" s="137" t="str">
        <f t="shared" si="14"/>
        <v>J</v>
      </c>
    </row>
    <row r="280" spans="1:9" x14ac:dyDescent="0.25">
      <c r="A280" s="174"/>
      <c r="B280" s="132"/>
      <c r="C280" s="133"/>
      <c r="D280" s="133">
        <v>0</v>
      </c>
      <c r="E280" s="134">
        <v>0</v>
      </c>
      <c r="F280" s="134">
        <v>0</v>
      </c>
      <c r="G280" s="135">
        <f t="shared" si="13"/>
        <v>1</v>
      </c>
      <c r="H280" s="136">
        <f t="shared" si="12"/>
        <v>7</v>
      </c>
      <c r="I280" s="137" t="str">
        <f t="shared" si="14"/>
        <v>J</v>
      </c>
    </row>
    <row r="281" spans="1:9" x14ac:dyDescent="0.25">
      <c r="A281" s="174"/>
      <c r="B281" s="132"/>
      <c r="C281" s="133"/>
      <c r="D281" s="133">
        <v>0</v>
      </c>
      <c r="E281" s="134">
        <v>0</v>
      </c>
      <c r="F281" s="134">
        <v>0</v>
      </c>
      <c r="G281" s="135">
        <f t="shared" si="13"/>
        <v>1</v>
      </c>
      <c r="H281" s="136">
        <f t="shared" si="12"/>
        <v>7</v>
      </c>
      <c r="I281" s="137" t="str">
        <f t="shared" si="14"/>
        <v>J</v>
      </c>
    </row>
    <row r="282" spans="1:9" x14ac:dyDescent="0.25">
      <c r="A282" s="174"/>
      <c r="B282" s="132"/>
      <c r="C282" s="133"/>
      <c r="D282" s="133">
        <v>0</v>
      </c>
      <c r="E282" s="134">
        <v>0</v>
      </c>
      <c r="F282" s="134">
        <v>0</v>
      </c>
      <c r="G282" s="135">
        <f t="shared" si="13"/>
        <v>1</v>
      </c>
      <c r="H282" s="136">
        <f t="shared" si="12"/>
        <v>7</v>
      </c>
      <c r="I282" s="137" t="str">
        <f t="shared" si="14"/>
        <v>J</v>
      </c>
    </row>
    <row r="283" spans="1:9" x14ac:dyDescent="0.25">
      <c r="A283" s="174"/>
      <c r="B283" s="132"/>
      <c r="C283" s="133"/>
      <c r="D283" s="133">
        <v>0</v>
      </c>
      <c r="E283" s="134">
        <v>0</v>
      </c>
      <c r="F283" s="134">
        <v>0</v>
      </c>
      <c r="G283" s="135">
        <f t="shared" si="13"/>
        <v>1</v>
      </c>
      <c r="H283" s="136">
        <f t="shared" si="12"/>
        <v>7</v>
      </c>
      <c r="I283" s="137" t="str">
        <f t="shared" si="14"/>
        <v>J</v>
      </c>
    </row>
    <row r="284" spans="1:9" x14ac:dyDescent="0.25">
      <c r="A284" s="174"/>
      <c r="B284" s="132"/>
      <c r="C284" s="133"/>
      <c r="D284" s="133">
        <v>0</v>
      </c>
      <c r="E284" s="134">
        <v>0</v>
      </c>
      <c r="F284" s="134">
        <v>0</v>
      </c>
      <c r="G284" s="135">
        <f t="shared" si="13"/>
        <v>1</v>
      </c>
      <c r="H284" s="136">
        <f t="shared" si="12"/>
        <v>7</v>
      </c>
      <c r="I284" s="137" t="str">
        <f t="shared" si="14"/>
        <v>J</v>
      </c>
    </row>
    <row r="285" spans="1:9" x14ac:dyDescent="0.25">
      <c r="A285" s="174"/>
      <c r="B285" s="132"/>
      <c r="C285" s="133"/>
      <c r="D285" s="133">
        <v>0</v>
      </c>
      <c r="E285" s="134">
        <v>0</v>
      </c>
      <c r="F285" s="134">
        <v>0</v>
      </c>
      <c r="G285" s="135">
        <f t="shared" si="13"/>
        <v>1</v>
      </c>
      <c r="H285" s="136">
        <f t="shared" si="12"/>
        <v>7</v>
      </c>
      <c r="I285" s="137" t="str">
        <f t="shared" si="14"/>
        <v>J</v>
      </c>
    </row>
    <row r="286" spans="1:9" x14ac:dyDescent="0.25">
      <c r="A286" s="174"/>
      <c r="B286" s="132"/>
      <c r="C286" s="133"/>
      <c r="D286" s="133">
        <v>0</v>
      </c>
      <c r="E286" s="134">
        <v>0</v>
      </c>
      <c r="F286" s="134">
        <v>0</v>
      </c>
      <c r="G286" s="135">
        <f t="shared" si="13"/>
        <v>1</v>
      </c>
      <c r="H286" s="136">
        <f t="shared" si="12"/>
        <v>7</v>
      </c>
      <c r="I286" s="137" t="str">
        <f t="shared" si="14"/>
        <v>J</v>
      </c>
    </row>
    <row r="287" spans="1:9" x14ac:dyDescent="0.25">
      <c r="A287" s="174"/>
      <c r="B287" s="132"/>
      <c r="C287" s="133"/>
      <c r="D287" s="133">
        <v>0</v>
      </c>
      <c r="E287" s="134">
        <v>0</v>
      </c>
      <c r="F287" s="134">
        <v>0</v>
      </c>
      <c r="G287" s="135">
        <f t="shared" si="13"/>
        <v>1</v>
      </c>
      <c r="H287" s="136">
        <f t="shared" si="12"/>
        <v>7</v>
      </c>
      <c r="I287" s="137" t="str">
        <f t="shared" si="14"/>
        <v>J</v>
      </c>
    </row>
    <row r="288" spans="1:9" x14ac:dyDescent="0.25">
      <c r="A288" s="174"/>
      <c r="B288" s="132"/>
      <c r="C288" s="133"/>
      <c r="D288" s="133">
        <v>0</v>
      </c>
      <c r="E288" s="134">
        <v>0</v>
      </c>
      <c r="F288" s="134">
        <v>0</v>
      </c>
      <c r="G288" s="135">
        <f t="shared" si="13"/>
        <v>1</v>
      </c>
      <c r="H288" s="136">
        <f t="shared" si="12"/>
        <v>7</v>
      </c>
      <c r="I288" s="137" t="str">
        <f t="shared" si="14"/>
        <v>J</v>
      </c>
    </row>
    <row r="289" spans="1:9" x14ac:dyDescent="0.25">
      <c r="A289" s="174"/>
      <c r="B289" s="132"/>
      <c r="C289" s="133"/>
      <c r="D289" s="133">
        <v>0</v>
      </c>
      <c r="E289" s="134">
        <v>0</v>
      </c>
      <c r="F289" s="134">
        <v>0</v>
      </c>
      <c r="G289" s="135">
        <f t="shared" si="13"/>
        <v>1</v>
      </c>
      <c r="H289" s="136">
        <f t="shared" si="12"/>
        <v>7</v>
      </c>
      <c r="I289" s="137" t="str">
        <f t="shared" si="14"/>
        <v>J</v>
      </c>
    </row>
    <row r="290" spans="1:9" x14ac:dyDescent="0.25">
      <c r="A290" s="174"/>
      <c r="B290" s="132"/>
      <c r="C290" s="133"/>
      <c r="D290" s="133">
        <v>0</v>
      </c>
      <c r="E290" s="134">
        <v>0</v>
      </c>
      <c r="F290" s="134">
        <v>0</v>
      </c>
      <c r="G290" s="135">
        <f t="shared" si="13"/>
        <v>1</v>
      </c>
      <c r="H290" s="136">
        <f t="shared" si="12"/>
        <v>7</v>
      </c>
      <c r="I290" s="137" t="str">
        <f t="shared" si="14"/>
        <v>J</v>
      </c>
    </row>
    <row r="291" spans="1:9" x14ac:dyDescent="0.25">
      <c r="A291" s="174"/>
      <c r="B291" s="132"/>
      <c r="C291" s="133"/>
      <c r="D291" s="133">
        <v>0</v>
      </c>
      <c r="E291" s="134">
        <v>0</v>
      </c>
      <c r="F291" s="134">
        <v>0</v>
      </c>
      <c r="G291" s="135">
        <f t="shared" si="13"/>
        <v>1</v>
      </c>
      <c r="H291" s="136">
        <f t="shared" si="12"/>
        <v>7</v>
      </c>
      <c r="I291" s="137" t="str">
        <f t="shared" si="14"/>
        <v>J</v>
      </c>
    </row>
    <row r="292" spans="1:9" x14ac:dyDescent="0.25">
      <c r="A292" s="174"/>
      <c r="B292" s="132"/>
      <c r="C292" s="133"/>
      <c r="D292" s="133">
        <v>0</v>
      </c>
      <c r="E292" s="134">
        <v>0</v>
      </c>
      <c r="F292" s="134">
        <v>0</v>
      </c>
      <c r="G292" s="135">
        <f t="shared" si="13"/>
        <v>1</v>
      </c>
      <c r="H292" s="136">
        <f t="shared" si="12"/>
        <v>7</v>
      </c>
      <c r="I292" s="137" t="str">
        <f t="shared" si="14"/>
        <v>J</v>
      </c>
    </row>
    <row r="293" spans="1:9" x14ac:dyDescent="0.25">
      <c r="A293" s="174"/>
      <c r="B293" s="132"/>
      <c r="C293" s="133"/>
      <c r="D293" s="133">
        <v>0</v>
      </c>
      <c r="E293" s="134">
        <v>0</v>
      </c>
      <c r="F293" s="134">
        <v>0</v>
      </c>
      <c r="G293" s="135">
        <f t="shared" si="13"/>
        <v>1</v>
      </c>
      <c r="H293" s="136">
        <f t="shared" si="12"/>
        <v>7</v>
      </c>
      <c r="I293" s="137" t="str">
        <f t="shared" si="14"/>
        <v>J</v>
      </c>
    </row>
    <row r="294" spans="1:9" x14ac:dyDescent="0.25">
      <c r="A294" s="174"/>
      <c r="B294" s="132"/>
      <c r="C294" s="133"/>
      <c r="D294" s="133">
        <v>0</v>
      </c>
      <c r="E294" s="134">
        <v>0</v>
      </c>
      <c r="F294" s="134">
        <v>0</v>
      </c>
      <c r="G294" s="135">
        <f t="shared" si="13"/>
        <v>1</v>
      </c>
      <c r="H294" s="136">
        <f t="shared" si="12"/>
        <v>7</v>
      </c>
      <c r="I294" s="137" t="str">
        <f t="shared" si="14"/>
        <v>J</v>
      </c>
    </row>
    <row r="295" spans="1:9" x14ac:dyDescent="0.25">
      <c r="A295" s="174"/>
      <c r="B295" s="132"/>
      <c r="C295" s="133"/>
      <c r="D295" s="133">
        <v>0</v>
      </c>
      <c r="E295" s="134">
        <v>0</v>
      </c>
      <c r="F295" s="134">
        <v>0</v>
      </c>
      <c r="G295" s="135">
        <f t="shared" si="13"/>
        <v>1</v>
      </c>
      <c r="H295" s="136">
        <f t="shared" si="12"/>
        <v>7</v>
      </c>
      <c r="I295" s="137" t="str">
        <f t="shared" si="14"/>
        <v>J</v>
      </c>
    </row>
    <row r="296" spans="1:9" x14ac:dyDescent="0.25">
      <c r="A296" s="174"/>
      <c r="B296" s="132"/>
      <c r="C296" s="133"/>
      <c r="D296" s="133">
        <v>0</v>
      </c>
      <c r="E296" s="134">
        <v>0</v>
      </c>
      <c r="F296" s="134">
        <v>0</v>
      </c>
      <c r="G296" s="135">
        <f t="shared" si="13"/>
        <v>1</v>
      </c>
      <c r="H296" s="136">
        <f t="shared" si="12"/>
        <v>7</v>
      </c>
      <c r="I296" s="137" t="str">
        <f t="shared" si="14"/>
        <v>J</v>
      </c>
    </row>
    <row r="297" spans="1:9" x14ac:dyDescent="0.25">
      <c r="A297" s="174"/>
      <c r="B297" s="132"/>
      <c r="C297" s="133"/>
      <c r="D297" s="133">
        <v>0</v>
      </c>
      <c r="E297" s="134">
        <v>0</v>
      </c>
      <c r="F297" s="134">
        <v>0</v>
      </c>
      <c r="G297" s="135">
        <f t="shared" si="13"/>
        <v>1</v>
      </c>
      <c r="H297" s="136">
        <f t="shared" si="12"/>
        <v>7</v>
      </c>
      <c r="I297" s="137" t="str">
        <f t="shared" si="14"/>
        <v>J</v>
      </c>
    </row>
    <row r="298" spans="1:9" x14ac:dyDescent="0.25">
      <c r="A298" s="174"/>
      <c r="B298" s="132"/>
      <c r="C298" s="133"/>
      <c r="D298" s="133">
        <v>0</v>
      </c>
      <c r="E298" s="134">
        <v>0</v>
      </c>
      <c r="F298" s="134">
        <v>0</v>
      </c>
      <c r="G298" s="135">
        <f t="shared" si="13"/>
        <v>1</v>
      </c>
      <c r="H298" s="136">
        <f t="shared" si="12"/>
        <v>7</v>
      </c>
      <c r="I298" s="137" t="str">
        <f t="shared" si="14"/>
        <v>J</v>
      </c>
    </row>
    <row r="299" spans="1:9" x14ac:dyDescent="0.25">
      <c r="A299" s="174"/>
      <c r="B299" s="132"/>
      <c r="C299" s="133"/>
      <c r="D299" s="133">
        <v>0</v>
      </c>
      <c r="E299" s="134">
        <v>0</v>
      </c>
      <c r="F299" s="134">
        <v>0</v>
      </c>
      <c r="G299" s="135">
        <f t="shared" si="13"/>
        <v>1</v>
      </c>
      <c r="H299" s="136">
        <f t="shared" si="12"/>
        <v>7</v>
      </c>
      <c r="I299" s="137" t="str">
        <f t="shared" si="14"/>
        <v>J</v>
      </c>
    </row>
    <row r="300" spans="1:9" x14ac:dyDescent="0.25">
      <c r="A300" s="174"/>
      <c r="B300" s="132"/>
      <c r="C300" s="133"/>
      <c r="D300" s="133">
        <v>0</v>
      </c>
      <c r="E300" s="134">
        <v>0</v>
      </c>
      <c r="F300" s="134">
        <v>0</v>
      </c>
      <c r="G300" s="135">
        <f t="shared" si="13"/>
        <v>1</v>
      </c>
      <c r="H300" s="136">
        <f t="shared" si="12"/>
        <v>7</v>
      </c>
      <c r="I300" s="137" t="str">
        <f t="shared" si="14"/>
        <v>J</v>
      </c>
    </row>
    <row r="301" spans="1:9" x14ac:dyDescent="0.25">
      <c r="A301" s="174"/>
      <c r="B301" s="132"/>
      <c r="C301" s="133"/>
      <c r="D301" s="133">
        <v>0</v>
      </c>
      <c r="E301" s="134">
        <v>0</v>
      </c>
      <c r="F301" s="134">
        <v>0</v>
      </c>
      <c r="G301" s="135">
        <f t="shared" si="13"/>
        <v>1</v>
      </c>
      <c r="H301" s="136">
        <f t="shared" si="12"/>
        <v>7</v>
      </c>
      <c r="I301" s="137" t="str">
        <f t="shared" si="14"/>
        <v>J</v>
      </c>
    </row>
    <row r="302" spans="1:9" x14ac:dyDescent="0.25">
      <c r="A302" s="174"/>
      <c r="B302" s="132"/>
      <c r="C302" s="133"/>
      <c r="D302" s="133">
        <v>0</v>
      </c>
      <c r="E302" s="134">
        <v>0</v>
      </c>
      <c r="F302" s="134">
        <v>0</v>
      </c>
      <c r="G302" s="135">
        <f t="shared" si="13"/>
        <v>1</v>
      </c>
      <c r="H302" s="136">
        <f t="shared" si="12"/>
        <v>7</v>
      </c>
      <c r="I302" s="137" t="str">
        <f t="shared" si="14"/>
        <v>J</v>
      </c>
    </row>
    <row r="303" spans="1:9" x14ac:dyDescent="0.25">
      <c r="A303" s="174"/>
      <c r="B303" s="132"/>
      <c r="C303" s="133"/>
      <c r="D303" s="133">
        <v>0</v>
      </c>
      <c r="E303" s="134">
        <v>0</v>
      </c>
      <c r="F303" s="134">
        <v>0</v>
      </c>
      <c r="G303" s="135">
        <f t="shared" si="13"/>
        <v>1</v>
      </c>
      <c r="H303" s="136">
        <f t="shared" si="12"/>
        <v>7</v>
      </c>
      <c r="I303" s="137" t="str">
        <f t="shared" si="14"/>
        <v>J</v>
      </c>
    </row>
    <row r="304" spans="1:9" x14ac:dyDescent="0.25">
      <c r="A304" s="174"/>
      <c r="B304" s="132"/>
      <c r="C304" s="133"/>
      <c r="D304" s="133">
        <v>0</v>
      </c>
      <c r="E304" s="134">
        <v>0</v>
      </c>
      <c r="F304" s="134">
        <v>0</v>
      </c>
      <c r="G304" s="135">
        <f t="shared" si="13"/>
        <v>1</v>
      </c>
      <c r="H304" s="136">
        <f t="shared" si="12"/>
        <v>7</v>
      </c>
      <c r="I304" s="137" t="str">
        <f t="shared" si="14"/>
        <v>J</v>
      </c>
    </row>
    <row r="305" spans="1:9" x14ac:dyDescent="0.25">
      <c r="A305" s="174"/>
      <c r="B305" s="132"/>
      <c r="C305" s="133"/>
      <c r="D305" s="133">
        <v>0</v>
      </c>
      <c r="E305" s="134">
        <v>0</v>
      </c>
      <c r="F305" s="134">
        <v>0</v>
      </c>
      <c r="G305" s="135">
        <f t="shared" si="13"/>
        <v>1</v>
      </c>
      <c r="H305" s="136">
        <f t="shared" si="12"/>
        <v>7</v>
      </c>
      <c r="I305" s="137" t="str">
        <f t="shared" si="14"/>
        <v>J</v>
      </c>
    </row>
    <row r="306" spans="1:9" x14ac:dyDescent="0.25">
      <c r="A306" s="174"/>
      <c r="B306" s="132"/>
      <c r="C306" s="133"/>
      <c r="D306" s="133">
        <v>0</v>
      </c>
      <c r="E306" s="134">
        <v>0</v>
      </c>
      <c r="F306" s="134">
        <v>0</v>
      </c>
      <c r="G306" s="135">
        <f t="shared" si="13"/>
        <v>1</v>
      </c>
      <c r="H306" s="136">
        <f t="shared" si="12"/>
        <v>7</v>
      </c>
      <c r="I306" s="137" t="str">
        <f t="shared" si="14"/>
        <v>J</v>
      </c>
    </row>
    <row r="307" spans="1:9" x14ac:dyDescent="0.25">
      <c r="A307" s="174"/>
      <c r="B307" s="132"/>
      <c r="C307" s="133"/>
      <c r="D307" s="133">
        <v>0</v>
      </c>
      <c r="E307" s="134">
        <v>0</v>
      </c>
      <c r="F307" s="134">
        <v>0</v>
      </c>
      <c r="G307" s="135">
        <f t="shared" si="13"/>
        <v>1</v>
      </c>
      <c r="H307" s="136">
        <f t="shared" si="12"/>
        <v>7</v>
      </c>
      <c r="I307" s="137" t="str">
        <f t="shared" si="14"/>
        <v>J</v>
      </c>
    </row>
    <row r="308" spans="1:9" x14ac:dyDescent="0.25">
      <c r="A308" s="174"/>
      <c r="B308" s="132"/>
      <c r="C308" s="133"/>
      <c r="D308" s="133">
        <v>0</v>
      </c>
      <c r="E308" s="134">
        <v>0</v>
      </c>
      <c r="F308" s="134">
        <v>0</v>
      </c>
      <c r="G308" s="135">
        <f t="shared" si="13"/>
        <v>1</v>
      </c>
      <c r="H308" s="136">
        <f t="shared" si="12"/>
        <v>7</v>
      </c>
      <c r="I308" s="137" t="str">
        <f t="shared" si="14"/>
        <v>J</v>
      </c>
    </row>
    <row r="309" spans="1:9" x14ac:dyDescent="0.25">
      <c r="A309" s="174"/>
      <c r="B309" s="132"/>
      <c r="C309" s="133"/>
      <c r="D309" s="133">
        <v>0</v>
      </c>
      <c r="E309" s="134">
        <v>0</v>
      </c>
      <c r="F309" s="134">
        <v>0</v>
      </c>
      <c r="G309" s="135">
        <f t="shared" si="13"/>
        <v>1</v>
      </c>
      <c r="H309" s="136">
        <f t="shared" si="12"/>
        <v>7</v>
      </c>
      <c r="I309" s="137" t="str">
        <f t="shared" si="14"/>
        <v>J</v>
      </c>
    </row>
    <row r="310" spans="1:9" x14ac:dyDescent="0.25">
      <c r="A310" s="174"/>
      <c r="B310" s="132"/>
      <c r="C310" s="133"/>
      <c r="D310" s="133">
        <v>0</v>
      </c>
      <c r="E310" s="134">
        <v>0</v>
      </c>
      <c r="F310" s="134">
        <v>0</v>
      </c>
      <c r="G310" s="135">
        <f t="shared" si="13"/>
        <v>1</v>
      </c>
      <c r="H310" s="136">
        <f t="shared" si="12"/>
        <v>7</v>
      </c>
      <c r="I310" s="137" t="str">
        <f t="shared" si="14"/>
        <v>J</v>
      </c>
    </row>
    <row r="311" spans="1:9" x14ac:dyDescent="0.25">
      <c r="A311" s="174"/>
      <c r="B311" s="132"/>
      <c r="C311" s="133"/>
      <c r="D311" s="133">
        <v>0</v>
      </c>
      <c r="E311" s="134">
        <v>0</v>
      </c>
      <c r="F311" s="134">
        <v>0</v>
      </c>
      <c r="G311" s="135">
        <f t="shared" si="13"/>
        <v>1</v>
      </c>
      <c r="H311" s="136">
        <f t="shared" si="12"/>
        <v>7</v>
      </c>
      <c r="I311" s="137" t="str">
        <f t="shared" si="14"/>
        <v>J</v>
      </c>
    </row>
    <row r="312" spans="1:9" x14ac:dyDescent="0.25">
      <c r="A312" s="174"/>
      <c r="B312" s="132"/>
      <c r="C312" s="133"/>
      <c r="D312" s="133">
        <v>0</v>
      </c>
      <c r="E312" s="134">
        <v>0</v>
      </c>
      <c r="F312" s="134">
        <v>0</v>
      </c>
      <c r="G312" s="135">
        <f t="shared" si="13"/>
        <v>1</v>
      </c>
      <c r="H312" s="136">
        <f t="shared" si="12"/>
        <v>7</v>
      </c>
      <c r="I312" s="137" t="str">
        <f t="shared" si="14"/>
        <v>J</v>
      </c>
    </row>
    <row r="313" spans="1:9" x14ac:dyDescent="0.25">
      <c r="A313" s="174"/>
      <c r="B313" s="132"/>
      <c r="C313" s="133"/>
      <c r="D313" s="133">
        <v>0</v>
      </c>
      <c r="E313" s="134">
        <v>0</v>
      </c>
      <c r="F313" s="134">
        <v>0</v>
      </c>
      <c r="G313" s="135">
        <f t="shared" si="13"/>
        <v>1</v>
      </c>
      <c r="H313" s="136">
        <f t="shared" si="12"/>
        <v>7</v>
      </c>
      <c r="I313" s="137" t="str">
        <f t="shared" si="14"/>
        <v>J</v>
      </c>
    </row>
    <row r="314" spans="1:9" x14ac:dyDescent="0.25">
      <c r="A314" s="174"/>
      <c r="B314" s="132"/>
      <c r="C314" s="133"/>
      <c r="D314" s="133">
        <v>0</v>
      </c>
      <c r="E314" s="134">
        <v>0</v>
      </c>
      <c r="F314" s="134">
        <v>0</v>
      </c>
      <c r="G314" s="135">
        <f t="shared" si="13"/>
        <v>1</v>
      </c>
      <c r="H314" s="136">
        <f t="shared" si="12"/>
        <v>7</v>
      </c>
      <c r="I314" s="137" t="str">
        <f t="shared" si="14"/>
        <v>J</v>
      </c>
    </row>
    <row r="315" spans="1:9" x14ac:dyDescent="0.25">
      <c r="A315" s="174"/>
      <c r="B315" s="132"/>
      <c r="C315" s="133"/>
      <c r="D315" s="133">
        <v>0</v>
      </c>
      <c r="E315" s="134">
        <v>0</v>
      </c>
      <c r="F315" s="134">
        <v>0</v>
      </c>
      <c r="G315" s="135">
        <f t="shared" si="13"/>
        <v>1</v>
      </c>
      <c r="H315" s="136">
        <f t="shared" si="12"/>
        <v>7</v>
      </c>
      <c r="I315" s="137" t="str">
        <f t="shared" si="14"/>
        <v>J</v>
      </c>
    </row>
    <row r="316" spans="1:9" x14ac:dyDescent="0.25">
      <c r="A316" s="174"/>
      <c r="B316" s="132"/>
      <c r="C316" s="133"/>
      <c r="D316" s="133">
        <v>0</v>
      </c>
      <c r="E316" s="134">
        <v>0</v>
      </c>
      <c r="F316" s="134">
        <v>0</v>
      </c>
      <c r="G316" s="135">
        <f t="shared" si="13"/>
        <v>1</v>
      </c>
      <c r="H316" s="136">
        <f t="shared" si="12"/>
        <v>7</v>
      </c>
      <c r="I316" s="137" t="str">
        <f t="shared" si="14"/>
        <v>J</v>
      </c>
    </row>
    <row r="317" spans="1:9" x14ac:dyDescent="0.25">
      <c r="A317" s="174"/>
      <c r="B317" s="132"/>
      <c r="C317" s="133"/>
      <c r="D317" s="133">
        <v>0</v>
      </c>
      <c r="E317" s="134">
        <v>0</v>
      </c>
      <c r="F317" s="134">
        <v>0</v>
      </c>
      <c r="G317" s="135">
        <f t="shared" si="13"/>
        <v>1</v>
      </c>
      <c r="H317" s="136">
        <f t="shared" si="12"/>
        <v>7</v>
      </c>
      <c r="I317" s="137" t="str">
        <f t="shared" si="14"/>
        <v>J</v>
      </c>
    </row>
    <row r="318" spans="1:9" x14ac:dyDescent="0.25">
      <c r="A318" s="174"/>
      <c r="B318" s="132"/>
      <c r="C318" s="133"/>
      <c r="D318" s="133">
        <v>0</v>
      </c>
      <c r="E318" s="134">
        <v>0</v>
      </c>
      <c r="F318" s="134">
        <v>0</v>
      </c>
      <c r="G318" s="135">
        <f t="shared" si="13"/>
        <v>1</v>
      </c>
      <c r="H318" s="136">
        <f t="shared" si="12"/>
        <v>7</v>
      </c>
      <c r="I318" s="137" t="str">
        <f t="shared" si="14"/>
        <v>J</v>
      </c>
    </row>
    <row r="319" spans="1:9" x14ac:dyDescent="0.25">
      <c r="A319" s="174"/>
      <c r="B319" s="132"/>
      <c r="C319" s="133"/>
      <c r="D319" s="133">
        <v>0</v>
      </c>
      <c r="E319" s="134">
        <v>0</v>
      </c>
      <c r="F319" s="134">
        <v>0</v>
      </c>
      <c r="G319" s="135">
        <f t="shared" si="13"/>
        <v>1</v>
      </c>
      <c r="H319" s="136">
        <f t="shared" si="12"/>
        <v>7</v>
      </c>
      <c r="I319" s="137" t="str">
        <f t="shared" si="14"/>
        <v>J</v>
      </c>
    </row>
    <row r="320" spans="1:9" x14ac:dyDescent="0.25">
      <c r="A320" s="174"/>
      <c r="B320" s="132"/>
      <c r="C320" s="133"/>
      <c r="D320" s="133">
        <v>0</v>
      </c>
      <c r="E320" s="134">
        <v>0</v>
      </c>
      <c r="F320" s="134">
        <v>0</v>
      </c>
      <c r="G320" s="135">
        <f t="shared" si="13"/>
        <v>1</v>
      </c>
      <c r="H320" s="136">
        <f t="shared" si="12"/>
        <v>7</v>
      </c>
      <c r="I320" s="137" t="str">
        <f t="shared" si="14"/>
        <v>J</v>
      </c>
    </row>
    <row r="321" spans="1:9" x14ac:dyDescent="0.25">
      <c r="A321" s="174"/>
      <c r="B321" s="132"/>
      <c r="C321" s="133"/>
      <c r="D321" s="133">
        <v>0</v>
      </c>
      <c r="E321" s="134">
        <v>0</v>
      </c>
      <c r="F321" s="134">
        <v>0</v>
      </c>
      <c r="G321" s="135">
        <f t="shared" si="13"/>
        <v>1</v>
      </c>
      <c r="H321" s="136">
        <f t="shared" si="12"/>
        <v>7</v>
      </c>
      <c r="I321" s="137" t="str">
        <f t="shared" si="14"/>
        <v>J</v>
      </c>
    </row>
    <row r="322" spans="1:9" x14ac:dyDescent="0.25">
      <c r="A322" s="174"/>
      <c r="B322" s="132"/>
      <c r="C322" s="133"/>
      <c r="D322" s="133">
        <v>0</v>
      </c>
      <c r="E322" s="134">
        <v>0</v>
      </c>
      <c r="F322" s="134">
        <v>0</v>
      </c>
      <c r="G322" s="135">
        <f t="shared" si="13"/>
        <v>1</v>
      </c>
      <c r="H322" s="136">
        <f t="shared" ref="H322:H385" si="15">VLOOKUP($G322, $Q$3:$R$12, 2)</f>
        <v>7</v>
      </c>
      <c r="I322" s="137" t="str">
        <f t="shared" si="14"/>
        <v>J</v>
      </c>
    </row>
    <row r="323" spans="1:9" x14ac:dyDescent="0.25">
      <c r="A323" s="174"/>
      <c r="B323" s="132"/>
      <c r="C323" s="133"/>
      <c r="D323" s="133">
        <v>0</v>
      </c>
      <c r="E323" s="134">
        <v>0</v>
      </c>
      <c r="F323" s="134">
        <v>0</v>
      </c>
      <c r="G323" s="135">
        <f t="shared" ref="G323:G386" si="16">(VLOOKUP($D323,$L$3:$O$15,4))+(VLOOKUP($E323,$M$3:$O$15,3))-(VLOOKUP($F323,$N$3:$O$15,2))</f>
        <v>1</v>
      </c>
      <c r="H323" s="136">
        <f t="shared" si="15"/>
        <v>7</v>
      </c>
      <c r="I323" s="137" t="str">
        <f t="shared" ref="I323:I386" si="17">IF(AND((SUM(D323:F323)=0),B323=0), "J", VLOOKUP($H323, $Q$16:$R$25, 2))</f>
        <v>J</v>
      </c>
    </row>
    <row r="324" spans="1:9" x14ac:dyDescent="0.25">
      <c r="A324" s="174"/>
      <c r="B324" s="132"/>
      <c r="C324" s="133"/>
      <c r="D324" s="133">
        <v>0</v>
      </c>
      <c r="E324" s="134">
        <v>0</v>
      </c>
      <c r="F324" s="134">
        <v>0</v>
      </c>
      <c r="G324" s="135">
        <f t="shared" si="16"/>
        <v>1</v>
      </c>
      <c r="H324" s="136">
        <f t="shared" si="15"/>
        <v>7</v>
      </c>
      <c r="I324" s="137" t="str">
        <f t="shared" si="17"/>
        <v>J</v>
      </c>
    </row>
    <row r="325" spans="1:9" x14ac:dyDescent="0.25">
      <c r="A325" s="174"/>
      <c r="B325" s="132"/>
      <c r="C325" s="133"/>
      <c r="D325" s="133">
        <v>0</v>
      </c>
      <c r="E325" s="134">
        <v>0</v>
      </c>
      <c r="F325" s="134">
        <v>0</v>
      </c>
      <c r="G325" s="135">
        <f t="shared" si="16"/>
        <v>1</v>
      </c>
      <c r="H325" s="136">
        <f t="shared" si="15"/>
        <v>7</v>
      </c>
      <c r="I325" s="137" t="str">
        <f t="shared" si="17"/>
        <v>J</v>
      </c>
    </row>
    <row r="326" spans="1:9" x14ac:dyDescent="0.25">
      <c r="A326" s="174"/>
      <c r="B326" s="132"/>
      <c r="C326" s="133"/>
      <c r="D326" s="133">
        <v>0</v>
      </c>
      <c r="E326" s="134">
        <v>0</v>
      </c>
      <c r="F326" s="134">
        <v>0</v>
      </c>
      <c r="G326" s="135">
        <f t="shared" si="16"/>
        <v>1</v>
      </c>
      <c r="H326" s="136">
        <f t="shared" si="15"/>
        <v>7</v>
      </c>
      <c r="I326" s="137" t="str">
        <f t="shared" si="17"/>
        <v>J</v>
      </c>
    </row>
    <row r="327" spans="1:9" x14ac:dyDescent="0.25">
      <c r="A327" s="174"/>
      <c r="B327" s="132"/>
      <c r="C327" s="133"/>
      <c r="D327" s="133">
        <v>0</v>
      </c>
      <c r="E327" s="134">
        <v>0</v>
      </c>
      <c r="F327" s="134">
        <v>0</v>
      </c>
      <c r="G327" s="135">
        <f t="shared" si="16"/>
        <v>1</v>
      </c>
      <c r="H327" s="136">
        <f t="shared" si="15"/>
        <v>7</v>
      </c>
      <c r="I327" s="137" t="str">
        <f t="shared" si="17"/>
        <v>J</v>
      </c>
    </row>
    <row r="328" spans="1:9" x14ac:dyDescent="0.25">
      <c r="A328" s="174"/>
      <c r="B328" s="132"/>
      <c r="C328" s="133"/>
      <c r="D328" s="133">
        <v>0</v>
      </c>
      <c r="E328" s="134">
        <v>0</v>
      </c>
      <c r="F328" s="134">
        <v>0</v>
      </c>
      <c r="G328" s="135">
        <f t="shared" si="16"/>
        <v>1</v>
      </c>
      <c r="H328" s="136">
        <f t="shared" si="15"/>
        <v>7</v>
      </c>
      <c r="I328" s="137" t="str">
        <f t="shared" si="17"/>
        <v>J</v>
      </c>
    </row>
    <row r="329" spans="1:9" x14ac:dyDescent="0.25">
      <c r="A329" s="174"/>
      <c r="B329" s="132"/>
      <c r="C329" s="133"/>
      <c r="D329" s="133">
        <v>0</v>
      </c>
      <c r="E329" s="134">
        <v>0</v>
      </c>
      <c r="F329" s="134">
        <v>0</v>
      </c>
      <c r="G329" s="135">
        <f t="shared" si="16"/>
        <v>1</v>
      </c>
      <c r="H329" s="136">
        <f t="shared" si="15"/>
        <v>7</v>
      </c>
      <c r="I329" s="137" t="str">
        <f t="shared" si="17"/>
        <v>J</v>
      </c>
    </row>
    <row r="330" spans="1:9" x14ac:dyDescent="0.25">
      <c r="A330" s="174"/>
      <c r="B330" s="132"/>
      <c r="C330" s="133"/>
      <c r="D330" s="133">
        <v>0</v>
      </c>
      <c r="E330" s="134">
        <v>0</v>
      </c>
      <c r="F330" s="134">
        <v>0</v>
      </c>
      <c r="G330" s="135">
        <f t="shared" si="16"/>
        <v>1</v>
      </c>
      <c r="H330" s="136">
        <f t="shared" si="15"/>
        <v>7</v>
      </c>
      <c r="I330" s="137" t="str">
        <f t="shared" si="17"/>
        <v>J</v>
      </c>
    </row>
    <row r="331" spans="1:9" x14ac:dyDescent="0.25">
      <c r="A331" s="174"/>
      <c r="B331" s="132"/>
      <c r="C331" s="133"/>
      <c r="D331" s="133">
        <v>0</v>
      </c>
      <c r="E331" s="134">
        <v>0</v>
      </c>
      <c r="F331" s="134">
        <v>0</v>
      </c>
      <c r="G331" s="135">
        <f t="shared" si="16"/>
        <v>1</v>
      </c>
      <c r="H331" s="136">
        <f t="shared" si="15"/>
        <v>7</v>
      </c>
      <c r="I331" s="137" t="str">
        <f t="shared" si="17"/>
        <v>J</v>
      </c>
    </row>
    <row r="332" spans="1:9" x14ac:dyDescent="0.25">
      <c r="A332" s="174"/>
      <c r="B332" s="132"/>
      <c r="C332" s="133"/>
      <c r="D332" s="133">
        <v>0</v>
      </c>
      <c r="E332" s="134">
        <v>0</v>
      </c>
      <c r="F332" s="134">
        <v>0</v>
      </c>
      <c r="G332" s="135">
        <f t="shared" si="16"/>
        <v>1</v>
      </c>
      <c r="H332" s="136">
        <f t="shared" si="15"/>
        <v>7</v>
      </c>
      <c r="I332" s="137" t="str">
        <f t="shared" si="17"/>
        <v>J</v>
      </c>
    </row>
    <row r="333" spans="1:9" x14ac:dyDescent="0.25">
      <c r="A333" s="174"/>
      <c r="B333" s="132"/>
      <c r="C333" s="133"/>
      <c r="D333" s="133">
        <v>0</v>
      </c>
      <c r="E333" s="134">
        <v>0</v>
      </c>
      <c r="F333" s="134">
        <v>0</v>
      </c>
      <c r="G333" s="135">
        <f t="shared" si="16"/>
        <v>1</v>
      </c>
      <c r="H333" s="136">
        <f t="shared" si="15"/>
        <v>7</v>
      </c>
      <c r="I333" s="137" t="str">
        <f t="shared" si="17"/>
        <v>J</v>
      </c>
    </row>
    <row r="334" spans="1:9" x14ac:dyDescent="0.25">
      <c r="A334" s="174"/>
      <c r="B334" s="132"/>
      <c r="C334" s="133"/>
      <c r="D334" s="133">
        <v>0</v>
      </c>
      <c r="E334" s="134">
        <v>0</v>
      </c>
      <c r="F334" s="134">
        <v>0</v>
      </c>
      <c r="G334" s="135">
        <f t="shared" si="16"/>
        <v>1</v>
      </c>
      <c r="H334" s="136">
        <f t="shared" si="15"/>
        <v>7</v>
      </c>
      <c r="I334" s="137" t="str">
        <f t="shared" si="17"/>
        <v>J</v>
      </c>
    </row>
    <row r="335" spans="1:9" x14ac:dyDescent="0.25">
      <c r="A335" s="174"/>
      <c r="B335" s="132"/>
      <c r="C335" s="133"/>
      <c r="D335" s="133">
        <v>0</v>
      </c>
      <c r="E335" s="134">
        <v>0</v>
      </c>
      <c r="F335" s="134">
        <v>0</v>
      </c>
      <c r="G335" s="135">
        <f t="shared" si="16"/>
        <v>1</v>
      </c>
      <c r="H335" s="136">
        <f t="shared" si="15"/>
        <v>7</v>
      </c>
      <c r="I335" s="137" t="str">
        <f t="shared" si="17"/>
        <v>J</v>
      </c>
    </row>
    <row r="336" spans="1:9" x14ac:dyDescent="0.25">
      <c r="A336" s="174"/>
      <c r="B336" s="132"/>
      <c r="C336" s="133"/>
      <c r="D336" s="133">
        <v>0</v>
      </c>
      <c r="E336" s="134">
        <v>0</v>
      </c>
      <c r="F336" s="134">
        <v>0</v>
      </c>
      <c r="G336" s="135">
        <f t="shared" si="16"/>
        <v>1</v>
      </c>
      <c r="H336" s="136">
        <f t="shared" si="15"/>
        <v>7</v>
      </c>
      <c r="I336" s="137" t="str">
        <f t="shared" si="17"/>
        <v>J</v>
      </c>
    </row>
    <row r="337" spans="1:9" x14ac:dyDescent="0.25">
      <c r="A337" s="174"/>
      <c r="B337" s="132"/>
      <c r="C337" s="133"/>
      <c r="D337" s="133">
        <v>0</v>
      </c>
      <c r="E337" s="134">
        <v>0</v>
      </c>
      <c r="F337" s="134">
        <v>0</v>
      </c>
      <c r="G337" s="135">
        <f t="shared" si="16"/>
        <v>1</v>
      </c>
      <c r="H337" s="136">
        <f t="shared" si="15"/>
        <v>7</v>
      </c>
      <c r="I337" s="137" t="str">
        <f t="shared" si="17"/>
        <v>J</v>
      </c>
    </row>
    <row r="338" spans="1:9" x14ac:dyDescent="0.25">
      <c r="A338" s="174"/>
      <c r="B338" s="132"/>
      <c r="C338" s="133"/>
      <c r="D338" s="133">
        <v>0</v>
      </c>
      <c r="E338" s="134">
        <v>0</v>
      </c>
      <c r="F338" s="134">
        <v>0</v>
      </c>
      <c r="G338" s="135">
        <f t="shared" si="16"/>
        <v>1</v>
      </c>
      <c r="H338" s="136">
        <f t="shared" si="15"/>
        <v>7</v>
      </c>
      <c r="I338" s="137" t="str">
        <f t="shared" si="17"/>
        <v>J</v>
      </c>
    </row>
    <row r="339" spans="1:9" x14ac:dyDescent="0.25">
      <c r="A339" s="174"/>
      <c r="B339" s="132"/>
      <c r="C339" s="133"/>
      <c r="D339" s="133">
        <v>0</v>
      </c>
      <c r="E339" s="134">
        <v>0</v>
      </c>
      <c r="F339" s="134">
        <v>0</v>
      </c>
      <c r="G339" s="135">
        <f t="shared" si="16"/>
        <v>1</v>
      </c>
      <c r="H339" s="136">
        <f t="shared" si="15"/>
        <v>7</v>
      </c>
      <c r="I339" s="137" t="str">
        <f t="shared" si="17"/>
        <v>J</v>
      </c>
    </row>
    <row r="340" spans="1:9" x14ac:dyDescent="0.25">
      <c r="A340" s="174"/>
      <c r="B340" s="132"/>
      <c r="C340" s="133"/>
      <c r="D340" s="133">
        <v>0</v>
      </c>
      <c r="E340" s="134">
        <v>0</v>
      </c>
      <c r="F340" s="134">
        <v>0</v>
      </c>
      <c r="G340" s="135">
        <f t="shared" si="16"/>
        <v>1</v>
      </c>
      <c r="H340" s="136">
        <f t="shared" si="15"/>
        <v>7</v>
      </c>
      <c r="I340" s="137" t="str">
        <f t="shared" si="17"/>
        <v>J</v>
      </c>
    </row>
    <row r="341" spans="1:9" x14ac:dyDescent="0.25">
      <c r="A341" s="174"/>
      <c r="B341" s="132"/>
      <c r="C341" s="133"/>
      <c r="D341" s="133">
        <v>0</v>
      </c>
      <c r="E341" s="134">
        <v>0</v>
      </c>
      <c r="F341" s="134">
        <v>0</v>
      </c>
      <c r="G341" s="135">
        <f t="shared" si="16"/>
        <v>1</v>
      </c>
      <c r="H341" s="136">
        <f t="shared" si="15"/>
        <v>7</v>
      </c>
      <c r="I341" s="137" t="str">
        <f t="shared" si="17"/>
        <v>J</v>
      </c>
    </row>
    <row r="342" spans="1:9" x14ac:dyDescent="0.25">
      <c r="A342" s="174"/>
      <c r="B342" s="132"/>
      <c r="C342" s="133"/>
      <c r="D342" s="133">
        <v>0</v>
      </c>
      <c r="E342" s="134">
        <v>0</v>
      </c>
      <c r="F342" s="134">
        <v>0</v>
      </c>
      <c r="G342" s="135">
        <f t="shared" si="16"/>
        <v>1</v>
      </c>
      <c r="H342" s="136">
        <f t="shared" si="15"/>
        <v>7</v>
      </c>
      <c r="I342" s="137" t="str">
        <f t="shared" si="17"/>
        <v>J</v>
      </c>
    </row>
    <row r="343" spans="1:9" x14ac:dyDescent="0.25">
      <c r="A343" s="174"/>
      <c r="B343" s="132"/>
      <c r="C343" s="133"/>
      <c r="D343" s="133">
        <v>0</v>
      </c>
      <c r="E343" s="134">
        <v>0</v>
      </c>
      <c r="F343" s="134">
        <v>0</v>
      </c>
      <c r="G343" s="135">
        <f t="shared" si="16"/>
        <v>1</v>
      </c>
      <c r="H343" s="136">
        <f t="shared" si="15"/>
        <v>7</v>
      </c>
      <c r="I343" s="137" t="str">
        <f t="shared" si="17"/>
        <v>J</v>
      </c>
    </row>
    <row r="344" spans="1:9" x14ac:dyDescent="0.25">
      <c r="A344" s="174"/>
      <c r="B344" s="132"/>
      <c r="C344" s="133"/>
      <c r="D344" s="133">
        <v>0</v>
      </c>
      <c r="E344" s="134">
        <v>0</v>
      </c>
      <c r="F344" s="134">
        <v>0</v>
      </c>
      <c r="G344" s="135">
        <f t="shared" si="16"/>
        <v>1</v>
      </c>
      <c r="H344" s="136">
        <f t="shared" si="15"/>
        <v>7</v>
      </c>
      <c r="I344" s="137" t="str">
        <f t="shared" si="17"/>
        <v>J</v>
      </c>
    </row>
    <row r="345" spans="1:9" x14ac:dyDescent="0.25">
      <c r="A345" s="174"/>
      <c r="B345" s="132"/>
      <c r="C345" s="133"/>
      <c r="D345" s="133">
        <v>0</v>
      </c>
      <c r="E345" s="134">
        <v>0</v>
      </c>
      <c r="F345" s="134">
        <v>0</v>
      </c>
      <c r="G345" s="135">
        <f t="shared" si="16"/>
        <v>1</v>
      </c>
      <c r="H345" s="136">
        <f t="shared" si="15"/>
        <v>7</v>
      </c>
      <c r="I345" s="137" t="str">
        <f t="shared" si="17"/>
        <v>J</v>
      </c>
    </row>
    <row r="346" spans="1:9" x14ac:dyDescent="0.25">
      <c r="A346" s="174"/>
      <c r="B346" s="132"/>
      <c r="C346" s="133"/>
      <c r="D346" s="133">
        <v>0</v>
      </c>
      <c r="E346" s="134">
        <v>0</v>
      </c>
      <c r="F346" s="134">
        <v>0</v>
      </c>
      <c r="G346" s="135">
        <f t="shared" si="16"/>
        <v>1</v>
      </c>
      <c r="H346" s="136">
        <f t="shared" si="15"/>
        <v>7</v>
      </c>
      <c r="I346" s="137" t="str">
        <f t="shared" si="17"/>
        <v>J</v>
      </c>
    </row>
    <row r="347" spans="1:9" x14ac:dyDescent="0.25">
      <c r="A347" s="174"/>
      <c r="B347" s="132"/>
      <c r="C347" s="133"/>
      <c r="D347" s="133">
        <v>0</v>
      </c>
      <c r="E347" s="134">
        <v>0</v>
      </c>
      <c r="F347" s="134">
        <v>0</v>
      </c>
      <c r="G347" s="135">
        <f t="shared" si="16"/>
        <v>1</v>
      </c>
      <c r="H347" s="136">
        <f t="shared" si="15"/>
        <v>7</v>
      </c>
      <c r="I347" s="137" t="str">
        <f t="shared" si="17"/>
        <v>J</v>
      </c>
    </row>
    <row r="348" spans="1:9" x14ac:dyDescent="0.25">
      <c r="A348" s="174"/>
      <c r="B348" s="132"/>
      <c r="C348" s="133"/>
      <c r="D348" s="133">
        <v>0</v>
      </c>
      <c r="E348" s="134">
        <v>0</v>
      </c>
      <c r="F348" s="134">
        <v>0</v>
      </c>
      <c r="G348" s="135">
        <f t="shared" si="16"/>
        <v>1</v>
      </c>
      <c r="H348" s="136">
        <f t="shared" si="15"/>
        <v>7</v>
      </c>
      <c r="I348" s="137" t="str">
        <f t="shared" si="17"/>
        <v>J</v>
      </c>
    </row>
    <row r="349" spans="1:9" x14ac:dyDescent="0.25">
      <c r="A349" s="174"/>
      <c r="B349" s="132"/>
      <c r="C349" s="133"/>
      <c r="D349" s="133">
        <v>0</v>
      </c>
      <c r="E349" s="134">
        <v>0</v>
      </c>
      <c r="F349" s="134">
        <v>0</v>
      </c>
      <c r="G349" s="135">
        <f t="shared" si="16"/>
        <v>1</v>
      </c>
      <c r="H349" s="136">
        <f t="shared" si="15"/>
        <v>7</v>
      </c>
      <c r="I349" s="137" t="str">
        <f t="shared" si="17"/>
        <v>J</v>
      </c>
    </row>
    <row r="350" spans="1:9" x14ac:dyDescent="0.25">
      <c r="A350" s="174"/>
      <c r="B350" s="132"/>
      <c r="C350" s="133"/>
      <c r="D350" s="133">
        <v>0</v>
      </c>
      <c r="E350" s="134">
        <v>0</v>
      </c>
      <c r="F350" s="134">
        <v>0</v>
      </c>
      <c r="G350" s="135">
        <f t="shared" si="16"/>
        <v>1</v>
      </c>
      <c r="H350" s="136">
        <f t="shared" si="15"/>
        <v>7</v>
      </c>
      <c r="I350" s="137" t="str">
        <f t="shared" si="17"/>
        <v>J</v>
      </c>
    </row>
    <row r="351" spans="1:9" x14ac:dyDescent="0.25">
      <c r="A351" s="174"/>
      <c r="B351" s="132"/>
      <c r="C351" s="133"/>
      <c r="D351" s="133">
        <v>0</v>
      </c>
      <c r="E351" s="134">
        <v>0</v>
      </c>
      <c r="F351" s="134">
        <v>0</v>
      </c>
      <c r="G351" s="135">
        <f t="shared" si="16"/>
        <v>1</v>
      </c>
      <c r="H351" s="136">
        <f t="shared" si="15"/>
        <v>7</v>
      </c>
      <c r="I351" s="137" t="str">
        <f t="shared" si="17"/>
        <v>J</v>
      </c>
    </row>
    <row r="352" spans="1:9" x14ac:dyDescent="0.25">
      <c r="A352" s="174"/>
      <c r="B352" s="132"/>
      <c r="C352" s="133"/>
      <c r="D352" s="133">
        <v>0</v>
      </c>
      <c r="E352" s="134">
        <v>0</v>
      </c>
      <c r="F352" s="134">
        <v>0</v>
      </c>
      <c r="G352" s="135">
        <f t="shared" si="16"/>
        <v>1</v>
      </c>
      <c r="H352" s="136">
        <f t="shared" si="15"/>
        <v>7</v>
      </c>
      <c r="I352" s="137" t="str">
        <f t="shared" si="17"/>
        <v>J</v>
      </c>
    </row>
    <row r="353" spans="1:9" x14ac:dyDescent="0.25">
      <c r="A353" s="174"/>
      <c r="B353" s="132"/>
      <c r="C353" s="133"/>
      <c r="D353" s="133">
        <v>0</v>
      </c>
      <c r="E353" s="134">
        <v>0</v>
      </c>
      <c r="F353" s="134">
        <v>0</v>
      </c>
      <c r="G353" s="135">
        <f t="shared" si="16"/>
        <v>1</v>
      </c>
      <c r="H353" s="136">
        <f t="shared" si="15"/>
        <v>7</v>
      </c>
      <c r="I353" s="137" t="str">
        <f t="shared" si="17"/>
        <v>J</v>
      </c>
    </row>
    <row r="354" spans="1:9" x14ac:dyDescent="0.25">
      <c r="A354" s="174"/>
      <c r="B354" s="132"/>
      <c r="C354" s="133"/>
      <c r="D354" s="133">
        <v>0</v>
      </c>
      <c r="E354" s="134">
        <v>0</v>
      </c>
      <c r="F354" s="134">
        <v>0</v>
      </c>
      <c r="G354" s="135">
        <f t="shared" si="16"/>
        <v>1</v>
      </c>
      <c r="H354" s="136">
        <f t="shared" si="15"/>
        <v>7</v>
      </c>
      <c r="I354" s="137" t="str">
        <f t="shared" si="17"/>
        <v>J</v>
      </c>
    </row>
    <row r="355" spans="1:9" x14ac:dyDescent="0.25">
      <c r="A355" s="174"/>
      <c r="B355" s="132"/>
      <c r="C355" s="133"/>
      <c r="D355" s="133">
        <v>0</v>
      </c>
      <c r="E355" s="134">
        <v>0</v>
      </c>
      <c r="F355" s="134">
        <v>0</v>
      </c>
      <c r="G355" s="135">
        <f t="shared" si="16"/>
        <v>1</v>
      </c>
      <c r="H355" s="136">
        <f t="shared" si="15"/>
        <v>7</v>
      </c>
      <c r="I355" s="137" t="str">
        <f t="shared" si="17"/>
        <v>J</v>
      </c>
    </row>
    <row r="356" spans="1:9" x14ac:dyDescent="0.25">
      <c r="A356" s="174"/>
      <c r="B356" s="132"/>
      <c r="C356" s="133"/>
      <c r="D356" s="133">
        <v>0</v>
      </c>
      <c r="E356" s="134">
        <v>0</v>
      </c>
      <c r="F356" s="134">
        <v>0</v>
      </c>
      <c r="G356" s="135">
        <f t="shared" si="16"/>
        <v>1</v>
      </c>
      <c r="H356" s="136">
        <f t="shared" si="15"/>
        <v>7</v>
      </c>
      <c r="I356" s="137" t="str">
        <f t="shared" si="17"/>
        <v>J</v>
      </c>
    </row>
    <row r="357" spans="1:9" x14ac:dyDescent="0.25">
      <c r="A357" s="174"/>
      <c r="B357" s="132"/>
      <c r="C357" s="133"/>
      <c r="D357" s="133">
        <v>0</v>
      </c>
      <c r="E357" s="134">
        <v>0</v>
      </c>
      <c r="F357" s="134">
        <v>0</v>
      </c>
      <c r="G357" s="135">
        <f t="shared" si="16"/>
        <v>1</v>
      </c>
      <c r="H357" s="136">
        <f t="shared" si="15"/>
        <v>7</v>
      </c>
      <c r="I357" s="137" t="str">
        <f t="shared" si="17"/>
        <v>J</v>
      </c>
    </row>
    <row r="358" spans="1:9" x14ac:dyDescent="0.25">
      <c r="A358" s="174"/>
      <c r="B358" s="132"/>
      <c r="C358" s="133"/>
      <c r="D358" s="133">
        <v>0</v>
      </c>
      <c r="E358" s="134">
        <v>0</v>
      </c>
      <c r="F358" s="134">
        <v>0</v>
      </c>
      <c r="G358" s="135">
        <f t="shared" si="16"/>
        <v>1</v>
      </c>
      <c r="H358" s="136">
        <f t="shared" si="15"/>
        <v>7</v>
      </c>
      <c r="I358" s="137" t="str">
        <f t="shared" si="17"/>
        <v>J</v>
      </c>
    </row>
    <row r="359" spans="1:9" x14ac:dyDescent="0.25">
      <c r="A359" s="174"/>
      <c r="B359" s="132"/>
      <c r="C359" s="133"/>
      <c r="D359" s="133">
        <v>0</v>
      </c>
      <c r="E359" s="134">
        <v>0</v>
      </c>
      <c r="F359" s="134">
        <v>0</v>
      </c>
      <c r="G359" s="135">
        <f t="shared" si="16"/>
        <v>1</v>
      </c>
      <c r="H359" s="136">
        <f t="shared" si="15"/>
        <v>7</v>
      </c>
      <c r="I359" s="137" t="str">
        <f t="shared" si="17"/>
        <v>J</v>
      </c>
    </row>
    <row r="360" spans="1:9" x14ac:dyDescent="0.25">
      <c r="A360" s="174"/>
      <c r="B360" s="132"/>
      <c r="C360" s="133"/>
      <c r="D360" s="133">
        <v>0</v>
      </c>
      <c r="E360" s="134">
        <v>0</v>
      </c>
      <c r="F360" s="134">
        <v>0</v>
      </c>
      <c r="G360" s="135">
        <f t="shared" si="16"/>
        <v>1</v>
      </c>
      <c r="H360" s="136">
        <f t="shared" si="15"/>
        <v>7</v>
      </c>
      <c r="I360" s="137" t="str">
        <f t="shared" si="17"/>
        <v>J</v>
      </c>
    </row>
    <row r="361" spans="1:9" x14ac:dyDescent="0.25">
      <c r="A361" s="174"/>
      <c r="B361" s="132"/>
      <c r="C361" s="133"/>
      <c r="D361" s="133">
        <v>0</v>
      </c>
      <c r="E361" s="134">
        <v>0</v>
      </c>
      <c r="F361" s="134">
        <v>0</v>
      </c>
      <c r="G361" s="135">
        <f t="shared" si="16"/>
        <v>1</v>
      </c>
      <c r="H361" s="136">
        <f t="shared" si="15"/>
        <v>7</v>
      </c>
      <c r="I361" s="137" t="str">
        <f t="shared" si="17"/>
        <v>J</v>
      </c>
    </row>
    <row r="362" spans="1:9" x14ac:dyDescent="0.25">
      <c r="A362" s="174"/>
      <c r="B362" s="132"/>
      <c r="C362" s="133"/>
      <c r="D362" s="133">
        <v>0</v>
      </c>
      <c r="E362" s="134">
        <v>0</v>
      </c>
      <c r="F362" s="134">
        <v>0</v>
      </c>
      <c r="G362" s="135">
        <f t="shared" si="16"/>
        <v>1</v>
      </c>
      <c r="H362" s="136">
        <f t="shared" si="15"/>
        <v>7</v>
      </c>
      <c r="I362" s="137" t="str">
        <f t="shared" si="17"/>
        <v>J</v>
      </c>
    </row>
    <row r="363" spans="1:9" x14ac:dyDescent="0.25">
      <c r="A363" s="174"/>
      <c r="B363" s="132"/>
      <c r="C363" s="133"/>
      <c r="D363" s="133">
        <v>0</v>
      </c>
      <c r="E363" s="134">
        <v>0</v>
      </c>
      <c r="F363" s="134">
        <v>0</v>
      </c>
      <c r="G363" s="135">
        <f t="shared" si="16"/>
        <v>1</v>
      </c>
      <c r="H363" s="136">
        <f t="shared" si="15"/>
        <v>7</v>
      </c>
      <c r="I363" s="137" t="str">
        <f t="shared" si="17"/>
        <v>J</v>
      </c>
    </row>
    <row r="364" spans="1:9" x14ac:dyDescent="0.25">
      <c r="A364" s="174"/>
      <c r="B364" s="132"/>
      <c r="C364" s="133"/>
      <c r="D364" s="133">
        <v>0</v>
      </c>
      <c r="E364" s="134">
        <v>0</v>
      </c>
      <c r="F364" s="134">
        <v>0</v>
      </c>
      <c r="G364" s="135">
        <f t="shared" si="16"/>
        <v>1</v>
      </c>
      <c r="H364" s="136">
        <f t="shared" si="15"/>
        <v>7</v>
      </c>
      <c r="I364" s="137" t="str">
        <f t="shared" si="17"/>
        <v>J</v>
      </c>
    </row>
    <row r="365" spans="1:9" x14ac:dyDescent="0.25">
      <c r="A365" s="174"/>
      <c r="B365" s="132"/>
      <c r="C365" s="133"/>
      <c r="D365" s="133">
        <v>0</v>
      </c>
      <c r="E365" s="134">
        <v>0</v>
      </c>
      <c r="F365" s="134">
        <v>0</v>
      </c>
      <c r="G365" s="135">
        <f t="shared" si="16"/>
        <v>1</v>
      </c>
      <c r="H365" s="136">
        <f t="shared" si="15"/>
        <v>7</v>
      </c>
      <c r="I365" s="137" t="str">
        <f t="shared" si="17"/>
        <v>J</v>
      </c>
    </row>
    <row r="366" spans="1:9" x14ac:dyDescent="0.25">
      <c r="A366" s="174"/>
      <c r="B366" s="132"/>
      <c r="C366" s="133"/>
      <c r="D366" s="133">
        <v>0</v>
      </c>
      <c r="E366" s="134">
        <v>0</v>
      </c>
      <c r="F366" s="134">
        <v>0</v>
      </c>
      <c r="G366" s="135">
        <f t="shared" si="16"/>
        <v>1</v>
      </c>
      <c r="H366" s="136">
        <f t="shared" si="15"/>
        <v>7</v>
      </c>
      <c r="I366" s="137" t="str">
        <f t="shared" si="17"/>
        <v>J</v>
      </c>
    </row>
    <row r="367" spans="1:9" x14ac:dyDescent="0.25">
      <c r="A367" s="174"/>
      <c r="B367" s="132"/>
      <c r="C367" s="133"/>
      <c r="D367" s="133">
        <v>0</v>
      </c>
      <c r="E367" s="134">
        <v>0</v>
      </c>
      <c r="F367" s="134">
        <v>0</v>
      </c>
      <c r="G367" s="135">
        <f t="shared" si="16"/>
        <v>1</v>
      </c>
      <c r="H367" s="136">
        <f t="shared" si="15"/>
        <v>7</v>
      </c>
      <c r="I367" s="137" t="str">
        <f t="shared" si="17"/>
        <v>J</v>
      </c>
    </row>
    <row r="368" spans="1:9" x14ac:dyDescent="0.25">
      <c r="A368" s="174"/>
      <c r="B368" s="132"/>
      <c r="C368" s="133"/>
      <c r="D368" s="133">
        <v>0</v>
      </c>
      <c r="E368" s="134">
        <v>0</v>
      </c>
      <c r="F368" s="134">
        <v>0</v>
      </c>
      <c r="G368" s="135">
        <f t="shared" si="16"/>
        <v>1</v>
      </c>
      <c r="H368" s="136">
        <f t="shared" si="15"/>
        <v>7</v>
      </c>
      <c r="I368" s="137" t="str">
        <f t="shared" si="17"/>
        <v>J</v>
      </c>
    </row>
    <row r="369" spans="1:9" x14ac:dyDescent="0.25">
      <c r="A369" s="174"/>
      <c r="B369" s="132"/>
      <c r="C369" s="133"/>
      <c r="D369" s="133">
        <v>0</v>
      </c>
      <c r="E369" s="134">
        <v>0</v>
      </c>
      <c r="F369" s="134">
        <v>0</v>
      </c>
      <c r="G369" s="135">
        <f t="shared" si="16"/>
        <v>1</v>
      </c>
      <c r="H369" s="136">
        <f t="shared" si="15"/>
        <v>7</v>
      </c>
      <c r="I369" s="137" t="str">
        <f t="shared" si="17"/>
        <v>J</v>
      </c>
    </row>
    <row r="370" spans="1:9" x14ac:dyDescent="0.25">
      <c r="A370" s="174"/>
      <c r="B370" s="132"/>
      <c r="C370" s="133"/>
      <c r="D370" s="133">
        <v>0</v>
      </c>
      <c r="E370" s="134">
        <v>0</v>
      </c>
      <c r="F370" s="134">
        <v>0</v>
      </c>
      <c r="G370" s="135">
        <f t="shared" si="16"/>
        <v>1</v>
      </c>
      <c r="H370" s="136">
        <f t="shared" si="15"/>
        <v>7</v>
      </c>
      <c r="I370" s="137" t="str">
        <f t="shared" si="17"/>
        <v>J</v>
      </c>
    </row>
    <row r="371" spans="1:9" x14ac:dyDescent="0.25">
      <c r="A371" s="174"/>
      <c r="B371" s="132"/>
      <c r="C371" s="133"/>
      <c r="D371" s="133">
        <v>0</v>
      </c>
      <c r="E371" s="134">
        <v>0</v>
      </c>
      <c r="F371" s="134">
        <v>0</v>
      </c>
      <c r="G371" s="135">
        <f t="shared" si="16"/>
        <v>1</v>
      </c>
      <c r="H371" s="136">
        <f t="shared" si="15"/>
        <v>7</v>
      </c>
      <c r="I371" s="137" t="str">
        <f t="shared" si="17"/>
        <v>J</v>
      </c>
    </row>
    <row r="372" spans="1:9" x14ac:dyDescent="0.25">
      <c r="A372" s="174"/>
      <c r="B372" s="132"/>
      <c r="C372" s="133"/>
      <c r="D372" s="133">
        <v>0</v>
      </c>
      <c r="E372" s="134">
        <v>0</v>
      </c>
      <c r="F372" s="134">
        <v>0</v>
      </c>
      <c r="G372" s="135">
        <f t="shared" si="16"/>
        <v>1</v>
      </c>
      <c r="H372" s="136">
        <f t="shared" si="15"/>
        <v>7</v>
      </c>
      <c r="I372" s="137" t="str">
        <f t="shared" si="17"/>
        <v>J</v>
      </c>
    </row>
    <row r="373" spans="1:9" x14ac:dyDescent="0.25">
      <c r="A373" s="174"/>
      <c r="B373" s="132"/>
      <c r="C373" s="133"/>
      <c r="D373" s="133">
        <v>0</v>
      </c>
      <c r="E373" s="134">
        <v>0</v>
      </c>
      <c r="F373" s="134">
        <v>0</v>
      </c>
      <c r="G373" s="135">
        <f t="shared" si="16"/>
        <v>1</v>
      </c>
      <c r="H373" s="136">
        <f t="shared" si="15"/>
        <v>7</v>
      </c>
      <c r="I373" s="137" t="str">
        <f t="shared" si="17"/>
        <v>J</v>
      </c>
    </row>
    <row r="374" spans="1:9" x14ac:dyDescent="0.25">
      <c r="A374" s="174"/>
      <c r="B374" s="132"/>
      <c r="C374" s="133"/>
      <c r="D374" s="133">
        <v>0</v>
      </c>
      <c r="E374" s="134">
        <v>0</v>
      </c>
      <c r="F374" s="134">
        <v>0</v>
      </c>
      <c r="G374" s="135">
        <f t="shared" si="16"/>
        <v>1</v>
      </c>
      <c r="H374" s="136">
        <f t="shared" si="15"/>
        <v>7</v>
      </c>
      <c r="I374" s="137" t="str">
        <f t="shared" si="17"/>
        <v>J</v>
      </c>
    </row>
    <row r="375" spans="1:9" x14ac:dyDescent="0.25">
      <c r="A375" s="174"/>
      <c r="B375" s="132"/>
      <c r="C375" s="133"/>
      <c r="D375" s="133">
        <v>0</v>
      </c>
      <c r="E375" s="134">
        <v>0</v>
      </c>
      <c r="F375" s="134">
        <v>0</v>
      </c>
      <c r="G375" s="135">
        <f t="shared" si="16"/>
        <v>1</v>
      </c>
      <c r="H375" s="136">
        <f t="shared" si="15"/>
        <v>7</v>
      </c>
      <c r="I375" s="137" t="str">
        <f t="shared" si="17"/>
        <v>J</v>
      </c>
    </row>
    <row r="376" spans="1:9" x14ac:dyDescent="0.25">
      <c r="A376" s="174"/>
      <c r="B376" s="132"/>
      <c r="C376" s="133"/>
      <c r="D376" s="133">
        <v>0</v>
      </c>
      <c r="E376" s="134">
        <v>0</v>
      </c>
      <c r="F376" s="134">
        <v>0</v>
      </c>
      <c r="G376" s="135">
        <f t="shared" si="16"/>
        <v>1</v>
      </c>
      <c r="H376" s="136">
        <f t="shared" si="15"/>
        <v>7</v>
      </c>
      <c r="I376" s="137" t="str">
        <f t="shared" si="17"/>
        <v>J</v>
      </c>
    </row>
    <row r="377" spans="1:9" x14ac:dyDescent="0.25">
      <c r="A377" s="174"/>
      <c r="B377" s="132"/>
      <c r="C377" s="133"/>
      <c r="D377" s="133">
        <v>0</v>
      </c>
      <c r="E377" s="134">
        <v>0</v>
      </c>
      <c r="F377" s="134">
        <v>0</v>
      </c>
      <c r="G377" s="135">
        <f t="shared" si="16"/>
        <v>1</v>
      </c>
      <c r="H377" s="136">
        <f t="shared" si="15"/>
        <v>7</v>
      </c>
      <c r="I377" s="137" t="str">
        <f t="shared" si="17"/>
        <v>J</v>
      </c>
    </row>
    <row r="378" spans="1:9" x14ac:dyDescent="0.25">
      <c r="A378" s="174"/>
      <c r="B378" s="132"/>
      <c r="C378" s="133"/>
      <c r="D378" s="133">
        <v>0</v>
      </c>
      <c r="E378" s="134">
        <v>0</v>
      </c>
      <c r="F378" s="134">
        <v>0</v>
      </c>
      <c r="G378" s="135">
        <f t="shared" si="16"/>
        <v>1</v>
      </c>
      <c r="H378" s="136">
        <f t="shared" si="15"/>
        <v>7</v>
      </c>
      <c r="I378" s="137" t="str">
        <f t="shared" si="17"/>
        <v>J</v>
      </c>
    </row>
    <row r="379" spans="1:9" x14ac:dyDescent="0.25">
      <c r="A379" s="174"/>
      <c r="B379" s="132"/>
      <c r="C379" s="133"/>
      <c r="D379" s="133">
        <v>0</v>
      </c>
      <c r="E379" s="134">
        <v>0</v>
      </c>
      <c r="F379" s="134">
        <v>0</v>
      </c>
      <c r="G379" s="135">
        <f t="shared" si="16"/>
        <v>1</v>
      </c>
      <c r="H379" s="136">
        <f t="shared" si="15"/>
        <v>7</v>
      </c>
      <c r="I379" s="137" t="str">
        <f t="shared" si="17"/>
        <v>J</v>
      </c>
    </row>
    <row r="380" spans="1:9" x14ac:dyDescent="0.25">
      <c r="A380" s="174"/>
      <c r="B380" s="132"/>
      <c r="C380" s="133"/>
      <c r="D380" s="133">
        <v>0</v>
      </c>
      <c r="E380" s="134">
        <v>0</v>
      </c>
      <c r="F380" s="134">
        <v>0</v>
      </c>
      <c r="G380" s="135">
        <f t="shared" si="16"/>
        <v>1</v>
      </c>
      <c r="H380" s="136">
        <f t="shared" si="15"/>
        <v>7</v>
      </c>
      <c r="I380" s="137" t="str">
        <f t="shared" si="17"/>
        <v>J</v>
      </c>
    </row>
    <row r="381" spans="1:9" x14ac:dyDescent="0.25">
      <c r="A381" s="174"/>
      <c r="B381" s="132"/>
      <c r="C381" s="133"/>
      <c r="D381" s="133">
        <v>0</v>
      </c>
      <c r="E381" s="134">
        <v>0</v>
      </c>
      <c r="F381" s="134">
        <v>0</v>
      </c>
      <c r="G381" s="135">
        <f t="shared" si="16"/>
        <v>1</v>
      </c>
      <c r="H381" s="136">
        <f t="shared" si="15"/>
        <v>7</v>
      </c>
      <c r="I381" s="137" t="str">
        <f t="shared" si="17"/>
        <v>J</v>
      </c>
    </row>
    <row r="382" spans="1:9" x14ac:dyDescent="0.25">
      <c r="A382" s="174"/>
      <c r="B382" s="132"/>
      <c r="C382" s="133"/>
      <c r="D382" s="133">
        <v>0</v>
      </c>
      <c r="E382" s="134">
        <v>0</v>
      </c>
      <c r="F382" s="134">
        <v>0</v>
      </c>
      <c r="G382" s="135">
        <f t="shared" si="16"/>
        <v>1</v>
      </c>
      <c r="H382" s="136">
        <f t="shared" si="15"/>
        <v>7</v>
      </c>
      <c r="I382" s="137" t="str">
        <f t="shared" si="17"/>
        <v>J</v>
      </c>
    </row>
    <row r="383" spans="1:9" x14ac:dyDescent="0.25">
      <c r="A383" s="174"/>
      <c r="B383" s="132"/>
      <c r="C383" s="133"/>
      <c r="D383" s="133">
        <v>0</v>
      </c>
      <c r="E383" s="134">
        <v>0</v>
      </c>
      <c r="F383" s="134">
        <v>0</v>
      </c>
      <c r="G383" s="135">
        <f t="shared" si="16"/>
        <v>1</v>
      </c>
      <c r="H383" s="136">
        <f t="shared" si="15"/>
        <v>7</v>
      </c>
      <c r="I383" s="137" t="str">
        <f t="shared" si="17"/>
        <v>J</v>
      </c>
    </row>
    <row r="384" spans="1:9" x14ac:dyDescent="0.25">
      <c r="A384" s="174"/>
      <c r="B384" s="132"/>
      <c r="C384" s="133"/>
      <c r="D384" s="133">
        <v>0</v>
      </c>
      <c r="E384" s="134">
        <v>0</v>
      </c>
      <c r="F384" s="134">
        <v>0</v>
      </c>
      <c r="G384" s="135">
        <f t="shared" si="16"/>
        <v>1</v>
      </c>
      <c r="H384" s="136">
        <f t="shared" si="15"/>
        <v>7</v>
      </c>
      <c r="I384" s="137" t="str">
        <f t="shared" si="17"/>
        <v>J</v>
      </c>
    </row>
    <row r="385" spans="1:9" x14ac:dyDescent="0.25">
      <c r="A385" s="174"/>
      <c r="B385" s="132"/>
      <c r="C385" s="133"/>
      <c r="D385" s="133">
        <v>0</v>
      </c>
      <c r="E385" s="134">
        <v>0</v>
      </c>
      <c r="F385" s="134">
        <v>0</v>
      </c>
      <c r="G385" s="135">
        <f t="shared" si="16"/>
        <v>1</v>
      </c>
      <c r="H385" s="136">
        <f t="shared" si="15"/>
        <v>7</v>
      </c>
      <c r="I385" s="137" t="str">
        <f t="shared" si="17"/>
        <v>J</v>
      </c>
    </row>
    <row r="386" spans="1:9" x14ac:dyDescent="0.25">
      <c r="A386" s="174"/>
      <c r="B386" s="132"/>
      <c r="C386" s="133"/>
      <c r="D386" s="133">
        <v>0</v>
      </c>
      <c r="E386" s="134">
        <v>0</v>
      </c>
      <c r="F386" s="134">
        <v>0</v>
      </c>
      <c r="G386" s="135">
        <f t="shared" si="16"/>
        <v>1</v>
      </c>
      <c r="H386" s="136">
        <f t="shared" ref="H386:H449" si="18">VLOOKUP($G386, $Q$3:$R$12, 2)</f>
        <v>7</v>
      </c>
      <c r="I386" s="137" t="str">
        <f t="shared" si="17"/>
        <v>J</v>
      </c>
    </row>
    <row r="387" spans="1:9" x14ac:dyDescent="0.25">
      <c r="A387" s="174"/>
      <c r="B387" s="132"/>
      <c r="C387" s="133"/>
      <c r="D387" s="133">
        <v>0</v>
      </c>
      <c r="E387" s="134">
        <v>0</v>
      </c>
      <c r="F387" s="134">
        <v>0</v>
      </c>
      <c r="G387" s="135">
        <f t="shared" ref="G387:G450" si="19">(VLOOKUP($D387,$L$3:$O$15,4))+(VLOOKUP($E387,$M$3:$O$15,3))-(VLOOKUP($F387,$N$3:$O$15,2))</f>
        <v>1</v>
      </c>
      <c r="H387" s="136">
        <f t="shared" si="18"/>
        <v>7</v>
      </c>
      <c r="I387" s="137" t="str">
        <f t="shared" ref="I387:I450" si="20">IF(AND((SUM(D387:F387)=0),B387=0), "J", VLOOKUP($H387, $Q$16:$R$25, 2))</f>
        <v>J</v>
      </c>
    </row>
    <row r="388" spans="1:9" x14ac:dyDescent="0.25">
      <c r="A388" s="174"/>
      <c r="B388" s="132"/>
      <c r="C388" s="133"/>
      <c r="D388" s="133">
        <v>0</v>
      </c>
      <c r="E388" s="134">
        <v>0</v>
      </c>
      <c r="F388" s="134">
        <v>0</v>
      </c>
      <c r="G388" s="135">
        <f t="shared" si="19"/>
        <v>1</v>
      </c>
      <c r="H388" s="136">
        <f t="shared" si="18"/>
        <v>7</v>
      </c>
      <c r="I388" s="137" t="str">
        <f t="shared" si="20"/>
        <v>J</v>
      </c>
    </row>
    <row r="389" spans="1:9" x14ac:dyDescent="0.25">
      <c r="A389" s="174"/>
      <c r="B389" s="132"/>
      <c r="C389" s="133"/>
      <c r="D389" s="133">
        <v>0</v>
      </c>
      <c r="E389" s="134">
        <v>0</v>
      </c>
      <c r="F389" s="134">
        <v>0</v>
      </c>
      <c r="G389" s="135">
        <f t="shared" si="19"/>
        <v>1</v>
      </c>
      <c r="H389" s="136">
        <f t="shared" si="18"/>
        <v>7</v>
      </c>
      <c r="I389" s="137" t="str">
        <f t="shared" si="20"/>
        <v>J</v>
      </c>
    </row>
    <row r="390" spans="1:9" x14ac:dyDescent="0.25">
      <c r="A390" s="174"/>
      <c r="B390" s="132"/>
      <c r="C390" s="133"/>
      <c r="D390" s="133">
        <v>0</v>
      </c>
      <c r="E390" s="134">
        <v>0</v>
      </c>
      <c r="F390" s="134">
        <v>0</v>
      </c>
      <c r="G390" s="135">
        <f t="shared" si="19"/>
        <v>1</v>
      </c>
      <c r="H390" s="136">
        <f t="shared" si="18"/>
        <v>7</v>
      </c>
      <c r="I390" s="137" t="str">
        <f t="shared" si="20"/>
        <v>J</v>
      </c>
    </row>
    <row r="391" spans="1:9" x14ac:dyDescent="0.25">
      <c r="A391" s="174"/>
      <c r="B391" s="132"/>
      <c r="C391" s="133"/>
      <c r="D391" s="133">
        <v>0</v>
      </c>
      <c r="E391" s="134">
        <v>0</v>
      </c>
      <c r="F391" s="134">
        <v>0</v>
      </c>
      <c r="G391" s="135">
        <f t="shared" si="19"/>
        <v>1</v>
      </c>
      <c r="H391" s="136">
        <f t="shared" si="18"/>
        <v>7</v>
      </c>
      <c r="I391" s="137" t="str">
        <f t="shared" si="20"/>
        <v>J</v>
      </c>
    </row>
    <row r="392" spans="1:9" x14ac:dyDescent="0.25">
      <c r="A392" s="174"/>
      <c r="B392" s="132"/>
      <c r="C392" s="133"/>
      <c r="D392" s="133">
        <v>0</v>
      </c>
      <c r="E392" s="134">
        <v>0</v>
      </c>
      <c r="F392" s="134">
        <v>0</v>
      </c>
      <c r="G392" s="135">
        <f t="shared" si="19"/>
        <v>1</v>
      </c>
      <c r="H392" s="136">
        <f t="shared" si="18"/>
        <v>7</v>
      </c>
      <c r="I392" s="137" t="str">
        <f t="shared" si="20"/>
        <v>J</v>
      </c>
    </row>
    <row r="393" spans="1:9" x14ac:dyDescent="0.25">
      <c r="A393" s="174"/>
      <c r="B393" s="132"/>
      <c r="C393" s="133"/>
      <c r="D393" s="133">
        <v>0</v>
      </c>
      <c r="E393" s="134">
        <v>0</v>
      </c>
      <c r="F393" s="134">
        <v>0</v>
      </c>
      <c r="G393" s="135">
        <f t="shared" si="19"/>
        <v>1</v>
      </c>
      <c r="H393" s="136">
        <f t="shared" si="18"/>
        <v>7</v>
      </c>
      <c r="I393" s="137" t="str">
        <f t="shared" si="20"/>
        <v>J</v>
      </c>
    </row>
    <row r="394" spans="1:9" x14ac:dyDescent="0.25">
      <c r="A394" s="174"/>
      <c r="B394" s="132"/>
      <c r="C394" s="133"/>
      <c r="D394" s="133">
        <v>0</v>
      </c>
      <c r="E394" s="134">
        <v>0</v>
      </c>
      <c r="F394" s="134">
        <v>0</v>
      </c>
      <c r="G394" s="135">
        <f t="shared" si="19"/>
        <v>1</v>
      </c>
      <c r="H394" s="136">
        <f t="shared" si="18"/>
        <v>7</v>
      </c>
      <c r="I394" s="137" t="str">
        <f t="shared" si="20"/>
        <v>J</v>
      </c>
    </row>
    <row r="395" spans="1:9" x14ac:dyDescent="0.25">
      <c r="A395" s="174"/>
      <c r="B395" s="132"/>
      <c r="C395" s="133"/>
      <c r="D395" s="133">
        <v>0</v>
      </c>
      <c r="E395" s="134">
        <v>0</v>
      </c>
      <c r="F395" s="134">
        <v>0</v>
      </c>
      <c r="G395" s="135">
        <f t="shared" si="19"/>
        <v>1</v>
      </c>
      <c r="H395" s="136">
        <f t="shared" si="18"/>
        <v>7</v>
      </c>
      <c r="I395" s="137" t="str">
        <f t="shared" si="20"/>
        <v>J</v>
      </c>
    </row>
    <row r="396" spans="1:9" x14ac:dyDescent="0.25">
      <c r="A396" s="174"/>
      <c r="B396" s="132"/>
      <c r="C396" s="133"/>
      <c r="D396" s="133">
        <v>0</v>
      </c>
      <c r="E396" s="134">
        <v>0</v>
      </c>
      <c r="F396" s="134">
        <v>0</v>
      </c>
      <c r="G396" s="135">
        <f t="shared" si="19"/>
        <v>1</v>
      </c>
      <c r="H396" s="136">
        <f t="shared" si="18"/>
        <v>7</v>
      </c>
      <c r="I396" s="137" t="str">
        <f t="shared" si="20"/>
        <v>J</v>
      </c>
    </row>
    <row r="397" spans="1:9" x14ac:dyDescent="0.25">
      <c r="A397" s="174"/>
      <c r="B397" s="132"/>
      <c r="C397" s="133"/>
      <c r="D397" s="133">
        <v>0</v>
      </c>
      <c r="E397" s="134">
        <v>0</v>
      </c>
      <c r="F397" s="134">
        <v>0</v>
      </c>
      <c r="G397" s="135">
        <f t="shared" si="19"/>
        <v>1</v>
      </c>
      <c r="H397" s="136">
        <f t="shared" si="18"/>
        <v>7</v>
      </c>
      <c r="I397" s="137" t="str">
        <f t="shared" si="20"/>
        <v>J</v>
      </c>
    </row>
    <row r="398" spans="1:9" x14ac:dyDescent="0.25">
      <c r="A398" s="174"/>
      <c r="B398" s="132"/>
      <c r="C398" s="133"/>
      <c r="D398" s="133">
        <v>0</v>
      </c>
      <c r="E398" s="134">
        <v>0</v>
      </c>
      <c r="F398" s="134">
        <v>0</v>
      </c>
      <c r="G398" s="135">
        <f t="shared" si="19"/>
        <v>1</v>
      </c>
      <c r="H398" s="136">
        <f t="shared" si="18"/>
        <v>7</v>
      </c>
      <c r="I398" s="137" t="str">
        <f t="shared" si="20"/>
        <v>J</v>
      </c>
    </row>
    <row r="399" spans="1:9" x14ac:dyDescent="0.25">
      <c r="A399" s="174"/>
      <c r="B399" s="132"/>
      <c r="C399" s="133"/>
      <c r="D399" s="133">
        <v>0</v>
      </c>
      <c r="E399" s="134">
        <v>0</v>
      </c>
      <c r="F399" s="134">
        <v>0</v>
      </c>
      <c r="G399" s="135">
        <f t="shared" si="19"/>
        <v>1</v>
      </c>
      <c r="H399" s="136">
        <f t="shared" si="18"/>
        <v>7</v>
      </c>
      <c r="I399" s="137" t="str">
        <f t="shared" si="20"/>
        <v>J</v>
      </c>
    </row>
    <row r="400" spans="1:9" x14ac:dyDescent="0.25">
      <c r="A400" s="174"/>
      <c r="B400" s="132"/>
      <c r="C400" s="133"/>
      <c r="D400" s="133">
        <v>0</v>
      </c>
      <c r="E400" s="134">
        <v>0</v>
      </c>
      <c r="F400" s="134">
        <v>0</v>
      </c>
      <c r="G400" s="135">
        <f t="shared" si="19"/>
        <v>1</v>
      </c>
      <c r="H400" s="136">
        <f t="shared" si="18"/>
        <v>7</v>
      </c>
      <c r="I400" s="137" t="str">
        <f t="shared" si="20"/>
        <v>J</v>
      </c>
    </row>
    <row r="401" spans="1:9" x14ac:dyDescent="0.25">
      <c r="A401" s="174"/>
      <c r="B401" s="132"/>
      <c r="C401" s="133"/>
      <c r="D401" s="133">
        <v>0</v>
      </c>
      <c r="E401" s="134">
        <v>0</v>
      </c>
      <c r="F401" s="134">
        <v>0</v>
      </c>
      <c r="G401" s="135">
        <f t="shared" si="19"/>
        <v>1</v>
      </c>
      <c r="H401" s="136">
        <f t="shared" si="18"/>
        <v>7</v>
      </c>
      <c r="I401" s="137" t="str">
        <f t="shared" si="20"/>
        <v>J</v>
      </c>
    </row>
    <row r="402" spans="1:9" x14ac:dyDescent="0.25">
      <c r="A402" s="174"/>
      <c r="B402" s="132"/>
      <c r="C402" s="133"/>
      <c r="D402" s="133">
        <v>0</v>
      </c>
      <c r="E402" s="134">
        <v>0</v>
      </c>
      <c r="F402" s="134">
        <v>0</v>
      </c>
      <c r="G402" s="135">
        <f t="shared" si="19"/>
        <v>1</v>
      </c>
      <c r="H402" s="136">
        <f t="shared" si="18"/>
        <v>7</v>
      </c>
      <c r="I402" s="137" t="str">
        <f t="shared" si="20"/>
        <v>J</v>
      </c>
    </row>
    <row r="403" spans="1:9" x14ac:dyDescent="0.25">
      <c r="A403" s="174"/>
      <c r="B403" s="132"/>
      <c r="C403" s="133"/>
      <c r="D403" s="133">
        <v>0</v>
      </c>
      <c r="E403" s="134">
        <v>0</v>
      </c>
      <c r="F403" s="134">
        <v>0</v>
      </c>
      <c r="G403" s="135">
        <f t="shared" si="19"/>
        <v>1</v>
      </c>
      <c r="H403" s="136">
        <f t="shared" si="18"/>
        <v>7</v>
      </c>
      <c r="I403" s="137" t="str">
        <f t="shared" si="20"/>
        <v>J</v>
      </c>
    </row>
    <row r="404" spans="1:9" x14ac:dyDescent="0.25">
      <c r="A404" s="174"/>
      <c r="B404" s="132"/>
      <c r="C404" s="133"/>
      <c r="D404" s="133">
        <v>0</v>
      </c>
      <c r="E404" s="134">
        <v>0</v>
      </c>
      <c r="F404" s="134">
        <v>0</v>
      </c>
      <c r="G404" s="135">
        <f t="shared" si="19"/>
        <v>1</v>
      </c>
      <c r="H404" s="136">
        <f t="shared" si="18"/>
        <v>7</v>
      </c>
      <c r="I404" s="137" t="str">
        <f t="shared" si="20"/>
        <v>J</v>
      </c>
    </row>
    <row r="405" spans="1:9" x14ac:dyDescent="0.25">
      <c r="A405" s="174"/>
      <c r="B405" s="132"/>
      <c r="C405" s="133"/>
      <c r="D405" s="133">
        <v>0</v>
      </c>
      <c r="E405" s="134">
        <v>0</v>
      </c>
      <c r="F405" s="134">
        <v>0</v>
      </c>
      <c r="G405" s="135">
        <f t="shared" si="19"/>
        <v>1</v>
      </c>
      <c r="H405" s="136">
        <f t="shared" si="18"/>
        <v>7</v>
      </c>
      <c r="I405" s="137" t="str">
        <f t="shared" si="20"/>
        <v>J</v>
      </c>
    </row>
    <row r="406" spans="1:9" x14ac:dyDescent="0.25">
      <c r="A406" s="174"/>
      <c r="B406" s="132"/>
      <c r="C406" s="133"/>
      <c r="D406" s="133">
        <v>0</v>
      </c>
      <c r="E406" s="134">
        <v>0</v>
      </c>
      <c r="F406" s="134">
        <v>0</v>
      </c>
      <c r="G406" s="135">
        <f t="shared" si="19"/>
        <v>1</v>
      </c>
      <c r="H406" s="136">
        <f t="shared" si="18"/>
        <v>7</v>
      </c>
      <c r="I406" s="137" t="str">
        <f t="shared" si="20"/>
        <v>J</v>
      </c>
    </row>
    <row r="407" spans="1:9" x14ac:dyDescent="0.25">
      <c r="A407" s="174"/>
      <c r="B407" s="132"/>
      <c r="C407" s="133"/>
      <c r="D407" s="133">
        <v>0</v>
      </c>
      <c r="E407" s="134">
        <v>0</v>
      </c>
      <c r="F407" s="134">
        <v>0</v>
      </c>
      <c r="G407" s="135">
        <f t="shared" si="19"/>
        <v>1</v>
      </c>
      <c r="H407" s="136">
        <f t="shared" si="18"/>
        <v>7</v>
      </c>
      <c r="I407" s="137" t="str">
        <f t="shared" si="20"/>
        <v>J</v>
      </c>
    </row>
    <row r="408" spans="1:9" x14ac:dyDescent="0.25">
      <c r="A408" s="174"/>
      <c r="B408" s="132"/>
      <c r="C408" s="133"/>
      <c r="D408" s="133">
        <v>0</v>
      </c>
      <c r="E408" s="134">
        <v>0</v>
      </c>
      <c r="F408" s="134">
        <v>0</v>
      </c>
      <c r="G408" s="135">
        <f t="shared" si="19"/>
        <v>1</v>
      </c>
      <c r="H408" s="136">
        <f t="shared" si="18"/>
        <v>7</v>
      </c>
      <c r="I408" s="137" t="str">
        <f t="shared" si="20"/>
        <v>J</v>
      </c>
    </row>
    <row r="409" spans="1:9" x14ac:dyDescent="0.25">
      <c r="A409" s="132"/>
      <c r="B409" s="132"/>
      <c r="C409" s="133"/>
      <c r="D409" s="133">
        <v>0</v>
      </c>
      <c r="E409" s="134">
        <v>0</v>
      </c>
      <c r="F409" s="134">
        <v>0</v>
      </c>
      <c r="G409" s="135">
        <f t="shared" si="19"/>
        <v>1</v>
      </c>
      <c r="H409" s="136">
        <f t="shared" si="18"/>
        <v>7</v>
      </c>
      <c r="I409" s="137" t="str">
        <f t="shared" si="20"/>
        <v>J</v>
      </c>
    </row>
    <row r="410" spans="1:9" x14ac:dyDescent="0.25">
      <c r="A410" s="132"/>
      <c r="B410" s="132"/>
      <c r="C410" s="133"/>
      <c r="D410" s="133">
        <v>0</v>
      </c>
      <c r="E410" s="134">
        <v>0</v>
      </c>
      <c r="F410" s="134">
        <v>0</v>
      </c>
      <c r="G410" s="135">
        <f t="shared" si="19"/>
        <v>1</v>
      </c>
      <c r="H410" s="136">
        <f t="shared" si="18"/>
        <v>7</v>
      </c>
      <c r="I410" s="137" t="str">
        <f t="shared" si="20"/>
        <v>J</v>
      </c>
    </row>
    <row r="411" spans="1:9" x14ac:dyDescent="0.25">
      <c r="A411" s="132"/>
      <c r="B411" s="132"/>
      <c r="C411" s="133"/>
      <c r="D411" s="133">
        <v>0</v>
      </c>
      <c r="E411" s="134">
        <v>0</v>
      </c>
      <c r="F411" s="134">
        <v>0</v>
      </c>
      <c r="G411" s="135">
        <f t="shared" si="19"/>
        <v>1</v>
      </c>
      <c r="H411" s="136">
        <f t="shared" si="18"/>
        <v>7</v>
      </c>
      <c r="I411" s="137" t="str">
        <f t="shared" si="20"/>
        <v>J</v>
      </c>
    </row>
    <row r="412" spans="1:9" x14ac:dyDescent="0.25">
      <c r="A412" s="132"/>
      <c r="B412" s="132"/>
      <c r="C412" s="133"/>
      <c r="D412" s="133">
        <v>0</v>
      </c>
      <c r="E412" s="134">
        <v>0</v>
      </c>
      <c r="F412" s="134">
        <v>0</v>
      </c>
      <c r="G412" s="135">
        <f t="shared" si="19"/>
        <v>1</v>
      </c>
      <c r="H412" s="136">
        <f t="shared" si="18"/>
        <v>7</v>
      </c>
      <c r="I412" s="137" t="str">
        <f t="shared" si="20"/>
        <v>J</v>
      </c>
    </row>
    <row r="413" spans="1:9" x14ac:dyDescent="0.25">
      <c r="A413" s="132"/>
      <c r="B413" s="132"/>
      <c r="C413" s="133"/>
      <c r="D413" s="133">
        <v>0</v>
      </c>
      <c r="E413" s="134">
        <v>0</v>
      </c>
      <c r="F413" s="134">
        <v>0</v>
      </c>
      <c r="G413" s="135">
        <f t="shared" si="19"/>
        <v>1</v>
      </c>
      <c r="H413" s="136">
        <f t="shared" si="18"/>
        <v>7</v>
      </c>
      <c r="I413" s="137" t="str">
        <f t="shared" si="20"/>
        <v>J</v>
      </c>
    </row>
    <row r="414" spans="1:9" x14ac:dyDescent="0.25">
      <c r="A414" s="132"/>
      <c r="B414" s="132"/>
      <c r="C414" s="133"/>
      <c r="D414" s="133">
        <v>0</v>
      </c>
      <c r="E414" s="134">
        <v>0</v>
      </c>
      <c r="F414" s="134">
        <v>0</v>
      </c>
      <c r="G414" s="135">
        <f t="shared" si="19"/>
        <v>1</v>
      </c>
      <c r="H414" s="136">
        <f t="shared" si="18"/>
        <v>7</v>
      </c>
      <c r="I414" s="137" t="str">
        <f t="shared" si="20"/>
        <v>J</v>
      </c>
    </row>
    <row r="415" spans="1:9" x14ac:dyDescent="0.25">
      <c r="A415" s="132"/>
      <c r="B415" s="132"/>
      <c r="C415" s="133"/>
      <c r="D415" s="133">
        <v>0</v>
      </c>
      <c r="E415" s="134">
        <v>0</v>
      </c>
      <c r="F415" s="134">
        <v>0</v>
      </c>
      <c r="G415" s="135">
        <f t="shared" si="19"/>
        <v>1</v>
      </c>
      <c r="H415" s="136">
        <f t="shared" si="18"/>
        <v>7</v>
      </c>
      <c r="I415" s="137" t="str">
        <f t="shared" si="20"/>
        <v>J</v>
      </c>
    </row>
    <row r="416" spans="1:9" x14ac:dyDescent="0.25">
      <c r="A416" s="132"/>
      <c r="B416" s="132"/>
      <c r="C416" s="133"/>
      <c r="D416" s="133">
        <v>0</v>
      </c>
      <c r="E416" s="134">
        <v>0</v>
      </c>
      <c r="F416" s="134">
        <v>0</v>
      </c>
      <c r="G416" s="135">
        <f t="shared" si="19"/>
        <v>1</v>
      </c>
      <c r="H416" s="136">
        <f t="shared" si="18"/>
        <v>7</v>
      </c>
      <c r="I416" s="137" t="str">
        <f t="shared" si="20"/>
        <v>J</v>
      </c>
    </row>
    <row r="417" spans="1:9" x14ac:dyDescent="0.25">
      <c r="A417" s="132"/>
      <c r="B417" s="132"/>
      <c r="C417" s="133"/>
      <c r="D417" s="133">
        <v>0</v>
      </c>
      <c r="E417" s="134">
        <v>0</v>
      </c>
      <c r="F417" s="134">
        <v>0</v>
      </c>
      <c r="G417" s="135">
        <f t="shared" si="19"/>
        <v>1</v>
      </c>
      <c r="H417" s="136">
        <f t="shared" si="18"/>
        <v>7</v>
      </c>
      <c r="I417" s="137" t="str">
        <f t="shared" si="20"/>
        <v>J</v>
      </c>
    </row>
    <row r="418" spans="1:9" x14ac:dyDescent="0.25">
      <c r="A418" s="132"/>
      <c r="B418" s="132"/>
      <c r="C418" s="133"/>
      <c r="D418" s="133">
        <v>0</v>
      </c>
      <c r="E418" s="134">
        <v>0</v>
      </c>
      <c r="F418" s="134">
        <v>0</v>
      </c>
      <c r="G418" s="135">
        <f t="shared" si="19"/>
        <v>1</v>
      </c>
      <c r="H418" s="136">
        <f t="shared" si="18"/>
        <v>7</v>
      </c>
      <c r="I418" s="137" t="str">
        <f t="shared" si="20"/>
        <v>J</v>
      </c>
    </row>
    <row r="419" spans="1:9" x14ac:dyDescent="0.25">
      <c r="A419" s="132"/>
      <c r="B419" s="132"/>
      <c r="C419" s="133"/>
      <c r="D419" s="133">
        <v>0</v>
      </c>
      <c r="E419" s="134">
        <v>0</v>
      </c>
      <c r="F419" s="134">
        <v>0</v>
      </c>
      <c r="G419" s="135">
        <f t="shared" si="19"/>
        <v>1</v>
      </c>
      <c r="H419" s="136">
        <f t="shared" si="18"/>
        <v>7</v>
      </c>
      <c r="I419" s="137" t="str">
        <f t="shared" si="20"/>
        <v>J</v>
      </c>
    </row>
    <row r="420" spans="1:9" x14ac:dyDescent="0.25">
      <c r="A420" s="132"/>
      <c r="B420" s="132"/>
      <c r="C420" s="133"/>
      <c r="D420" s="133">
        <v>0</v>
      </c>
      <c r="E420" s="134">
        <v>0</v>
      </c>
      <c r="F420" s="134">
        <v>0</v>
      </c>
      <c r="G420" s="135">
        <f t="shared" si="19"/>
        <v>1</v>
      </c>
      <c r="H420" s="136">
        <f t="shared" si="18"/>
        <v>7</v>
      </c>
      <c r="I420" s="137" t="str">
        <f t="shared" si="20"/>
        <v>J</v>
      </c>
    </row>
    <row r="421" spans="1:9" x14ac:dyDescent="0.25">
      <c r="A421" s="132"/>
      <c r="B421" s="132"/>
      <c r="C421" s="133"/>
      <c r="D421" s="133">
        <v>0</v>
      </c>
      <c r="E421" s="134">
        <v>0</v>
      </c>
      <c r="F421" s="134">
        <v>0</v>
      </c>
      <c r="G421" s="135">
        <f t="shared" si="19"/>
        <v>1</v>
      </c>
      <c r="H421" s="136">
        <f t="shared" si="18"/>
        <v>7</v>
      </c>
      <c r="I421" s="137" t="str">
        <f t="shared" si="20"/>
        <v>J</v>
      </c>
    </row>
    <row r="422" spans="1:9" x14ac:dyDescent="0.25">
      <c r="A422" s="132"/>
      <c r="B422" s="132"/>
      <c r="C422" s="133"/>
      <c r="D422" s="133">
        <v>0</v>
      </c>
      <c r="E422" s="134">
        <v>0</v>
      </c>
      <c r="F422" s="134">
        <v>0</v>
      </c>
      <c r="G422" s="135">
        <f t="shared" si="19"/>
        <v>1</v>
      </c>
      <c r="H422" s="136">
        <f t="shared" si="18"/>
        <v>7</v>
      </c>
      <c r="I422" s="137" t="str">
        <f t="shared" si="20"/>
        <v>J</v>
      </c>
    </row>
    <row r="423" spans="1:9" x14ac:dyDescent="0.25">
      <c r="A423" s="132"/>
      <c r="B423" s="132"/>
      <c r="C423" s="133"/>
      <c r="D423" s="133">
        <v>0</v>
      </c>
      <c r="E423" s="134">
        <v>0</v>
      </c>
      <c r="F423" s="134">
        <v>0</v>
      </c>
      <c r="G423" s="135">
        <f t="shared" si="19"/>
        <v>1</v>
      </c>
      <c r="H423" s="136">
        <f t="shared" si="18"/>
        <v>7</v>
      </c>
      <c r="I423" s="137" t="str">
        <f t="shared" si="20"/>
        <v>J</v>
      </c>
    </row>
    <row r="424" spans="1:9" x14ac:dyDescent="0.25">
      <c r="A424" s="132"/>
      <c r="B424" s="132"/>
      <c r="C424" s="133"/>
      <c r="D424" s="133">
        <v>0</v>
      </c>
      <c r="E424" s="134">
        <v>0</v>
      </c>
      <c r="F424" s="134">
        <v>0</v>
      </c>
      <c r="G424" s="135">
        <f t="shared" si="19"/>
        <v>1</v>
      </c>
      <c r="H424" s="136">
        <f t="shared" si="18"/>
        <v>7</v>
      </c>
      <c r="I424" s="137" t="str">
        <f t="shared" si="20"/>
        <v>J</v>
      </c>
    </row>
    <row r="425" spans="1:9" x14ac:dyDescent="0.25">
      <c r="A425" s="132"/>
      <c r="B425" s="132"/>
      <c r="C425" s="133"/>
      <c r="D425" s="133">
        <v>0</v>
      </c>
      <c r="E425" s="134">
        <v>0</v>
      </c>
      <c r="F425" s="134">
        <v>0</v>
      </c>
      <c r="G425" s="135">
        <f t="shared" si="19"/>
        <v>1</v>
      </c>
      <c r="H425" s="136">
        <f t="shared" si="18"/>
        <v>7</v>
      </c>
      <c r="I425" s="137" t="str">
        <f t="shared" si="20"/>
        <v>J</v>
      </c>
    </row>
    <row r="426" spans="1:9" x14ac:dyDescent="0.25">
      <c r="A426" s="132"/>
      <c r="B426" s="132"/>
      <c r="C426" s="133"/>
      <c r="D426" s="133">
        <v>0</v>
      </c>
      <c r="E426" s="134">
        <v>0</v>
      </c>
      <c r="F426" s="134">
        <v>0</v>
      </c>
      <c r="G426" s="135">
        <f t="shared" si="19"/>
        <v>1</v>
      </c>
      <c r="H426" s="136">
        <f t="shared" si="18"/>
        <v>7</v>
      </c>
      <c r="I426" s="137" t="str">
        <f t="shared" si="20"/>
        <v>J</v>
      </c>
    </row>
    <row r="427" spans="1:9" x14ac:dyDescent="0.25">
      <c r="A427" s="132"/>
      <c r="B427" s="132"/>
      <c r="C427" s="133"/>
      <c r="D427" s="133">
        <v>0</v>
      </c>
      <c r="E427" s="134">
        <v>0</v>
      </c>
      <c r="F427" s="134">
        <v>0</v>
      </c>
      <c r="G427" s="135">
        <f t="shared" si="19"/>
        <v>1</v>
      </c>
      <c r="H427" s="136">
        <f t="shared" si="18"/>
        <v>7</v>
      </c>
      <c r="I427" s="137" t="str">
        <f t="shared" si="20"/>
        <v>J</v>
      </c>
    </row>
    <row r="428" spans="1:9" x14ac:dyDescent="0.25">
      <c r="A428" s="132"/>
      <c r="B428" s="132"/>
      <c r="C428" s="133"/>
      <c r="D428" s="133">
        <v>0</v>
      </c>
      <c r="E428" s="134">
        <v>0</v>
      </c>
      <c r="F428" s="134">
        <v>0</v>
      </c>
      <c r="G428" s="135">
        <f t="shared" si="19"/>
        <v>1</v>
      </c>
      <c r="H428" s="136">
        <f t="shared" si="18"/>
        <v>7</v>
      </c>
      <c r="I428" s="137" t="str">
        <f t="shared" si="20"/>
        <v>J</v>
      </c>
    </row>
    <row r="429" spans="1:9" x14ac:dyDescent="0.25">
      <c r="A429" s="132"/>
      <c r="B429" s="132"/>
      <c r="C429" s="133"/>
      <c r="D429" s="133">
        <v>0</v>
      </c>
      <c r="E429" s="134">
        <v>0</v>
      </c>
      <c r="F429" s="134">
        <v>0</v>
      </c>
      <c r="G429" s="135">
        <f t="shared" si="19"/>
        <v>1</v>
      </c>
      <c r="H429" s="136">
        <f t="shared" si="18"/>
        <v>7</v>
      </c>
      <c r="I429" s="137" t="str">
        <f t="shared" si="20"/>
        <v>J</v>
      </c>
    </row>
    <row r="430" spans="1:9" x14ac:dyDescent="0.25">
      <c r="A430" s="132"/>
      <c r="B430" s="132"/>
      <c r="C430" s="133"/>
      <c r="D430" s="133">
        <v>0</v>
      </c>
      <c r="E430" s="134">
        <v>0</v>
      </c>
      <c r="F430" s="134">
        <v>0</v>
      </c>
      <c r="G430" s="135">
        <f t="shared" si="19"/>
        <v>1</v>
      </c>
      <c r="H430" s="136">
        <f t="shared" si="18"/>
        <v>7</v>
      </c>
      <c r="I430" s="137" t="str">
        <f t="shared" si="20"/>
        <v>J</v>
      </c>
    </row>
    <row r="431" spans="1:9" x14ac:dyDescent="0.25">
      <c r="B431" s="132"/>
      <c r="C431" s="133"/>
      <c r="D431" s="133">
        <v>0</v>
      </c>
      <c r="E431" s="134">
        <v>0</v>
      </c>
      <c r="F431" s="134">
        <v>0</v>
      </c>
      <c r="G431" s="135">
        <f t="shared" si="19"/>
        <v>1</v>
      </c>
      <c r="H431" s="136">
        <f t="shared" si="18"/>
        <v>7</v>
      </c>
      <c r="I431" s="137" t="str">
        <f t="shared" si="20"/>
        <v>J</v>
      </c>
    </row>
    <row r="432" spans="1:9" x14ac:dyDescent="0.25">
      <c r="B432" s="132"/>
      <c r="C432" s="133"/>
      <c r="D432" s="133">
        <v>0</v>
      </c>
      <c r="E432" s="134">
        <v>0</v>
      </c>
      <c r="F432" s="134">
        <v>0</v>
      </c>
      <c r="G432" s="135">
        <f t="shared" si="19"/>
        <v>1</v>
      </c>
      <c r="H432" s="136">
        <f t="shared" si="18"/>
        <v>7</v>
      </c>
      <c r="I432" s="137" t="str">
        <f t="shared" si="20"/>
        <v>J</v>
      </c>
    </row>
    <row r="433" spans="2:9" x14ac:dyDescent="0.25">
      <c r="B433" s="132"/>
      <c r="C433" s="133"/>
      <c r="D433" s="133">
        <v>0</v>
      </c>
      <c r="E433" s="134">
        <v>0</v>
      </c>
      <c r="F433" s="134">
        <v>0</v>
      </c>
      <c r="G433" s="135">
        <f t="shared" si="19"/>
        <v>1</v>
      </c>
      <c r="H433" s="136">
        <f t="shared" si="18"/>
        <v>7</v>
      </c>
      <c r="I433" s="137" t="str">
        <f t="shared" si="20"/>
        <v>J</v>
      </c>
    </row>
    <row r="434" spans="2:9" x14ac:dyDescent="0.25">
      <c r="B434" s="132"/>
      <c r="C434" s="133"/>
      <c r="D434" s="133">
        <v>0</v>
      </c>
      <c r="E434" s="134">
        <v>0</v>
      </c>
      <c r="F434" s="134">
        <v>0</v>
      </c>
      <c r="G434" s="135">
        <f t="shared" si="19"/>
        <v>1</v>
      </c>
      <c r="H434" s="136">
        <f t="shared" si="18"/>
        <v>7</v>
      </c>
      <c r="I434" s="137" t="str">
        <f t="shared" si="20"/>
        <v>J</v>
      </c>
    </row>
    <row r="435" spans="2:9" x14ac:dyDescent="0.25">
      <c r="B435" s="132"/>
      <c r="C435" s="133"/>
      <c r="D435" s="133">
        <v>0</v>
      </c>
      <c r="E435" s="134">
        <v>0</v>
      </c>
      <c r="F435" s="134">
        <v>0</v>
      </c>
      <c r="G435" s="135">
        <f t="shared" si="19"/>
        <v>1</v>
      </c>
      <c r="H435" s="136">
        <f t="shared" si="18"/>
        <v>7</v>
      </c>
      <c r="I435" s="137" t="str">
        <f t="shared" si="20"/>
        <v>J</v>
      </c>
    </row>
    <row r="436" spans="2:9" x14ac:dyDescent="0.25">
      <c r="B436" s="132"/>
      <c r="C436" s="133"/>
      <c r="D436" s="133">
        <v>0</v>
      </c>
      <c r="E436" s="134">
        <v>0</v>
      </c>
      <c r="F436" s="134">
        <v>0</v>
      </c>
      <c r="G436" s="135">
        <f t="shared" si="19"/>
        <v>1</v>
      </c>
      <c r="H436" s="136">
        <f t="shared" si="18"/>
        <v>7</v>
      </c>
      <c r="I436" s="137" t="str">
        <f t="shared" si="20"/>
        <v>J</v>
      </c>
    </row>
    <row r="437" spans="2:9" x14ac:dyDescent="0.25">
      <c r="B437" s="132"/>
      <c r="C437" s="133"/>
      <c r="D437" s="133">
        <v>0</v>
      </c>
      <c r="E437" s="134">
        <v>0</v>
      </c>
      <c r="F437" s="134">
        <v>0</v>
      </c>
      <c r="G437" s="135">
        <f t="shared" si="19"/>
        <v>1</v>
      </c>
      <c r="H437" s="136">
        <f t="shared" si="18"/>
        <v>7</v>
      </c>
      <c r="I437" s="137" t="str">
        <f t="shared" si="20"/>
        <v>J</v>
      </c>
    </row>
    <row r="438" spans="2:9" x14ac:dyDescent="0.25">
      <c r="B438" s="132"/>
      <c r="C438" s="133"/>
      <c r="D438" s="133">
        <v>0</v>
      </c>
      <c r="E438" s="134">
        <v>0</v>
      </c>
      <c r="F438" s="134">
        <v>0</v>
      </c>
      <c r="G438" s="135">
        <f t="shared" si="19"/>
        <v>1</v>
      </c>
      <c r="H438" s="136">
        <f t="shared" si="18"/>
        <v>7</v>
      </c>
      <c r="I438" s="137" t="str">
        <f t="shared" si="20"/>
        <v>J</v>
      </c>
    </row>
    <row r="439" spans="2:9" x14ac:dyDescent="0.25">
      <c r="B439" s="132"/>
      <c r="C439" s="133"/>
      <c r="D439" s="133">
        <v>0</v>
      </c>
      <c r="E439" s="134">
        <v>0</v>
      </c>
      <c r="F439" s="134">
        <v>0</v>
      </c>
      <c r="G439" s="135">
        <f t="shared" si="19"/>
        <v>1</v>
      </c>
      <c r="H439" s="136">
        <f t="shared" si="18"/>
        <v>7</v>
      </c>
      <c r="I439" s="137" t="str">
        <f t="shared" si="20"/>
        <v>J</v>
      </c>
    </row>
    <row r="440" spans="2:9" x14ac:dyDescent="0.25">
      <c r="B440" s="132"/>
      <c r="C440" s="133"/>
      <c r="D440" s="133">
        <v>0</v>
      </c>
      <c r="E440" s="134">
        <v>0</v>
      </c>
      <c r="F440" s="134">
        <v>0</v>
      </c>
      <c r="G440" s="135">
        <f t="shared" si="19"/>
        <v>1</v>
      </c>
      <c r="H440" s="136">
        <f t="shared" si="18"/>
        <v>7</v>
      </c>
      <c r="I440" s="137" t="str">
        <f t="shared" si="20"/>
        <v>J</v>
      </c>
    </row>
    <row r="441" spans="2:9" x14ac:dyDescent="0.25">
      <c r="B441" s="132"/>
      <c r="C441" s="133"/>
      <c r="D441" s="133">
        <v>0</v>
      </c>
      <c r="E441" s="134">
        <v>0</v>
      </c>
      <c r="F441" s="134">
        <v>0</v>
      </c>
      <c r="G441" s="135">
        <f t="shared" si="19"/>
        <v>1</v>
      </c>
      <c r="H441" s="136">
        <f t="shared" si="18"/>
        <v>7</v>
      </c>
      <c r="I441" s="137" t="str">
        <f t="shared" si="20"/>
        <v>J</v>
      </c>
    </row>
    <row r="442" spans="2:9" x14ac:dyDescent="0.25">
      <c r="B442" s="132"/>
      <c r="C442" s="133"/>
      <c r="D442" s="133">
        <v>0</v>
      </c>
      <c r="E442" s="134">
        <v>0</v>
      </c>
      <c r="F442" s="134">
        <v>0</v>
      </c>
      <c r="G442" s="135">
        <f t="shared" si="19"/>
        <v>1</v>
      </c>
      <c r="H442" s="136">
        <f t="shared" si="18"/>
        <v>7</v>
      </c>
      <c r="I442" s="137" t="str">
        <f t="shared" si="20"/>
        <v>J</v>
      </c>
    </row>
    <row r="443" spans="2:9" x14ac:dyDescent="0.25">
      <c r="B443" s="132"/>
      <c r="C443" s="133"/>
      <c r="D443" s="133">
        <v>0</v>
      </c>
      <c r="E443" s="134">
        <v>0</v>
      </c>
      <c r="F443" s="134">
        <v>0</v>
      </c>
      <c r="G443" s="135">
        <f t="shared" si="19"/>
        <v>1</v>
      </c>
      <c r="H443" s="136">
        <f t="shared" si="18"/>
        <v>7</v>
      </c>
      <c r="I443" s="137" t="str">
        <f t="shared" si="20"/>
        <v>J</v>
      </c>
    </row>
    <row r="444" spans="2:9" x14ac:dyDescent="0.25">
      <c r="B444" s="132"/>
      <c r="C444" s="133"/>
      <c r="D444" s="133">
        <v>0</v>
      </c>
      <c r="E444" s="134">
        <v>0</v>
      </c>
      <c r="F444" s="134">
        <v>0</v>
      </c>
      <c r="G444" s="135">
        <f t="shared" si="19"/>
        <v>1</v>
      </c>
      <c r="H444" s="136">
        <f t="shared" si="18"/>
        <v>7</v>
      </c>
      <c r="I444" s="137" t="str">
        <f t="shared" si="20"/>
        <v>J</v>
      </c>
    </row>
    <row r="445" spans="2:9" x14ac:dyDescent="0.25">
      <c r="D445" s="133">
        <v>0</v>
      </c>
      <c r="E445" s="134">
        <v>0</v>
      </c>
      <c r="F445" s="134">
        <v>0</v>
      </c>
      <c r="G445" s="135">
        <f t="shared" si="19"/>
        <v>1</v>
      </c>
      <c r="H445" s="136">
        <f t="shared" si="18"/>
        <v>7</v>
      </c>
      <c r="I445" s="137" t="str">
        <f t="shared" si="20"/>
        <v>J</v>
      </c>
    </row>
    <row r="446" spans="2:9" x14ac:dyDescent="0.25">
      <c r="D446" s="133">
        <v>0</v>
      </c>
      <c r="E446" s="134">
        <v>0</v>
      </c>
      <c r="F446" s="134">
        <v>0</v>
      </c>
      <c r="G446" s="135">
        <f t="shared" si="19"/>
        <v>1</v>
      </c>
      <c r="H446" s="136">
        <f t="shared" si="18"/>
        <v>7</v>
      </c>
      <c r="I446" s="137" t="str">
        <f t="shared" si="20"/>
        <v>J</v>
      </c>
    </row>
    <row r="447" spans="2:9" x14ac:dyDescent="0.25">
      <c r="D447" s="133">
        <v>0</v>
      </c>
      <c r="E447" s="134">
        <v>0</v>
      </c>
      <c r="F447" s="134">
        <v>0</v>
      </c>
      <c r="G447" s="135">
        <f t="shared" si="19"/>
        <v>1</v>
      </c>
      <c r="H447" s="136">
        <f t="shared" si="18"/>
        <v>7</v>
      </c>
      <c r="I447" s="137" t="str">
        <f t="shared" si="20"/>
        <v>J</v>
      </c>
    </row>
    <row r="448" spans="2:9" x14ac:dyDescent="0.25">
      <c r="D448" s="133">
        <v>0</v>
      </c>
      <c r="E448" s="134">
        <v>0</v>
      </c>
      <c r="F448" s="134">
        <v>0</v>
      </c>
      <c r="G448" s="135">
        <f t="shared" si="19"/>
        <v>1</v>
      </c>
      <c r="H448" s="136">
        <f t="shared" si="18"/>
        <v>7</v>
      </c>
      <c r="I448" s="137" t="str">
        <f t="shared" si="20"/>
        <v>J</v>
      </c>
    </row>
    <row r="449" spans="4:9" x14ac:dyDescent="0.25">
      <c r="D449" s="133">
        <v>0</v>
      </c>
      <c r="E449" s="134">
        <v>0</v>
      </c>
      <c r="F449" s="134">
        <v>0</v>
      </c>
      <c r="G449" s="135">
        <f t="shared" si="19"/>
        <v>1</v>
      </c>
      <c r="H449" s="136">
        <f t="shared" si="18"/>
        <v>7</v>
      </c>
      <c r="I449" s="137" t="str">
        <f t="shared" si="20"/>
        <v>J</v>
      </c>
    </row>
    <row r="450" spans="4:9" x14ac:dyDescent="0.25">
      <c r="D450" s="133">
        <v>0</v>
      </c>
      <c r="E450" s="134">
        <v>0</v>
      </c>
      <c r="F450" s="134">
        <v>0</v>
      </c>
      <c r="G450" s="135">
        <f t="shared" si="19"/>
        <v>1</v>
      </c>
      <c r="H450" s="136">
        <f t="shared" ref="H450:H513" si="21">VLOOKUP($G450, $Q$3:$R$12, 2)</f>
        <v>7</v>
      </c>
      <c r="I450" s="137" t="str">
        <f t="shared" si="20"/>
        <v>J</v>
      </c>
    </row>
    <row r="451" spans="4:9" x14ac:dyDescent="0.25">
      <c r="D451" s="133">
        <v>0</v>
      </c>
      <c r="E451" s="134">
        <v>0</v>
      </c>
      <c r="F451" s="134">
        <v>0</v>
      </c>
      <c r="G451" s="135">
        <f t="shared" ref="G451:G514" si="22">(VLOOKUP($D451,$L$3:$O$15,4))+(VLOOKUP($E451,$M$3:$O$15,3))-(VLOOKUP($F451,$N$3:$O$15,2))</f>
        <v>1</v>
      </c>
      <c r="H451" s="136">
        <f t="shared" si="21"/>
        <v>7</v>
      </c>
      <c r="I451" s="137" t="str">
        <f t="shared" ref="I451:I514" si="23">IF(AND((SUM(D451:F451)=0),B451=0), "J", VLOOKUP($H451, $Q$16:$R$25, 2))</f>
        <v>J</v>
      </c>
    </row>
    <row r="452" spans="4:9" x14ac:dyDescent="0.25">
      <c r="D452" s="133">
        <v>0</v>
      </c>
      <c r="E452" s="134">
        <v>0</v>
      </c>
      <c r="F452" s="134">
        <v>0</v>
      </c>
      <c r="G452" s="135">
        <f t="shared" si="22"/>
        <v>1</v>
      </c>
      <c r="H452" s="136">
        <f t="shared" si="21"/>
        <v>7</v>
      </c>
      <c r="I452" s="137" t="str">
        <f t="shared" si="23"/>
        <v>J</v>
      </c>
    </row>
    <row r="453" spans="4:9" x14ac:dyDescent="0.25">
      <c r="D453" s="133">
        <v>0</v>
      </c>
      <c r="E453" s="134">
        <v>0</v>
      </c>
      <c r="F453" s="134">
        <v>0</v>
      </c>
      <c r="G453" s="135">
        <f t="shared" si="22"/>
        <v>1</v>
      </c>
      <c r="H453" s="136">
        <f t="shared" si="21"/>
        <v>7</v>
      </c>
      <c r="I453" s="137" t="str">
        <f t="shared" si="23"/>
        <v>J</v>
      </c>
    </row>
    <row r="454" spans="4:9" x14ac:dyDescent="0.25">
      <c r="D454" s="133">
        <v>0</v>
      </c>
      <c r="E454" s="134">
        <v>0</v>
      </c>
      <c r="F454" s="134">
        <v>0</v>
      </c>
      <c r="G454" s="135">
        <f t="shared" si="22"/>
        <v>1</v>
      </c>
      <c r="H454" s="136">
        <f t="shared" si="21"/>
        <v>7</v>
      </c>
      <c r="I454" s="137" t="str">
        <f t="shared" si="23"/>
        <v>J</v>
      </c>
    </row>
    <row r="455" spans="4:9" x14ac:dyDescent="0.25">
      <c r="D455" s="133">
        <v>0</v>
      </c>
      <c r="E455" s="134">
        <v>0</v>
      </c>
      <c r="F455" s="134">
        <v>0</v>
      </c>
      <c r="G455" s="135">
        <f t="shared" si="22"/>
        <v>1</v>
      </c>
      <c r="H455" s="136">
        <f t="shared" si="21"/>
        <v>7</v>
      </c>
      <c r="I455" s="137" t="str">
        <f t="shared" si="23"/>
        <v>J</v>
      </c>
    </row>
    <row r="456" spans="4:9" x14ac:dyDescent="0.25">
      <c r="D456" s="133">
        <v>0</v>
      </c>
      <c r="E456" s="134">
        <v>0</v>
      </c>
      <c r="F456" s="134">
        <v>0</v>
      </c>
      <c r="G456" s="135">
        <f t="shared" si="22"/>
        <v>1</v>
      </c>
      <c r="H456" s="136">
        <f t="shared" si="21"/>
        <v>7</v>
      </c>
      <c r="I456" s="137" t="str">
        <f t="shared" si="23"/>
        <v>J</v>
      </c>
    </row>
    <row r="457" spans="4:9" x14ac:dyDescent="0.25">
      <c r="D457" s="133">
        <v>0</v>
      </c>
      <c r="E457" s="134">
        <v>0</v>
      </c>
      <c r="F457" s="134">
        <v>0</v>
      </c>
      <c r="G457" s="135">
        <f t="shared" si="22"/>
        <v>1</v>
      </c>
      <c r="H457" s="136">
        <f t="shared" si="21"/>
        <v>7</v>
      </c>
      <c r="I457" s="137" t="str">
        <f t="shared" si="23"/>
        <v>J</v>
      </c>
    </row>
    <row r="458" spans="4:9" x14ac:dyDescent="0.25">
      <c r="D458" s="133">
        <v>0</v>
      </c>
      <c r="E458" s="134">
        <v>0</v>
      </c>
      <c r="F458" s="134">
        <v>0</v>
      </c>
      <c r="G458" s="135">
        <f t="shared" si="22"/>
        <v>1</v>
      </c>
      <c r="H458" s="136">
        <f t="shared" si="21"/>
        <v>7</v>
      </c>
      <c r="I458" s="137" t="str">
        <f t="shared" si="23"/>
        <v>J</v>
      </c>
    </row>
    <row r="459" spans="4:9" x14ac:dyDescent="0.25">
      <c r="D459" s="133">
        <v>0</v>
      </c>
      <c r="E459" s="134">
        <v>0</v>
      </c>
      <c r="F459" s="134">
        <v>0</v>
      </c>
      <c r="G459" s="135">
        <f t="shared" si="22"/>
        <v>1</v>
      </c>
      <c r="H459" s="136">
        <f t="shared" si="21"/>
        <v>7</v>
      </c>
      <c r="I459" s="137" t="str">
        <f t="shared" si="23"/>
        <v>J</v>
      </c>
    </row>
    <row r="460" spans="4:9" x14ac:dyDescent="0.25">
      <c r="D460" s="133">
        <v>0</v>
      </c>
      <c r="E460" s="134">
        <v>0</v>
      </c>
      <c r="F460" s="134">
        <v>0</v>
      </c>
      <c r="G460" s="135">
        <f t="shared" si="22"/>
        <v>1</v>
      </c>
      <c r="H460" s="136">
        <f t="shared" si="21"/>
        <v>7</v>
      </c>
      <c r="I460" s="137" t="str">
        <f t="shared" si="23"/>
        <v>J</v>
      </c>
    </row>
    <row r="461" spans="4:9" x14ac:dyDescent="0.25">
      <c r="D461" s="133">
        <v>0</v>
      </c>
      <c r="E461" s="134">
        <v>0</v>
      </c>
      <c r="F461" s="134">
        <v>0</v>
      </c>
      <c r="G461" s="135">
        <f t="shared" si="22"/>
        <v>1</v>
      </c>
      <c r="H461" s="136">
        <f t="shared" si="21"/>
        <v>7</v>
      </c>
      <c r="I461" s="137" t="str">
        <f t="shared" si="23"/>
        <v>J</v>
      </c>
    </row>
    <row r="462" spans="4:9" x14ac:dyDescent="0.25">
      <c r="D462" s="133">
        <v>0</v>
      </c>
      <c r="E462" s="134">
        <v>0</v>
      </c>
      <c r="F462" s="134">
        <v>0</v>
      </c>
      <c r="G462" s="135">
        <f t="shared" si="22"/>
        <v>1</v>
      </c>
      <c r="H462" s="136">
        <f t="shared" si="21"/>
        <v>7</v>
      </c>
      <c r="I462" s="137" t="str">
        <f t="shared" si="23"/>
        <v>J</v>
      </c>
    </row>
    <row r="463" spans="4:9" x14ac:dyDescent="0.25">
      <c r="D463" s="133">
        <v>0</v>
      </c>
      <c r="E463" s="134">
        <v>0</v>
      </c>
      <c r="F463" s="134">
        <v>0</v>
      </c>
      <c r="G463" s="135">
        <f t="shared" si="22"/>
        <v>1</v>
      </c>
      <c r="H463" s="136">
        <f t="shared" si="21"/>
        <v>7</v>
      </c>
      <c r="I463" s="137" t="str">
        <f t="shared" si="23"/>
        <v>J</v>
      </c>
    </row>
    <row r="464" spans="4:9" x14ac:dyDescent="0.25">
      <c r="D464" s="133">
        <v>0</v>
      </c>
      <c r="E464" s="134">
        <v>0</v>
      </c>
      <c r="F464" s="134">
        <v>0</v>
      </c>
      <c r="G464" s="135">
        <f t="shared" si="22"/>
        <v>1</v>
      </c>
      <c r="H464" s="136">
        <f t="shared" si="21"/>
        <v>7</v>
      </c>
      <c r="I464" s="137" t="str">
        <f t="shared" si="23"/>
        <v>J</v>
      </c>
    </row>
    <row r="465" spans="4:9" x14ac:dyDescent="0.25">
      <c r="D465" s="133">
        <v>0</v>
      </c>
      <c r="E465" s="134">
        <v>0</v>
      </c>
      <c r="F465" s="134">
        <v>0</v>
      </c>
      <c r="G465" s="135">
        <f t="shared" si="22"/>
        <v>1</v>
      </c>
      <c r="H465" s="136">
        <f t="shared" si="21"/>
        <v>7</v>
      </c>
      <c r="I465" s="137" t="str">
        <f t="shared" si="23"/>
        <v>J</v>
      </c>
    </row>
    <row r="466" spans="4:9" x14ac:dyDescent="0.25">
      <c r="D466" s="133">
        <v>0</v>
      </c>
      <c r="E466" s="134">
        <v>0</v>
      </c>
      <c r="F466" s="134">
        <v>0</v>
      </c>
      <c r="G466" s="135">
        <f t="shared" si="22"/>
        <v>1</v>
      </c>
      <c r="H466" s="136">
        <f t="shared" si="21"/>
        <v>7</v>
      </c>
      <c r="I466" s="137" t="str">
        <f t="shared" si="23"/>
        <v>J</v>
      </c>
    </row>
    <row r="467" spans="4:9" x14ac:dyDescent="0.25">
      <c r="D467" s="133">
        <v>0</v>
      </c>
      <c r="E467" s="134">
        <v>0</v>
      </c>
      <c r="F467" s="134">
        <v>0</v>
      </c>
      <c r="G467" s="135">
        <f t="shared" si="22"/>
        <v>1</v>
      </c>
      <c r="H467" s="136">
        <f t="shared" si="21"/>
        <v>7</v>
      </c>
      <c r="I467" s="137" t="str">
        <f t="shared" si="23"/>
        <v>J</v>
      </c>
    </row>
    <row r="468" spans="4:9" x14ac:dyDescent="0.25">
      <c r="D468" s="133">
        <v>0</v>
      </c>
      <c r="E468" s="134">
        <v>0</v>
      </c>
      <c r="F468" s="134">
        <v>0</v>
      </c>
      <c r="G468" s="135">
        <f t="shared" si="22"/>
        <v>1</v>
      </c>
      <c r="H468" s="136">
        <f t="shared" si="21"/>
        <v>7</v>
      </c>
      <c r="I468" s="137" t="str">
        <f t="shared" si="23"/>
        <v>J</v>
      </c>
    </row>
    <row r="469" spans="4:9" x14ac:dyDescent="0.25">
      <c r="D469" s="133">
        <v>0</v>
      </c>
      <c r="E469" s="134">
        <v>0</v>
      </c>
      <c r="F469" s="134">
        <v>0</v>
      </c>
      <c r="G469" s="135">
        <f t="shared" si="22"/>
        <v>1</v>
      </c>
      <c r="H469" s="136">
        <f t="shared" si="21"/>
        <v>7</v>
      </c>
      <c r="I469" s="137" t="str">
        <f t="shared" si="23"/>
        <v>J</v>
      </c>
    </row>
    <row r="470" spans="4:9" x14ac:dyDescent="0.25">
      <c r="D470" s="133">
        <v>0</v>
      </c>
      <c r="E470" s="134">
        <v>0</v>
      </c>
      <c r="F470" s="134">
        <v>0</v>
      </c>
      <c r="G470" s="135">
        <f t="shared" si="22"/>
        <v>1</v>
      </c>
      <c r="H470" s="136">
        <f t="shared" si="21"/>
        <v>7</v>
      </c>
      <c r="I470" s="137" t="str">
        <f t="shared" si="23"/>
        <v>J</v>
      </c>
    </row>
    <row r="471" spans="4:9" x14ac:dyDescent="0.25">
      <c r="D471" s="133">
        <v>0</v>
      </c>
      <c r="E471" s="134">
        <v>0</v>
      </c>
      <c r="F471" s="134">
        <v>0</v>
      </c>
      <c r="G471" s="135">
        <f t="shared" si="22"/>
        <v>1</v>
      </c>
      <c r="H471" s="136">
        <f t="shared" si="21"/>
        <v>7</v>
      </c>
      <c r="I471" s="137" t="str">
        <f t="shared" si="23"/>
        <v>J</v>
      </c>
    </row>
    <row r="472" spans="4:9" x14ac:dyDescent="0.25">
      <c r="D472" s="133">
        <v>0</v>
      </c>
      <c r="E472" s="134">
        <v>0</v>
      </c>
      <c r="F472" s="134">
        <v>0</v>
      </c>
      <c r="G472" s="135">
        <f t="shared" si="22"/>
        <v>1</v>
      </c>
      <c r="H472" s="136">
        <f t="shared" si="21"/>
        <v>7</v>
      </c>
      <c r="I472" s="137" t="str">
        <f t="shared" si="23"/>
        <v>J</v>
      </c>
    </row>
    <row r="473" spans="4:9" x14ac:dyDescent="0.25">
      <c r="D473" s="133">
        <v>0</v>
      </c>
      <c r="E473" s="134">
        <v>0</v>
      </c>
      <c r="F473" s="134">
        <v>0</v>
      </c>
      <c r="G473" s="135">
        <f t="shared" si="22"/>
        <v>1</v>
      </c>
      <c r="H473" s="136">
        <f t="shared" si="21"/>
        <v>7</v>
      </c>
      <c r="I473" s="137" t="str">
        <f t="shared" si="23"/>
        <v>J</v>
      </c>
    </row>
    <row r="474" spans="4:9" x14ac:dyDescent="0.25">
      <c r="D474" s="133">
        <v>0</v>
      </c>
      <c r="E474" s="134">
        <v>0</v>
      </c>
      <c r="F474" s="134">
        <v>0</v>
      </c>
      <c r="G474" s="135">
        <f t="shared" si="22"/>
        <v>1</v>
      </c>
      <c r="H474" s="136">
        <f t="shared" si="21"/>
        <v>7</v>
      </c>
      <c r="I474" s="137" t="str">
        <f t="shared" si="23"/>
        <v>J</v>
      </c>
    </row>
    <row r="475" spans="4:9" x14ac:dyDescent="0.25">
      <c r="D475" s="133">
        <v>0</v>
      </c>
      <c r="E475" s="134">
        <v>0</v>
      </c>
      <c r="F475" s="134">
        <v>0</v>
      </c>
      <c r="G475" s="135">
        <f t="shared" si="22"/>
        <v>1</v>
      </c>
      <c r="H475" s="136">
        <f t="shared" si="21"/>
        <v>7</v>
      </c>
      <c r="I475" s="137" t="str">
        <f t="shared" si="23"/>
        <v>J</v>
      </c>
    </row>
    <row r="476" spans="4:9" x14ac:dyDescent="0.25">
      <c r="D476" s="133">
        <v>0</v>
      </c>
      <c r="E476" s="134">
        <v>0</v>
      </c>
      <c r="F476" s="134">
        <v>0</v>
      </c>
      <c r="G476" s="135">
        <f t="shared" si="22"/>
        <v>1</v>
      </c>
      <c r="H476" s="136">
        <f t="shared" si="21"/>
        <v>7</v>
      </c>
      <c r="I476" s="137" t="str">
        <f t="shared" si="23"/>
        <v>J</v>
      </c>
    </row>
    <row r="477" spans="4:9" x14ac:dyDescent="0.25">
      <c r="D477" s="133">
        <v>0</v>
      </c>
      <c r="E477" s="134">
        <v>0</v>
      </c>
      <c r="F477" s="134">
        <v>0</v>
      </c>
      <c r="G477" s="135">
        <f t="shared" si="22"/>
        <v>1</v>
      </c>
      <c r="H477" s="136">
        <f t="shared" si="21"/>
        <v>7</v>
      </c>
      <c r="I477" s="137" t="str">
        <f t="shared" si="23"/>
        <v>J</v>
      </c>
    </row>
    <row r="478" spans="4:9" x14ac:dyDescent="0.25">
      <c r="D478" s="133">
        <v>0</v>
      </c>
      <c r="E478" s="134">
        <v>0</v>
      </c>
      <c r="F478" s="134">
        <v>0</v>
      </c>
      <c r="G478" s="135">
        <f t="shared" si="22"/>
        <v>1</v>
      </c>
      <c r="H478" s="136">
        <f t="shared" si="21"/>
        <v>7</v>
      </c>
      <c r="I478" s="137" t="str">
        <f t="shared" si="23"/>
        <v>J</v>
      </c>
    </row>
    <row r="479" spans="4:9" x14ac:dyDescent="0.25">
      <c r="D479" s="133">
        <v>0</v>
      </c>
      <c r="E479" s="134">
        <v>0</v>
      </c>
      <c r="F479" s="134">
        <v>0</v>
      </c>
      <c r="G479" s="135">
        <f t="shared" si="22"/>
        <v>1</v>
      </c>
      <c r="H479" s="136">
        <f t="shared" si="21"/>
        <v>7</v>
      </c>
      <c r="I479" s="137" t="str">
        <f t="shared" si="23"/>
        <v>J</v>
      </c>
    </row>
    <row r="480" spans="4:9" x14ac:dyDescent="0.25">
      <c r="D480" s="133">
        <v>0</v>
      </c>
      <c r="E480" s="134">
        <v>0</v>
      </c>
      <c r="F480" s="134">
        <v>0</v>
      </c>
      <c r="G480" s="135">
        <f t="shared" si="22"/>
        <v>1</v>
      </c>
      <c r="H480" s="136">
        <f t="shared" si="21"/>
        <v>7</v>
      </c>
      <c r="I480" s="137" t="str">
        <f t="shared" si="23"/>
        <v>J</v>
      </c>
    </row>
    <row r="481" spans="4:9" x14ac:dyDescent="0.25">
      <c r="D481" s="133">
        <v>0</v>
      </c>
      <c r="E481" s="134">
        <v>0</v>
      </c>
      <c r="F481" s="134">
        <v>0</v>
      </c>
      <c r="G481" s="135">
        <f t="shared" si="22"/>
        <v>1</v>
      </c>
      <c r="H481" s="136">
        <f t="shared" si="21"/>
        <v>7</v>
      </c>
      <c r="I481" s="137" t="str">
        <f t="shared" si="23"/>
        <v>J</v>
      </c>
    </row>
    <row r="482" spans="4:9" x14ac:dyDescent="0.25">
      <c r="D482" s="133">
        <v>0</v>
      </c>
      <c r="E482" s="134">
        <v>0</v>
      </c>
      <c r="F482" s="134">
        <v>0</v>
      </c>
      <c r="G482" s="135">
        <f t="shared" si="22"/>
        <v>1</v>
      </c>
      <c r="H482" s="136">
        <f t="shared" si="21"/>
        <v>7</v>
      </c>
      <c r="I482" s="137" t="str">
        <f t="shared" si="23"/>
        <v>J</v>
      </c>
    </row>
    <row r="483" spans="4:9" x14ac:dyDescent="0.25">
      <c r="D483" s="133">
        <v>0</v>
      </c>
      <c r="E483" s="134">
        <v>0</v>
      </c>
      <c r="F483" s="134">
        <v>0</v>
      </c>
      <c r="G483" s="135">
        <f t="shared" si="22"/>
        <v>1</v>
      </c>
      <c r="H483" s="136">
        <f t="shared" si="21"/>
        <v>7</v>
      </c>
      <c r="I483" s="137" t="str">
        <f t="shared" si="23"/>
        <v>J</v>
      </c>
    </row>
    <row r="484" spans="4:9" x14ac:dyDescent="0.25">
      <c r="D484" s="133">
        <v>0</v>
      </c>
      <c r="E484" s="134">
        <v>0</v>
      </c>
      <c r="F484" s="134">
        <v>0</v>
      </c>
      <c r="G484" s="135">
        <f t="shared" si="22"/>
        <v>1</v>
      </c>
      <c r="H484" s="136">
        <f t="shared" si="21"/>
        <v>7</v>
      </c>
      <c r="I484" s="137" t="str">
        <f t="shared" si="23"/>
        <v>J</v>
      </c>
    </row>
    <row r="485" spans="4:9" x14ac:dyDescent="0.25">
      <c r="D485" s="133">
        <v>0</v>
      </c>
      <c r="E485" s="134">
        <v>0</v>
      </c>
      <c r="F485" s="134">
        <v>0</v>
      </c>
      <c r="G485" s="135">
        <f t="shared" si="22"/>
        <v>1</v>
      </c>
      <c r="H485" s="136">
        <f t="shared" si="21"/>
        <v>7</v>
      </c>
      <c r="I485" s="137" t="str">
        <f t="shared" si="23"/>
        <v>J</v>
      </c>
    </row>
    <row r="486" spans="4:9" x14ac:dyDescent="0.25">
      <c r="D486" s="133">
        <v>0</v>
      </c>
      <c r="E486" s="134">
        <v>0</v>
      </c>
      <c r="F486" s="134">
        <v>0</v>
      </c>
      <c r="G486" s="135">
        <f t="shared" si="22"/>
        <v>1</v>
      </c>
      <c r="H486" s="136">
        <f t="shared" si="21"/>
        <v>7</v>
      </c>
      <c r="I486" s="137" t="str">
        <f t="shared" si="23"/>
        <v>J</v>
      </c>
    </row>
    <row r="487" spans="4:9" x14ac:dyDescent="0.25">
      <c r="D487" s="133">
        <v>0</v>
      </c>
      <c r="E487" s="134">
        <v>0</v>
      </c>
      <c r="F487" s="134">
        <v>0</v>
      </c>
      <c r="G487" s="135">
        <f t="shared" si="22"/>
        <v>1</v>
      </c>
      <c r="H487" s="136">
        <f t="shared" si="21"/>
        <v>7</v>
      </c>
      <c r="I487" s="137" t="str">
        <f t="shared" si="23"/>
        <v>J</v>
      </c>
    </row>
    <row r="488" spans="4:9" x14ac:dyDescent="0.25">
      <c r="D488" s="133">
        <v>0</v>
      </c>
      <c r="E488" s="134">
        <v>0</v>
      </c>
      <c r="F488" s="134">
        <v>0</v>
      </c>
      <c r="G488" s="135">
        <f t="shared" si="22"/>
        <v>1</v>
      </c>
      <c r="H488" s="136">
        <f t="shared" si="21"/>
        <v>7</v>
      </c>
      <c r="I488" s="137" t="str">
        <f t="shared" si="23"/>
        <v>J</v>
      </c>
    </row>
    <row r="489" spans="4:9" x14ac:dyDescent="0.25">
      <c r="D489" s="133">
        <v>0</v>
      </c>
      <c r="E489" s="134">
        <v>0</v>
      </c>
      <c r="F489" s="134">
        <v>0</v>
      </c>
      <c r="G489" s="135">
        <f t="shared" si="22"/>
        <v>1</v>
      </c>
      <c r="H489" s="136">
        <f t="shared" si="21"/>
        <v>7</v>
      </c>
      <c r="I489" s="137" t="str">
        <f t="shared" si="23"/>
        <v>J</v>
      </c>
    </row>
    <row r="490" spans="4:9" x14ac:dyDescent="0.25">
      <c r="D490" s="133">
        <v>0</v>
      </c>
      <c r="E490" s="134">
        <v>0</v>
      </c>
      <c r="F490" s="134">
        <v>0</v>
      </c>
      <c r="G490" s="135">
        <f t="shared" si="22"/>
        <v>1</v>
      </c>
      <c r="H490" s="136">
        <f t="shared" si="21"/>
        <v>7</v>
      </c>
      <c r="I490" s="137" t="str">
        <f t="shared" si="23"/>
        <v>J</v>
      </c>
    </row>
    <row r="491" spans="4:9" x14ac:dyDescent="0.25">
      <c r="D491" s="133">
        <v>0</v>
      </c>
      <c r="E491" s="134">
        <v>0</v>
      </c>
      <c r="F491" s="134">
        <v>0</v>
      </c>
      <c r="G491" s="135">
        <f t="shared" si="22"/>
        <v>1</v>
      </c>
      <c r="H491" s="136">
        <f t="shared" si="21"/>
        <v>7</v>
      </c>
      <c r="I491" s="137" t="str">
        <f t="shared" si="23"/>
        <v>J</v>
      </c>
    </row>
    <row r="492" spans="4:9" x14ac:dyDescent="0.25">
      <c r="D492" s="133">
        <v>0</v>
      </c>
      <c r="E492" s="134">
        <v>0</v>
      </c>
      <c r="F492" s="134">
        <v>0</v>
      </c>
      <c r="G492" s="135">
        <f t="shared" si="22"/>
        <v>1</v>
      </c>
      <c r="H492" s="136">
        <f t="shared" si="21"/>
        <v>7</v>
      </c>
      <c r="I492" s="137" t="str">
        <f t="shared" si="23"/>
        <v>J</v>
      </c>
    </row>
    <row r="493" spans="4:9" x14ac:dyDescent="0.25">
      <c r="D493" s="133">
        <v>0</v>
      </c>
      <c r="E493" s="134">
        <v>0</v>
      </c>
      <c r="F493" s="134">
        <v>0</v>
      </c>
      <c r="G493" s="135">
        <f t="shared" si="22"/>
        <v>1</v>
      </c>
      <c r="H493" s="136">
        <f t="shared" si="21"/>
        <v>7</v>
      </c>
      <c r="I493" s="137" t="str">
        <f t="shared" si="23"/>
        <v>J</v>
      </c>
    </row>
    <row r="494" spans="4:9" x14ac:dyDescent="0.25">
      <c r="D494" s="133">
        <v>0</v>
      </c>
      <c r="E494" s="134">
        <v>0</v>
      </c>
      <c r="F494" s="134">
        <v>0</v>
      </c>
      <c r="G494" s="135">
        <f t="shared" si="22"/>
        <v>1</v>
      </c>
      <c r="H494" s="136">
        <f t="shared" si="21"/>
        <v>7</v>
      </c>
      <c r="I494" s="137" t="str">
        <f t="shared" si="23"/>
        <v>J</v>
      </c>
    </row>
    <row r="495" spans="4:9" x14ac:dyDescent="0.25">
      <c r="D495" s="133">
        <v>0</v>
      </c>
      <c r="E495" s="134">
        <v>0</v>
      </c>
      <c r="F495" s="134">
        <v>0</v>
      </c>
      <c r="G495" s="135">
        <f t="shared" si="22"/>
        <v>1</v>
      </c>
      <c r="H495" s="136">
        <f t="shared" si="21"/>
        <v>7</v>
      </c>
      <c r="I495" s="137" t="str">
        <f t="shared" si="23"/>
        <v>J</v>
      </c>
    </row>
    <row r="496" spans="4:9" x14ac:dyDescent="0.25">
      <c r="D496" s="133">
        <v>0</v>
      </c>
      <c r="E496" s="134">
        <v>0</v>
      </c>
      <c r="F496" s="134">
        <v>0</v>
      </c>
      <c r="G496" s="135">
        <f t="shared" si="22"/>
        <v>1</v>
      </c>
      <c r="H496" s="136">
        <f t="shared" si="21"/>
        <v>7</v>
      </c>
      <c r="I496" s="137" t="str">
        <f t="shared" si="23"/>
        <v>J</v>
      </c>
    </row>
    <row r="497" spans="4:9" x14ac:dyDescent="0.25">
      <c r="D497" s="133">
        <v>0</v>
      </c>
      <c r="E497" s="134">
        <v>0</v>
      </c>
      <c r="F497" s="134">
        <v>0</v>
      </c>
      <c r="G497" s="135">
        <f t="shared" si="22"/>
        <v>1</v>
      </c>
      <c r="H497" s="136">
        <f t="shared" si="21"/>
        <v>7</v>
      </c>
      <c r="I497" s="137" t="str">
        <f t="shared" si="23"/>
        <v>J</v>
      </c>
    </row>
    <row r="498" spans="4:9" x14ac:dyDescent="0.25">
      <c r="D498" s="133">
        <v>0</v>
      </c>
      <c r="E498" s="134">
        <v>0</v>
      </c>
      <c r="F498" s="134">
        <v>0</v>
      </c>
      <c r="G498" s="135">
        <f t="shared" si="22"/>
        <v>1</v>
      </c>
      <c r="H498" s="136">
        <f t="shared" si="21"/>
        <v>7</v>
      </c>
      <c r="I498" s="137" t="str">
        <f t="shared" si="23"/>
        <v>J</v>
      </c>
    </row>
    <row r="499" spans="4:9" x14ac:dyDescent="0.25">
      <c r="D499" s="133">
        <v>0</v>
      </c>
      <c r="E499" s="134">
        <v>0</v>
      </c>
      <c r="F499" s="134">
        <v>0</v>
      </c>
      <c r="G499" s="135">
        <f t="shared" si="22"/>
        <v>1</v>
      </c>
      <c r="H499" s="136">
        <f t="shared" si="21"/>
        <v>7</v>
      </c>
      <c r="I499" s="137" t="str">
        <f t="shared" si="23"/>
        <v>J</v>
      </c>
    </row>
    <row r="500" spans="4:9" x14ac:dyDescent="0.25">
      <c r="D500" s="133">
        <v>0</v>
      </c>
      <c r="E500" s="134">
        <v>0</v>
      </c>
      <c r="F500" s="134">
        <v>0</v>
      </c>
      <c r="G500" s="135">
        <f t="shared" si="22"/>
        <v>1</v>
      </c>
      <c r="H500" s="136">
        <f t="shared" si="21"/>
        <v>7</v>
      </c>
      <c r="I500" s="137" t="str">
        <f t="shared" si="23"/>
        <v>J</v>
      </c>
    </row>
    <row r="501" spans="4:9" x14ac:dyDescent="0.25">
      <c r="D501" s="133">
        <v>0</v>
      </c>
      <c r="E501" s="134">
        <v>0</v>
      </c>
      <c r="F501" s="134">
        <v>0</v>
      </c>
      <c r="G501" s="135">
        <f t="shared" si="22"/>
        <v>1</v>
      </c>
      <c r="H501" s="136">
        <f t="shared" si="21"/>
        <v>7</v>
      </c>
      <c r="I501" s="137" t="str">
        <f t="shared" si="23"/>
        <v>J</v>
      </c>
    </row>
    <row r="502" spans="4:9" x14ac:dyDescent="0.25">
      <c r="D502" s="133">
        <v>0</v>
      </c>
      <c r="E502" s="134">
        <v>0</v>
      </c>
      <c r="F502" s="134">
        <v>0</v>
      </c>
      <c r="G502" s="135">
        <f t="shared" si="22"/>
        <v>1</v>
      </c>
      <c r="H502" s="136">
        <f t="shared" si="21"/>
        <v>7</v>
      </c>
      <c r="I502" s="137" t="str">
        <f t="shared" si="23"/>
        <v>J</v>
      </c>
    </row>
    <row r="503" spans="4:9" x14ac:dyDescent="0.25">
      <c r="D503" s="133">
        <v>0</v>
      </c>
      <c r="E503" s="134">
        <v>0</v>
      </c>
      <c r="F503" s="134">
        <v>0</v>
      </c>
      <c r="G503" s="135">
        <f t="shared" si="22"/>
        <v>1</v>
      </c>
      <c r="H503" s="136">
        <f t="shared" si="21"/>
        <v>7</v>
      </c>
      <c r="I503" s="137" t="str">
        <f t="shared" si="23"/>
        <v>J</v>
      </c>
    </row>
    <row r="504" spans="4:9" x14ac:dyDescent="0.25">
      <c r="D504" s="133">
        <v>0</v>
      </c>
      <c r="E504" s="134">
        <v>0</v>
      </c>
      <c r="F504" s="134">
        <v>0</v>
      </c>
      <c r="G504" s="135">
        <f t="shared" si="22"/>
        <v>1</v>
      </c>
      <c r="H504" s="136">
        <f t="shared" si="21"/>
        <v>7</v>
      </c>
      <c r="I504" s="137" t="str">
        <f t="shared" si="23"/>
        <v>J</v>
      </c>
    </row>
    <row r="505" spans="4:9" x14ac:dyDescent="0.25">
      <c r="D505" s="133">
        <v>0</v>
      </c>
      <c r="E505" s="134">
        <v>0</v>
      </c>
      <c r="F505" s="134">
        <v>0</v>
      </c>
      <c r="G505" s="135">
        <f t="shared" si="22"/>
        <v>1</v>
      </c>
      <c r="H505" s="136">
        <f t="shared" si="21"/>
        <v>7</v>
      </c>
      <c r="I505" s="137" t="str">
        <f t="shared" si="23"/>
        <v>J</v>
      </c>
    </row>
    <row r="506" spans="4:9" x14ac:dyDescent="0.25">
      <c r="D506" s="133">
        <v>0</v>
      </c>
      <c r="E506" s="134">
        <v>0</v>
      </c>
      <c r="F506" s="134">
        <v>0</v>
      </c>
      <c r="G506" s="135">
        <f t="shared" si="22"/>
        <v>1</v>
      </c>
      <c r="H506" s="136">
        <f t="shared" si="21"/>
        <v>7</v>
      </c>
      <c r="I506" s="137" t="str">
        <f t="shared" si="23"/>
        <v>J</v>
      </c>
    </row>
    <row r="507" spans="4:9" x14ac:dyDescent="0.25">
      <c r="D507" s="133">
        <v>0</v>
      </c>
      <c r="E507" s="134">
        <v>0</v>
      </c>
      <c r="F507" s="134">
        <v>0</v>
      </c>
      <c r="G507" s="135">
        <f t="shared" si="22"/>
        <v>1</v>
      </c>
      <c r="H507" s="136">
        <f t="shared" si="21"/>
        <v>7</v>
      </c>
      <c r="I507" s="137" t="str">
        <f t="shared" si="23"/>
        <v>J</v>
      </c>
    </row>
    <row r="508" spans="4:9" x14ac:dyDescent="0.25">
      <c r="D508" s="133">
        <v>0</v>
      </c>
      <c r="E508" s="134">
        <v>0</v>
      </c>
      <c r="F508" s="134">
        <v>0</v>
      </c>
      <c r="G508" s="135">
        <f t="shared" si="22"/>
        <v>1</v>
      </c>
      <c r="H508" s="136">
        <f t="shared" si="21"/>
        <v>7</v>
      </c>
      <c r="I508" s="137" t="str">
        <f t="shared" si="23"/>
        <v>J</v>
      </c>
    </row>
    <row r="509" spans="4:9" x14ac:dyDescent="0.25">
      <c r="D509" s="133">
        <v>0</v>
      </c>
      <c r="E509" s="134">
        <v>0</v>
      </c>
      <c r="F509" s="134">
        <v>0</v>
      </c>
      <c r="G509" s="135">
        <f t="shared" si="22"/>
        <v>1</v>
      </c>
      <c r="H509" s="136">
        <f t="shared" si="21"/>
        <v>7</v>
      </c>
      <c r="I509" s="137" t="str">
        <f t="shared" si="23"/>
        <v>J</v>
      </c>
    </row>
    <row r="510" spans="4:9" x14ac:dyDescent="0.25">
      <c r="D510" s="133">
        <v>0</v>
      </c>
      <c r="E510" s="134">
        <v>0</v>
      </c>
      <c r="F510" s="134">
        <v>0</v>
      </c>
      <c r="G510" s="135">
        <f t="shared" si="22"/>
        <v>1</v>
      </c>
      <c r="H510" s="136">
        <f t="shared" si="21"/>
        <v>7</v>
      </c>
      <c r="I510" s="137" t="str">
        <f t="shared" si="23"/>
        <v>J</v>
      </c>
    </row>
    <row r="511" spans="4:9" x14ac:dyDescent="0.25">
      <c r="D511" s="133">
        <v>0</v>
      </c>
      <c r="E511" s="134">
        <v>0</v>
      </c>
      <c r="F511" s="134">
        <v>0</v>
      </c>
      <c r="G511" s="135">
        <f t="shared" si="22"/>
        <v>1</v>
      </c>
      <c r="H511" s="136">
        <f t="shared" si="21"/>
        <v>7</v>
      </c>
      <c r="I511" s="137" t="str">
        <f t="shared" si="23"/>
        <v>J</v>
      </c>
    </row>
    <row r="512" spans="4:9" x14ac:dyDescent="0.25">
      <c r="D512" s="133">
        <v>0</v>
      </c>
      <c r="E512" s="134">
        <v>0</v>
      </c>
      <c r="F512" s="134">
        <v>0</v>
      </c>
      <c r="G512" s="135">
        <f t="shared" si="22"/>
        <v>1</v>
      </c>
      <c r="H512" s="136">
        <f t="shared" si="21"/>
        <v>7</v>
      </c>
      <c r="I512" s="137" t="str">
        <f t="shared" si="23"/>
        <v>J</v>
      </c>
    </row>
    <row r="513" spans="4:9" x14ac:dyDescent="0.25">
      <c r="D513" s="133">
        <v>0</v>
      </c>
      <c r="E513" s="134">
        <v>0</v>
      </c>
      <c r="F513" s="134">
        <v>0</v>
      </c>
      <c r="G513" s="135">
        <f t="shared" si="22"/>
        <v>1</v>
      </c>
      <c r="H513" s="136">
        <f t="shared" si="21"/>
        <v>7</v>
      </c>
      <c r="I513" s="137" t="str">
        <f t="shared" si="23"/>
        <v>J</v>
      </c>
    </row>
    <row r="514" spans="4:9" x14ac:dyDescent="0.25">
      <c r="D514" s="133">
        <v>0</v>
      </c>
      <c r="E514" s="134">
        <v>0</v>
      </c>
      <c r="F514" s="134">
        <v>0</v>
      </c>
      <c r="G514" s="135">
        <f t="shared" si="22"/>
        <v>1</v>
      </c>
      <c r="H514" s="136">
        <f t="shared" ref="H514:H577" si="24">VLOOKUP($G514, $Q$3:$R$12, 2)</f>
        <v>7</v>
      </c>
      <c r="I514" s="137" t="str">
        <f t="shared" si="23"/>
        <v>J</v>
      </c>
    </row>
    <row r="515" spans="4:9" x14ac:dyDescent="0.25">
      <c r="D515" s="133">
        <v>0</v>
      </c>
      <c r="E515" s="134">
        <v>0</v>
      </c>
      <c r="F515" s="134">
        <v>0</v>
      </c>
      <c r="G515" s="135">
        <f t="shared" ref="G515:G578" si="25">(VLOOKUP($D515,$L$3:$O$15,4))+(VLOOKUP($E515,$M$3:$O$15,3))-(VLOOKUP($F515,$N$3:$O$15,2))</f>
        <v>1</v>
      </c>
      <c r="H515" s="136">
        <f t="shared" si="24"/>
        <v>7</v>
      </c>
      <c r="I515" s="137" t="str">
        <f t="shared" ref="I515:I578" si="26">IF(AND((SUM(D515:F515)=0),B515=0), "J", VLOOKUP($H515, $Q$16:$R$25, 2))</f>
        <v>J</v>
      </c>
    </row>
    <row r="516" spans="4:9" x14ac:dyDescent="0.25">
      <c r="D516" s="133">
        <v>0</v>
      </c>
      <c r="E516" s="134">
        <v>0</v>
      </c>
      <c r="F516" s="134">
        <v>0</v>
      </c>
      <c r="G516" s="135">
        <f t="shared" si="25"/>
        <v>1</v>
      </c>
      <c r="H516" s="136">
        <f t="shared" si="24"/>
        <v>7</v>
      </c>
      <c r="I516" s="137" t="str">
        <f t="shared" si="26"/>
        <v>J</v>
      </c>
    </row>
    <row r="517" spans="4:9" x14ac:dyDescent="0.25">
      <c r="D517" s="133">
        <v>0</v>
      </c>
      <c r="E517" s="134">
        <v>0</v>
      </c>
      <c r="F517" s="134">
        <v>0</v>
      </c>
      <c r="G517" s="135">
        <f t="shared" si="25"/>
        <v>1</v>
      </c>
      <c r="H517" s="136">
        <f t="shared" si="24"/>
        <v>7</v>
      </c>
      <c r="I517" s="137" t="str">
        <f t="shared" si="26"/>
        <v>J</v>
      </c>
    </row>
    <row r="518" spans="4:9" x14ac:dyDescent="0.25">
      <c r="D518" s="133">
        <v>0</v>
      </c>
      <c r="E518" s="134">
        <v>0</v>
      </c>
      <c r="F518" s="134">
        <v>0</v>
      </c>
      <c r="G518" s="135">
        <f t="shared" si="25"/>
        <v>1</v>
      </c>
      <c r="H518" s="136">
        <f t="shared" si="24"/>
        <v>7</v>
      </c>
      <c r="I518" s="137" t="str">
        <f t="shared" si="26"/>
        <v>J</v>
      </c>
    </row>
    <row r="519" spans="4:9" x14ac:dyDescent="0.25">
      <c r="D519" s="133">
        <v>0</v>
      </c>
      <c r="E519" s="134">
        <v>0</v>
      </c>
      <c r="F519" s="134">
        <v>0</v>
      </c>
      <c r="G519" s="135">
        <f t="shared" si="25"/>
        <v>1</v>
      </c>
      <c r="H519" s="136">
        <f t="shared" si="24"/>
        <v>7</v>
      </c>
      <c r="I519" s="137" t="str">
        <f t="shared" si="26"/>
        <v>J</v>
      </c>
    </row>
    <row r="520" spans="4:9" x14ac:dyDescent="0.25">
      <c r="D520" s="133">
        <v>0</v>
      </c>
      <c r="E520" s="134">
        <v>0</v>
      </c>
      <c r="F520" s="134">
        <v>0</v>
      </c>
      <c r="G520" s="135">
        <f t="shared" si="25"/>
        <v>1</v>
      </c>
      <c r="H520" s="136">
        <f t="shared" si="24"/>
        <v>7</v>
      </c>
      <c r="I520" s="137" t="str">
        <f t="shared" si="26"/>
        <v>J</v>
      </c>
    </row>
    <row r="521" spans="4:9" x14ac:dyDescent="0.25">
      <c r="D521" s="133">
        <v>0</v>
      </c>
      <c r="E521" s="134">
        <v>0</v>
      </c>
      <c r="F521" s="134">
        <v>0</v>
      </c>
      <c r="G521" s="135">
        <f t="shared" si="25"/>
        <v>1</v>
      </c>
      <c r="H521" s="136">
        <f t="shared" si="24"/>
        <v>7</v>
      </c>
      <c r="I521" s="137" t="str">
        <f t="shared" si="26"/>
        <v>J</v>
      </c>
    </row>
    <row r="522" spans="4:9" x14ac:dyDescent="0.25">
      <c r="D522" s="133">
        <v>0</v>
      </c>
      <c r="E522" s="134">
        <v>0</v>
      </c>
      <c r="F522" s="134">
        <v>0</v>
      </c>
      <c r="G522" s="135">
        <f t="shared" si="25"/>
        <v>1</v>
      </c>
      <c r="H522" s="136">
        <f t="shared" si="24"/>
        <v>7</v>
      </c>
      <c r="I522" s="137" t="str">
        <f t="shared" si="26"/>
        <v>J</v>
      </c>
    </row>
    <row r="523" spans="4:9" x14ac:dyDescent="0.25">
      <c r="D523" s="133">
        <v>0</v>
      </c>
      <c r="E523" s="134">
        <v>0</v>
      </c>
      <c r="F523" s="134">
        <v>0</v>
      </c>
      <c r="G523" s="135">
        <f t="shared" si="25"/>
        <v>1</v>
      </c>
      <c r="H523" s="136">
        <f t="shared" si="24"/>
        <v>7</v>
      </c>
      <c r="I523" s="137" t="str">
        <f t="shared" si="26"/>
        <v>J</v>
      </c>
    </row>
    <row r="524" spans="4:9" x14ac:dyDescent="0.25">
      <c r="D524" s="133">
        <v>0</v>
      </c>
      <c r="E524" s="134">
        <v>0</v>
      </c>
      <c r="F524" s="134">
        <v>0</v>
      </c>
      <c r="G524" s="135">
        <f t="shared" si="25"/>
        <v>1</v>
      </c>
      <c r="H524" s="136">
        <f t="shared" si="24"/>
        <v>7</v>
      </c>
      <c r="I524" s="137" t="str">
        <f t="shared" si="26"/>
        <v>J</v>
      </c>
    </row>
    <row r="525" spans="4:9" x14ac:dyDescent="0.25">
      <c r="D525" s="133">
        <v>0</v>
      </c>
      <c r="E525" s="134">
        <v>0</v>
      </c>
      <c r="F525" s="134">
        <v>0</v>
      </c>
      <c r="G525" s="135">
        <f t="shared" si="25"/>
        <v>1</v>
      </c>
      <c r="H525" s="136">
        <f t="shared" si="24"/>
        <v>7</v>
      </c>
      <c r="I525" s="137" t="str">
        <f t="shared" si="26"/>
        <v>J</v>
      </c>
    </row>
    <row r="526" spans="4:9" x14ac:dyDescent="0.25">
      <c r="D526" s="133">
        <v>0</v>
      </c>
      <c r="E526" s="134">
        <v>0</v>
      </c>
      <c r="F526" s="134">
        <v>0</v>
      </c>
      <c r="G526" s="135">
        <f t="shared" si="25"/>
        <v>1</v>
      </c>
      <c r="H526" s="136">
        <f t="shared" si="24"/>
        <v>7</v>
      </c>
      <c r="I526" s="137" t="str">
        <f t="shared" si="26"/>
        <v>J</v>
      </c>
    </row>
    <row r="527" spans="4:9" x14ac:dyDescent="0.25">
      <c r="D527" s="133">
        <v>0</v>
      </c>
      <c r="E527" s="134">
        <v>0</v>
      </c>
      <c r="F527" s="134">
        <v>0</v>
      </c>
      <c r="G527" s="135">
        <f t="shared" si="25"/>
        <v>1</v>
      </c>
      <c r="H527" s="136">
        <f t="shared" si="24"/>
        <v>7</v>
      </c>
      <c r="I527" s="137" t="str">
        <f t="shared" si="26"/>
        <v>J</v>
      </c>
    </row>
    <row r="528" spans="4:9" x14ac:dyDescent="0.25">
      <c r="D528" s="133">
        <v>0</v>
      </c>
      <c r="E528" s="134">
        <v>0</v>
      </c>
      <c r="F528" s="134">
        <v>0</v>
      </c>
      <c r="G528" s="135">
        <f t="shared" si="25"/>
        <v>1</v>
      </c>
      <c r="H528" s="136">
        <f t="shared" si="24"/>
        <v>7</v>
      </c>
      <c r="I528" s="137" t="str">
        <f t="shared" si="26"/>
        <v>J</v>
      </c>
    </row>
    <row r="529" spans="4:9" x14ac:dyDescent="0.25">
      <c r="D529" s="133">
        <v>0</v>
      </c>
      <c r="E529" s="134">
        <v>0</v>
      </c>
      <c r="F529" s="134">
        <v>0</v>
      </c>
      <c r="G529" s="135">
        <f t="shared" si="25"/>
        <v>1</v>
      </c>
      <c r="H529" s="136">
        <f t="shared" si="24"/>
        <v>7</v>
      </c>
      <c r="I529" s="137" t="str">
        <f t="shared" si="26"/>
        <v>J</v>
      </c>
    </row>
    <row r="530" spans="4:9" x14ac:dyDescent="0.25">
      <c r="D530" s="133">
        <v>0</v>
      </c>
      <c r="E530" s="134">
        <v>0</v>
      </c>
      <c r="F530" s="134">
        <v>0</v>
      </c>
      <c r="G530" s="135">
        <f t="shared" si="25"/>
        <v>1</v>
      </c>
      <c r="H530" s="136">
        <f t="shared" si="24"/>
        <v>7</v>
      </c>
      <c r="I530" s="137" t="str">
        <f t="shared" si="26"/>
        <v>J</v>
      </c>
    </row>
    <row r="531" spans="4:9" x14ac:dyDescent="0.25">
      <c r="D531" s="133">
        <v>0</v>
      </c>
      <c r="E531" s="134">
        <v>0</v>
      </c>
      <c r="F531" s="134">
        <v>0</v>
      </c>
      <c r="G531" s="135">
        <f t="shared" si="25"/>
        <v>1</v>
      </c>
      <c r="H531" s="136">
        <f t="shared" si="24"/>
        <v>7</v>
      </c>
      <c r="I531" s="137" t="str">
        <f t="shared" si="26"/>
        <v>J</v>
      </c>
    </row>
    <row r="532" spans="4:9" x14ac:dyDescent="0.25">
      <c r="D532" s="133">
        <v>0</v>
      </c>
      <c r="E532" s="134">
        <v>0</v>
      </c>
      <c r="F532" s="134">
        <v>0</v>
      </c>
      <c r="G532" s="135">
        <f t="shared" si="25"/>
        <v>1</v>
      </c>
      <c r="H532" s="136">
        <f t="shared" si="24"/>
        <v>7</v>
      </c>
      <c r="I532" s="137" t="str">
        <f t="shared" si="26"/>
        <v>J</v>
      </c>
    </row>
    <row r="533" spans="4:9" x14ac:dyDescent="0.25">
      <c r="D533" s="133">
        <v>0</v>
      </c>
      <c r="E533" s="134">
        <v>0</v>
      </c>
      <c r="F533" s="134">
        <v>0</v>
      </c>
      <c r="G533" s="135">
        <f t="shared" si="25"/>
        <v>1</v>
      </c>
      <c r="H533" s="136">
        <f t="shared" si="24"/>
        <v>7</v>
      </c>
      <c r="I533" s="137" t="str">
        <f t="shared" si="26"/>
        <v>J</v>
      </c>
    </row>
    <row r="534" spans="4:9" x14ac:dyDescent="0.25">
      <c r="D534" s="133">
        <v>0</v>
      </c>
      <c r="E534" s="134">
        <v>0</v>
      </c>
      <c r="F534" s="134">
        <v>0</v>
      </c>
      <c r="G534" s="135">
        <f t="shared" si="25"/>
        <v>1</v>
      </c>
      <c r="H534" s="136">
        <f t="shared" si="24"/>
        <v>7</v>
      </c>
      <c r="I534" s="137" t="str">
        <f t="shared" si="26"/>
        <v>J</v>
      </c>
    </row>
    <row r="535" spans="4:9" x14ac:dyDescent="0.25">
      <c r="D535" s="133">
        <v>0</v>
      </c>
      <c r="E535" s="134">
        <v>0</v>
      </c>
      <c r="F535" s="134">
        <v>0</v>
      </c>
      <c r="G535" s="135">
        <f t="shared" si="25"/>
        <v>1</v>
      </c>
      <c r="H535" s="136">
        <f t="shared" si="24"/>
        <v>7</v>
      </c>
      <c r="I535" s="137" t="str">
        <f t="shared" si="26"/>
        <v>J</v>
      </c>
    </row>
    <row r="536" spans="4:9" x14ac:dyDescent="0.25">
      <c r="D536" s="133">
        <v>0</v>
      </c>
      <c r="E536" s="134">
        <v>0</v>
      </c>
      <c r="F536" s="134">
        <v>0</v>
      </c>
      <c r="G536" s="135">
        <f t="shared" si="25"/>
        <v>1</v>
      </c>
      <c r="H536" s="136">
        <f t="shared" si="24"/>
        <v>7</v>
      </c>
      <c r="I536" s="137" t="str">
        <f t="shared" si="26"/>
        <v>J</v>
      </c>
    </row>
    <row r="537" spans="4:9" x14ac:dyDescent="0.25">
      <c r="D537" s="133">
        <v>0</v>
      </c>
      <c r="E537" s="134">
        <v>0</v>
      </c>
      <c r="F537" s="134">
        <v>0</v>
      </c>
      <c r="G537" s="135">
        <f t="shared" si="25"/>
        <v>1</v>
      </c>
      <c r="H537" s="136">
        <f t="shared" si="24"/>
        <v>7</v>
      </c>
      <c r="I537" s="137" t="str">
        <f t="shared" si="26"/>
        <v>J</v>
      </c>
    </row>
    <row r="538" spans="4:9" x14ac:dyDescent="0.25">
      <c r="D538" s="133">
        <v>0</v>
      </c>
      <c r="E538" s="134">
        <v>0</v>
      </c>
      <c r="F538" s="134">
        <v>0</v>
      </c>
      <c r="G538" s="135">
        <f t="shared" si="25"/>
        <v>1</v>
      </c>
      <c r="H538" s="136">
        <f t="shared" si="24"/>
        <v>7</v>
      </c>
      <c r="I538" s="137" t="str">
        <f t="shared" si="26"/>
        <v>J</v>
      </c>
    </row>
    <row r="539" spans="4:9" x14ac:dyDescent="0.25">
      <c r="D539" s="133">
        <v>0</v>
      </c>
      <c r="E539" s="134">
        <v>0</v>
      </c>
      <c r="F539" s="134">
        <v>0</v>
      </c>
      <c r="G539" s="135">
        <f t="shared" si="25"/>
        <v>1</v>
      </c>
      <c r="H539" s="136">
        <f t="shared" si="24"/>
        <v>7</v>
      </c>
      <c r="I539" s="137" t="str">
        <f t="shared" si="26"/>
        <v>J</v>
      </c>
    </row>
    <row r="540" spans="4:9" x14ac:dyDescent="0.25">
      <c r="D540" s="133">
        <v>0</v>
      </c>
      <c r="E540" s="134">
        <v>0</v>
      </c>
      <c r="F540" s="134">
        <v>0</v>
      </c>
      <c r="G540" s="135">
        <f t="shared" si="25"/>
        <v>1</v>
      </c>
      <c r="H540" s="136">
        <f t="shared" si="24"/>
        <v>7</v>
      </c>
      <c r="I540" s="137" t="str">
        <f t="shared" si="26"/>
        <v>J</v>
      </c>
    </row>
    <row r="541" spans="4:9" x14ac:dyDescent="0.25">
      <c r="D541" s="133">
        <v>0</v>
      </c>
      <c r="E541" s="134">
        <v>0</v>
      </c>
      <c r="F541" s="134">
        <v>0</v>
      </c>
      <c r="G541" s="135">
        <f t="shared" si="25"/>
        <v>1</v>
      </c>
      <c r="H541" s="136">
        <f t="shared" si="24"/>
        <v>7</v>
      </c>
      <c r="I541" s="137" t="str">
        <f t="shared" si="26"/>
        <v>J</v>
      </c>
    </row>
    <row r="542" spans="4:9" x14ac:dyDescent="0.25">
      <c r="D542" s="133">
        <v>0</v>
      </c>
      <c r="E542" s="134">
        <v>0</v>
      </c>
      <c r="F542" s="134">
        <v>0</v>
      </c>
      <c r="G542" s="135">
        <f t="shared" si="25"/>
        <v>1</v>
      </c>
      <c r="H542" s="136">
        <f t="shared" si="24"/>
        <v>7</v>
      </c>
      <c r="I542" s="137" t="str">
        <f t="shared" si="26"/>
        <v>J</v>
      </c>
    </row>
    <row r="543" spans="4:9" x14ac:dyDescent="0.25">
      <c r="D543" s="133">
        <v>0</v>
      </c>
      <c r="E543" s="134">
        <v>0</v>
      </c>
      <c r="F543" s="134">
        <v>0</v>
      </c>
      <c r="G543" s="135">
        <f t="shared" si="25"/>
        <v>1</v>
      </c>
      <c r="H543" s="136">
        <f t="shared" si="24"/>
        <v>7</v>
      </c>
      <c r="I543" s="137" t="str">
        <f t="shared" si="26"/>
        <v>J</v>
      </c>
    </row>
    <row r="544" spans="4:9" x14ac:dyDescent="0.25">
      <c r="D544" s="133">
        <v>0</v>
      </c>
      <c r="E544" s="134">
        <v>0</v>
      </c>
      <c r="F544" s="134">
        <v>0</v>
      </c>
      <c r="G544" s="135">
        <f t="shared" si="25"/>
        <v>1</v>
      </c>
      <c r="H544" s="136">
        <f t="shared" si="24"/>
        <v>7</v>
      </c>
      <c r="I544" s="137" t="str">
        <f t="shared" si="26"/>
        <v>J</v>
      </c>
    </row>
    <row r="545" spans="4:9" x14ac:dyDescent="0.25">
      <c r="D545" s="133">
        <v>0</v>
      </c>
      <c r="E545" s="134">
        <v>0</v>
      </c>
      <c r="F545" s="134">
        <v>0</v>
      </c>
      <c r="G545" s="135">
        <f t="shared" si="25"/>
        <v>1</v>
      </c>
      <c r="H545" s="136">
        <f t="shared" si="24"/>
        <v>7</v>
      </c>
      <c r="I545" s="137" t="str">
        <f t="shared" si="26"/>
        <v>J</v>
      </c>
    </row>
    <row r="546" spans="4:9" x14ac:dyDescent="0.25">
      <c r="D546" s="133">
        <v>0</v>
      </c>
      <c r="E546" s="134">
        <v>0</v>
      </c>
      <c r="F546" s="134">
        <v>0</v>
      </c>
      <c r="G546" s="135">
        <f t="shared" si="25"/>
        <v>1</v>
      </c>
      <c r="H546" s="136">
        <f t="shared" si="24"/>
        <v>7</v>
      </c>
      <c r="I546" s="137" t="str">
        <f t="shared" si="26"/>
        <v>J</v>
      </c>
    </row>
    <row r="547" spans="4:9" x14ac:dyDescent="0.25">
      <c r="D547" s="133">
        <v>0</v>
      </c>
      <c r="E547" s="134">
        <v>0</v>
      </c>
      <c r="F547" s="134">
        <v>0</v>
      </c>
      <c r="G547" s="135">
        <f t="shared" si="25"/>
        <v>1</v>
      </c>
      <c r="H547" s="136">
        <f t="shared" si="24"/>
        <v>7</v>
      </c>
      <c r="I547" s="137" t="str">
        <f t="shared" si="26"/>
        <v>J</v>
      </c>
    </row>
    <row r="548" spans="4:9" x14ac:dyDescent="0.25">
      <c r="D548" s="133">
        <v>0</v>
      </c>
      <c r="E548" s="134">
        <v>0</v>
      </c>
      <c r="F548" s="134">
        <v>0</v>
      </c>
      <c r="G548" s="135">
        <f t="shared" si="25"/>
        <v>1</v>
      </c>
      <c r="H548" s="136">
        <f t="shared" si="24"/>
        <v>7</v>
      </c>
      <c r="I548" s="137" t="str">
        <f t="shared" si="26"/>
        <v>J</v>
      </c>
    </row>
    <row r="549" spans="4:9" x14ac:dyDescent="0.25">
      <c r="D549" s="133">
        <v>0</v>
      </c>
      <c r="E549" s="134">
        <v>0</v>
      </c>
      <c r="F549" s="134">
        <v>0</v>
      </c>
      <c r="G549" s="135">
        <f t="shared" si="25"/>
        <v>1</v>
      </c>
      <c r="H549" s="136">
        <f t="shared" si="24"/>
        <v>7</v>
      </c>
      <c r="I549" s="137" t="str">
        <f t="shared" si="26"/>
        <v>J</v>
      </c>
    </row>
    <row r="550" spans="4:9" x14ac:dyDescent="0.25">
      <c r="D550" s="133">
        <v>0</v>
      </c>
      <c r="E550" s="134">
        <v>0</v>
      </c>
      <c r="F550" s="134">
        <v>0</v>
      </c>
      <c r="G550" s="135">
        <f t="shared" si="25"/>
        <v>1</v>
      </c>
      <c r="H550" s="136">
        <f t="shared" si="24"/>
        <v>7</v>
      </c>
      <c r="I550" s="137" t="str">
        <f t="shared" si="26"/>
        <v>J</v>
      </c>
    </row>
    <row r="551" spans="4:9" x14ac:dyDescent="0.25">
      <c r="D551" s="133">
        <v>0</v>
      </c>
      <c r="E551" s="134">
        <v>0</v>
      </c>
      <c r="F551" s="134">
        <v>0</v>
      </c>
      <c r="G551" s="135">
        <f t="shared" si="25"/>
        <v>1</v>
      </c>
      <c r="H551" s="136">
        <f t="shared" si="24"/>
        <v>7</v>
      </c>
      <c r="I551" s="137" t="str">
        <f t="shared" si="26"/>
        <v>J</v>
      </c>
    </row>
    <row r="552" spans="4:9" x14ac:dyDescent="0.25">
      <c r="D552" s="133">
        <v>0</v>
      </c>
      <c r="E552" s="134">
        <v>0</v>
      </c>
      <c r="F552" s="134">
        <v>0</v>
      </c>
      <c r="G552" s="135">
        <f t="shared" si="25"/>
        <v>1</v>
      </c>
      <c r="H552" s="136">
        <f t="shared" si="24"/>
        <v>7</v>
      </c>
      <c r="I552" s="137" t="str">
        <f t="shared" si="26"/>
        <v>J</v>
      </c>
    </row>
    <row r="553" spans="4:9" x14ac:dyDescent="0.25">
      <c r="D553" s="133">
        <v>0</v>
      </c>
      <c r="E553" s="134">
        <v>0</v>
      </c>
      <c r="F553" s="134">
        <v>0</v>
      </c>
      <c r="G553" s="135">
        <f t="shared" si="25"/>
        <v>1</v>
      </c>
      <c r="H553" s="136">
        <f t="shared" si="24"/>
        <v>7</v>
      </c>
      <c r="I553" s="137" t="str">
        <f t="shared" si="26"/>
        <v>J</v>
      </c>
    </row>
    <row r="554" spans="4:9" x14ac:dyDescent="0.25">
      <c r="D554" s="133">
        <v>0</v>
      </c>
      <c r="E554" s="134">
        <v>0</v>
      </c>
      <c r="F554" s="134">
        <v>0</v>
      </c>
      <c r="G554" s="135">
        <f t="shared" si="25"/>
        <v>1</v>
      </c>
      <c r="H554" s="136">
        <f t="shared" si="24"/>
        <v>7</v>
      </c>
      <c r="I554" s="137" t="str">
        <f t="shared" si="26"/>
        <v>J</v>
      </c>
    </row>
    <row r="555" spans="4:9" x14ac:dyDescent="0.25">
      <c r="D555" s="133">
        <v>0</v>
      </c>
      <c r="E555" s="134">
        <v>0</v>
      </c>
      <c r="F555" s="134">
        <v>0</v>
      </c>
      <c r="G555" s="135">
        <f t="shared" si="25"/>
        <v>1</v>
      </c>
      <c r="H555" s="136">
        <f t="shared" si="24"/>
        <v>7</v>
      </c>
      <c r="I555" s="137" t="str">
        <f t="shared" si="26"/>
        <v>J</v>
      </c>
    </row>
    <row r="556" spans="4:9" x14ac:dyDescent="0.25">
      <c r="D556" s="133">
        <v>0</v>
      </c>
      <c r="E556" s="134">
        <v>0</v>
      </c>
      <c r="F556" s="134">
        <v>0</v>
      </c>
      <c r="G556" s="135">
        <f t="shared" si="25"/>
        <v>1</v>
      </c>
      <c r="H556" s="136">
        <f t="shared" si="24"/>
        <v>7</v>
      </c>
      <c r="I556" s="137" t="str">
        <f t="shared" si="26"/>
        <v>J</v>
      </c>
    </row>
    <row r="557" spans="4:9" x14ac:dyDescent="0.25">
      <c r="D557" s="133">
        <v>0</v>
      </c>
      <c r="E557" s="134">
        <v>0</v>
      </c>
      <c r="F557" s="134">
        <v>0</v>
      </c>
      <c r="G557" s="135">
        <f t="shared" si="25"/>
        <v>1</v>
      </c>
      <c r="H557" s="136">
        <f t="shared" si="24"/>
        <v>7</v>
      </c>
      <c r="I557" s="137" t="str">
        <f t="shared" si="26"/>
        <v>J</v>
      </c>
    </row>
    <row r="558" spans="4:9" x14ac:dyDescent="0.25">
      <c r="D558" s="133">
        <v>0</v>
      </c>
      <c r="E558" s="134">
        <v>0</v>
      </c>
      <c r="F558" s="134">
        <v>0</v>
      </c>
      <c r="G558" s="135">
        <f t="shared" si="25"/>
        <v>1</v>
      </c>
      <c r="H558" s="136">
        <f t="shared" si="24"/>
        <v>7</v>
      </c>
      <c r="I558" s="137" t="str">
        <f t="shared" si="26"/>
        <v>J</v>
      </c>
    </row>
    <row r="559" spans="4:9" x14ac:dyDescent="0.25">
      <c r="D559" s="133">
        <v>0</v>
      </c>
      <c r="E559" s="134">
        <v>0</v>
      </c>
      <c r="F559" s="134">
        <v>0</v>
      </c>
      <c r="G559" s="135">
        <f t="shared" si="25"/>
        <v>1</v>
      </c>
      <c r="H559" s="136">
        <f t="shared" si="24"/>
        <v>7</v>
      </c>
      <c r="I559" s="137" t="str">
        <f t="shared" si="26"/>
        <v>J</v>
      </c>
    </row>
    <row r="560" spans="4:9" x14ac:dyDescent="0.25">
      <c r="D560" s="133">
        <v>0</v>
      </c>
      <c r="E560" s="134">
        <v>0</v>
      </c>
      <c r="F560" s="134">
        <v>0</v>
      </c>
      <c r="G560" s="135">
        <f t="shared" si="25"/>
        <v>1</v>
      </c>
      <c r="H560" s="136">
        <f t="shared" si="24"/>
        <v>7</v>
      </c>
      <c r="I560" s="137" t="str">
        <f t="shared" si="26"/>
        <v>J</v>
      </c>
    </row>
    <row r="561" spans="4:9" x14ac:dyDescent="0.25">
      <c r="D561" s="133">
        <v>0</v>
      </c>
      <c r="E561" s="134">
        <v>0</v>
      </c>
      <c r="F561" s="134">
        <v>0</v>
      </c>
      <c r="G561" s="135">
        <f t="shared" si="25"/>
        <v>1</v>
      </c>
      <c r="H561" s="136">
        <f t="shared" si="24"/>
        <v>7</v>
      </c>
      <c r="I561" s="137" t="str">
        <f t="shared" si="26"/>
        <v>J</v>
      </c>
    </row>
    <row r="562" spans="4:9" x14ac:dyDescent="0.25">
      <c r="D562" s="133">
        <v>0</v>
      </c>
      <c r="E562" s="134">
        <v>0</v>
      </c>
      <c r="F562" s="134">
        <v>0</v>
      </c>
      <c r="G562" s="135">
        <f t="shared" si="25"/>
        <v>1</v>
      </c>
      <c r="H562" s="136">
        <f t="shared" si="24"/>
        <v>7</v>
      </c>
      <c r="I562" s="137" t="str">
        <f t="shared" si="26"/>
        <v>J</v>
      </c>
    </row>
    <row r="563" spans="4:9" x14ac:dyDescent="0.25">
      <c r="D563" s="133">
        <v>0</v>
      </c>
      <c r="E563" s="134">
        <v>0</v>
      </c>
      <c r="F563" s="134">
        <v>0</v>
      </c>
      <c r="G563" s="135">
        <f t="shared" si="25"/>
        <v>1</v>
      </c>
      <c r="H563" s="136">
        <f t="shared" si="24"/>
        <v>7</v>
      </c>
      <c r="I563" s="137" t="str">
        <f t="shared" si="26"/>
        <v>J</v>
      </c>
    </row>
    <row r="564" spans="4:9" x14ac:dyDescent="0.25">
      <c r="D564" s="133">
        <v>0</v>
      </c>
      <c r="E564" s="134">
        <v>0</v>
      </c>
      <c r="F564" s="134">
        <v>0</v>
      </c>
      <c r="G564" s="135">
        <f t="shared" si="25"/>
        <v>1</v>
      </c>
      <c r="H564" s="136">
        <f t="shared" si="24"/>
        <v>7</v>
      </c>
      <c r="I564" s="137" t="str">
        <f t="shared" si="26"/>
        <v>J</v>
      </c>
    </row>
    <row r="565" spans="4:9" x14ac:dyDescent="0.25">
      <c r="D565" s="133">
        <v>0</v>
      </c>
      <c r="E565" s="134">
        <v>0</v>
      </c>
      <c r="F565" s="134">
        <v>0</v>
      </c>
      <c r="G565" s="135">
        <f t="shared" si="25"/>
        <v>1</v>
      </c>
      <c r="H565" s="136">
        <f t="shared" si="24"/>
        <v>7</v>
      </c>
      <c r="I565" s="137" t="str">
        <f t="shared" si="26"/>
        <v>J</v>
      </c>
    </row>
    <row r="566" spans="4:9" x14ac:dyDescent="0.25">
      <c r="D566" s="133">
        <v>0</v>
      </c>
      <c r="E566" s="134">
        <v>0</v>
      </c>
      <c r="F566" s="134">
        <v>0</v>
      </c>
      <c r="G566" s="135">
        <f t="shared" si="25"/>
        <v>1</v>
      </c>
      <c r="H566" s="136">
        <f t="shared" si="24"/>
        <v>7</v>
      </c>
      <c r="I566" s="137" t="str">
        <f t="shared" si="26"/>
        <v>J</v>
      </c>
    </row>
    <row r="567" spans="4:9" x14ac:dyDescent="0.25">
      <c r="D567" s="133">
        <v>0</v>
      </c>
      <c r="E567" s="134">
        <v>0</v>
      </c>
      <c r="F567" s="134">
        <v>0</v>
      </c>
      <c r="G567" s="135">
        <f t="shared" si="25"/>
        <v>1</v>
      </c>
      <c r="H567" s="136">
        <f t="shared" si="24"/>
        <v>7</v>
      </c>
      <c r="I567" s="137" t="str">
        <f t="shared" si="26"/>
        <v>J</v>
      </c>
    </row>
    <row r="568" spans="4:9" x14ac:dyDescent="0.25">
      <c r="D568" s="133">
        <v>0</v>
      </c>
      <c r="E568" s="134">
        <v>0</v>
      </c>
      <c r="F568" s="134">
        <v>0</v>
      </c>
      <c r="G568" s="135">
        <f t="shared" si="25"/>
        <v>1</v>
      </c>
      <c r="H568" s="136">
        <f t="shared" si="24"/>
        <v>7</v>
      </c>
      <c r="I568" s="137" t="str">
        <f t="shared" si="26"/>
        <v>J</v>
      </c>
    </row>
    <row r="569" spans="4:9" x14ac:dyDescent="0.25">
      <c r="D569" s="133">
        <v>0</v>
      </c>
      <c r="E569" s="134">
        <v>0</v>
      </c>
      <c r="F569" s="134">
        <v>0</v>
      </c>
      <c r="G569" s="135">
        <f t="shared" si="25"/>
        <v>1</v>
      </c>
      <c r="H569" s="136">
        <f t="shared" si="24"/>
        <v>7</v>
      </c>
      <c r="I569" s="137" t="str">
        <f t="shared" si="26"/>
        <v>J</v>
      </c>
    </row>
    <row r="570" spans="4:9" x14ac:dyDescent="0.25">
      <c r="D570" s="133">
        <v>0</v>
      </c>
      <c r="E570" s="134">
        <v>0</v>
      </c>
      <c r="F570" s="134">
        <v>0</v>
      </c>
      <c r="G570" s="135">
        <f t="shared" si="25"/>
        <v>1</v>
      </c>
      <c r="H570" s="136">
        <f t="shared" si="24"/>
        <v>7</v>
      </c>
      <c r="I570" s="137" t="str">
        <f t="shared" si="26"/>
        <v>J</v>
      </c>
    </row>
    <row r="571" spans="4:9" x14ac:dyDescent="0.25">
      <c r="D571" s="133">
        <v>0</v>
      </c>
      <c r="E571" s="134">
        <v>0</v>
      </c>
      <c r="F571" s="134">
        <v>0</v>
      </c>
      <c r="G571" s="135">
        <f t="shared" si="25"/>
        <v>1</v>
      </c>
      <c r="H571" s="136">
        <f t="shared" si="24"/>
        <v>7</v>
      </c>
      <c r="I571" s="137" t="str">
        <f t="shared" si="26"/>
        <v>J</v>
      </c>
    </row>
    <row r="572" spans="4:9" x14ac:dyDescent="0.25">
      <c r="D572" s="133">
        <v>0</v>
      </c>
      <c r="E572" s="134">
        <v>0</v>
      </c>
      <c r="F572" s="134">
        <v>0</v>
      </c>
      <c r="G572" s="135">
        <f t="shared" si="25"/>
        <v>1</v>
      </c>
      <c r="H572" s="136">
        <f t="shared" si="24"/>
        <v>7</v>
      </c>
      <c r="I572" s="137" t="str">
        <f t="shared" si="26"/>
        <v>J</v>
      </c>
    </row>
    <row r="573" spans="4:9" x14ac:dyDescent="0.25">
      <c r="D573" s="133">
        <v>0</v>
      </c>
      <c r="E573" s="134">
        <v>0</v>
      </c>
      <c r="F573" s="134">
        <v>0</v>
      </c>
      <c r="G573" s="135">
        <f t="shared" si="25"/>
        <v>1</v>
      </c>
      <c r="H573" s="136">
        <f t="shared" si="24"/>
        <v>7</v>
      </c>
      <c r="I573" s="137" t="str">
        <f t="shared" si="26"/>
        <v>J</v>
      </c>
    </row>
    <row r="574" spans="4:9" x14ac:dyDescent="0.25">
      <c r="D574" s="133">
        <v>0</v>
      </c>
      <c r="E574" s="134">
        <v>0</v>
      </c>
      <c r="F574" s="134">
        <v>0</v>
      </c>
      <c r="G574" s="135">
        <f t="shared" si="25"/>
        <v>1</v>
      </c>
      <c r="H574" s="136">
        <f t="shared" si="24"/>
        <v>7</v>
      </c>
      <c r="I574" s="137" t="str">
        <f t="shared" si="26"/>
        <v>J</v>
      </c>
    </row>
    <row r="575" spans="4:9" x14ac:dyDescent="0.25">
      <c r="D575" s="133">
        <v>0</v>
      </c>
      <c r="E575" s="134">
        <v>0</v>
      </c>
      <c r="F575" s="134">
        <v>0</v>
      </c>
      <c r="G575" s="135">
        <f t="shared" si="25"/>
        <v>1</v>
      </c>
      <c r="H575" s="136">
        <f t="shared" si="24"/>
        <v>7</v>
      </c>
      <c r="I575" s="137" t="str">
        <f t="shared" si="26"/>
        <v>J</v>
      </c>
    </row>
    <row r="576" spans="4:9" x14ac:dyDescent="0.25">
      <c r="D576" s="133">
        <v>0</v>
      </c>
      <c r="E576" s="134">
        <v>0</v>
      </c>
      <c r="F576" s="134">
        <v>0</v>
      </c>
      <c r="G576" s="135">
        <f t="shared" si="25"/>
        <v>1</v>
      </c>
      <c r="H576" s="136">
        <f t="shared" si="24"/>
        <v>7</v>
      </c>
      <c r="I576" s="137" t="str">
        <f t="shared" si="26"/>
        <v>J</v>
      </c>
    </row>
    <row r="577" spans="4:9" x14ac:dyDescent="0.25">
      <c r="D577" s="133">
        <v>0</v>
      </c>
      <c r="E577" s="134">
        <v>0</v>
      </c>
      <c r="F577" s="134">
        <v>0</v>
      </c>
      <c r="G577" s="135">
        <f t="shared" si="25"/>
        <v>1</v>
      </c>
      <c r="H577" s="136">
        <f t="shared" si="24"/>
        <v>7</v>
      </c>
      <c r="I577" s="137" t="str">
        <f t="shared" si="26"/>
        <v>J</v>
      </c>
    </row>
    <row r="578" spans="4:9" x14ac:dyDescent="0.25">
      <c r="D578" s="133">
        <v>0</v>
      </c>
      <c r="E578" s="134">
        <v>0</v>
      </c>
      <c r="F578" s="134">
        <v>0</v>
      </c>
      <c r="G578" s="135">
        <f t="shared" si="25"/>
        <v>1</v>
      </c>
      <c r="H578" s="136">
        <f t="shared" ref="H578:H641" si="27">VLOOKUP($G578, $Q$3:$R$12, 2)</f>
        <v>7</v>
      </c>
      <c r="I578" s="137" t="str">
        <f t="shared" si="26"/>
        <v>J</v>
      </c>
    </row>
    <row r="579" spans="4:9" x14ac:dyDescent="0.25">
      <c r="D579" s="133">
        <v>0</v>
      </c>
      <c r="E579" s="134">
        <v>0</v>
      </c>
      <c r="F579" s="134">
        <v>0</v>
      </c>
      <c r="G579" s="135">
        <f t="shared" ref="G579:G642" si="28">(VLOOKUP($D579,$L$3:$O$15,4))+(VLOOKUP($E579,$M$3:$O$15,3))-(VLOOKUP($F579,$N$3:$O$15,2))</f>
        <v>1</v>
      </c>
      <c r="H579" s="136">
        <f t="shared" si="27"/>
        <v>7</v>
      </c>
      <c r="I579" s="137" t="str">
        <f t="shared" ref="I579:I642" si="29">IF(AND((SUM(D579:F579)=0),B579=0), "J", VLOOKUP($H579, $Q$16:$R$25, 2))</f>
        <v>J</v>
      </c>
    </row>
    <row r="580" spans="4:9" x14ac:dyDescent="0.25">
      <c r="D580" s="133">
        <v>0</v>
      </c>
      <c r="E580" s="134">
        <v>0</v>
      </c>
      <c r="F580" s="134">
        <v>0</v>
      </c>
      <c r="G580" s="135">
        <f t="shared" si="28"/>
        <v>1</v>
      </c>
      <c r="H580" s="136">
        <f t="shared" si="27"/>
        <v>7</v>
      </c>
      <c r="I580" s="137" t="str">
        <f t="shared" si="29"/>
        <v>J</v>
      </c>
    </row>
    <row r="581" spans="4:9" x14ac:dyDescent="0.25">
      <c r="D581" s="133">
        <v>0</v>
      </c>
      <c r="E581" s="134">
        <v>0</v>
      </c>
      <c r="F581" s="134">
        <v>0</v>
      </c>
      <c r="G581" s="135">
        <f t="shared" si="28"/>
        <v>1</v>
      </c>
      <c r="H581" s="136">
        <f t="shared" si="27"/>
        <v>7</v>
      </c>
      <c r="I581" s="137" t="str">
        <f t="shared" si="29"/>
        <v>J</v>
      </c>
    </row>
    <row r="582" spans="4:9" x14ac:dyDescent="0.25">
      <c r="D582" s="133">
        <v>0</v>
      </c>
      <c r="E582" s="134">
        <v>0</v>
      </c>
      <c r="F582" s="134">
        <v>0</v>
      </c>
      <c r="G582" s="135">
        <f t="shared" si="28"/>
        <v>1</v>
      </c>
      <c r="H582" s="136">
        <f t="shared" si="27"/>
        <v>7</v>
      </c>
      <c r="I582" s="137" t="str">
        <f t="shared" si="29"/>
        <v>J</v>
      </c>
    </row>
    <row r="583" spans="4:9" x14ac:dyDescent="0.25">
      <c r="D583" s="133">
        <v>0</v>
      </c>
      <c r="E583" s="134">
        <v>0</v>
      </c>
      <c r="F583" s="134">
        <v>0</v>
      </c>
      <c r="G583" s="135">
        <f t="shared" si="28"/>
        <v>1</v>
      </c>
      <c r="H583" s="136">
        <f t="shared" si="27"/>
        <v>7</v>
      </c>
      <c r="I583" s="137" t="str">
        <f t="shared" si="29"/>
        <v>J</v>
      </c>
    </row>
    <row r="584" spans="4:9" x14ac:dyDescent="0.25">
      <c r="D584" s="133">
        <v>0</v>
      </c>
      <c r="E584" s="134">
        <v>0</v>
      </c>
      <c r="F584" s="134">
        <v>0</v>
      </c>
      <c r="G584" s="135">
        <f t="shared" si="28"/>
        <v>1</v>
      </c>
      <c r="H584" s="136">
        <f t="shared" si="27"/>
        <v>7</v>
      </c>
      <c r="I584" s="137" t="str">
        <f t="shared" si="29"/>
        <v>J</v>
      </c>
    </row>
    <row r="585" spans="4:9" x14ac:dyDescent="0.25">
      <c r="D585" s="133">
        <v>0</v>
      </c>
      <c r="E585" s="134">
        <v>0</v>
      </c>
      <c r="F585" s="134">
        <v>0</v>
      </c>
      <c r="G585" s="135">
        <f t="shared" si="28"/>
        <v>1</v>
      </c>
      <c r="H585" s="136">
        <f t="shared" si="27"/>
        <v>7</v>
      </c>
      <c r="I585" s="137" t="str">
        <f t="shared" si="29"/>
        <v>J</v>
      </c>
    </row>
    <row r="586" spans="4:9" x14ac:dyDescent="0.25">
      <c r="D586" s="133">
        <v>0</v>
      </c>
      <c r="E586" s="134">
        <v>0</v>
      </c>
      <c r="F586" s="134">
        <v>0</v>
      </c>
      <c r="G586" s="135">
        <f t="shared" si="28"/>
        <v>1</v>
      </c>
      <c r="H586" s="136">
        <f t="shared" si="27"/>
        <v>7</v>
      </c>
      <c r="I586" s="137" t="str">
        <f t="shared" si="29"/>
        <v>J</v>
      </c>
    </row>
    <row r="587" spans="4:9" x14ac:dyDescent="0.25">
      <c r="D587" s="133">
        <v>0</v>
      </c>
      <c r="E587" s="134">
        <v>0</v>
      </c>
      <c r="F587" s="134">
        <v>0</v>
      </c>
      <c r="G587" s="135">
        <f t="shared" si="28"/>
        <v>1</v>
      </c>
      <c r="H587" s="136">
        <f t="shared" si="27"/>
        <v>7</v>
      </c>
      <c r="I587" s="137" t="str">
        <f t="shared" si="29"/>
        <v>J</v>
      </c>
    </row>
    <row r="588" spans="4:9" x14ac:dyDescent="0.25">
      <c r="D588" s="133">
        <v>0</v>
      </c>
      <c r="E588" s="134">
        <v>0</v>
      </c>
      <c r="F588" s="134">
        <v>0</v>
      </c>
      <c r="G588" s="135">
        <f t="shared" si="28"/>
        <v>1</v>
      </c>
      <c r="H588" s="136">
        <f t="shared" si="27"/>
        <v>7</v>
      </c>
      <c r="I588" s="137" t="str">
        <f t="shared" si="29"/>
        <v>J</v>
      </c>
    </row>
    <row r="589" spans="4:9" x14ac:dyDescent="0.25">
      <c r="D589" s="133">
        <v>0</v>
      </c>
      <c r="E589" s="134">
        <v>0</v>
      </c>
      <c r="F589" s="134">
        <v>0</v>
      </c>
      <c r="G589" s="135">
        <f t="shared" si="28"/>
        <v>1</v>
      </c>
      <c r="H589" s="136">
        <f t="shared" si="27"/>
        <v>7</v>
      </c>
      <c r="I589" s="137" t="str">
        <f t="shared" si="29"/>
        <v>J</v>
      </c>
    </row>
    <row r="590" spans="4:9" x14ac:dyDescent="0.25">
      <c r="D590" s="133">
        <v>0</v>
      </c>
      <c r="E590" s="134">
        <v>0</v>
      </c>
      <c r="F590" s="134">
        <v>0</v>
      </c>
      <c r="G590" s="135">
        <f t="shared" si="28"/>
        <v>1</v>
      </c>
      <c r="H590" s="136">
        <f t="shared" si="27"/>
        <v>7</v>
      </c>
      <c r="I590" s="137" t="str">
        <f t="shared" si="29"/>
        <v>J</v>
      </c>
    </row>
    <row r="591" spans="4:9" x14ac:dyDescent="0.25">
      <c r="D591" s="133">
        <v>0</v>
      </c>
      <c r="E591" s="134">
        <v>0</v>
      </c>
      <c r="F591" s="134">
        <v>0</v>
      </c>
      <c r="G591" s="135">
        <f t="shared" si="28"/>
        <v>1</v>
      </c>
      <c r="H591" s="136">
        <f t="shared" si="27"/>
        <v>7</v>
      </c>
      <c r="I591" s="137" t="str">
        <f t="shared" si="29"/>
        <v>J</v>
      </c>
    </row>
    <row r="592" spans="4:9" x14ac:dyDescent="0.25">
      <c r="D592" s="133">
        <v>0</v>
      </c>
      <c r="E592" s="134">
        <v>0</v>
      </c>
      <c r="F592" s="134">
        <v>0</v>
      </c>
      <c r="G592" s="135">
        <f t="shared" si="28"/>
        <v>1</v>
      </c>
      <c r="H592" s="136">
        <f t="shared" si="27"/>
        <v>7</v>
      </c>
      <c r="I592" s="137" t="str">
        <f t="shared" si="29"/>
        <v>J</v>
      </c>
    </row>
    <row r="593" spans="4:9" x14ac:dyDescent="0.25">
      <c r="D593" s="133">
        <v>0</v>
      </c>
      <c r="E593" s="134">
        <v>0</v>
      </c>
      <c r="F593" s="134">
        <v>0</v>
      </c>
      <c r="G593" s="135">
        <f t="shared" si="28"/>
        <v>1</v>
      </c>
      <c r="H593" s="136">
        <f t="shared" si="27"/>
        <v>7</v>
      </c>
      <c r="I593" s="137" t="str">
        <f t="shared" si="29"/>
        <v>J</v>
      </c>
    </row>
    <row r="594" spans="4:9" x14ac:dyDescent="0.25">
      <c r="D594" s="133">
        <v>0</v>
      </c>
      <c r="E594" s="134">
        <v>0</v>
      </c>
      <c r="F594" s="134">
        <v>0</v>
      </c>
      <c r="G594" s="135">
        <f t="shared" si="28"/>
        <v>1</v>
      </c>
      <c r="H594" s="136">
        <f t="shared" si="27"/>
        <v>7</v>
      </c>
      <c r="I594" s="137" t="str">
        <f t="shared" si="29"/>
        <v>J</v>
      </c>
    </row>
    <row r="595" spans="4:9" x14ac:dyDescent="0.25">
      <c r="D595" s="133">
        <v>0</v>
      </c>
      <c r="E595" s="134">
        <v>0</v>
      </c>
      <c r="F595" s="134">
        <v>0</v>
      </c>
      <c r="G595" s="135">
        <f t="shared" si="28"/>
        <v>1</v>
      </c>
      <c r="H595" s="136">
        <f t="shared" si="27"/>
        <v>7</v>
      </c>
      <c r="I595" s="137" t="str">
        <f t="shared" si="29"/>
        <v>J</v>
      </c>
    </row>
    <row r="596" spans="4:9" x14ac:dyDescent="0.25">
      <c r="D596" s="133">
        <v>0</v>
      </c>
      <c r="E596" s="134">
        <v>0</v>
      </c>
      <c r="F596" s="134">
        <v>0</v>
      </c>
      <c r="G596" s="135">
        <f t="shared" si="28"/>
        <v>1</v>
      </c>
      <c r="H596" s="136">
        <f t="shared" si="27"/>
        <v>7</v>
      </c>
      <c r="I596" s="137" t="str">
        <f t="shared" si="29"/>
        <v>J</v>
      </c>
    </row>
    <row r="597" spans="4:9" x14ac:dyDescent="0.25">
      <c r="D597" s="133">
        <v>0</v>
      </c>
      <c r="E597" s="134">
        <v>0</v>
      </c>
      <c r="F597" s="134">
        <v>0</v>
      </c>
      <c r="G597" s="135">
        <f t="shared" si="28"/>
        <v>1</v>
      </c>
      <c r="H597" s="136">
        <f t="shared" si="27"/>
        <v>7</v>
      </c>
      <c r="I597" s="137" t="str">
        <f t="shared" si="29"/>
        <v>J</v>
      </c>
    </row>
    <row r="598" spans="4:9" x14ac:dyDescent="0.25">
      <c r="D598" s="133">
        <v>0</v>
      </c>
      <c r="E598" s="134">
        <v>0</v>
      </c>
      <c r="F598" s="134">
        <v>0</v>
      </c>
      <c r="G598" s="135">
        <f t="shared" si="28"/>
        <v>1</v>
      </c>
      <c r="H598" s="136">
        <f t="shared" si="27"/>
        <v>7</v>
      </c>
      <c r="I598" s="137" t="str">
        <f t="shared" si="29"/>
        <v>J</v>
      </c>
    </row>
    <row r="599" spans="4:9" x14ac:dyDescent="0.25">
      <c r="D599" s="133">
        <v>0</v>
      </c>
      <c r="E599" s="134">
        <v>0</v>
      </c>
      <c r="F599" s="134">
        <v>0</v>
      </c>
      <c r="G599" s="135">
        <f t="shared" si="28"/>
        <v>1</v>
      </c>
      <c r="H599" s="136">
        <f t="shared" si="27"/>
        <v>7</v>
      </c>
      <c r="I599" s="137" t="str">
        <f t="shared" si="29"/>
        <v>J</v>
      </c>
    </row>
    <row r="600" spans="4:9" x14ac:dyDescent="0.25">
      <c r="D600" s="133">
        <v>0</v>
      </c>
      <c r="E600" s="134">
        <v>0</v>
      </c>
      <c r="F600" s="134">
        <v>0</v>
      </c>
      <c r="G600" s="135">
        <f t="shared" si="28"/>
        <v>1</v>
      </c>
      <c r="H600" s="136">
        <f t="shared" si="27"/>
        <v>7</v>
      </c>
      <c r="I600" s="137" t="str">
        <f t="shared" si="29"/>
        <v>J</v>
      </c>
    </row>
    <row r="601" spans="4:9" x14ac:dyDescent="0.25">
      <c r="D601" s="133">
        <v>0</v>
      </c>
      <c r="E601" s="134">
        <v>0</v>
      </c>
      <c r="F601" s="134">
        <v>0</v>
      </c>
      <c r="G601" s="135">
        <f t="shared" si="28"/>
        <v>1</v>
      </c>
      <c r="H601" s="136">
        <f t="shared" si="27"/>
        <v>7</v>
      </c>
      <c r="I601" s="137" t="str">
        <f t="shared" si="29"/>
        <v>J</v>
      </c>
    </row>
    <row r="602" spans="4:9" x14ac:dyDescent="0.25">
      <c r="D602" s="133">
        <v>0</v>
      </c>
      <c r="E602" s="134">
        <v>0</v>
      </c>
      <c r="F602" s="134">
        <v>0</v>
      </c>
      <c r="G602" s="135">
        <f t="shared" si="28"/>
        <v>1</v>
      </c>
      <c r="H602" s="136">
        <f t="shared" si="27"/>
        <v>7</v>
      </c>
      <c r="I602" s="137" t="str">
        <f t="shared" si="29"/>
        <v>J</v>
      </c>
    </row>
    <row r="603" spans="4:9" x14ac:dyDescent="0.25">
      <c r="D603" s="133">
        <v>0</v>
      </c>
      <c r="E603" s="134">
        <v>0</v>
      </c>
      <c r="F603" s="134">
        <v>0</v>
      </c>
      <c r="G603" s="135">
        <f t="shared" si="28"/>
        <v>1</v>
      </c>
      <c r="H603" s="136">
        <f t="shared" si="27"/>
        <v>7</v>
      </c>
      <c r="I603" s="137" t="str">
        <f t="shared" si="29"/>
        <v>J</v>
      </c>
    </row>
    <row r="604" spans="4:9" x14ac:dyDescent="0.25">
      <c r="D604" s="133">
        <v>0</v>
      </c>
      <c r="E604" s="134">
        <v>0</v>
      </c>
      <c r="F604" s="134">
        <v>0</v>
      </c>
      <c r="G604" s="135">
        <f t="shared" si="28"/>
        <v>1</v>
      </c>
      <c r="H604" s="136">
        <f t="shared" si="27"/>
        <v>7</v>
      </c>
      <c r="I604" s="137" t="str">
        <f t="shared" si="29"/>
        <v>J</v>
      </c>
    </row>
    <row r="605" spans="4:9" x14ac:dyDescent="0.25">
      <c r="D605" s="133">
        <v>0</v>
      </c>
      <c r="E605" s="134">
        <v>0</v>
      </c>
      <c r="F605" s="134">
        <v>0</v>
      </c>
      <c r="G605" s="135">
        <f t="shared" si="28"/>
        <v>1</v>
      </c>
      <c r="H605" s="136">
        <f t="shared" si="27"/>
        <v>7</v>
      </c>
      <c r="I605" s="137" t="str">
        <f t="shared" si="29"/>
        <v>J</v>
      </c>
    </row>
    <row r="606" spans="4:9" x14ac:dyDescent="0.25">
      <c r="D606" s="133">
        <v>0</v>
      </c>
      <c r="E606" s="134">
        <v>0</v>
      </c>
      <c r="F606" s="134">
        <v>0</v>
      </c>
      <c r="G606" s="135">
        <f t="shared" si="28"/>
        <v>1</v>
      </c>
      <c r="H606" s="136">
        <f t="shared" si="27"/>
        <v>7</v>
      </c>
      <c r="I606" s="137" t="str">
        <f t="shared" si="29"/>
        <v>J</v>
      </c>
    </row>
    <row r="607" spans="4:9" x14ac:dyDescent="0.25">
      <c r="D607" s="133">
        <v>0</v>
      </c>
      <c r="E607" s="134">
        <v>0</v>
      </c>
      <c r="F607" s="134">
        <v>0</v>
      </c>
      <c r="G607" s="135">
        <f t="shared" si="28"/>
        <v>1</v>
      </c>
      <c r="H607" s="136">
        <f t="shared" si="27"/>
        <v>7</v>
      </c>
      <c r="I607" s="137" t="str">
        <f t="shared" si="29"/>
        <v>J</v>
      </c>
    </row>
    <row r="608" spans="4:9" x14ac:dyDescent="0.25">
      <c r="D608" s="133">
        <v>0</v>
      </c>
      <c r="E608" s="134">
        <v>0</v>
      </c>
      <c r="F608" s="134">
        <v>0</v>
      </c>
      <c r="G608" s="135">
        <f t="shared" si="28"/>
        <v>1</v>
      </c>
      <c r="H608" s="136">
        <f t="shared" si="27"/>
        <v>7</v>
      </c>
      <c r="I608" s="137" t="str">
        <f t="shared" si="29"/>
        <v>J</v>
      </c>
    </row>
    <row r="609" spans="4:9" x14ac:dyDescent="0.25">
      <c r="D609" s="133">
        <v>0</v>
      </c>
      <c r="E609" s="134">
        <v>0</v>
      </c>
      <c r="F609" s="134">
        <v>0</v>
      </c>
      <c r="G609" s="135">
        <f t="shared" si="28"/>
        <v>1</v>
      </c>
      <c r="H609" s="136">
        <f t="shared" si="27"/>
        <v>7</v>
      </c>
      <c r="I609" s="137" t="str">
        <f t="shared" si="29"/>
        <v>J</v>
      </c>
    </row>
    <row r="610" spans="4:9" x14ac:dyDescent="0.25">
      <c r="D610" s="133">
        <v>0</v>
      </c>
      <c r="E610" s="134">
        <v>0</v>
      </c>
      <c r="F610" s="134">
        <v>0</v>
      </c>
      <c r="G610" s="135">
        <f t="shared" si="28"/>
        <v>1</v>
      </c>
      <c r="H610" s="136">
        <f t="shared" si="27"/>
        <v>7</v>
      </c>
      <c r="I610" s="137" t="str">
        <f t="shared" si="29"/>
        <v>J</v>
      </c>
    </row>
    <row r="611" spans="4:9" x14ac:dyDescent="0.25">
      <c r="D611" s="133">
        <v>0</v>
      </c>
      <c r="E611" s="134">
        <v>0</v>
      </c>
      <c r="F611" s="134">
        <v>0</v>
      </c>
      <c r="G611" s="135">
        <f t="shared" si="28"/>
        <v>1</v>
      </c>
      <c r="H611" s="136">
        <f t="shared" si="27"/>
        <v>7</v>
      </c>
      <c r="I611" s="137" t="str">
        <f t="shared" si="29"/>
        <v>J</v>
      </c>
    </row>
    <row r="612" spans="4:9" x14ac:dyDescent="0.25">
      <c r="D612" s="133">
        <v>0</v>
      </c>
      <c r="E612" s="134">
        <v>0</v>
      </c>
      <c r="F612" s="134">
        <v>0</v>
      </c>
      <c r="G612" s="135">
        <f t="shared" si="28"/>
        <v>1</v>
      </c>
      <c r="H612" s="136">
        <f t="shared" si="27"/>
        <v>7</v>
      </c>
      <c r="I612" s="137" t="str">
        <f t="shared" si="29"/>
        <v>J</v>
      </c>
    </row>
    <row r="613" spans="4:9" x14ac:dyDescent="0.25">
      <c r="D613" s="133">
        <v>0</v>
      </c>
      <c r="E613" s="134">
        <v>0</v>
      </c>
      <c r="F613" s="134">
        <v>0</v>
      </c>
      <c r="G613" s="135">
        <f t="shared" si="28"/>
        <v>1</v>
      </c>
      <c r="H613" s="136">
        <f t="shared" si="27"/>
        <v>7</v>
      </c>
      <c r="I613" s="137" t="str">
        <f t="shared" si="29"/>
        <v>J</v>
      </c>
    </row>
    <row r="614" spans="4:9" x14ac:dyDescent="0.25">
      <c r="D614" s="133">
        <v>0</v>
      </c>
      <c r="E614" s="134">
        <v>0</v>
      </c>
      <c r="F614" s="134">
        <v>0</v>
      </c>
      <c r="G614" s="135">
        <f t="shared" si="28"/>
        <v>1</v>
      </c>
      <c r="H614" s="136">
        <f t="shared" si="27"/>
        <v>7</v>
      </c>
      <c r="I614" s="137" t="str">
        <f t="shared" si="29"/>
        <v>J</v>
      </c>
    </row>
    <row r="615" spans="4:9" x14ac:dyDescent="0.25">
      <c r="D615" s="133">
        <v>0</v>
      </c>
      <c r="E615" s="134">
        <v>0</v>
      </c>
      <c r="F615" s="134">
        <v>0</v>
      </c>
      <c r="G615" s="135">
        <f t="shared" si="28"/>
        <v>1</v>
      </c>
      <c r="H615" s="136">
        <f t="shared" si="27"/>
        <v>7</v>
      </c>
      <c r="I615" s="137" t="str">
        <f t="shared" si="29"/>
        <v>J</v>
      </c>
    </row>
    <row r="616" spans="4:9" x14ac:dyDescent="0.25">
      <c r="D616" s="133">
        <v>0</v>
      </c>
      <c r="E616" s="134">
        <v>0</v>
      </c>
      <c r="F616" s="134">
        <v>0</v>
      </c>
      <c r="G616" s="135">
        <f t="shared" si="28"/>
        <v>1</v>
      </c>
      <c r="H616" s="136">
        <f t="shared" si="27"/>
        <v>7</v>
      </c>
      <c r="I616" s="137" t="str">
        <f t="shared" si="29"/>
        <v>J</v>
      </c>
    </row>
    <row r="617" spans="4:9" x14ac:dyDescent="0.25">
      <c r="D617" s="133">
        <v>0</v>
      </c>
      <c r="E617" s="134">
        <v>0</v>
      </c>
      <c r="F617" s="134">
        <v>0</v>
      </c>
      <c r="G617" s="135">
        <f t="shared" si="28"/>
        <v>1</v>
      </c>
      <c r="H617" s="136">
        <f t="shared" si="27"/>
        <v>7</v>
      </c>
      <c r="I617" s="137" t="str">
        <f t="shared" si="29"/>
        <v>J</v>
      </c>
    </row>
    <row r="618" spans="4:9" x14ac:dyDescent="0.25">
      <c r="D618" s="133">
        <v>0</v>
      </c>
      <c r="E618" s="134">
        <v>0</v>
      </c>
      <c r="F618" s="134">
        <v>0</v>
      </c>
      <c r="G618" s="135">
        <f t="shared" si="28"/>
        <v>1</v>
      </c>
      <c r="H618" s="136">
        <f t="shared" si="27"/>
        <v>7</v>
      </c>
      <c r="I618" s="137" t="str">
        <f t="shared" si="29"/>
        <v>J</v>
      </c>
    </row>
    <row r="619" spans="4:9" x14ac:dyDescent="0.25">
      <c r="D619" s="133">
        <v>0</v>
      </c>
      <c r="E619" s="134">
        <v>0</v>
      </c>
      <c r="F619" s="134">
        <v>0</v>
      </c>
      <c r="G619" s="135">
        <f t="shared" si="28"/>
        <v>1</v>
      </c>
      <c r="H619" s="136">
        <f t="shared" si="27"/>
        <v>7</v>
      </c>
      <c r="I619" s="137" t="str">
        <f t="shared" si="29"/>
        <v>J</v>
      </c>
    </row>
    <row r="620" spans="4:9" x14ac:dyDescent="0.25">
      <c r="D620" s="133">
        <v>0</v>
      </c>
      <c r="E620" s="134">
        <v>0</v>
      </c>
      <c r="F620" s="134">
        <v>0</v>
      </c>
      <c r="G620" s="135">
        <f t="shared" si="28"/>
        <v>1</v>
      </c>
      <c r="H620" s="136">
        <f t="shared" si="27"/>
        <v>7</v>
      </c>
      <c r="I620" s="137" t="str">
        <f t="shared" si="29"/>
        <v>J</v>
      </c>
    </row>
    <row r="621" spans="4:9" x14ac:dyDescent="0.25">
      <c r="D621" s="133">
        <v>0</v>
      </c>
      <c r="E621" s="134">
        <v>0</v>
      </c>
      <c r="F621" s="134">
        <v>0</v>
      </c>
      <c r="G621" s="135">
        <f t="shared" si="28"/>
        <v>1</v>
      </c>
      <c r="H621" s="136">
        <f t="shared" si="27"/>
        <v>7</v>
      </c>
      <c r="I621" s="137" t="str">
        <f t="shared" si="29"/>
        <v>J</v>
      </c>
    </row>
    <row r="622" spans="4:9" x14ac:dyDescent="0.25">
      <c r="D622" s="133">
        <v>0</v>
      </c>
      <c r="E622" s="134">
        <v>0</v>
      </c>
      <c r="F622" s="134">
        <v>0</v>
      </c>
      <c r="G622" s="135">
        <f t="shared" si="28"/>
        <v>1</v>
      </c>
      <c r="H622" s="136">
        <f t="shared" si="27"/>
        <v>7</v>
      </c>
      <c r="I622" s="137" t="str">
        <f t="shared" si="29"/>
        <v>J</v>
      </c>
    </row>
    <row r="623" spans="4:9" x14ac:dyDescent="0.25">
      <c r="D623" s="133">
        <v>0</v>
      </c>
      <c r="E623" s="134">
        <v>0</v>
      </c>
      <c r="F623" s="134">
        <v>0</v>
      </c>
      <c r="G623" s="135">
        <f t="shared" si="28"/>
        <v>1</v>
      </c>
      <c r="H623" s="136">
        <f t="shared" si="27"/>
        <v>7</v>
      </c>
      <c r="I623" s="137" t="str">
        <f t="shared" si="29"/>
        <v>J</v>
      </c>
    </row>
    <row r="624" spans="4:9" x14ac:dyDescent="0.25">
      <c r="D624" s="133">
        <v>0</v>
      </c>
      <c r="E624" s="134">
        <v>0</v>
      </c>
      <c r="F624" s="134">
        <v>0</v>
      </c>
      <c r="G624" s="135">
        <f t="shared" si="28"/>
        <v>1</v>
      </c>
      <c r="H624" s="136">
        <f t="shared" si="27"/>
        <v>7</v>
      </c>
      <c r="I624" s="137" t="str">
        <f t="shared" si="29"/>
        <v>J</v>
      </c>
    </row>
    <row r="625" spans="4:9" x14ac:dyDescent="0.25">
      <c r="D625" s="133">
        <v>0</v>
      </c>
      <c r="E625" s="134">
        <v>0</v>
      </c>
      <c r="F625" s="134">
        <v>0</v>
      </c>
      <c r="G625" s="135">
        <f t="shared" si="28"/>
        <v>1</v>
      </c>
      <c r="H625" s="136">
        <f t="shared" si="27"/>
        <v>7</v>
      </c>
      <c r="I625" s="137" t="str">
        <f t="shared" si="29"/>
        <v>J</v>
      </c>
    </row>
    <row r="626" spans="4:9" x14ac:dyDescent="0.25">
      <c r="D626" s="133">
        <v>0</v>
      </c>
      <c r="E626" s="134">
        <v>0</v>
      </c>
      <c r="F626" s="134">
        <v>0</v>
      </c>
      <c r="G626" s="135">
        <f t="shared" si="28"/>
        <v>1</v>
      </c>
      <c r="H626" s="136">
        <f t="shared" si="27"/>
        <v>7</v>
      </c>
      <c r="I626" s="137" t="str">
        <f t="shared" si="29"/>
        <v>J</v>
      </c>
    </row>
    <row r="627" spans="4:9" x14ac:dyDescent="0.25">
      <c r="D627" s="133">
        <v>0</v>
      </c>
      <c r="E627" s="134">
        <v>0</v>
      </c>
      <c r="F627" s="134">
        <v>0</v>
      </c>
      <c r="G627" s="135">
        <f t="shared" si="28"/>
        <v>1</v>
      </c>
      <c r="H627" s="136">
        <f t="shared" si="27"/>
        <v>7</v>
      </c>
      <c r="I627" s="137" t="str">
        <f t="shared" si="29"/>
        <v>J</v>
      </c>
    </row>
    <row r="628" spans="4:9" x14ac:dyDescent="0.25">
      <c r="D628" s="133">
        <v>0</v>
      </c>
      <c r="E628" s="134">
        <v>0</v>
      </c>
      <c r="F628" s="134">
        <v>0</v>
      </c>
      <c r="G628" s="135">
        <f t="shared" si="28"/>
        <v>1</v>
      </c>
      <c r="H628" s="136">
        <f t="shared" si="27"/>
        <v>7</v>
      </c>
      <c r="I628" s="137" t="str">
        <f t="shared" si="29"/>
        <v>J</v>
      </c>
    </row>
    <row r="629" spans="4:9" x14ac:dyDescent="0.25">
      <c r="D629" s="133">
        <v>0</v>
      </c>
      <c r="E629" s="134">
        <v>0</v>
      </c>
      <c r="F629" s="134">
        <v>0</v>
      </c>
      <c r="G629" s="135">
        <f t="shared" si="28"/>
        <v>1</v>
      </c>
      <c r="H629" s="136">
        <f t="shared" si="27"/>
        <v>7</v>
      </c>
      <c r="I629" s="137" t="str">
        <f t="shared" si="29"/>
        <v>J</v>
      </c>
    </row>
    <row r="630" spans="4:9" x14ac:dyDescent="0.25">
      <c r="D630" s="133">
        <v>0</v>
      </c>
      <c r="E630" s="134">
        <v>0</v>
      </c>
      <c r="F630" s="134">
        <v>0</v>
      </c>
      <c r="G630" s="135">
        <f t="shared" si="28"/>
        <v>1</v>
      </c>
      <c r="H630" s="136">
        <f t="shared" si="27"/>
        <v>7</v>
      </c>
      <c r="I630" s="137" t="str">
        <f t="shared" si="29"/>
        <v>J</v>
      </c>
    </row>
    <row r="631" spans="4:9" x14ac:dyDescent="0.25">
      <c r="D631" s="133">
        <v>0</v>
      </c>
      <c r="E631" s="134">
        <v>0</v>
      </c>
      <c r="F631" s="134">
        <v>0</v>
      </c>
      <c r="G631" s="135">
        <f t="shared" si="28"/>
        <v>1</v>
      </c>
      <c r="H631" s="136">
        <f t="shared" si="27"/>
        <v>7</v>
      </c>
      <c r="I631" s="137" t="str">
        <f t="shared" si="29"/>
        <v>J</v>
      </c>
    </row>
    <row r="632" spans="4:9" x14ac:dyDescent="0.25">
      <c r="D632" s="133">
        <v>0</v>
      </c>
      <c r="E632" s="134">
        <v>0</v>
      </c>
      <c r="F632" s="134">
        <v>0</v>
      </c>
      <c r="G632" s="135">
        <f t="shared" si="28"/>
        <v>1</v>
      </c>
      <c r="H632" s="136">
        <f t="shared" si="27"/>
        <v>7</v>
      </c>
      <c r="I632" s="137" t="str">
        <f t="shared" si="29"/>
        <v>J</v>
      </c>
    </row>
    <row r="633" spans="4:9" x14ac:dyDescent="0.25">
      <c r="D633" s="133">
        <v>0</v>
      </c>
      <c r="E633" s="134">
        <v>0</v>
      </c>
      <c r="F633" s="134">
        <v>0</v>
      </c>
      <c r="G633" s="135">
        <f t="shared" si="28"/>
        <v>1</v>
      </c>
      <c r="H633" s="136">
        <f t="shared" si="27"/>
        <v>7</v>
      </c>
      <c r="I633" s="137" t="str">
        <f t="shared" si="29"/>
        <v>J</v>
      </c>
    </row>
    <row r="634" spans="4:9" x14ac:dyDescent="0.25">
      <c r="D634" s="133">
        <v>0</v>
      </c>
      <c r="E634" s="134">
        <v>0</v>
      </c>
      <c r="F634" s="134">
        <v>0</v>
      </c>
      <c r="G634" s="135">
        <f t="shared" si="28"/>
        <v>1</v>
      </c>
      <c r="H634" s="136">
        <f t="shared" si="27"/>
        <v>7</v>
      </c>
      <c r="I634" s="137" t="str">
        <f t="shared" si="29"/>
        <v>J</v>
      </c>
    </row>
    <row r="635" spans="4:9" x14ac:dyDescent="0.25">
      <c r="D635" s="133">
        <v>0</v>
      </c>
      <c r="E635" s="134">
        <v>0</v>
      </c>
      <c r="F635" s="134">
        <v>0</v>
      </c>
      <c r="G635" s="135">
        <f t="shared" si="28"/>
        <v>1</v>
      </c>
      <c r="H635" s="136">
        <f t="shared" si="27"/>
        <v>7</v>
      </c>
      <c r="I635" s="137" t="str">
        <f t="shared" si="29"/>
        <v>J</v>
      </c>
    </row>
    <row r="636" spans="4:9" x14ac:dyDescent="0.25">
      <c r="D636" s="133">
        <v>0</v>
      </c>
      <c r="E636" s="134">
        <v>0</v>
      </c>
      <c r="F636" s="134">
        <v>0</v>
      </c>
      <c r="G636" s="135">
        <f t="shared" si="28"/>
        <v>1</v>
      </c>
      <c r="H636" s="136">
        <f t="shared" si="27"/>
        <v>7</v>
      </c>
      <c r="I636" s="137" t="str">
        <f t="shared" si="29"/>
        <v>J</v>
      </c>
    </row>
    <row r="637" spans="4:9" x14ac:dyDescent="0.25">
      <c r="D637" s="133">
        <v>0</v>
      </c>
      <c r="E637" s="134">
        <v>0</v>
      </c>
      <c r="F637" s="134">
        <v>0</v>
      </c>
      <c r="G637" s="135">
        <f t="shared" si="28"/>
        <v>1</v>
      </c>
      <c r="H637" s="136">
        <f t="shared" si="27"/>
        <v>7</v>
      </c>
      <c r="I637" s="137" t="str">
        <f t="shared" si="29"/>
        <v>J</v>
      </c>
    </row>
    <row r="638" spans="4:9" x14ac:dyDescent="0.25">
      <c r="D638" s="133">
        <v>0</v>
      </c>
      <c r="E638" s="134">
        <v>0</v>
      </c>
      <c r="F638" s="134">
        <v>0</v>
      </c>
      <c r="G638" s="135">
        <f t="shared" si="28"/>
        <v>1</v>
      </c>
      <c r="H638" s="136">
        <f t="shared" si="27"/>
        <v>7</v>
      </c>
      <c r="I638" s="137" t="str">
        <f t="shared" si="29"/>
        <v>J</v>
      </c>
    </row>
    <row r="639" spans="4:9" x14ac:dyDescent="0.25">
      <c r="D639" s="133">
        <v>0</v>
      </c>
      <c r="E639" s="134">
        <v>0</v>
      </c>
      <c r="F639" s="134">
        <v>0</v>
      </c>
      <c r="G639" s="135">
        <f t="shared" si="28"/>
        <v>1</v>
      </c>
      <c r="H639" s="136">
        <f t="shared" si="27"/>
        <v>7</v>
      </c>
      <c r="I639" s="137" t="str">
        <f t="shared" si="29"/>
        <v>J</v>
      </c>
    </row>
    <row r="640" spans="4:9" x14ac:dyDescent="0.25">
      <c r="D640" s="133">
        <v>0</v>
      </c>
      <c r="E640" s="134">
        <v>0</v>
      </c>
      <c r="F640" s="134">
        <v>0</v>
      </c>
      <c r="G640" s="135">
        <f t="shared" si="28"/>
        <v>1</v>
      </c>
      <c r="H640" s="136">
        <f t="shared" si="27"/>
        <v>7</v>
      </c>
      <c r="I640" s="137" t="str">
        <f t="shared" si="29"/>
        <v>J</v>
      </c>
    </row>
    <row r="641" spans="4:9" x14ac:dyDescent="0.25">
      <c r="D641" s="133">
        <v>0</v>
      </c>
      <c r="E641" s="134">
        <v>0</v>
      </c>
      <c r="F641" s="134">
        <v>0</v>
      </c>
      <c r="G641" s="135">
        <f t="shared" si="28"/>
        <v>1</v>
      </c>
      <c r="H641" s="136">
        <f t="shared" si="27"/>
        <v>7</v>
      </c>
      <c r="I641" s="137" t="str">
        <f t="shared" si="29"/>
        <v>J</v>
      </c>
    </row>
    <row r="642" spans="4:9" x14ac:dyDescent="0.25">
      <c r="D642" s="133">
        <v>0</v>
      </c>
      <c r="E642" s="134">
        <v>0</v>
      </c>
      <c r="F642" s="134">
        <v>0</v>
      </c>
      <c r="G642" s="135">
        <f t="shared" si="28"/>
        <v>1</v>
      </c>
      <c r="H642" s="136">
        <f t="shared" ref="H642:H705" si="30">VLOOKUP($G642, $Q$3:$R$12, 2)</f>
        <v>7</v>
      </c>
      <c r="I642" s="137" t="str">
        <f t="shared" si="29"/>
        <v>J</v>
      </c>
    </row>
    <row r="643" spans="4:9" x14ac:dyDescent="0.25">
      <c r="D643" s="133">
        <v>0</v>
      </c>
      <c r="E643" s="134">
        <v>0</v>
      </c>
      <c r="F643" s="134">
        <v>0</v>
      </c>
      <c r="G643" s="135">
        <f t="shared" ref="G643:G706" si="31">(VLOOKUP($D643,$L$3:$O$15,4))+(VLOOKUP($E643,$M$3:$O$15,3))-(VLOOKUP($F643,$N$3:$O$15,2))</f>
        <v>1</v>
      </c>
      <c r="H643" s="136">
        <f t="shared" si="30"/>
        <v>7</v>
      </c>
      <c r="I643" s="137" t="str">
        <f t="shared" ref="I643:I706" si="32">IF(AND((SUM(D643:F643)=0),B643=0), "J", VLOOKUP($H643, $Q$16:$R$25, 2))</f>
        <v>J</v>
      </c>
    </row>
    <row r="644" spans="4:9" x14ac:dyDescent="0.25">
      <c r="D644" s="133">
        <v>0</v>
      </c>
      <c r="E644" s="134">
        <v>0</v>
      </c>
      <c r="F644" s="134">
        <v>0</v>
      </c>
      <c r="G644" s="135">
        <f t="shared" si="31"/>
        <v>1</v>
      </c>
      <c r="H644" s="136">
        <f t="shared" si="30"/>
        <v>7</v>
      </c>
      <c r="I644" s="137" t="str">
        <f t="shared" si="32"/>
        <v>J</v>
      </c>
    </row>
    <row r="645" spans="4:9" x14ac:dyDescent="0.25">
      <c r="D645" s="133">
        <v>0</v>
      </c>
      <c r="E645" s="134">
        <v>0</v>
      </c>
      <c r="F645" s="134">
        <v>0</v>
      </c>
      <c r="G645" s="135">
        <f t="shared" si="31"/>
        <v>1</v>
      </c>
      <c r="H645" s="136">
        <f t="shared" si="30"/>
        <v>7</v>
      </c>
      <c r="I645" s="137" t="str">
        <f t="shared" si="32"/>
        <v>J</v>
      </c>
    </row>
    <row r="646" spans="4:9" x14ac:dyDescent="0.25">
      <c r="D646" s="133">
        <v>0</v>
      </c>
      <c r="E646" s="134">
        <v>0</v>
      </c>
      <c r="F646" s="134">
        <v>0</v>
      </c>
      <c r="G646" s="135">
        <f t="shared" si="31"/>
        <v>1</v>
      </c>
      <c r="H646" s="136">
        <f t="shared" si="30"/>
        <v>7</v>
      </c>
      <c r="I646" s="137" t="str">
        <f t="shared" si="32"/>
        <v>J</v>
      </c>
    </row>
    <row r="647" spans="4:9" x14ac:dyDescent="0.25">
      <c r="D647" s="133">
        <v>0</v>
      </c>
      <c r="E647" s="134">
        <v>0</v>
      </c>
      <c r="F647" s="134">
        <v>0</v>
      </c>
      <c r="G647" s="135">
        <f t="shared" si="31"/>
        <v>1</v>
      </c>
      <c r="H647" s="136">
        <f t="shared" si="30"/>
        <v>7</v>
      </c>
      <c r="I647" s="137" t="str">
        <f t="shared" si="32"/>
        <v>J</v>
      </c>
    </row>
    <row r="648" spans="4:9" x14ac:dyDescent="0.25">
      <c r="D648" s="133">
        <v>0</v>
      </c>
      <c r="E648" s="134">
        <v>0</v>
      </c>
      <c r="F648" s="134">
        <v>0</v>
      </c>
      <c r="G648" s="135">
        <f t="shared" si="31"/>
        <v>1</v>
      </c>
      <c r="H648" s="136">
        <f t="shared" si="30"/>
        <v>7</v>
      </c>
      <c r="I648" s="137" t="str">
        <f t="shared" si="32"/>
        <v>J</v>
      </c>
    </row>
    <row r="649" spans="4:9" x14ac:dyDescent="0.25">
      <c r="D649" s="133">
        <v>0</v>
      </c>
      <c r="E649" s="134">
        <v>0</v>
      </c>
      <c r="F649" s="134">
        <v>0</v>
      </c>
      <c r="G649" s="135">
        <f t="shared" si="31"/>
        <v>1</v>
      </c>
      <c r="H649" s="136">
        <f t="shared" si="30"/>
        <v>7</v>
      </c>
      <c r="I649" s="137" t="str">
        <f t="shared" si="32"/>
        <v>J</v>
      </c>
    </row>
    <row r="650" spans="4:9" x14ac:dyDescent="0.25">
      <c r="D650" s="133">
        <v>0</v>
      </c>
      <c r="E650" s="134">
        <v>0</v>
      </c>
      <c r="F650" s="134">
        <v>0</v>
      </c>
      <c r="G650" s="135">
        <f t="shared" si="31"/>
        <v>1</v>
      </c>
      <c r="H650" s="136">
        <f t="shared" si="30"/>
        <v>7</v>
      </c>
      <c r="I650" s="137" t="str">
        <f t="shared" si="32"/>
        <v>J</v>
      </c>
    </row>
    <row r="651" spans="4:9" x14ac:dyDescent="0.25">
      <c r="D651" s="133">
        <v>0</v>
      </c>
      <c r="E651" s="134">
        <v>0</v>
      </c>
      <c r="F651" s="134">
        <v>0</v>
      </c>
      <c r="G651" s="135">
        <f t="shared" si="31"/>
        <v>1</v>
      </c>
      <c r="H651" s="136">
        <f t="shared" si="30"/>
        <v>7</v>
      </c>
      <c r="I651" s="137" t="str">
        <f t="shared" si="32"/>
        <v>J</v>
      </c>
    </row>
    <row r="652" spans="4:9" x14ac:dyDescent="0.25">
      <c r="D652" s="133">
        <v>0</v>
      </c>
      <c r="E652" s="134">
        <v>0</v>
      </c>
      <c r="F652" s="134">
        <v>0</v>
      </c>
      <c r="G652" s="135">
        <f t="shared" si="31"/>
        <v>1</v>
      </c>
      <c r="H652" s="136">
        <f t="shared" si="30"/>
        <v>7</v>
      </c>
      <c r="I652" s="137" t="str">
        <f t="shared" si="32"/>
        <v>J</v>
      </c>
    </row>
    <row r="653" spans="4:9" x14ac:dyDescent="0.25">
      <c r="D653" s="133">
        <v>0</v>
      </c>
      <c r="E653" s="134">
        <v>0</v>
      </c>
      <c r="F653" s="134">
        <v>0</v>
      </c>
      <c r="G653" s="135">
        <f t="shared" si="31"/>
        <v>1</v>
      </c>
      <c r="H653" s="136">
        <f t="shared" si="30"/>
        <v>7</v>
      </c>
      <c r="I653" s="137" t="str">
        <f t="shared" si="32"/>
        <v>J</v>
      </c>
    </row>
    <row r="654" spans="4:9" x14ac:dyDescent="0.25">
      <c r="D654" s="133">
        <v>0</v>
      </c>
      <c r="E654" s="134">
        <v>0</v>
      </c>
      <c r="F654" s="134">
        <v>0</v>
      </c>
      <c r="G654" s="135">
        <f t="shared" si="31"/>
        <v>1</v>
      </c>
      <c r="H654" s="136">
        <f t="shared" si="30"/>
        <v>7</v>
      </c>
      <c r="I654" s="137" t="str">
        <f t="shared" si="32"/>
        <v>J</v>
      </c>
    </row>
    <row r="655" spans="4:9" x14ac:dyDescent="0.25">
      <c r="D655" s="133">
        <v>0</v>
      </c>
      <c r="E655" s="134">
        <v>0</v>
      </c>
      <c r="F655" s="134">
        <v>0</v>
      </c>
      <c r="G655" s="135">
        <f t="shared" si="31"/>
        <v>1</v>
      </c>
      <c r="H655" s="136">
        <f t="shared" si="30"/>
        <v>7</v>
      </c>
      <c r="I655" s="137" t="str">
        <f t="shared" si="32"/>
        <v>J</v>
      </c>
    </row>
    <row r="656" spans="4:9" x14ac:dyDescent="0.25">
      <c r="D656" s="133">
        <v>0</v>
      </c>
      <c r="E656" s="134">
        <v>0</v>
      </c>
      <c r="F656" s="134">
        <v>0</v>
      </c>
      <c r="G656" s="135">
        <f t="shared" si="31"/>
        <v>1</v>
      </c>
      <c r="H656" s="136">
        <f t="shared" si="30"/>
        <v>7</v>
      </c>
      <c r="I656" s="137" t="str">
        <f t="shared" si="32"/>
        <v>J</v>
      </c>
    </row>
    <row r="657" spans="4:9" x14ac:dyDescent="0.25">
      <c r="D657" s="133">
        <v>0</v>
      </c>
      <c r="E657" s="134">
        <v>0</v>
      </c>
      <c r="F657" s="134">
        <v>0</v>
      </c>
      <c r="G657" s="135">
        <f t="shared" si="31"/>
        <v>1</v>
      </c>
      <c r="H657" s="136">
        <f t="shared" si="30"/>
        <v>7</v>
      </c>
      <c r="I657" s="137" t="str">
        <f t="shared" si="32"/>
        <v>J</v>
      </c>
    </row>
    <row r="658" spans="4:9" x14ac:dyDescent="0.25">
      <c r="D658" s="133">
        <v>0</v>
      </c>
      <c r="E658" s="134">
        <v>0</v>
      </c>
      <c r="F658" s="134">
        <v>0</v>
      </c>
      <c r="G658" s="135">
        <f t="shared" si="31"/>
        <v>1</v>
      </c>
      <c r="H658" s="136">
        <f t="shared" si="30"/>
        <v>7</v>
      </c>
      <c r="I658" s="137" t="str">
        <f t="shared" si="32"/>
        <v>J</v>
      </c>
    </row>
    <row r="659" spans="4:9" x14ac:dyDescent="0.25">
      <c r="D659" s="133">
        <v>0</v>
      </c>
      <c r="E659" s="134">
        <v>0</v>
      </c>
      <c r="F659" s="134">
        <v>0</v>
      </c>
      <c r="G659" s="135">
        <f t="shared" si="31"/>
        <v>1</v>
      </c>
      <c r="H659" s="136">
        <f t="shared" si="30"/>
        <v>7</v>
      </c>
      <c r="I659" s="137" t="str">
        <f t="shared" si="32"/>
        <v>J</v>
      </c>
    </row>
    <row r="660" spans="4:9" x14ac:dyDescent="0.25">
      <c r="D660" s="133">
        <v>0</v>
      </c>
      <c r="E660" s="134">
        <v>0</v>
      </c>
      <c r="F660" s="134">
        <v>0</v>
      </c>
      <c r="G660" s="135">
        <f t="shared" si="31"/>
        <v>1</v>
      </c>
      <c r="H660" s="136">
        <f t="shared" si="30"/>
        <v>7</v>
      </c>
      <c r="I660" s="137" t="str">
        <f t="shared" si="32"/>
        <v>J</v>
      </c>
    </row>
    <row r="661" spans="4:9" x14ac:dyDescent="0.25">
      <c r="D661" s="133">
        <v>0</v>
      </c>
      <c r="E661" s="134">
        <v>0</v>
      </c>
      <c r="F661" s="134">
        <v>0</v>
      </c>
      <c r="G661" s="135">
        <f t="shared" si="31"/>
        <v>1</v>
      </c>
      <c r="H661" s="136">
        <f t="shared" si="30"/>
        <v>7</v>
      </c>
      <c r="I661" s="137" t="str">
        <f t="shared" si="32"/>
        <v>J</v>
      </c>
    </row>
    <row r="662" spans="4:9" x14ac:dyDescent="0.25">
      <c r="D662" s="133">
        <v>0</v>
      </c>
      <c r="E662" s="134">
        <v>0</v>
      </c>
      <c r="F662" s="134">
        <v>0</v>
      </c>
      <c r="G662" s="135">
        <f t="shared" si="31"/>
        <v>1</v>
      </c>
      <c r="H662" s="136">
        <f t="shared" si="30"/>
        <v>7</v>
      </c>
      <c r="I662" s="137" t="str">
        <f t="shared" si="32"/>
        <v>J</v>
      </c>
    </row>
    <row r="663" spans="4:9" x14ac:dyDescent="0.25">
      <c r="D663" s="133">
        <v>0</v>
      </c>
      <c r="E663" s="134">
        <v>0</v>
      </c>
      <c r="F663" s="134">
        <v>0</v>
      </c>
      <c r="G663" s="135">
        <f t="shared" si="31"/>
        <v>1</v>
      </c>
      <c r="H663" s="136">
        <f t="shared" si="30"/>
        <v>7</v>
      </c>
      <c r="I663" s="137" t="str">
        <f t="shared" si="32"/>
        <v>J</v>
      </c>
    </row>
    <row r="664" spans="4:9" x14ac:dyDescent="0.25">
      <c r="D664" s="133">
        <v>0</v>
      </c>
      <c r="E664" s="134">
        <v>0</v>
      </c>
      <c r="F664" s="134">
        <v>0</v>
      </c>
      <c r="G664" s="135">
        <f t="shared" si="31"/>
        <v>1</v>
      </c>
      <c r="H664" s="136">
        <f t="shared" si="30"/>
        <v>7</v>
      </c>
      <c r="I664" s="137" t="str">
        <f t="shared" si="32"/>
        <v>J</v>
      </c>
    </row>
    <row r="665" spans="4:9" x14ac:dyDescent="0.25">
      <c r="D665" s="133">
        <v>0</v>
      </c>
      <c r="E665" s="134">
        <v>0</v>
      </c>
      <c r="F665" s="134">
        <v>0</v>
      </c>
      <c r="G665" s="135">
        <f t="shared" si="31"/>
        <v>1</v>
      </c>
      <c r="H665" s="136">
        <f t="shared" si="30"/>
        <v>7</v>
      </c>
      <c r="I665" s="137" t="str">
        <f t="shared" si="32"/>
        <v>J</v>
      </c>
    </row>
    <row r="666" spans="4:9" x14ac:dyDescent="0.25">
      <c r="D666" s="133">
        <v>0</v>
      </c>
      <c r="E666" s="134">
        <v>0</v>
      </c>
      <c r="F666" s="134">
        <v>0</v>
      </c>
      <c r="G666" s="135">
        <f t="shared" si="31"/>
        <v>1</v>
      </c>
      <c r="H666" s="136">
        <f t="shared" si="30"/>
        <v>7</v>
      </c>
      <c r="I666" s="137" t="str">
        <f t="shared" si="32"/>
        <v>J</v>
      </c>
    </row>
    <row r="667" spans="4:9" x14ac:dyDescent="0.25">
      <c r="D667" s="133">
        <v>0</v>
      </c>
      <c r="E667" s="134">
        <v>0</v>
      </c>
      <c r="F667" s="134">
        <v>0</v>
      </c>
      <c r="G667" s="135">
        <f t="shared" si="31"/>
        <v>1</v>
      </c>
      <c r="H667" s="136">
        <f t="shared" si="30"/>
        <v>7</v>
      </c>
      <c r="I667" s="137" t="str">
        <f t="shared" si="32"/>
        <v>J</v>
      </c>
    </row>
    <row r="668" spans="4:9" x14ac:dyDescent="0.25">
      <c r="D668" s="133">
        <v>0</v>
      </c>
      <c r="E668" s="134">
        <v>0</v>
      </c>
      <c r="F668" s="134">
        <v>0</v>
      </c>
      <c r="G668" s="135">
        <f t="shared" si="31"/>
        <v>1</v>
      </c>
      <c r="H668" s="136">
        <f t="shared" si="30"/>
        <v>7</v>
      </c>
      <c r="I668" s="137" t="str">
        <f t="shared" si="32"/>
        <v>J</v>
      </c>
    </row>
    <row r="669" spans="4:9" x14ac:dyDescent="0.25">
      <c r="D669" s="133">
        <v>0</v>
      </c>
      <c r="E669" s="134">
        <v>0</v>
      </c>
      <c r="F669" s="134">
        <v>0</v>
      </c>
      <c r="G669" s="135">
        <f t="shared" si="31"/>
        <v>1</v>
      </c>
      <c r="H669" s="136">
        <f t="shared" si="30"/>
        <v>7</v>
      </c>
      <c r="I669" s="137" t="str">
        <f t="shared" si="32"/>
        <v>J</v>
      </c>
    </row>
    <row r="670" spans="4:9" x14ac:dyDescent="0.25">
      <c r="D670" s="133">
        <v>0</v>
      </c>
      <c r="E670" s="134">
        <v>0</v>
      </c>
      <c r="F670" s="134">
        <v>0</v>
      </c>
      <c r="G670" s="135">
        <f t="shared" si="31"/>
        <v>1</v>
      </c>
      <c r="H670" s="136">
        <f t="shared" si="30"/>
        <v>7</v>
      </c>
      <c r="I670" s="137" t="str">
        <f t="shared" si="32"/>
        <v>J</v>
      </c>
    </row>
    <row r="671" spans="4:9" x14ac:dyDescent="0.25">
      <c r="D671" s="133">
        <v>0</v>
      </c>
      <c r="E671" s="134">
        <v>0</v>
      </c>
      <c r="F671" s="134">
        <v>0</v>
      </c>
      <c r="G671" s="135">
        <f t="shared" si="31"/>
        <v>1</v>
      </c>
      <c r="H671" s="136">
        <f t="shared" si="30"/>
        <v>7</v>
      </c>
      <c r="I671" s="137" t="str">
        <f t="shared" si="32"/>
        <v>J</v>
      </c>
    </row>
    <row r="672" spans="4:9" x14ac:dyDescent="0.25">
      <c r="D672" s="133">
        <v>0</v>
      </c>
      <c r="E672" s="134">
        <v>0</v>
      </c>
      <c r="F672" s="134">
        <v>0</v>
      </c>
      <c r="G672" s="135">
        <f t="shared" si="31"/>
        <v>1</v>
      </c>
      <c r="H672" s="136">
        <f t="shared" si="30"/>
        <v>7</v>
      </c>
      <c r="I672" s="137" t="str">
        <f t="shared" si="32"/>
        <v>J</v>
      </c>
    </row>
    <row r="673" spans="4:9" x14ac:dyDescent="0.25">
      <c r="D673" s="133">
        <v>0</v>
      </c>
      <c r="E673" s="134">
        <v>0</v>
      </c>
      <c r="F673" s="134">
        <v>0</v>
      </c>
      <c r="G673" s="135">
        <f t="shared" si="31"/>
        <v>1</v>
      </c>
      <c r="H673" s="136">
        <f t="shared" si="30"/>
        <v>7</v>
      </c>
      <c r="I673" s="137" t="str">
        <f t="shared" si="32"/>
        <v>J</v>
      </c>
    </row>
    <row r="674" spans="4:9" x14ac:dyDescent="0.25">
      <c r="D674" s="133">
        <v>0</v>
      </c>
      <c r="E674" s="134">
        <v>0</v>
      </c>
      <c r="F674" s="134">
        <v>0</v>
      </c>
      <c r="G674" s="135">
        <f t="shared" si="31"/>
        <v>1</v>
      </c>
      <c r="H674" s="136">
        <f t="shared" si="30"/>
        <v>7</v>
      </c>
      <c r="I674" s="137" t="str">
        <f t="shared" si="32"/>
        <v>J</v>
      </c>
    </row>
    <row r="675" spans="4:9" x14ac:dyDescent="0.25">
      <c r="D675" s="133">
        <v>0</v>
      </c>
      <c r="E675" s="134">
        <v>0</v>
      </c>
      <c r="F675" s="134">
        <v>0</v>
      </c>
      <c r="G675" s="135">
        <f t="shared" si="31"/>
        <v>1</v>
      </c>
      <c r="H675" s="136">
        <f t="shared" si="30"/>
        <v>7</v>
      </c>
      <c r="I675" s="137" t="str">
        <f t="shared" si="32"/>
        <v>J</v>
      </c>
    </row>
    <row r="676" spans="4:9" x14ac:dyDescent="0.25">
      <c r="D676" s="133">
        <v>0</v>
      </c>
      <c r="E676" s="134">
        <v>0</v>
      </c>
      <c r="F676" s="134">
        <v>0</v>
      </c>
      <c r="G676" s="135">
        <f t="shared" si="31"/>
        <v>1</v>
      </c>
      <c r="H676" s="136">
        <f t="shared" si="30"/>
        <v>7</v>
      </c>
      <c r="I676" s="137" t="str">
        <f t="shared" si="32"/>
        <v>J</v>
      </c>
    </row>
    <row r="677" spans="4:9" x14ac:dyDescent="0.25">
      <c r="D677" s="133">
        <v>0</v>
      </c>
      <c r="E677" s="134">
        <v>0</v>
      </c>
      <c r="F677" s="134">
        <v>0</v>
      </c>
      <c r="G677" s="135">
        <f t="shared" si="31"/>
        <v>1</v>
      </c>
      <c r="H677" s="136">
        <f t="shared" si="30"/>
        <v>7</v>
      </c>
      <c r="I677" s="137" t="str">
        <f t="shared" si="32"/>
        <v>J</v>
      </c>
    </row>
    <row r="678" spans="4:9" x14ac:dyDescent="0.25">
      <c r="D678" s="133">
        <v>0</v>
      </c>
      <c r="E678" s="134">
        <v>0</v>
      </c>
      <c r="F678" s="134">
        <v>0</v>
      </c>
      <c r="G678" s="135">
        <f t="shared" si="31"/>
        <v>1</v>
      </c>
      <c r="H678" s="136">
        <f t="shared" si="30"/>
        <v>7</v>
      </c>
      <c r="I678" s="137" t="str">
        <f t="shared" si="32"/>
        <v>J</v>
      </c>
    </row>
    <row r="679" spans="4:9" x14ac:dyDescent="0.25">
      <c r="D679" s="133">
        <v>0</v>
      </c>
      <c r="E679" s="134">
        <v>0</v>
      </c>
      <c r="F679" s="134">
        <v>0</v>
      </c>
      <c r="G679" s="135">
        <f t="shared" si="31"/>
        <v>1</v>
      </c>
      <c r="H679" s="136">
        <f t="shared" si="30"/>
        <v>7</v>
      </c>
      <c r="I679" s="137" t="str">
        <f t="shared" si="32"/>
        <v>J</v>
      </c>
    </row>
    <row r="680" spans="4:9" x14ac:dyDescent="0.25">
      <c r="D680" s="133">
        <v>0</v>
      </c>
      <c r="E680" s="134">
        <v>0</v>
      </c>
      <c r="F680" s="134">
        <v>0</v>
      </c>
      <c r="G680" s="135">
        <f t="shared" si="31"/>
        <v>1</v>
      </c>
      <c r="H680" s="136">
        <f t="shared" si="30"/>
        <v>7</v>
      </c>
      <c r="I680" s="137" t="str">
        <f t="shared" si="32"/>
        <v>J</v>
      </c>
    </row>
    <row r="681" spans="4:9" x14ac:dyDescent="0.25">
      <c r="D681" s="133">
        <v>0</v>
      </c>
      <c r="E681" s="134">
        <v>0</v>
      </c>
      <c r="F681" s="134">
        <v>0</v>
      </c>
      <c r="G681" s="135">
        <f t="shared" si="31"/>
        <v>1</v>
      </c>
      <c r="H681" s="136">
        <f t="shared" si="30"/>
        <v>7</v>
      </c>
      <c r="I681" s="137" t="str">
        <f t="shared" si="32"/>
        <v>J</v>
      </c>
    </row>
    <row r="682" spans="4:9" x14ac:dyDescent="0.25">
      <c r="D682" s="133">
        <v>0</v>
      </c>
      <c r="E682" s="134">
        <v>0</v>
      </c>
      <c r="F682" s="134">
        <v>0</v>
      </c>
      <c r="G682" s="135">
        <f t="shared" si="31"/>
        <v>1</v>
      </c>
      <c r="H682" s="136">
        <f t="shared" si="30"/>
        <v>7</v>
      </c>
      <c r="I682" s="137" t="str">
        <f t="shared" si="32"/>
        <v>J</v>
      </c>
    </row>
    <row r="683" spans="4:9" x14ac:dyDescent="0.25">
      <c r="D683" s="133">
        <v>0</v>
      </c>
      <c r="E683" s="134">
        <v>0</v>
      </c>
      <c r="F683" s="134">
        <v>0</v>
      </c>
      <c r="G683" s="135">
        <f t="shared" si="31"/>
        <v>1</v>
      </c>
      <c r="H683" s="136">
        <f t="shared" si="30"/>
        <v>7</v>
      </c>
      <c r="I683" s="137" t="str">
        <f t="shared" si="32"/>
        <v>J</v>
      </c>
    </row>
    <row r="684" spans="4:9" x14ac:dyDescent="0.25">
      <c r="D684" s="133">
        <v>0</v>
      </c>
      <c r="E684" s="134">
        <v>0</v>
      </c>
      <c r="F684" s="134">
        <v>0</v>
      </c>
      <c r="G684" s="135">
        <f t="shared" si="31"/>
        <v>1</v>
      </c>
      <c r="H684" s="136">
        <f t="shared" si="30"/>
        <v>7</v>
      </c>
      <c r="I684" s="137" t="str">
        <f t="shared" si="32"/>
        <v>J</v>
      </c>
    </row>
    <row r="685" spans="4:9" x14ac:dyDescent="0.25">
      <c r="D685" s="133">
        <v>0</v>
      </c>
      <c r="E685" s="134">
        <v>0</v>
      </c>
      <c r="F685" s="134">
        <v>0</v>
      </c>
      <c r="G685" s="135">
        <f t="shared" si="31"/>
        <v>1</v>
      </c>
      <c r="H685" s="136">
        <f t="shared" si="30"/>
        <v>7</v>
      </c>
      <c r="I685" s="137" t="str">
        <f t="shared" si="32"/>
        <v>J</v>
      </c>
    </row>
    <row r="686" spans="4:9" x14ac:dyDescent="0.25">
      <c r="D686" s="133">
        <v>0</v>
      </c>
      <c r="E686" s="134">
        <v>0</v>
      </c>
      <c r="F686" s="134">
        <v>0</v>
      </c>
      <c r="G686" s="135">
        <f t="shared" si="31"/>
        <v>1</v>
      </c>
      <c r="H686" s="136">
        <f t="shared" si="30"/>
        <v>7</v>
      </c>
      <c r="I686" s="137" t="str">
        <f t="shared" si="32"/>
        <v>J</v>
      </c>
    </row>
    <row r="687" spans="4:9" x14ac:dyDescent="0.25">
      <c r="D687" s="133">
        <v>0</v>
      </c>
      <c r="E687" s="134">
        <v>0</v>
      </c>
      <c r="F687" s="134">
        <v>0</v>
      </c>
      <c r="G687" s="135">
        <f t="shared" si="31"/>
        <v>1</v>
      </c>
      <c r="H687" s="136">
        <f t="shared" si="30"/>
        <v>7</v>
      </c>
      <c r="I687" s="137" t="str">
        <f t="shared" si="32"/>
        <v>J</v>
      </c>
    </row>
    <row r="688" spans="4:9" x14ac:dyDescent="0.25">
      <c r="D688" s="133">
        <v>0</v>
      </c>
      <c r="E688" s="134">
        <v>0</v>
      </c>
      <c r="F688" s="134">
        <v>0</v>
      </c>
      <c r="G688" s="135">
        <f t="shared" si="31"/>
        <v>1</v>
      </c>
      <c r="H688" s="136">
        <f t="shared" si="30"/>
        <v>7</v>
      </c>
      <c r="I688" s="137" t="str">
        <f t="shared" si="32"/>
        <v>J</v>
      </c>
    </row>
    <row r="689" spans="4:9" x14ac:dyDescent="0.25">
      <c r="D689" s="133">
        <v>0</v>
      </c>
      <c r="E689" s="134">
        <v>0</v>
      </c>
      <c r="F689" s="134">
        <v>0</v>
      </c>
      <c r="G689" s="135">
        <f t="shared" si="31"/>
        <v>1</v>
      </c>
      <c r="H689" s="136">
        <f t="shared" si="30"/>
        <v>7</v>
      </c>
      <c r="I689" s="137" t="str">
        <f t="shared" si="32"/>
        <v>J</v>
      </c>
    </row>
    <row r="690" spans="4:9" x14ac:dyDescent="0.25">
      <c r="D690" s="133">
        <v>0</v>
      </c>
      <c r="E690" s="134">
        <v>0</v>
      </c>
      <c r="F690" s="134">
        <v>0</v>
      </c>
      <c r="G690" s="135">
        <f t="shared" si="31"/>
        <v>1</v>
      </c>
      <c r="H690" s="136">
        <f t="shared" si="30"/>
        <v>7</v>
      </c>
      <c r="I690" s="137" t="str">
        <f t="shared" si="32"/>
        <v>J</v>
      </c>
    </row>
    <row r="691" spans="4:9" x14ac:dyDescent="0.25">
      <c r="D691" s="133">
        <v>0</v>
      </c>
      <c r="E691" s="134">
        <v>0</v>
      </c>
      <c r="F691" s="134">
        <v>0</v>
      </c>
      <c r="G691" s="135">
        <f t="shared" si="31"/>
        <v>1</v>
      </c>
      <c r="H691" s="136">
        <f t="shared" si="30"/>
        <v>7</v>
      </c>
      <c r="I691" s="137" t="str">
        <f t="shared" si="32"/>
        <v>J</v>
      </c>
    </row>
    <row r="692" spans="4:9" x14ac:dyDescent="0.25">
      <c r="D692" s="133">
        <v>0</v>
      </c>
      <c r="E692" s="134">
        <v>0</v>
      </c>
      <c r="F692" s="134">
        <v>0</v>
      </c>
      <c r="G692" s="135">
        <f t="shared" si="31"/>
        <v>1</v>
      </c>
      <c r="H692" s="136">
        <f t="shared" si="30"/>
        <v>7</v>
      </c>
      <c r="I692" s="137" t="str">
        <f t="shared" si="32"/>
        <v>J</v>
      </c>
    </row>
    <row r="693" spans="4:9" x14ac:dyDescent="0.25">
      <c r="D693" s="133">
        <v>0</v>
      </c>
      <c r="E693" s="134">
        <v>0</v>
      </c>
      <c r="F693" s="134">
        <v>0</v>
      </c>
      <c r="G693" s="135">
        <f t="shared" si="31"/>
        <v>1</v>
      </c>
      <c r="H693" s="136">
        <f t="shared" si="30"/>
        <v>7</v>
      </c>
      <c r="I693" s="137" t="str">
        <f t="shared" si="32"/>
        <v>J</v>
      </c>
    </row>
    <row r="694" spans="4:9" x14ac:dyDescent="0.25">
      <c r="D694" s="133">
        <v>0</v>
      </c>
      <c r="E694" s="134">
        <v>0</v>
      </c>
      <c r="F694" s="134">
        <v>0</v>
      </c>
      <c r="G694" s="135">
        <f t="shared" si="31"/>
        <v>1</v>
      </c>
      <c r="H694" s="136">
        <f t="shared" si="30"/>
        <v>7</v>
      </c>
      <c r="I694" s="137" t="str">
        <f t="shared" si="32"/>
        <v>J</v>
      </c>
    </row>
    <row r="695" spans="4:9" x14ac:dyDescent="0.25">
      <c r="D695" s="133">
        <v>0</v>
      </c>
      <c r="E695" s="134">
        <v>0</v>
      </c>
      <c r="F695" s="134">
        <v>0</v>
      </c>
      <c r="G695" s="135">
        <f t="shared" si="31"/>
        <v>1</v>
      </c>
      <c r="H695" s="136">
        <f t="shared" si="30"/>
        <v>7</v>
      </c>
      <c r="I695" s="137" t="str">
        <f t="shared" si="32"/>
        <v>J</v>
      </c>
    </row>
    <row r="696" spans="4:9" x14ac:dyDescent="0.25">
      <c r="D696" s="133">
        <v>0</v>
      </c>
      <c r="E696" s="134">
        <v>0</v>
      </c>
      <c r="F696" s="134">
        <v>0</v>
      </c>
      <c r="G696" s="135">
        <f t="shared" si="31"/>
        <v>1</v>
      </c>
      <c r="H696" s="136">
        <f t="shared" si="30"/>
        <v>7</v>
      </c>
      <c r="I696" s="137" t="str">
        <f t="shared" si="32"/>
        <v>J</v>
      </c>
    </row>
    <row r="697" spans="4:9" x14ac:dyDescent="0.25">
      <c r="D697" s="133">
        <v>0</v>
      </c>
      <c r="E697" s="134">
        <v>0</v>
      </c>
      <c r="F697" s="134">
        <v>0</v>
      </c>
      <c r="G697" s="135">
        <f t="shared" si="31"/>
        <v>1</v>
      </c>
      <c r="H697" s="136">
        <f t="shared" si="30"/>
        <v>7</v>
      </c>
      <c r="I697" s="137" t="str">
        <f t="shared" si="32"/>
        <v>J</v>
      </c>
    </row>
    <row r="698" spans="4:9" x14ac:dyDescent="0.25">
      <c r="D698" s="133">
        <v>0</v>
      </c>
      <c r="E698" s="134">
        <v>0</v>
      </c>
      <c r="F698" s="134">
        <v>0</v>
      </c>
      <c r="G698" s="135">
        <f t="shared" si="31"/>
        <v>1</v>
      </c>
      <c r="H698" s="136">
        <f t="shared" si="30"/>
        <v>7</v>
      </c>
      <c r="I698" s="137" t="str">
        <f t="shared" si="32"/>
        <v>J</v>
      </c>
    </row>
    <row r="699" spans="4:9" x14ac:dyDescent="0.25">
      <c r="D699" s="133">
        <v>0</v>
      </c>
      <c r="E699" s="134">
        <v>0</v>
      </c>
      <c r="F699" s="134">
        <v>0</v>
      </c>
      <c r="G699" s="135">
        <f t="shared" si="31"/>
        <v>1</v>
      </c>
      <c r="H699" s="136">
        <f t="shared" si="30"/>
        <v>7</v>
      </c>
      <c r="I699" s="137" t="str">
        <f t="shared" si="32"/>
        <v>J</v>
      </c>
    </row>
    <row r="700" spans="4:9" x14ac:dyDescent="0.25">
      <c r="D700" s="133">
        <v>0</v>
      </c>
      <c r="E700" s="134">
        <v>0</v>
      </c>
      <c r="F700" s="134">
        <v>0</v>
      </c>
      <c r="G700" s="135">
        <f t="shared" si="31"/>
        <v>1</v>
      </c>
      <c r="H700" s="136">
        <f t="shared" si="30"/>
        <v>7</v>
      </c>
      <c r="I700" s="137" t="str">
        <f t="shared" si="32"/>
        <v>J</v>
      </c>
    </row>
    <row r="701" spans="4:9" x14ac:dyDescent="0.25">
      <c r="D701" s="133">
        <v>0</v>
      </c>
      <c r="E701" s="134">
        <v>0</v>
      </c>
      <c r="F701" s="134">
        <v>0</v>
      </c>
      <c r="G701" s="135">
        <f t="shared" si="31"/>
        <v>1</v>
      </c>
      <c r="H701" s="136">
        <f t="shared" si="30"/>
        <v>7</v>
      </c>
      <c r="I701" s="137" t="str">
        <f t="shared" si="32"/>
        <v>J</v>
      </c>
    </row>
    <row r="702" spans="4:9" x14ac:dyDescent="0.25">
      <c r="D702" s="133">
        <v>0</v>
      </c>
      <c r="E702" s="134">
        <v>0</v>
      </c>
      <c r="F702" s="134">
        <v>0</v>
      </c>
      <c r="G702" s="135">
        <f t="shared" si="31"/>
        <v>1</v>
      </c>
      <c r="H702" s="136">
        <f t="shared" si="30"/>
        <v>7</v>
      </c>
      <c r="I702" s="137" t="str">
        <f t="shared" si="32"/>
        <v>J</v>
      </c>
    </row>
    <row r="703" spans="4:9" x14ac:dyDescent="0.25">
      <c r="D703" s="133">
        <v>0</v>
      </c>
      <c r="E703" s="134">
        <v>0</v>
      </c>
      <c r="F703" s="134">
        <v>0</v>
      </c>
      <c r="G703" s="135">
        <f t="shared" si="31"/>
        <v>1</v>
      </c>
      <c r="H703" s="136">
        <f t="shared" si="30"/>
        <v>7</v>
      </c>
      <c r="I703" s="137" t="str">
        <f t="shared" si="32"/>
        <v>J</v>
      </c>
    </row>
    <row r="704" spans="4:9" x14ac:dyDescent="0.25">
      <c r="D704" s="133">
        <v>0</v>
      </c>
      <c r="E704" s="134">
        <v>0</v>
      </c>
      <c r="F704" s="134">
        <v>0</v>
      </c>
      <c r="G704" s="135">
        <f t="shared" si="31"/>
        <v>1</v>
      </c>
      <c r="H704" s="136">
        <f t="shared" si="30"/>
        <v>7</v>
      </c>
      <c r="I704" s="137" t="str">
        <f t="shared" si="32"/>
        <v>J</v>
      </c>
    </row>
    <row r="705" spans="4:9" x14ac:dyDescent="0.25">
      <c r="D705" s="133">
        <v>0</v>
      </c>
      <c r="E705" s="134">
        <v>0</v>
      </c>
      <c r="F705" s="134">
        <v>0</v>
      </c>
      <c r="G705" s="135">
        <f t="shared" si="31"/>
        <v>1</v>
      </c>
      <c r="H705" s="136">
        <f t="shared" si="30"/>
        <v>7</v>
      </c>
      <c r="I705" s="137" t="str">
        <f t="shared" si="32"/>
        <v>J</v>
      </c>
    </row>
    <row r="706" spans="4:9" x14ac:dyDescent="0.25">
      <c r="D706" s="133">
        <v>0</v>
      </c>
      <c r="E706" s="134">
        <v>0</v>
      </c>
      <c r="F706" s="134">
        <v>0</v>
      </c>
      <c r="G706" s="135">
        <f t="shared" si="31"/>
        <v>1</v>
      </c>
      <c r="H706" s="136">
        <f t="shared" ref="H706:H769" si="33">VLOOKUP($G706, $Q$3:$R$12, 2)</f>
        <v>7</v>
      </c>
      <c r="I706" s="137" t="str">
        <f t="shared" si="32"/>
        <v>J</v>
      </c>
    </row>
    <row r="707" spans="4:9" x14ac:dyDescent="0.25">
      <c r="D707" s="133">
        <v>0</v>
      </c>
      <c r="E707" s="134">
        <v>0</v>
      </c>
      <c r="F707" s="134">
        <v>0</v>
      </c>
      <c r="G707" s="135">
        <f t="shared" ref="G707:G770" si="34">(VLOOKUP($D707,$L$3:$O$15,4))+(VLOOKUP($E707,$M$3:$O$15,3))-(VLOOKUP($F707,$N$3:$O$15,2))</f>
        <v>1</v>
      </c>
      <c r="H707" s="136">
        <f t="shared" si="33"/>
        <v>7</v>
      </c>
      <c r="I707" s="137" t="str">
        <f t="shared" ref="I707:I770" si="35">IF(AND((SUM(D707:F707)=0),B707=0), "J", VLOOKUP($H707, $Q$16:$R$25, 2))</f>
        <v>J</v>
      </c>
    </row>
    <row r="708" spans="4:9" x14ac:dyDescent="0.25">
      <c r="D708" s="133">
        <v>0</v>
      </c>
      <c r="E708" s="134">
        <v>0</v>
      </c>
      <c r="F708" s="134">
        <v>0</v>
      </c>
      <c r="G708" s="135">
        <f t="shared" si="34"/>
        <v>1</v>
      </c>
      <c r="H708" s="136">
        <f t="shared" si="33"/>
        <v>7</v>
      </c>
      <c r="I708" s="137" t="str">
        <f t="shared" si="35"/>
        <v>J</v>
      </c>
    </row>
    <row r="709" spans="4:9" x14ac:dyDescent="0.25">
      <c r="D709" s="133">
        <v>0</v>
      </c>
      <c r="E709" s="134">
        <v>0</v>
      </c>
      <c r="F709" s="134">
        <v>0</v>
      </c>
      <c r="G709" s="135">
        <f t="shared" si="34"/>
        <v>1</v>
      </c>
      <c r="H709" s="136">
        <f t="shared" si="33"/>
        <v>7</v>
      </c>
      <c r="I709" s="137" t="str">
        <f t="shared" si="35"/>
        <v>J</v>
      </c>
    </row>
    <row r="710" spans="4:9" x14ac:dyDescent="0.25">
      <c r="D710" s="133">
        <v>0</v>
      </c>
      <c r="E710" s="134">
        <v>0</v>
      </c>
      <c r="F710" s="134">
        <v>0</v>
      </c>
      <c r="G710" s="135">
        <f t="shared" si="34"/>
        <v>1</v>
      </c>
      <c r="H710" s="136">
        <f t="shared" si="33"/>
        <v>7</v>
      </c>
      <c r="I710" s="137" t="str">
        <f t="shared" si="35"/>
        <v>J</v>
      </c>
    </row>
    <row r="711" spans="4:9" x14ac:dyDescent="0.25">
      <c r="D711" s="133">
        <v>0</v>
      </c>
      <c r="E711" s="134">
        <v>0</v>
      </c>
      <c r="F711" s="134">
        <v>0</v>
      </c>
      <c r="G711" s="135">
        <f t="shared" si="34"/>
        <v>1</v>
      </c>
      <c r="H711" s="136">
        <f t="shared" si="33"/>
        <v>7</v>
      </c>
      <c r="I711" s="137" t="str">
        <f t="shared" si="35"/>
        <v>J</v>
      </c>
    </row>
    <row r="712" spans="4:9" x14ac:dyDescent="0.25">
      <c r="D712" s="133">
        <v>0</v>
      </c>
      <c r="E712" s="134">
        <v>0</v>
      </c>
      <c r="F712" s="134">
        <v>0</v>
      </c>
      <c r="G712" s="135">
        <f t="shared" si="34"/>
        <v>1</v>
      </c>
      <c r="H712" s="136">
        <f t="shared" si="33"/>
        <v>7</v>
      </c>
      <c r="I712" s="137" t="str">
        <f t="shared" si="35"/>
        <v>J</v>
      </c>
    </row>
    <row r="713" spans="4:9" x14ac:dyDescent="0.25">
      <c r="D713" s="133">
        <v>0</v>
      </c>
      <c r="E713" s="134">
        <v>0</v>
      </c>
      <c r="F713" s="134">
        <v>0</v>
      </c>
      <c r="G713" s="135">
        <f t="shared" si="34"/>
        <v>1</v>
      </c>
      <c r="H713" s="136">
        <f t="shared" si="33"/>
        <v>7</v>
      </c>
      <c r="I713" s="137" t="str">
        <f t="shared" si="35"/>
        <v>J</v>
      </c>
    </row>
    <row r="714" spans="4:9" x14ac:dyDescent="0.25">
      <c r="D714" s="133">
        <v>0</v>
      </c>
      <c r="E714" s="134">
        <v>0</v>
      </c>
      <c r="F714" s="134">
        <v>0</v>
      </c>
      <c r="G714" s="135">
        <f t="shared" si="34"/>
        <v>1</v>
      </c>
      <c r="H714" s="136">
        <f t="shared" si="33"/>
        <v>7</v>
      </c>
      <c r="I714" s="137" t="str">
        <f t="shared" si="35"/>
        <v>J</v>
      </c>
    </row>
    <row r="715" spans="4:9" x14ac:dyDescent="0.25">
      <c r="D715" s="133">
        <v>0</v>
      </c>
      <c r="E715" s="134">
        <v>0</v>
      </c>
      <c r="F715" s="134">
        <v>0</v>
      </c>
      <c r="G715" s="135">
        <f t="shared" si="34"/>
        <v>1</v>
      </c>
      <c r="H715" s="136">
        <f t="shared" si="33"/>
        <v>7</v>
      </c>
      <c r="I715" s="137" t="str">
        <f t="shared" si="35"/>
        <v>J</v>
      </c>
    </row>
    <row r="716" spans="4:9" x14ac:dyDescent="0.25">
      <c r="D716" s="133">
        <v>0</v>
      </c>
      <c r="E716" s="134">
        <v>0</v>
      </c>
      <c r="F716" s="134">
        <v>0</v>
      </c>
      <c r="G716" s="135">
        <f t="shared" si="34"/>
        <v>1</v>
      </c>
      <c r="H716" s="136">
        <f t="shared" si="33"/>
        <v>7</v>
      </c>
      <c r="I716" s="137" t="str">
        <f t="shared" si="35"/>
        <v>J</v>
      </c>
    </row>
    <row r="717" spans="4:9" x14ac:dyDescent="0.25">
      <c r="D717" s="133">
        <v>0</v>
      </c>
      <c r="E717" s="134">
        <v>0</v>
      </c>
      <c r="F717" s="134">
        <v>0</v>
      </c>
      <c r="G717" s="135">
        <f t="shared" si="34"/>
        <v>1</v>
      </c>
      <c r="H717" s="136">
        <f t="shared" si="33"/>
        <v>7</v>
      </c>
      <c r="I717" s="137" t="str">
        <f t="shared" si="35"/>
        <v>J</v>
      </c>
    </row>
    <row r="718" spans="4:9" x14ac:dyDescent="0.25">
      <c r="D718" s="133">
        <v>0</v>
      </c>
      <c r="E718" s="134">
        <v>0</v>
      </c>
      <c r="F718" s="134">
        <v>0</v>
      </c>
      <c r="G718" s="135">
        <f t="shared" si="34"/>
        <v>1</v>
      </c>
      <c r="H718" s="136">
        <f t="shared" si="33"/>
        <v>7</v>
      </c>
      <c r="I718" s="137" t="str">
        <f t="shared" si="35"/>
        <v>J</v>
      </c>
    </row>
    <row r="719" spans="4:9" x14ac:dyDescent="0.25">
      <c r="D719" s="133">
        <v>0</v>
      </c>
      <c r="E719" s="134">
        <v>0</v>
      </c>
      <c r="F719" s="134">
        <v>0</v>
      </c>
      <c r="G719" s="135">
        <f t="shared" si="34"/>
        <v>1</v>
      </c>
      <c r="H719" s="136">
        <f t="shared" si="33"/>
        <v>7</v>
      </c>
      <c r="I719" s="137" t="str">
        <f t="shared" si="35"/>
        <v>J</v>
      </c>
    </row>
    <row r="720" spans="4:9" x14ac:dyDescent="0.25">
      <c r="D720" s="133">
        <v>0</v>
      </c>
      <c r="E720" s="134">
        <v>0</v>
      </c>
      <c r="F720" s="134">
        <v>0</v>
      </c>
      <c r="G720" s="135">
        <f t="shared" si="34"/>
        <v>1</v>
      </c>
      <c r="H720" s="136">
        <f t="shared" si="33"/>
        <v>7</v>
      </c>
      <c r="I720" s="137" t="str">
        <f t="shared" si="35"/>
        <v>J</v>
      </c>
    </row>
    <row r="721" spans="4:9" x14ac:dyDescent="0.25">
      <c r="D721" s="133">
        <v>0</v>
      </c>
      <c r="E721" s="134">
        <v>0</v>
      </c>
      <c r="F721" s="134">
        <v>0</v>
      </c>
      <c r="G721" s="135">
        <f t="shared" si="34"/>
        <v>1</v>
      </c>
      <c r="H721" s="136">
        <f t="shared" si="33"/>
        <v>7</v>
      </c>
      <c r="I721" s="137" t="str">
        <f t="shared" si="35"/>
        <v>J</v>
      </c>
    </row>
    <row r="722" spans="4:9" x14ac:dyDescent="0.25">
      <c r="D722" s="133">
        <v>0</v>
      </c>
      <c r="E722" s="134">
        <v>0</v>
      </c>
      <c r="F722" s="134">
        <v>0</v>
      </c>
      <c r="G722" s="135">
        <f t="shared" si="34"/>
        <v>1</v>
      </c>
      <c r="H722" s="136">
        <f t="shared" si="33"/>
        <v>7</v>
      </c>
      <c r="I722" s="137" t="str">
        <f t="shared" si="35"/>
        <v>J</v>
      </c>
    </row>
    <row r="723" spans="4:9" x14ac:dyDescent="0.25">
      <c r="D723" s="133">
        <v>0</v>
      </c>
      <c r="E723" s="134">
        <v>0</v>
      </c>
      <c r="F723" s="134">
        <v>0</v>
      </c>
      <c r="G723" s="135">
        <f t="shared" si="34"/>
        <v>1</v>
      </c>
      <c r="H723" s="136">
        <f t="shared" si="33"/>
        <v>7</v>
      </c>
      <c r="I723" s="137" t="str">
        <f t="shared" si="35"/>
        <v>J</v>
      </c>
    </row>
    <row r="724" spans="4:9" x14ac:dyDescent="0.25">
      <c r="D724" s="133">
        <v>0</v>
      </c>
      <c r="E724" s="134">
        <v>0</v>
      </c>
      <c r="F724" s="134">
        <v>0</v>
      </c>
      <c r="G724" s="135">
        <f t="shared" si="34"/>
        <v>1</v>
      </c>
      <c r="H724" s="136">
        <f t="shared" si="33"/>
        <v>7</v>
      </c>
      <c r="I724" s="137" t="str">
        <f t="shared" si="35"/>
        <v>J</v>
      </c>
    </row>
    <row r="725" spans="4:9" x14ac:dyDescent="0.25">
      <c r="D725" s="133">
        <v>0</v>
      </c>
      <c r="E725" s="134">
        <v>0</v>
      </c>
      <c r="F725" s="134">
        <v>0</v>
      </c>
      <c r="G725" s="135">
        <f t="shared" si="34"/>
        <v>1</v>
      </c>
      <c r="H725" s="136">
        <f t="shared" si="33"/>
        <v>7</v>
      </c>
      <c r="I725" s="137" t="str">
        <f t="shared" si="35"/>
        <v>J</v>
      </c>
    </row>
    <row r="726" spans="4:9" x14ac:dyDescent="0.25">
      <c r="D726" s="133">
        <v>0</v>
      </c>
      <c r="E726" s="134">
        <v>0</v>
      </c>
      <c r="F726" s="134">
        <v>0</v>
      </c>
      <c r="G726" s="135">
        <f t="shared" si="34"/>
        <v>1</v>
      </c>
      <c r="H726" s="136">
        <f t="shared" si="33"/>
        <v>7</v>
      </c>
      <c r="I726" s="137" t="str">
        <f t="shared" si="35"/>
        <v>J</v>
      </c>
    </row>
    <row r="727" spans="4:9" x14ac:dyDescent="0.25">
      <c r="D727" s="133">
        <v>0</v>
      </c>
      <c r="E727" s="134">
        <v>0</v>
      </c>
      <c r="F727" s="134">
        <v>0</v>
      </c>
      <c r="G727" s="135">
        <f t="shared" si="34"/>
        <v>1</v>
      </c>
      <c r="H727" s="136">
        <f t="shared" si="33"/>
        <v>7</v>
      </c>
      <c r="I727" s="137" t="str">
        <f t="shared" si="35"/>
        <v>J</v>
      </c>
    </row>
    <row r="728" spans="4:9" x14ac:dyDescent="0.25">
      <c r="D728" s="133">
        <v>0</v>
      </c>
      <c r="E728" s="134">
        <v>0</v>
      </c>
      <c r="F728" s="134">
        <v>0</v>
      </c>
      <c r="G728" s="135">
        <f t="shared" si="34"/>
        <v>1</v>
      </c>
      <c r="H728" s="136">
        <f t="shared" si="33"/>
        <v>7</v>
      </c>
      <c r="I728" s="137" t="str">
        <f t="shared" si="35"/>
        <v>J</v>
      </c>
    </row>
    <row r="729" spans="4:9" x14ac:dyDescent="0.25">
      <c r="D729" s="133">
        <v>0</v>
      </c>
      <c r="E729" s="134">
        <v>0</v>
      </c>
      <c r="F729" s="134">
        <v>0</v>
      </c>
      <c r="G729" s="135">
        <f t="shared" si="34"/>
        <v>1</v>
      </c>
      <c r="H729" s="136">
        <f t="shared" si="33"/>
        <v>7</v>
      </c>
      <c r="I729" s="137" t="str">
        <f t="shared" si="35"/>
        <v>J</v>
      </c>
    </row>
    <row r="730" spans="4:9" x14ac:dyDescent="0.25">
      <c r="D730" s="133">
        <v>0</v>
      </c>
      <c r="E730" s="134">
        <v>0</v>
      </c>
      <c r="F730" s="134">
        <v>0</v>
      </c>
      <c r="G730" s="135">
        <f t="shared" si="34"/>
        <v>1</v>
      </c>
      <c r="H730" s="136">
        <f t="shared" si="33"/>
        <v>7</v>
      </c>
      <c r="I730" s="137" t="str">
        <f t="shared" si="35"/>
        <v>J</v>
      </c>
    </row>
    <row r="731" spans="4:9" x14ac:dyDescent="0.25">
      <c r="D731" s="133">
        <v>0</v>
      </c>
      <c r="E731" s="134">
        <v>0</v>
      </c>
      <c r="F731" s="134">
        <v>0</v>
      </c>
      <c r="G731" s="135">
        <f t="shared" si="34"/>
        <v>1</v>
      </c>
      <c r="H731" s="136">
        <f t="shared" si="33"/>
        <v>7</v>
      </c>
      <c r="I731" s="137" t="str">
        <f t="shared" si="35"/>
        <v>J</v>
      </c>
    </row>
    <row r="732" spans="4:9" x14ac:dyDescent="0.25">
      <c r="D732" s="133">
        <v>0</v>
      </c>
      <c r="E732" s="134">
        <v>0</v>
      </c>
      <c r="F732" s="134">
        <v>0</v>
      </c>
      <c r="G732" s="135">
        <f t="shared" si="34"/>
        <v>1</v>
      </c>
      <c r="H732" s="136">
        <f t="shared" si="33"/>
        <v>7</v>
      </c>
      <c r="I732" s="137" t="str">
        <f t="shared" si="35"/>
        <v>J</v>
      </c>
    </row>
    <row r="733" spans="4:9" x14ac:dyDescent="0.25">
      <c r="D733" s="133">
        <v>0</v>
      </c>
      <c r="E733" s="134">
        <v>0</v>
      </c>
      <c r="F733" s="134">
        <v>0</v>
      </c>
      <c r="G733" s="135">
        <f t="shared" si="34"/>
        <v>1</v>
      </c>
      <c r="H733" s="136">
        <f t="shared" si="33"/>
        <v>7</v>
      </c>
      <c r="I733" s="137" t="str">
        <f t="shared" si="35"/>
        <v>J</v>
      </c>
    </row>
    <row r="734" spans="4:9" x14ac:dyDescent="0.25">
      <c r="D734" s="133">
        <v>0</v>
      </c>
      <c r="E734" s="134">
        <v>0</v>
      </c>
      <c r="F734" s="134">
        <v>0</v>
      </c>
      <c r="G734" s="135">
        <f t="shared" si="34"/>
        <v>1</v>
      </c>
      <c r="H734" s="136">
        <f t="shared" si="33"/>
        <v>7</v>
      </c>
      <c r="I734" s="137" t="str">
        <f t="shared" si="35"/>
        <v>J</v>
      </c>
    </row>
    <row r="735" spans="4:9" x14ac:dyDescent="0.25">
      <c r="D735" s="133">
        <v>0</v>
      </c>
      <c r="E735" s="134">
        <v>0</v>
      </c>
      <c r="F735" s="134">
        <v>0</v>
      </c>
      <c r="G735" s="135">
        <f t="shared" si="34"/>
        <v>1</v>
      </c>
      <c r="H735" s="136">
        <f t="shared" si="33"/>
        <v>7</v>
      </c>
      <c r="I735" s="137" t="str">
        <f t="shared" si="35"/>
        <v>J</v>
      </c>
    </row>
    <row r="736" spans="4:9" x14ac:dyDescent="0.25">
      <c r="D736" s="133">
        <v>0</v>
      </c>
      <c r="E736" s="134">
        <v>0</v>
      </c>
      <c r="F736" s="134">
        <v>0</v>
      </c>
      <c r="G736" s="135">
        <f t="shared" si="34"/>
        <v>1</v>
      </c>
      <c r="H736" s="136">
        <f t="shared" si="33"/>
        <v>7</v>
      </c>
      <c r="I736" s="137" t="str">
        <f t="shared" si="35"/>
        <v>J</v>
      </c>
    </row>
    <row r="737" spans="4:9" x14ac:dyDescent="0.25">
      <c r="D737" s="133">
        <v>0</v>
      </c>
      <c r="E737" s="134">
        <v>0</v>
      </c>
      <c r="F737" s="134">
        <v>0</v>
      </c>
      <c r="G737" s="135">
        <f t="shared" si="34"/>
        <v>1</v>
      </c>
      <c r="H737" s="136">
        <f t="shared" si="33"/>
        <v>7</v>
      </c>
      <c r="I737" s="137" t="str">
        <f t="shared" si="35"/>
        <v>J</v>
      </c>
    </row>
    <row r="738" spans="4:9" x14ac:dyDescent="0.25">
      <c r="D738" s="133">
        <v>0</v>
      </c>
      <c r="E738" s="134">
        <v>0</v>
      </c>
      <c r="F738" s="134">
        <v>0</v>
      </c>
      <c r="G738" s="135">
        <f t="shared" si="34"/>
        <v>1</v>
      </c>
      <c r="H738" s="136">
        <f t="shared" si="33"/>
        <v>7</v>
      </c>
      <c r="I738" s="137" t="str">
        <f t="shared" si="35"/>
        <v>J</v>
      </c>
    </row>
    <row r="739" spans="4:9" x14ac:dyDescent="0.25">
      <c r="D739" s="133">
        <v>0</v>
      </c>
      <c r="E739" s="134">
        <v>0</v>
      </c>
      <c r="F739" s="134">
        <v>0</v>
      </c>
      <c r="G739" s="135">
        <f t="shared" si="34"/>
        <v>1</v>
      </c>
      <c r="H739" s="136">
        <f t="shared" si="33"/>
        <v>7</v>
      </c>
      <c r="I739" s="137" t="str">
        <f t="shared" si="35"/>
        <v>J</v>
      </c>
    </row>
    <row r="740" spans="4:9" x14ac:dyDescent="0.25">
      <c r="D740" s="133">
        <v>0</v>
      </c>
      <c r="E740" s="134">
        <v>0</v>
      </c>
      <c r="F740" s="134">
        <v>0</v>
      </c>
      <c r="G740" s="135">
        <f t="shared" si="34"/>
        <v>1</v>
      </c>
      <c r="H740" s="136">
        <f t="shared" si="33"/>
        <v>7</v>
      </c>
      <c r="I740" s="137" t="str">
        <f t="shared" si="35"/>
        <v>J</v>
      </c>
    </row>
    <row r="741" spans="4:9" x14ac:dyDescent="0.25">
      <c r="D741" s="133">
        <v>0</v>
      </c>
      <c r="E741" s="134">
        <v>0</v>
      </c>
      <c r="F741" s="134">
        <v>0</v>
      </c>
      <c r="G741" s="135">
        <f t="shared" si="34"/>
        <v>1</v>
      </c>
      <c r="H741" s="136">
        <f t="shared" si="33"/>
        <v>7</v>
      </c>
      <c r="I741" s="137" t="str">
        <f t="shared" si="35"/>
        <v>J</v>
      </c>
    </row>
    <row r="742" spans="4:9" x14ac:dyDescent="0.25">
      <c r="D742" s="133">
        <v>0</v>
      </c>
      <c r="E742" s="134">
        <v>0</v>
      </c>
      <c r="F742" s="134">
        <v>0</v>
      </c>
      <c r="G742" s="135">
        <f t="shared" si="34"/>
        <v>1</v>
      </c>
      <c r="H742" s="136">
        <f t="shared" si="33"/>
        <v>7</v>
      </c>
      <c r="I742" s="137" t="str">
        <f t="shared" si="35"/>
        <v>J</v>
      </c>
    </row>
    <row r="743" spans="4:9" x14ac:dyDescent="0.25">
      <c r="D743" s="133">
        <v>0</v>
      </c>
      <c r="E743" s="134">
        <v>0</v>
      </c>
      <c r="F743" s="134">
        <v>0</v>
      </c>
      <c r="G743" s="135">
        <f t="shared" si="34"/>
        <v>1</v>
      </c>
      <c r="H743" s="136">
        <f t="shared" si="33"/>
        <v>7</v>
      </c>
      <c r="I743" s="137" t="str">
        <f t="shared" si="35"/>
        <v>J</v>
      </c>
    </row>
    <row r="744" spans="4:9" x14ac:dyDescent="0.25">
      <c r="D744" s="133">
        <v>0</v>
      </c>
      <c r="E744" s="134">
        <v>0</v>
      </c>
      <c r="F744" s="134">
        <v>0</v>
      </c>
      <c r="G744" s="135">
        <f t="shared" si="34"/>
        <v>1</v>
      </c>
      <c r="H744" s="136">
        <f t="shared" si="33"/>
        <v>7</v>
      </c>
      <c r="I744" s="137" t="str">
        <f t="shared" si="35"/>
        <v>J</v>
      </c>
    </row>
    <row r="745" spans="4:9" x14ac:dyDescent="0.25">
      <c r="D745" s="133">
        <v>0</v>
      </c>
      <c r="E745" s="134">
        <v>0</v>
      </c>
      <c r="F745" s="134">
        <v>0</v>
      </c>
      <c r="G745" s="135">
        <f t="shared" si="34"/>
        <v>1</v>
      </c>
      <c r="H745" s="136">
        <f t="shared" si="33"/>
        <v>7</v>
      </c>
      <c r="I745" s="137" t="str">
        <f t="shared" si="35"/>
        <v>J</v>
      </c>
    </row>
    <row r="746" spans="4:9" x14ac:dyDescent="0.25">
      <c r="D746" s="133">
        <v>0</v>
      </c>
      <c r="E746" s="134">
        <v>0</v>
      </c>
      <c r="F746" s="134">
        <v>0</v>
      </c>
      <c r="G746" s="135">
        <f t="shared" si="34"/>
        <v>1</v>
      </c>
      <c r="H746" s="136">
        <f t="shared" si="33"/>
        <v>7</v>
      </c>
      <c r="I746" s="137" t="str">
        <f t="shared" si="35"/>
        <v>J</v>
      </c>
    </row>
    <row r="747" spans="4:9" x14ac:dyDescent="0.25">
      <c r="D747" s="133">
        <v>0</v>
      </c>
      <c r="E747" s="134">
        <v>0</v>
      </c>
      <c r="F747" s="134">
        <v>0</v>
      </c>
      <c r="G747" s="135">
        <f t="shared" si="34"/>
        <v>1</v>
      </c>
      <c r="H747" s="136">
        <f t="shared" si="33"/>
        <v>7</v>
      </c>
      <c r="I747" s="137" t="str">
        <f t="shared" si="35"/>
        <v>J</v>
      </c>
    </row>
    <row r="748" spans="4:9" x14ac:dyDescent="0.25">
      <c r="D748" s="133">
        <v>0</v>
      </c>
      <c r="E748" s="134">
        <v>0</v>
      </c>
      <c r="F748" s="134">
        <v>0</v>
      </c>
      <c r="G748" s="135">
        <f t="shared" si="34"/>
        <v>1</v>
      </c>
      <c r="H748" s="136">
        <f t="shared" si="33"/>
        <v>7</v>
      </c>
      <c r="I748" s="137" t="str">
        <f t="shared" si="35"/>
        <v>J</v>
      </c>
    </row>
    <row r="749" spans="4:9" x14ac:dyDescent="0.25">
      <c r="D749" s="133">
        <v>0</v>
      </c>
      <c r="E749" s="134">
        <v>0</v>
      </c>
      <c r="F749" s="134">
        <v>0</v>
      </c>
      <c r="G749" s="135">
        <f t="shared" si="34"/>
        <v>1</v>
      </c>
      <c r="H749" s="136">
        <f t="shared" si="33"/>
        <v>7</v>
      </c>
      <c r="I749" s="137" t="str">
        <f t="shared" si="35"/>
        <v>J</v>
      </c>
    </row>
    <row r="750" spans="4:9" x14ac:dyDescent="0.25">
      <c r="D750" s="133">
        <v>0</v>
      </c>
      <c r="E750" s="134">
        <v>0</v>
      </c>
      <c r="F750" s="134">
        <v>0</v>
      </c>
      <c r="G750" s="135">
        <f t="shared" si="34"/>
        <v>1</v>
      </c>
      <c r="H750" s="136">
        <f t="shared" si="33"/>
        <v>7</v>
      </c>
      <c r="I750" s="137" t="str">
        <f t="shared" si="35"/>
        <v>J</v>
      </c>
    </row>
    <row r="751" spans="4:9" x14ac:dyDescent="0.25">
      <c r="D751" s="133">
        <v>0</v>
      </c>
      <c r="E751" s="134">
        <v>0</v>
      </c>
      <c r="F751" s="134">
        <v>0</v>
      </c>
      <c r="G751" s="135">
        <f t="shared" si="34"/>
        <v>1</v>
      </c>
      <c r="H751" s="136">
        <f t="shared" si="33"/>
        <v>7</v>
      </c>
      <c r="I751" s="137" t="str">
        <f t="shared" si="35"/>
        <v>J</v>
      </c>
    </row>
    <row r="752" spans="4:9" x14ac:dyDescent="0.25">
      <c r="D752" s="133">
        <v>0</v>
      </c>
      <c r="E752" s="134">
        <v>0</v>
      </c>
      <c r="F752" s="134">
        <v>0</v>
      </c>
      <c r="G752" s="135">
        <f t="shared" si="34"/>
        <v>1</v>
      </c>
      <c r="H752" s="136">
        <f t="shared" si="33"/>
        <v>7</v>
      </c>
      <c r="I752" s="137" t="str">
        <f t="shared" si="35"/>
        <v>J</v>
      </c>
    </row>
    <row r="753" spans="4:9" x14ac:dyDescent="0.25">
      <c r="D753" s="133">
        <v>0</v>
      </c>
      <c r="E753" s="134">
        <v>0</v>
      </c>
      <c r="F753" s="134">
        <v>0</v>
      </c>
      <c r="G753" s="135">
        <f t="shared" si="34"/>
        <v>1</v>
      </c>
      <c r="H753" s="136">
        <f t="shared" si="33"/>
        <v>7</v>
      </c>
      <c r="I753" s="137" t="str">
        <f t="shared" si="35"/>
        <v>J</v>
      </c>
    </row>
    <row r="754" spans="4:9" x14ac:dyDescent="0.25">
      <c r="D754" s="133">
        <v>0</v>
      </c>
      <c r="E754" s="134">
        <v>0</v>
      </c>
      <c r="F754" s="134">
        <v>0</v>
      </c>
      <c r="G754" s="135">
        <f t="shared" si="34"/>
        <v>1</v>
      </c>
      <c r="H754" s="136">
        <f t="shared" si="33"/>
        <v>7</v>
      </c>
      <c r="I754" s="137" t="str">
        <f t="shared" si="35"/>
        <v>J</v>
      </c>
    </row>
    <row r="755" spans="4:9" x14ac:dyDescent="0.25">
      <c r="D755" s="133">
        <v>0</v>
      </c>
      <c r="E755" s="134">
        <v>0</v>
      </c>
      <c r="F755" s="134">
        <v>0</v>
      </c>
      <c r="G755" s="135">
        <f t="shared" si="34"/>
        <v>1</v>
      </c>
      <c r="H755" s="136">
        <f t="shared" si="33"/>
        <v>7</v>
      </c>
      <c r="I755" s="137" t="str">
        <f t="shared" si="35"/>
        <v>J</v>
      </c>
    </row>
    <row r="756" spans="4:9" x14ac:dyDescent="0.25">
      <c r="D756" s="133">
        <v>0</v>
      </c>
      <c r="E756" s="134">
        <v>0</v>
      </c>
      <c r="F756" s="134">
        <v>0</v>
      </c>
      <c r="G756" s="135">
        <f t="shared" si="34"/>
        <v>1</v>
      </c>
      <c r="H756" s="136">
        <f t="shared" si="33"/>
        <v>7</v>
      </c>
      <c r="I756" s="137" t="str">
        <f t="shared" si="35"/>
        <v>J</v>
      </c>
    </row>
    <row r="757" spans="4:9" x14ac:dyDescent="0.25">
      <c r="D757" s="133">
        <v>0</v>
      </c>
      <c r="E757" s="134">
        <v>0</v>
      </c>
      <c r="F757" s="134">
        <v>0</v>
      </c>
      <c r="G757" s="135">
        <f t="shared" si="34"/>
        <v>1</v>
      </c>
      <c r="H757" s="136">
        <f t="shared" si="33"/>
        <v>7</v>
      </c>
      <c r="I757" s="137" t="str">
        <f t="shared" si="35"/>
        <v>J</v>
      </c>
    </row>
    <row r="758" spans="4:9" x14ac:dyDescent="0.25">
      <c r="D758" s="133">
        <v>0</v>
      </c>
      <c r="E758" s="134">
        <v>0</v>
      </c>
      <c r="F758" s="134">
        <v>0</v>
      </c>
      <c r="G758" s="135">
        <f t="shared" si="34"/>
        <v>1</v>
      </c>
      <c r="H758" s="136">
        <f t="shared" si="33"/>
        <v>7</v>
      </c>
      <c r="I758" s="137" t="str">
        <f t="shared" si="35"/>
        <v>J</v>
      </c>
    </row>
    <row r="759" spans="4:9" x14ac:dyDescent="0.25">
      <c r="D759" s="133">
        <v>0</v>
      </c>
      <c r="E759" s="134">
        <v>0</v>
      </c>
      <c r="F759" s="134">
        <v>0</v>
      </c>
      <c r="G759" s="135">
        <f t="shared" si="34"/>
        <v>1</v>
      </c>
      <c r="H759" s="136">
        <f t="shared" si="33"/>
        <v>7</v>
      </c>
      <c r="I759" s="137" t="str">
        <f t="shared" si="35"/>
        <v>J</v>
      </c>
    </row>
    <row r="760" spans="4:9" x14ac:dyDescent="0.25">
      <c r="D760" s="133">
        <v>0</v>
      </c>
      <c r="E760" s="134">
        <v>0</v>
      </c>
      <c r="F760" s="134">
        <v>0</v>
      </c>
      <c r="G760" s="135">
        <f t="shared" si="34"/>
        <v>1</v>
      </c>
      <c r="H760" s="136">
        <f t="shared" si="33"/>
        <v>7</v>
      </c>
      <c r="I760" s="137" t="str">
        <f t="shared" si="35"/>
        <v>J</v>
      </c>
    </row>
    <row r="761" spans="4:9" x14ac:dyDescent="0.25">
      <c r="D761" s="133">
        <v>0</v>
      </c>
      <c r="E761" s="134">
        <v>0</v>
      </c>
      <c r="F761" s="134">
        <v>0</v>
      </c>
      <c r="G761" s="135">
        <f t="shared" si="34"/>
        <v>1</v>
      </c>
      <c r="H761" s="136">
        <f t="shared" si="33"/>
        <v>7</v>
      </c>
      <c r="I761" s="137" t="str">
        <f t="shared" si="35"/>
        <v>J</v>
      </c>
    </row>
    <row r="762" spans="4:9" x14ac:dyDescent="0.25">
      <c r="D762" s="133">
        <v>0</v>
      </c>
      <c r="E762" s="134">
        <v>0</v>
      </c>
      <c r="F762" s="134">
        <v>0</v>
      </c>
      <c r="G762" s="135">
        <f t="shared" si="34"/>
        <v>1</v>
      </c>
      <c r="H762" s="136">
        <f t="shared" si="33"/>
        <v>7</v>
      </c>
      <c r="I762" s="137" t="str">
        <f t="shared" si="35"/>
        <v>J</v>
      </c>
    </row>
    <row r="763" spans="4:9" x14ac:dyDescent="0.25">
      <c r="D763" s="133">
        <v>0</v>
      </c>
      <c r="E763" s="134">
        <v>0</v>
      </c>
      <c r="F763" s="134">
        <v>0</v>
      </c>
      <c r="G763" s="135">
        <f t="shared" si="34"/>
        <v>1</v>
      </c>
      <c r="H763" s="136">
        <f t="shared" si="33"/>
        <v>7</v>
      </c>
      <c r="I763" s="137" t="str">
        <f t="shared" si="35"/>
        <v>J</v>
      </c>
    </row>
    <row r="764" spans="4:9" x14ac:dyDescent="0.25">
      <c r="D764" s="133">
        <v>0</v>
      </c>
      <c r="E764" s="134">
        <v>0</v>
      </c>
      <c r="F764" s="134">
        <v>0</v>
      </c>
      <c r="G764" s="135">
        <f t="shared" si="34"/>
        <v>1</v>
      </c>
      <c r="H764" s="136">
        <f t="shared" si="33"/>
        <v>7</v>
      </c>
      <c r="I764" s="137" t="str">
        <f t="shared" si="35"/>
        <v>J</v>
      </c>
    </row>
    <row r="765" spans="4:9" x14ac:dyDescent="0.25">
      <c r="D765" s="133">
        <v>0</v>
      </c>
      <c r="E765" s="134">
        <v>0</v>
      </c>
      <c r="F765" s="134">
        <v>0</v>
      </c>
      <c r="G765" s="135">
        <f t="shared" si="34"/>
        <v>1</v>
      </c>
      <c r="H765" s="136">
        <f t="shared" si="33"/>
        <v>7</v>
      </c>
      <c r="I765" s="137" t="str">
        <f t="shared" si="35"/>
        <v>J</v>
      </c>
    </row>
    <row r="766" spans="4:9" x14ac:dyDescent="0.25">
      <c r="D766" s="133">
        <v>0</v>
      </c>
      <c r="E766" s="134">
        <v>0</v>
      </c>
      <c r="F766" s="134">
        <v>0</v>
      </c>
      <c r="G766" s="135">
        <f t="shared" si="34"/>
        <v>1</v>
      </c>
      <c r="H766" s="136">
        <f t="shared" si="33"/>
        <v>7</v>
      </c>
      <c r="I766" s="137" t="str">
        <f t="shared" si="35"/>
        <v>J</v>
      </c>
    </row>
    <row r="767" spans="4:9" x14ac:dyDescent="0.25">
      <c r="D767" s="133">
        <v>0</v>
      </c>
      <c r="E767" s="134">
        <v>0</v>
      </c>
      <c r="F767" s="134">
        <v>0</v>
      </c>
      <c r="G767" s="135">
        <f t="shared" si="34"/>
        <v>1</v>
      </c>
      <c r="H767" s="136">
        <f t="shared" si="33"/>
        <v>7</v>
      </c>
      <c r="I767" s="137" t="str">
        <f t="shared" si="35"/>
        <v>J</v>
      </c>
    </row>
    <row r="768" spans="4:9" x14ac:dyDescent="0.25">
      <c r="D768" s="133">
        <v>0</v>
      </c>
      <c r="E768" s="134">
        <v>0</v>
      </c>
      <c r="F768" s="134">
        <v>0</v>
      </c>
      <c r="G768" s="135">
        <f t="shared" si="34"/>
        <v>1</v>
      </c>
      <c r="H768" s="136">
        <f t="shared" si="33"/>
        <v>7</v>
      </c>
      <c r="I768" s="137" t="str">
        <f t="shared" si="35"/>
        <v>J</v>
      </c>
    </row>
    <row r="769" spans="4:9" x14ac:dyDescent="0.25">
      <c r="D769" s="133">
        <v>0</v>
      </c>
      <c r="E769" s="134">
        <v>0</v>
      </c>
      <c r="F769" s="134">
        <v>0</v>
      </c>
      <c r="G769" s="135">
        <f t="shared" si="34"/>
        <v>1</v>
      </c>
      <c r="H769" s="136">
        <f t="shared" si="33"/>
        <v>7</v>
      </c>
      <c r="I769" s="137" t="str">
        <f t="shared" si="35"/>
        <v>J</v>
      </c>
    </row>
    <row r="770" spans="4:9" x14ac:dyDescent="0.25">
      <c r="D770" s="133">
        <v>0</v>
      </c>
      <c r="E770" s="134">
        <v>0</v>
      </c>
      <c r="F770" s="134">
        <v>0</v>
      </c>
      <c r="G770" s="135">
        <f t="shared" si="34"/>
        <v>1</v>
      </c>
      <c r="H770" s="136">
        <f t="shared" ref="H770:H833" si="36">VLOOKUP($G770, $Q$3:$R$12, 2)</f>
        <v>7</v>
      </c>
      <c r="I770" s="137" t="str">
        <f t="shared" si="35"/>
        <v>J</v>
      </c>
    </row>
    <row r="771" spans="4:9" x14ac:dyDescent="0.25">
      <c r="D771" s="133">
        <v>0</v>
      </c>
      <c r="E771" s="134">
        <v>0</v>
      </c>
      <c r="F771" s="134">
        <v>0</v>
      </c>
      <c r="G771" s="135">
        <f t="shared" ref="G771:G834" si="37">(VLOOKUP($D771,$L$3:$O$15,4))+(VLOOKUP($E771,$M$3:$O$15,3))-(VLOOKUP($F771,$N$3:$O$15,2))</f>
        <v>1</v>
      </c>
      <c r="H771" s="136">
        <f t="shared" si="36"/>
        <v>7</v>
      </c>
      <c r="I771" s="137" t="str">
        <f t="shared" ref="I771:I834" si="38">IF(AND((SUM(D771:F771)=0),B771=0), "J", VLOOKUP($H771, $Q$16:$R$25, 2))</f>
        <v>J</v>
      </c>
    </row>
    <row r="772" spans="4:9" x14ac:dyDescent="0.25">
      <c r="D772" s="133">
        <v>0</v>
      </c>
      <c r="E772" s="134">
        <v>0</v>
      </c>
      <c r="F772" s="134">
        <v>0</v>
      </c>
      <c r="G772" s="135">
        <f t="shared" si="37"/>
        <v>1</v>
      </c>
      <c r="H772" s="136">
        <f t="shared" si="36"/>
        <v>7</v>
      </c>
      <c r="I772" s="137" t="str">
        <f t="shared" si="38"/>
        <v>J</v>
      </c>
    </row>
    <row r="773" spans="4:9" x14ac:dyDescent="0.25">
      <c r="D773" s="133">
        <v>0</v>
      </c>
      <c r="E773" s="134">
        <v>0</v>
      </c>
      <c r="F773" s="134">
        <v>0</v>
      </c>
      <c r="G773" s="135">
        <f t="shared" si="37"/>
        <v>1</v>
      </c>
      <c r="H773" s="136">
        <f t="shared" si="36"/>
        <v>7</v>
      </c>
      <c r="I773" s="137" t="str">
        <f t="shared" si="38"/>
        <v>J</v>
      </c>
    </row>
    <row r="774" spans="4:9" x14ac:dyDescent="0.25">
      <c r="D774" s="133">
        <v>0</v>
      </c>
      <c r="E774" s="134">
        <v>0</v>
      </c>
      <c r="F774" s="134">
        <v>0</v>
      </c>
      <c r="G774" s="135">
        <f t="shared" si="37"/>
        <v>1</v>
      </c>
      <c r="H774" s="136">
        <f t="shared" si="36"/>
        <v>7</v>
      </c>
      <c r="I774" s="137" t="str">
        <f t="shared" si="38"/>
        <v>J</v>
      </c>
    </row>
    <row r="775" spans="4:9" x14ac:dyDescent="0.25">
      <c r="D775" s="133">
        <v>0</v>
      </c>
      <c r="E775" s="134">
        <v>0</v>
      </c>
      <c r="F775" s="134">
        <v>0</v>
      </c>
      <c r="G775" s="135">
        <f t="shared" si="37"/>
        <v>1</v>
      </c>
      <c r="H775" s="136">
        <f t="shared" si="36"/>
        <v>7</v>
      </c>
      <c r="I775" s="137" t="str">
        <f t="shared" si="38"/>
        <v>J</v>
      </c>
    </row>
    <row r="776" spans="4:9" x14ac:dyDescent="0.25">
      <c r="D776" s="133">
        <v>0</v>
      </c>
      <c r="E776" s="134">
        <v>0</v>
      </c>
      <c r="F776" s="134">
        <v>0</v>
      </c>
      <c r="G776" s="135">
        <f t="shared" si="37"/>
        <v>1</v>
      </c>
      <c r="H776" s="136">
        <f t="shared" si="36"/>
        <v>7</v>
      </c>
      <c r="I776" s="137" t="str">
        <f t="shared" si="38"/>
        <v>J</v>
      </c>
    </row>
    <row r="777" spans="4:9" x14ac:dyDescent="0.25">
      <c r="D777" s="133">
        <v>0</v>
      </c>
      <c r="E777" s="134">
        <v>0</v>
      </c>
      <c r="F777" s="134">
        <v>0</v>
      </c>
      <c r="G777" s="135">
        <f t="shared" si="37"/>
        <v>1</v>
      </c>
      <c r="H777" s="136">
        <f t="shared" si="36"/>
        <v>7</v>
      </c>
      <c r="I777" s="137" t="str">
        <f t="shared" si="38"/>
        <v>J</v>
      </c>
    </row>
    <row r="778" spans="4:9" x14ac:dyDescent="0.25">
      <c r="D778" s="133">
        <v>0</v>
      </c>
      <c r="E778" s="134">
        <v>0</v>
      </c>
      <c r="F778" s="134">
        <v>0</v>
      </c>
      <c r="G778" s="135">
        <f t="shared" si="37"/>
        <v>1</v>
      </c>
      <c r="H778" s="136">
        <f t="shared" si="36"/>
        <v>7</v>
      </c>
      <c r="I778" s="137" t="str">
        <f t="shared" si="38"/>
        <v>J</v>
      </c>
    </row>
    <row r="779" spans="4:9" x14ac:dyDescent="0.25">
      <c r="D779" s="133">
        <v>0</v>
      </c>
      <c r="E779" s="134">
        <v>0</v>
      </c>
      <c r="F779" s="134">
        <v>0</v>
      </c>
      <c r="G779" s="135">
        <f t="shared" si="37"/>
        <v>1</v>
      </c>
      <c r="H779" s="136">
        <f t="shared" si="36"/>
        <v>7</v>
      </c>
      <c r="I779" s="137" t="str">
        <f t="shared" si="38"/>
        <v>J</v>
      </c>
    </row>
    <row r="780" spans="4:9" x14ac:dyDescent="0.25">
      <c r="D780" s="133">
        <v>0</v>
      </c>
      <c r="E780" s="134">
        <v>0</v>
      </c>
      <c r="F780" s="134">
        <v>0</v>
      </c>
      <c r="G780" s="135">
        <f t="shared" si="37"/>
        <v>1</v>
      </c>
      <c r="H780" s="136">
        <f t="shared" si="36"/>
        <v>7</v>
      </c>
      <c r="I780" s="137" t="str">
        <f t="shared" si="38"/>
        <v>J</v>
      </c>
    </row>
    <row r="781" spans="4:9" x14ac:dyDescent="0.25">
      <c r="D781" s="133">
        <v>0</v>
      </c>
      <c r="E781" s="134">
        <v>0</v>
      </c>
      <c r="F781" s="134">
        <v>0</v>
      </c>
      <c r="G781" s="135">
        <f t="shared" si="37"/>
        <v>1</v>
      </c>
      <c r="H781" s="136">
        <f t="shared" si="36"/>
        <v>7</v>
      </c>
      <c r="I781" s="137" t="str">
        <f t="shared" si="38"/>
        <v>J</v>
      </c>
    </row>
    <row r="782" spans="4:9" x14ac:dyDescent="0.25">
      <c r="D782" s="133">
        <v>0</v>
      </c>
      <c r="E782" s="134">
        <v>0</v>
      </c>
      <c r="F782" s="134">
        <v>0</v>
      </c>
      <c r="G782" s="135">
        <f t="shared" si="37"/>
        <v>1</v>
      </c>
      <c r="H782" s="136">
        <f t="shared" si="36"/>
        <v>7</v>
      </c>
      <c r="I782" s="137" t="str">
        <f t="shared" si="38"/>
        <v>J</v>
      </c>
    </row>
    <row r="783" spans="4:9" x14ac:dyDescent="0.25">
      <c r="D783" s="133">
        <v>0</v>
      </c>
      <c r="E783" s="134">
        <v>0</v>
      </c>
      <c r="F783" s="134">
        <v>0</v>
      </c>
      <c r="G783" s="135">
        <f t="shared" si="37"/>
        <v>1</v>
      </c>
      <c r="H783" s="136">
        <f t="shared" si="36"/>
        <v>7</v>
      </c>
      <c r="I783" s="137" t="str">
        <f t="shared" si="38"/>
        <v>J</v>
      </c>
    </row>
    <row r="784" spans="4:9" x14ac:dyDescent="0.25">
      <c r="D784" s="133">
        <v>0</v>
      </c>
      <c r="E784" s="134">
        <v>0</v>
      </c>
      <c r="F784" s="134">
        <v>0</v>
      </c>
      <c r="G784" s="135">
        <f t="shared" si="37"/>
        <v>1</v>
      </c>
      <c r="H784" s="136">
        <f t="shared" si="36"/>
        <v>7</v>
      </c>
      <c r="I784" s="137" t="str">
        <f t="shared" si="38"/>
        <v>J</v>
      </c>
    </row>
    <row r="785" spans="4:9" x14ac:dyDescent="0.25">
      <c r="D785" s="133">
        <v>0</v>
      </c>
      <c r="E785" s="134">
        <v>0</v>
      </c>
      <c r="F785" s="134">
        <v>0</v>
      </c>
      <c r="G785" s="135">
        <f t="shared" si="37"/>
        <v>1</v>
      </c>
      <c r="H785" s="136">
        <f t="shared" si="36"/>
        <v>7</v>
      </c>
      <c r="I785" s="137" t="str">
        <f t="shared" si="38"/>
        <v>J</v>
      </c>
    </row>
    <row r="786" spans="4:9" x14ac:dyDescent="0.25">
      <c r="D786" s="133">
        <v>0</v>
      </c>
      <c r="E786" s="134">
        <v>0</v>
      </c>
      <c r="F786" s="134">
        <v>0</v>
      </c>
      <c r="G786" s="135">
        <f t="shared" si="37"/>
        <v>1</v>
      </c>
      <c r="H786" s="136">
        <f t="shared" si="36"/>
        <v>7</v>
      </c>
      <c r="I786" s="137" t="str">
        <f t="shared" si="38"/>
        <v>J</v>
      </c>
    </row>
    <row r="787" spans="4:9" x14ac:dyDescent="0.25">
      <c r="D787" s="133">
        <v>0</v>
      </c>
      <c r="E787" s="134">
        <v>0</v>
      </c>
      <c r="F787" s="134">
        <v>0</v>
      </c>
      <c r="G787" s="135">
        <f t="shared" si="37"/>
        <v>1</v>
      </c>
      <c r="H787" s="136">
        <f t="shared" si="36"/>
        <v>7</v>
      </c>
      <c r="I787" s="137" t="str">
        <f t="shared" si="38"/>
        <v>J</v>
      </c>
    </row>
    <row r="788" spans="4:9" x14ac:dyDescent="0.25">
      <c r="D788" s="133">
        <v>0</v>
      </c>
      <c r="E788" s="134">
        <v>0</v>
      </c>
      <c r="F788" s="134">
        <v>0</v>
      </c>
      <c r="G788" s="135">
        <f t="shared" si="37"/>
        <v>1</v>
      </c>
      <c r="H788" s="136">
        <f t="shared" si="36"/>
        <v>7</v>
      </c>
      <c r="I788" s="137" t="str">
        <f t="shared" si="38"/>
        <v>J</v>
      </c>
    </row>
    <row r="789" spans="4:9" x14ac:dyDescent="0.25">
      <c r="D789" s="133">
        <v>0</v>
      </c>
      <c r="E789" s="134">
        <v>0</v>
      </c>
      <c r="F789" s="134">
        <v>0</v>
      </c>
      <c r="G789" s="135">
        <f t="shared" si="37"/>
        <v>1</v>
      </c>
      <c r="H789" s="136">
        <f t="shared" si="36"/>
        <v>7</v>
      </c>
      <c r="I789" s="137" t="str">
        <f t="shared" si="38"/>
        <v>J</v>
      </c>
    </row>
    <row r="790" spans="4:9" x14ac:dyDescent="0.25">
      <c r="D790" s="133">
        <v>0</v>
      </c>
      <c r="E790" s="134">
        <v>0</v>
      </c>
      <c r="F790" s="134">
        <v>0</v>
      </c>
      <c r="G790" s="135">
        <f t="shared" si="37"/>
        <v>1</v>
      </c>
      <c r="H790" s="136">
        <f t="shared" si="36"/>
        <v>7</v>
      </c>
      <c r="I790" s="137" t="str">
        <f t="shared" si="38"/>
        <v>J</v>
      </c>
    </row>
    <row r="791" spans="4:9" x14ac:dyDescent="0.25">
      <c r="D791" s="133">
        <v>0</v>
      </c>
      <c r="E791" s="134">
        <v>0</v>
      </c>
      <c r="F791" s="134">
        <v>0</v>
      </c>
      <c r="G791" s="135">
        <f t="shared" si="37"/>
        <v>1</v>
      </c>
      <c r="H791" s="136">
        <f t="shared" si="36"/>
        <v>7</v>
      </c>
      <c r="I791" s="137" t="str">
        <f t="shared" si="38"/>
        <v>J</v>
      </c>
    </row>
    <row r="792" spans="4:9" x14ac:dyDescent="0.25">
      <c r="D792" s="133">
        <v>0</v>
      </c>
      <c r="E792" s="134">
        <v>0</v>
      </c>
      <c r="F792" s="134">
        <v>0</v>
      </c>
      <c r="G792" s="135">
        <f t="shared" si="37"/>
        <v>1</v>
      </c>
      <c r="H792" s="136">
        <f t="shared" si="36"/>
        <v>7</v>
      </c>
      <c r="I792" s="137" t="str">
        <f t="shared" si="38"/>
        <v>J</v>
      </c>
    </row>
    <row r="793" spans="4:9" x14ac:dyDescent="0.25">
      <c r="D793" s="133">
        <v>0</v>
      </c>
      <c r="E793" s="134">
        <v>0</v>
      </c>
      <c r="F793" s="134">
        <v>0</v>
      </c>
      <c r="G793" s="135">
        <f t="shared" si="37"/>
        <v>1</v>
      </c>
      <c r="H793" s="136">
        <f t="shared" si="36"/>
        <v>7</v>
      </c>
      <c r="I793" s="137" t="str">
        <f t="shared" si="38"/>
        <v>J</v>
      </c>
    </row>
    <row r="794" spans="4:9" x14ac:dyDescent="0.25">
      <c r="D794" s="133">
        <v>0</v>
      </c>
      <c r="E794" s="134">
        <v>0</v>
      </c>
      <c r="F794" s="134">
        <v>0</v>
      </c>
      <c r="G794" s="135">
        <f t="shared" si="37"/>
        <v>1</v>
      </c>
      <c r="H794" s="136">
        <f t="shared" si="36"/>
        <v>7</v>
      </c>
      <c r="I794" s="137" t="str">
        <f t="shared" si="38"/>
        <v>J</v>
      </c>
    </row>
    <row r="795" spans="4:9" x14ac:dyDescent="0.25">
      <c r="D795" s="133">
        <v>0</v>
      </c>
      <c r="E795" s="134">
        <v>0</v>
      </c>
      <c r="F795" s="134">
        <v>0</v>
      </c>
      <c r="G795" s="135">
        <f t="shared" si="37"/>
        <v>1</v>
      </c>
      <c r="H795" s="136">
        <f t="shared" si="36"/>
        <v>7</v>
      </c>
      <c r="I795" s="137" t="str">
        <f t="shared" si="38"/>
        <v>J</v>
      </c>
    </row>
    <row r="796" spans="4:9" x14ac:dyDescent="0.25">
      <c r="D796" s="133">
        <v>0</v>
      </c>
      <c r="E796" s="134">
        <v>0</v>
      </c>
      <c r="F796" s="134">
        <v>0</v>
      </c>
      <c r="G796" s="135">
        <f t="shared" si="37"/>
        <v>1</v>
      </c>
      <c r="H796" s="136">
        <f t="shared" si="36"/>
        <v>7</v>
      </c>
      <c r="I796" s="137" t="str">
        <f t="shared" si="38"/>
        <v>J</v>
      </c>
    </row>
    <row r="797" spans="4:9" x14ac:dyDescent="0.25">
      <c r="D797" s="133">
        <v>0</v>
      </c>
      <c r="E797" s="134">
        <v>0</v>
      </c>
      <c r="F797" s="134">
        <v>0</v>
      </c>
      <c r="G797" s="135">
        <f t="shared" si="37"/>
        <v>1</v>
      </c>
      <c r="H797" s="136">
        <f t="shared" si="36"/>
        <v>7</v>
      </c>
      <c r="I797" s="137" t="str">
        <f t="shared" si="38"/>
        <v>J</v>
      </c>
    </row>
    <row r="798" spans="4:9" x14ac:dyDescent="0.25">
      <c r="D798" s="133">
        <v>0</v>
      </c>
      <c r="E798" s="134">
        <v>0</v>
      </c>
      <c r="F798" s="134">
        <v>0</v>
      </c>
      <c r="G798" s="135">
        <f t="shared" si="37"/>
        <v>1</v>
      </c>
      <c r="H798" s="136">
        <f t="shared" si="36"/>
        <v>7</v>
      </c>
      <c r="I798" s="137" t="str">
        <f t="shared" si="38"/>
        <v>J</v>
      </c>
    </row>
    <row r="799" spans="4:9" x14ac:dyDescent="0.25">
      <c r="D799" s="133">
        <v>0</v>
      </c>
      <c r="E799" s="134">
        <v>0</v>
      </c>
      <c r="F799" s="134">
        <v>0</v>
      </c>
      <c r="G799" s="135">
        <f t="shared" si="37"/>
        <v>1</v>
      </c>
      <c r="H799" s="136">
        <f t="shared" si="36"/>
        <v>7</v>
      </c>
      <c r="I799" s="137" t="str">
        <f t="shared" si="38"/>
        <v>J</v>
      </c>
    </row>
    <row r="800" spans="4:9" x14ac:dyDescent="0.25">
      <c r="D800" s="133">
        <v>0</v>
      </c>
      <c r="E800" s="134">
        <v>0</v>
      </c>
      <c r="F800" s="134">
        <v>0</v>
      </c>
      <c r="G800" s="135">
        <f t="shared" si="37"/>
        <v>1</v>
      </c>
      <c r="H800" s="136">
        <f t="shared" si="36"/>
        <v>7</v>
      </c>
      <c r="I800" s="137" t="str">
        <f t="shared" si="38"/>
        <v>J</v>
      </c>
    </row>
    <row r="801" spans="4:9" x14ac:dyDescent="0.25">
      <c r="D801" s="133">
        <v>0</v>
      </c>
      <c r="E801" s="134">
        <v>0</v>
      </c>
      <c r="F801" s="134">
        <v>0</v>
      </c>
      <c r="G801" s="135">
        <f t="shared" si="37"/>
        <v>1</v>
      </c>
      <c r="H801" s="136">
        <f t="shared" si="36"/>
        <v>7</v>
      </c>
      <c r="I801" s="137" t="str">
        <f t="shared" si="38"/>
        <v>J</v>
      </c>
    </row>
    <row r="802" spans="4:9" x14ac:dyDescent="0.25">
      <c r="D802" s="133">
        <v>0</v>
      </c>
      <c r="E802" s="134">
        <v>0</v>
      </c>
      <c r="F802" s="134">
        <v>0</v>
      </c>
      <c r="G802" s="135">
        <f t="shared" si="37"/>
        <v>1</v>
      </c>
      <c r="H802" s="136">
        <f t="shared" si="36"/>
        <v>7</v>
      </c>
      <c r="I802" s="137" t="str">
        <f t="shared" si="38"/>
        <v>J</v>
      </c>
    </row>
    <row r="803" spans="4:9" x14ac:dyDescent="0.25">
      <c r="D803" s="133">
        <v>0</v>
      </c>
      <c r="E803" s="134">
        <v>0</v>
      </c>
      <c r="F803" s="134">
        <v>0</v>
      </c>
      <c r="G803" s="135">
        <f t="shared" si="37"/>
        <v>1</v>
      </c>
      <c r="H803" s="136">
        <f t="shared" si="36"/>
        <v>7</v>
      </c>
      <c r="I803" s="137" t="str">
        <f t="shared" si="38"/>
        <v>J</v>
      </c>
    </row>
    <row r="804" spans="4:9" x14ac:dyDescent="0.25">
      <c r="D804" s="133">
        <v>0</v>
      </c>
      <c r="E804" s="134">
        <v>0</v>
      </c>
      <c r="F804" s="134">
        <v>0</v>
      </c>
      <c r="G804" s="135">
        <f t="shared" si="37"/>
        <v>1</v>
      </c>
      <c r="H804" s="136">
        <f t="shared" si="36"/>
        <v>7</v>
      </c>
      <c r="I804" s="137" t="str">
        <f t="shared" si="38"/>
        <v>J</v>
      </c>
    </row>
    <row r="805" spans="4:9" x14ac:dyDescent="0.25">
      <c r="D805" s="133">
        <v>0</v>
      </c>
      <c r="E805" s="134">
        <v>0</v>
      </c>
      <c r="F805" s="134">
        <v>0</v>
      </c>
      <c r="G805" s="135">
        <f t="shared" si="37"/>
        <v>1</v>
      </c>
      <c r="H805" s="136">
        <f t="shared" si="36"/>
        <v>7</v>
      </c>
      <c r="I805" s="137" t="str">
        <f t="shared" si="38"/>
        <v>J</v>
      </c>
    </row>
    <row r="806" spans="4:9" x14ac:dyDescent="0.25">
      <c r="D806" s="133">
        <v>0</v>
      </c>
      <c r="E806" s="134">
        <v>0</v>
      </c>
      <c r="F806" s="134">
        <v>0</v>
      </c>
      <c r="G806" s="135">
        <f t="shared" si="37"/>
        <v>1</v>
      </c>
      <c r="H806" s="136">
        <f t="shared" si="36"/>
        <v>7</v>
      </c>
      <c r="I806" s="137" t="str">
        <f t="shared" si="38"/>
        <v>J</v>
      </c>
    </row>
    <row r="807" spans="4:9" x14ac:dyDescent="0.25">
      <c r="D807" s="133">
        <v>0</v>
      </c>
      <c r="E807" s="134">
        <v>0</v>
      </c>
      <c r="F807" s="134">
        <v>0</v>
      </c>
      <c r="G807" s="135">
        <f t="shared" si="37"/>
        <v>1</v>
      </c>
      <c r="H807" s="136">
        <f t="shared" si="36"/>
        <v>7</v>
      </c>
      <c r="I807" s="137" t="str">
        <f t="shared" si="38"/>
        <v>J</v>
      </c>
    </row>
    <row r="808" spans="4:9" x14ac:dyDescent="0.25">
      <c r="D808" s="133">
        <v>0</v>
      </c>
      <c r="E808" s="134">
        <v>0</v>
      </c>
      <c r="F808" s="134">
        <v>0</v>
      </c>
      <c r="G808" s="135">
        <f t="shared" si="37"/>
        <v>1</v>
      </c>
      <c r="H808" s="136">
        <f t="shared" si="36"/>
        <v>7</v>
      </c>
      <c r="I808" s="137" t="str">
        <f t="shared" si="38"/>
        <v>J</v>
      </c>
    </row>
    <row r="809" spans="4:9" x14ac:dyDescent="0.25">
      <c r="D809" s="133">
        <v>0</v>
      </c>
      <c r="E809" s="134">
        <v>0</v>
      </c>
      <c r="F809" s="134">
        <v>0</v>
      </c>
      <c r="G809" s="135">
        <f t="shared" si="37"/>
        <v>1</v>
      </c>
      <c r="H809" s="136">
        <f t="shared" si="36"/>
        <v>7</v>
      </c>
      <c r="I809" s="137" t="str">
        <f t="shared" si="38"/>
        <v>J</v>
      </c>
    </row>
    <row r="810" spans="4:9" x14ac:dyDescent="0.25">
      <c r="D810" s="133">
        <v>0</v>
      </c>
      <c r="E810" s="134">
        <v>0</v>
      </c>
      <c r="F810" s="134">
        <v>0</v>
      </c>
      <c r="G810" s="135">
        <f t="shared" si="37"/>
        <v>1</v>
      </c>
      <c r="H810" s="136">
        <f t="shared" si="36"/>
        <v>7</v>
      </c>
      <c r="I810" s="137" t="str">
        <f t="shared" si="38"/>
        <v>J</v>
      </c>
    </row>
    <row r="811" spans="4:9" x14ac:dyDescent="0.25">
      <c r="D811" s="133">
        <v>0</v>
      </c>
      <c r="E811" s="134">
        <v>0</v>
      </c>
      <c r="F811" s="134">
        <v>0</v>
      </c>
      <c r="G811" s="135">
        <f t="shared" si="37"/>
        <v>1</v>
      </c>
      <c r="H811" s="136">
        <f t="shared" si="36"/>
        <v>7</v>
      </c>
      <c r="I811" s="137" t="str">
        <f t="shared" si="38"/>
        <v>J</v>
      </c>
    </row>
    <row r="812" spans="4:9" x14ac:dyDescent="0.25">
      <c r="D812" s="133">
        <v>0</v>
      </c>
      <c r="E812" s="134">
        <v>0</v>
      </c>
      <c r="F812" s="134">
        <v>0</v>
      </c>
      <c r="G812" s="135">
        <f t="shared" si="37"/>
        <v>1</v>
      </c>
      <c r="H812" s="136">
        <f t="shared" si="36"/>
        <v>7</v>
      </c>
      <c r="I812" s="137" t="str">
        <f t="shared" si="38"/>
        <v>J</v>
      </c>
    </row>
    <row r="813" spans="4:9" x14ac:dyDescent="0.25">
      <c r="D813" s="133">
        <v>0</v>
      </c>
      <c r="E813" s="134">
        <v>0</v>
      </c>
      <c r="F813" s="134">
        <v>0</v>
      </c>
      <c r="G813" s="135">
        <f t="shared" si="37"/>
        <v>1</v>
      </c>
      <c r="H813" s="136">
        <f t="shared" si="36"/>
        <v>7</v>
      </c>
      <c r="I813" s="137" t="str">
        <f t="shared" si="38"/>
        <v>J</v>
      </c>
    </row>
    <row r="814" spans="4:9" x14ac:dyDescent="0.25">
      <c r="D814" s="133">
        <v>0</v>
      </c>
      <c r="E814" s="134">
        <v>0</v>
      </c>
      <c r="F814" s="134">
        <v>0</v>
      </c>
      <c r="G814" s="135">
        <f t="shared" si="37"/>
        <v>1</v>
      </c>
      <c r="H814" s="136">
        <f t="shared" si="36"/>
        <v>7</v>
      </c>
      <c r="I814" s="137" t="str">
        <f t="shared" si="38"/>
        <v>J</v>
      </c>
    </row>
    <row r="815" spans="4:9" x14ac:dyDescent="0.25">
      <c r="D815" s="133">
        <v>0</v>
      </c>
      <c r="E815" s="134">
        <v>0</v>
      </c>
      <c r="F815" s="134">
        <v>0</v>
      </c>
      <c r="G815" s="135">
        <f t="shared" si="37"/>
        <v>1</v>
      </c>
      <c r="H815" s="136">
        <f t="shared" si="36"/>
        <v>7</v>
      </c>
      <c r="I815" s="137" t="str">
        <f t="shared" si="38"/>
        <v>J</v>
      </c>
    </row>
    <row r="816" spans="4:9" x14ac:dyDescent="0.25">
      <c r="D816" s="133">
        <v>0</v>
      </c>
      <c r="E816" s="134">
        <v>0</v>
      </c>
      <c r="F816" s="134">
        <v>0</v>
      </c>
      <c r="G816" s="135">
        <f t="shared" si="37"/>
        <v>1</v>
      </c>
      <c r="H816" s="136">
        <f t="shared" si="36"/>
        <v>7</v>
      </c>
      <c r="I816" s="137" t="str">
        <f t="shared" si="38"/>
        <v>J</v>
      </c>
    </row>
    <row r="817" spans="4:9" x14ac:dyDescent="0.25">
      <c r="D817" s="133">
        <v>0</v>
      </c>
      <c r="E817" s="134">
        <v>0</v>
      </c>
      <c r="F817" s="134">
        <v>0</v>
      </c>
      <c r="G817" s="135">
        <f t="shared" si="37"/>
        <v>1</v>
      </c>
      <c r="H817" s="136">
        <f t="shared" si="36"/>
        <v>7</v>
      </c>
      <c r="I817" s="137" t="str">
        <f t="shared" si="38"/>
        <v>J</v>
      </c>
    </row>
    <row r="818" spans="4:9" x14ac:dyDescent="0.25">
      <c r="D818" s="133">
        <v>0</v>
      </c>
      <c r="E818" s="134">
        <v>0</v>
      </c>
      <c r="F818" s="134">
        <v>0</v>
      </c>
      <c r="G818" s="135">
        <f t="shared" si="37"/>
        <v>1</v>
      </c>
      <c r="H818" s="136">
        <f t="shared" si="36"/>
        <v>7</v>
      </c>
      <c r="I818" s="137" t="str">
        <f t="shared" si="38"/>
        <v>J</v>
      </c>
    </row>
    <row r="819" spans="4:9" x14ac:dyDescent="0.25">
      <c r="D819" s="133">
        <v>0</v>
      </c>
      <c r="E819" s="134">
        <v>0</v>
      </c>
      <c r="F819" s="134">
        <v>0</v>
      </c>
      <c r="G819" s="135">
        <f t="shared" si="37"/>
        <v>1</v>
      </c>
      <c r="H819" s="136">
        <f t="shared" si="36"/>
        <v>7</v>
      </c>
      <c r="I819" s="137" t="str">
        <f t="shared" si="38"/>
        <v>J</v>
      </c>
    </row>
    <row r="820" spans="4:9" x14ac:dyDescent="0.25">
      <c r="D820" s="133">
        <v>0</v>
      </c>
      <c r="E820" s="134">
        <v>0</v>
      </c>
      <c r="F820" s="134">
        <v>0</v>
      </c>
      <c r="G820" s="135">
        <f t="shared" si="37"/>
        <v>1</v>
      </c>
      <c r="H820" s="136">
        <f t="shared" si="36"/>
        <v>7</v>
      </c>
      <c r="I820" s="137" t="str">
        <f t="shared" si="38"/>
        <v>J</v>
      </c>
    </row>
    <row r="821" spans="4:9" x14ac:dyDescent="0.25">
      <c r="D821" s="133">
        <v>0</v>
      </c>
      <c r="E821" s="134">
        <v>0</v>
      </c>
      <c r="F821" s="134">
        <v>0</v>
      </c>
      <c r="G821" s="135">
        <f t="shared" si="37"/>
        <v>1</v>
      </c>
      <c r="H821" s="136">
        <f t="shared" si="36"/>
        <v>7</v>
      </c>
      <c r="I821" s="137" t="str">
        <f t="shared" si="38"/>
        <v>J</v>
      </c>
    </row>
    <row r="822" spans="4:9" x14ac:dyDescent="0.25">
      <c r="D822" s="133">
        <v>0</v>
      </c>
      <c r="E822" s="134">
        <v>0</v>
      </c>
      <c r="F822" s="134">
        <v>0</v>
      </c>
      <c r="G822" s="135">
        <f t="shared" si="37"/>
        <v>1</v>
      </c>
      <c r="H822" s="136">
        <f t="shared" si="36"/>
        <v>7</v>
      </c>
      <c r="I822" s="137" t="str">
        <f t="shared" si="38"/>
        <v>J</v>
      </c>
    </row>
    <row r="823" spans="4:9" x14ac:dyDescent="0.25">
      <c r="D823" s="133">
        <v>0</v>
      </c>
      <c r="E823" s="134">
        <v>0</v>
      </c>
      <c r="F823" s="134">
        <v>0</v>
      </c>
      <c r="G823" s="135">
        <f t="shared" si="37"/>
        <v>1</v>
      </c>
      <c r="H823" s="136">
        <f t="shared" si="36"/>
        <v>7</v>
      </c>
      <c r="I823" s="137" t="str">
        <f t="shared" si="38"/>
        <v>J</v>
      </c>
    </row>
    <row r="824" spans="4:9" x14ac:dyDescent="0.25">
      <c r="D824" s="133">
        <v>0</v>
      </c>
      <c r="E824" s="134">
        <v>0</v>
      </c>
      <c r="F824" s="134">
        <v>0</v>
      </c>
      <c r="G824" s="135">
        <f t="shared" si="37"/>
        <v>1</v>
      </c>
      <c r="H824" s="136">
        <f t="shared" si="36"/>
        <v>7</v>
      </c>
      <c r="I824" s="137" t="str">
        <f t="shared" si="38"/>
        <v>J</v>
      </c>
    </row>
    <row r="825" spans="4:9" x14ac:dyDescent="0.25">
      <c r="D825" s="133">
        <v>0</v>
      </c>
      <c r="E825" s="134">
        <v>0</v>
      </c>
      <c r="F825" s="134">
        <v>0</v>
      </c>
      <c r="G825" s="135">
        <f t="shared" si="37"/>
        <v>1</v>
      </c>
      <c r="H825" s="136">
        <f t="shared" si="36"/>
        <v>7</v>
      </c>
      <c r="I825" s="137" t="str">
        <f t="shared" si="38"/>
        <v>J</v>
      </c>
    </row>
    <row r="826" spans="4:9" x14ac:dyDescent="0.25">
      <c r="D826" s="133">
        <v>0</v>
      </c>
      <c r="E826" s="134">
        <v>0</v>
      </c>
      <c r="F826" s="134">
        <v>0</v>
      </c>
      <c r="G826" s="135">
        <f t="shared" si="37"/>
        <v>1</v>
      </c>
      <c r="H826" s="136">
        <f t="shared" si="36"/>
        <v>7</v>
      </c>
      <c r="I826" s="137" t="str">
        <f t="shared" si="38"/>
        <v>J</v>
      </c>
    </row>
    <row r="827" spans="4:9" x14ac:dyDescent="0.25">
      <c r="D827" s="133">
        <v>0</v>
      </c>
      <c r="E827" s="134">
        <v>0</v>
      </c>
      <c r="F827" s="134">
        <v>0</v>
      </c>
      <c r="G827" s="135">
        <f t="shared" si="37"/>
        <v>1</v>
      </c>
      <c r="H827" s="136">
        <f t="shared" si="36"/>
        <v>7</v>
      </c>
      <c r="I827" s="137" t="str">
        <f t="shared" si="38"/>
        <v>J</v>
      </c>
    </row>
    <row r="828" spans="4:9" x14ac:dyDescent="0.25">
      <c r="D828" s="133">
        <v>0</v>
      </c>
      <c r="E828" s="134">
        <v>0</v>
      </c>
      <c r="F828" s="134">
        <v>0</v>
      </c>
      <c r="G828" s="135">
        <f t="shared" si="37"/>
        <v>1</v>
      </c>
      <c r="H828" s="136">
        <f t="shared" si="36"/>
        <v>7</v>
      </c>
      <c r="I828" s="137" t="str">
        <f t="shared" si="38"/>
        <v>J</v>
      </c>
    </row>
    <row r="829" spans="4:9" x14ac:dyDescent="0.25">
      <c r="D829" s="133">
        <v>0</v>
      </c>
      <c r="E829" s="134">
        <v>0</v>
      </c>
      <c r="F829" s="134">
        <v>0</v>
      </c>
      <c r="G829" s="135">
        <f t="shared" si="37"/>
        <v>1</v>
      </c>
      <c r="H829" s="136">
        <f t="shared" si="36"/>
        <v>7</v>
      </c>
      <c r="I829" s="137" t="str">
        <f t="shared" si="38"/>
        <v>J</v>
      </c>
    </row>
    <row r="830" spans="4:9" x14ac:dyDescent="0.25">
      <c r="D830" s="133">
        <v>0</v>
      </c>
      <c r="E830" s="134">
        <v>0</v>
      </c>
      <c r="F830" s="134">
        <v>0</v>
      </c>
      <c r="G830" s="135">
        <f t="shared" si="37"/>
        <v>1</v>
      </c>
      <c r="H830" s="136">
        <f t="shared" si="36"/>
        <v>7</v>
      </c>
      <c r="I830" s="137" t="str">
        <f t="shared" si="38"/>
        <v>J</v>
      </c>
    </row>
    <row r="831" spans="4:9" x14ac:dyDescent="0.25">
      <c r="D831" s="133">
        <v>0</v>
      </c>
      <c r="E831" s="134">
        <v>0</v>
      </c>
      <c r="F831" s="134">
        <v>0</v>
      </c>
      <c r="G831" s="135">
        <f t="shared" si="37"/>
        <v>1</v>
      </c>
      <c r="H831" s="136">
        <f t="shared" si="36"/>
        <v>7</v>
      </c>
      <c r="I831" s="137" t="str">
        <f t="shared" si="38"/>
        <v>J</v>
      </c>
    </row>
    <row r="832" spans="4:9" x14ac:dyDescent="0.25">
      <c r="D832" s="133">
        <v>0</v>
      </c>
      <c r="E832" s="134">
        <v>0</v>
      </c>
      <c r="F832" s="134">
        <v>0</v>
      </c>
      <c r="G832" s="135">
        <f t="shared" si="37"/>
        <v>1</v>
      </c>
      <c r="H832" s="136">
        <f t="shared" si="36"/>
        <v>7</v>
      </c>
      <c r="I832" s="137" t="str">
        <f t="shared" si="38"/>
        <v>J</v>
      </c>
    </row>
    <row r="833" spans="4:9" x14ac:dyDescent="0.25">
      <c r="D833" s="133">
        <v>0</v>
      </c>
      <c r="E833" s="134">
        <v>0</v>
      </c>
      <c r="F833" s="134">
        <v>0</v>
      </c>
      <c r="G833" s="135">
        <f t="shared" si="37"/>
        <v>1</v>
      </c>
      <c r="H833" s="136">
        <f t="shared" si="36"/>
        <v>7</v>
      </c>
      <c r="I833" s="137" t="str">
        <f t="shared" si="38"/>
        <v>J</v>
      </c>
    </row>
    <row r="834" spans="4:9" x14ac:dyDescent="0.25">
      <c r="D834" s="133">
        <v>0</v>
      </c>
      <c r="E834" s="134">
        <v>0</v>
      </c>
      <c r="F834" s="134">
        <v>0</v>
      </c>
      <c r="G834" s="135">
        <f t="shared" si="37"/>
        <v>1</v>
      </c>
      <c r="H834" s="136">
        <f t="shared" ref="H834:H897" si="39">VLOOKUP($G834, $Q$3:$R$12, 2)</f>
        <v>7</v>
      </c>
      <c r="I834" s="137" t="str">
        <f t="shared" si="38"/>
        <v>J</v>
      </c>
    </row>
    <row r="835" spans="4:9" x14ac:dyDescent="0.25">
      <c r="D835" s="133">
        <v>0</v>
      </c>
      <c r="E835" s="134">
        <v>0</v>
      </c>
      <c r="F835" s="134">
        <v>0</v>
      </c>
      <c r="G835" s="135">
        <f t="shared" ref="G835:G898" si="40">(VLOOKUP($D835,$L$3:$O$15,4))+(VLOOKUP($E835,$M$3:$O$15,3))-(VLOOKUP($F835,$N$3:$O$15,2))</f>
        <v>1</v>
      </c>
      <c r="H835" s="136">
        <f t="shared" si="39"/>
        <v>7</v>
      </c>
      <c r="I835" s="137" t="str">
        <f t="shared" ref="I835:I898" si="41">IF(AND((SUM(D835:F835)=0),B835=0), "J", VLOOKUP($H835, $Q$16:$R$25, 2))</f>
        <v>J</v>
      </c>
    </row>
    <row r="836" spans="4:9" x14ac:dyDescent="0.25">
      <c r="D836" s="133">
        <v>0</v>
      </c>
      <c r="E836" s="134">
        <v>0</v>
      </c>
      <c r="F836" s="134">
        <v>0</v>
      </c>
      <c r="G836" s="135">
        <f t="shared" si="40"/>
        <v>1</v>
      </c>
      <c r="H836" s="136">
        <f t="shared" si="39"/>
        <v>7</v>
      </c>
      <c r="I836" s="137" t="str">
        <f t="shared" si="41"/>
        <v>J</v>
      </c>
    </row>
    <row r="837" spans="4:9" x14ac:dyDescent="0.25">
      <c r="D837" s="133">
        <v>0</v>
      </c>
      <c r="E837" s="134">
        <v>0</v>
      </c>
      <c r="F837" s="134">
        <v>0</v>
      </c>
      <c r="G837" s="135">
        <f t="shared" si="40"/>
        <v>1</v>
      </c>
      <c r="H837" s="136">
        <f t="shared" si="39"/>
        <v>7</v>
      </c>
      <c r="I837" s="137" t="str">
        <f t="shared" si="41"/>
        <v>J</v>
      </c>
    </row>
    <row r="838" spans="4:9" x14ac:dyDescent="0.25">
      <c r="D838" s="133">
        <v>0</v>
      </c>
      <c r="E838" s="134">
        <v>0</v>
      </c>
      <c r="F838" s="134">
        <v>0</v>
      </c>
      <c r="G838" s="135">
        <f t="shared" si="40"/>
        <v>1</v>
      </c>
      <c r="H838" s="136">
        <f t="shared" si="39"/>
        <v>7</v>
      </c>
      <c r="I838" s="137" t="str">
        <f t="shared" si="41"/>
        <v>J</v>
      </c>
    </row>
    <row r="839" spans="4:9" x14ac:dyDescent="0.25">
      <c r="D839" s="133">
        <v>0</v>
      </c>
      <c r="E839" s="134">
        <v>0</v>
      </c>
      <c r="F839" s="134">
        <v>0</v>
      </c>
      <c r="G839" s="135">
        <f t="shared" si="40"/>
        <v>1</v>
      </c>
      <c r="H839" s="136">
        <f t="shared" si="39"/>
        <v>7</v>
      </c>
      <c r="I839" s="137" t="str">
        <f t="shared" si="41"/>
        <v>J</v>
      </c>
    </row>
    <row r="840" spans="4:9" x14ac:dyDescent="0.25">
      <c r="D840" s="133">
        <v>0</v>
      </c>
      <c r="E840" s="134">
        <v>0</v>
      </c>
      <c r="F840" s="134">
        <v>0</v>
      </c>
      <c r="G840" s="135">
        <f t="shared" si="40"/>
        <v>1</v>
      </c>
      <c r="H840" s="136">
        <f t="shared" si="39"/>
        <v>7</v>
      </c>
      <c r="I840" s="137" t="str">
        <f t="shared" si="41"/>
        <v>J</v>
      </c>
    </row>
    <row r="841" spans="4:9" x14ac:dyDescent="0.25">
      <c r="D841" s="133">
        <v>0</v>
      </c>
      <c r="E841" s="134">
        <v>0</v>
      </c>
      <c r="F841" s="134">
        <v>0</v>
      </c>
      <c r="G841" s="135">
        <f t="shared" si="40"/>
        <v>1</v>
      </c>
      <c r="H841" s="136">
        <f t="shared" si="39"/>
        <v>7</v>
      </c>
      <c r="I841" s="137" t="str">
        <f t="shared" si="41"/>
        <v>J</v>
      </c>
    </row>
    <row r="842" spans="4:9" x14ac:dyDescent="0.25">
      <c r="D842" s="133">
        <v>0</v>
      </c>
      <c r="E842" s="134">
        <v>0</v>
      </c>
      <c r="F842" s="134">
        <v>0</v>
      </c>
      <c r="G842" s="135">
        <f t="shared" si="40"/>
        <v>1</v>
      </c>
      <c r="H842" s="136">
        <f t="shared" si="39"/>
        <v>7</v>
      </c>
      <c r="I842" s="137" t="str">
        <f t="shared" si="41"/>
        <v>J</v>
      </c>
    </row>
    <row r="843" spans="4:9" x14ac:dyDescent="0.25">
      <c r="D843" s="133">
        <v>0</v>
      </c>
      <c r="E843" s="134">
        <v>0</v>
      </c>
      <c r="F843" s="134">
        <v>0</v>
      </c>
      <c r="G843" s="135">
        <f t="shared" si="40"/>
        <v>1</v>
      </c>
      <c r="H843" s="136">
        <f t="shared" si="39"/>
        <v>7</v>
      </c>
      <c r="I843" s="137" t="str">
        <f t="shared" si="41"/>
        <v>J</v>
      </c>
    </row>
    <row r="844" spans="4:9" x14ac:dyDescent="0.25">
      <c r="D844" s="133">
        <v>0</v>
      </c>
      <c r="E844" s="134">
        <v>0</v>
      </c>
      <c r="F844" s="134">
        <v>0</v>
      </c>
      <c r="G844" s="135">
        <f t="shared" si="40"/>
        <v>1</v>
      </c>
      <c r="H844" s="136">
        <f t="shared" si="39"/>
        <v>7</v>
      </c>
      <c r="I844" s="137" t="str">
        <f t="shared" si="41"/>
        <v>J</v>
      </c>
    </row>
    <row r="845" spans="4:9" x14ac:dyDescent="0.25">
      <c r="D845" s="133">
        <v>0</v>
      </c>
      <c r="E845" s="134">
        <v>0</v>
      </c>
      <c r="F845" s="134">
        <v>0</v>
      </c>
      <c r="G845" s="135">
        <f t="shared" si="40"/>
        <v>1</v>
      </c>
      <c r="H845" s="136">
        <f t="shared" si="39"/>
        <v>7</v>
      </c>
      <c r="I845" s="137" t="str">
        <f t="shared" si="41"/>
        <v>J</v>
      </c>
    </row>
    <row r="846" spans="4:9" x14ac:dyDescent="0.25">
      <c r="D846" s="133">
        <v>0</v>
      </c>
      <c r="E846" s="134">
        <v>0</v>
      </c>
      <c r="F846" s="134">
        <v>0</v>
      </c>
      <c r="G846" s="135">
        <f t="shared" si="40"/>
        <v>1</v>
      </c>
      <c r="H846" s="136">
        <f t="shared" si="39"/>
        <v>7</v>
      </c>
      <c r="I846" s="137" t="str">
        <f t="shared" si="41"/>
        <v>J</v>
      </c>
    </row>
    <row r="847" spans="4:9" x14ac:dyDescent="0.25">
      <c r="D847" s="133">
        <v>0</v>
      </c>
      <c r="E847" s="134">
        <v>0</v>
      </c>
      <c r="F847" s="134">
        <v>0</v>
      </c>
      <c r="G847" s="135">
        <f t="shared" si="40"/>
        <v>1</v>
      </c>
      <c r="H847" s="136">
        <f t="shared" si="39"/>
        <v>7</v>
      </c>
      <c r="I847" s="137" t="str">
        <f t="shared" si="41"/>
        <v>J</v>
      </c>
    </row>
    <row r="848" spans="4:9" x14ac:dyDescent="0.25">
      <c r="D848" s="133">
        <v>0</v>
      </c>
      <c r="E848" s="134">
        <v>0</v>
      </c>
      <c r="F848" s="134">
        <v>0</v>
      </c>
      <c r="G848" s="135">
        <f t="shared" si="40"/>
        <v>1</v>
      </c>
      <c r="H848" s="136">
        <f t="shared" si="39"/>
        <v>7</v>
      </c>
      <c r="I848" s="137" t="str">
        <f t="shared" si="41"/>
        <v>J</v>
      </c>
    </row>
    <row r="849" spans="4:9" x14ac:dyDescent="0.25">
      <c r="D849" s="133">
        <v>0</v>
      </c>
      <c r="E849" s="134">
        <v>0</v>
      </c>
      <c r="F849" s="134">
        <v>0</v>
      </c>
      <c r="G849" s="135">
        <f t="shared" si="40"/>
        <v>1</v>
      </c>
      <c r="H849" s="136">
        <f t="shared" si="39"/>
        <v>7</v>
      </c>
      <c r="I849" s="137" t="str">
        <f t="shared" si="41"/>
        <v>J</v>
      </c>
    </row>
    <row r="850" spans="4:9" x14ac:dyDescent="0.25">
      <c r="D850" s="133">
        <v>0</v>
      </c>
      <c r="E850" s="134">
        <v>0</v>
      </c>
      <c r="F850" s="134">
        <v>0</v>
      </c>
      <c r="G850" s="135">
        <f t="shared" si="40"/>
        <v>1</v>
      </c>
      <c r="H850" s="136">
        <f t="shared" si="39"/>
        <v>7</v>
      </c>
      <c r="I850" s="137" t="str">
        <f t="shared" si="41"/>
        <v>J</v>
      </c>
    </row>
    <row r="851" spans="4:9" x14ac:dyDescent="0.25">
      <c r="D851" s="133">
        <v>0</v>
      </c>
      <c r="E851" s="134">
        <v>0</v>
      </c>
      <c r="F851" s="134">
        <v>0</v>
      </c>
      <c r="G851" s="135">
        <f t="shared" si="40"/>
        <v>1</v>
      </c>
      <c r="H851" s="136">
        <f t="shared" si="39"/>
        <v>7</v>
      </c>
      <c r="I851" s="137" t="str">
        <f t="shared" si="41"/>
        <v>J</v>
      </c>
    </row>
    <row r="852" spans="4:9" x14ac:dyDescent="0.25">
      <c r="D852" s="133">
        <v>0</v>
      </c>
      <c r="E852" s="134">
        <v>0</v>
      </c>
      <c r="F852" s="134">
        <v>0</v>
      </c>
      <c r="G852" s="135">
        <f t="shared" si="40"/>
        <v>1</v>
      </c>
      <c r="H852" s="136">
        <f t="shared" si="39"/>
        <v>7</v>
      </c>
      <c r="I852" s="137" t="str">
        <f t="shared" si="41"/>
        <v>J</v>
      </c>
    </row>
    <row r="853" spans="4:9" x14ac:dyDescent="0.25">
      <c r="D853" s="133">
        <v>0</v>
      </c>
      <c r="E853" s="134">
        <v>0</v>
      </c>
      <c r="F853" s="134">
        <v>0</v>
      </c>
      <c r="G853" s="135">
        <f t="shared" si="40"/>
        <v>1</v>
      </c>
      <c r="H853" s="136">
        <f t="shared" si="39"/>
        <v>7</v>
      </c>
      <c r="I853" s="137" t="str">
        <f t="shared" si="41"/>
        <v>J</v>
      </c>
    </row>
    <row r="854" spans="4:9" x14ac:dyDescent="0.25">
      <c r="D854" s="133">
        <v>0</v>
      </c>
      <c r="E854" s="134">
        <v>0</v>
      </c>
      <c r="F854" s="134">
        <v>0</v>
      </c>
      <c r="G854" s="135">
        <f t="shared" si="40"/>
        <v>1</v>
      </c>
      <c r="H854" s="136">
        <f t="shared" si="39"/>
        <v>7</v>
      </c>
      <c r="I854" s="137" t="str">
        <f t="shared" si="41"/>
        <v>J</v>
      </c>
    </row>
    <row r="855" spans="4:9" x14ac:dyDescent="0.25">
      <c r="D855" s="133">
        <v>0</v>
      </c>
      <c r="E855" s="134">
        <v>0</v>
      </c>
      <c r="F855" s="134">
        <v>0</v>
      </c>
      <c r="G855" s="135">
        <f t="shared" si="40"/>
        <v>1</v>
      </c>
      <c r="H855" s="136">
        <f t="shared" si="39"/>
        <v>7</v>
      </c>
      <c r="I855" s="137" t="str">
        <f t="shared" si="41"/>
        <v>J</v>
      </c>
    </row>
    <row r="856" spans="4:9" x14ac:dyDescent="0.25">
      <c r="D856" s="133">
        <v>0</v>
      </c>
      <c r="E856" s="134">
        <v>0</v>
      </c>
      <c r="F856" s="134">
        <v>0</v>
      </c>
      <c r="G856" s="135">
        <f t="shared" si="40"/>
        <v>1</v>
      </c>
      <c r="H856" s="136">
        <f t="shared" si="39"/>
        <v>7</v>
      </c>
      <c r="I856" s="137" t="str">
        <f t="shared" si="41"/>
        <v>J</v>
      </c>
    </row>
    <row r="857" spans="4:9" x14ac:dyDescent="0.25">
      <c r="D857" s="133">
        <v>0</v>
      </c>
      <c r="E857" s="134">
        <v>0</v>
      </c>
      <c r="F857" s="134">
        <v>0</v>
      </c>
      <c r="G857" s="135">
        <f t="shared" si="40"/>
        <v>1</v>
      </c>
      <c r="H857" s="136">
        <f t="shared" si="39"/>
        <v>7</v>
      </c>
      <c r="I857" s="137" t="str">
        <f t="shared" si="41"/>
        <v>J</v>
      </c>
    </row>
    <row r="858" spans="4:9" x14ac:dyDescent="0.25">
      <c r="D858" s="133">
        <v>0</v>
      </c>
      <c r="E858" s="134">
        <v>0</v>
      </c>
      <c r="F858" s="134">
        <v>0</v>
      </c>
      <c r="G858" s="135">
        <f t="shared" si="40"/>
        <v>1</v>
      </c>
      <c r="H858" s="136">
        <f t="shared" si="39"/>
        <v>7</v>
      </c>
      <c r="I858" s="137" t="str">
        <f t="shared" si="41"/>
        <v>J</v>
      </c>
    </row>
    <row r="859" spans="4:9" x14ac:dyDescent="0.25">
      <c r="D859" s="133">
        <v>0</v>
      </c>
      <c r="E859" s="134">
        <v>0</v>
      </c>
      <c r="F859" s="134">
        <v>0</v>
      </c>
      <c r="G859" s="135">
        <f t="shared" si="40"/>
        <v>1</v>
      </c>
      <c r="H859" s="136">
        <f t="shared" si="39"/>
        <v>7</v>
      </c>
      <c r="I859" s="137" t="str">
        <f t="shared" si="41"/>
        <v>J</v>
      </c>
    </row>
    <row r="860" spans="4:9" x14ac:dyDescent="0.25">
      <c r="D860" s="133">
        <v>0</v>
      </c>
      <c r="E860" s="134">
        <v>0</v>
      </c>
      <c r="F860" s="134">
        <v>0</v>
      </c>
      <c r="G860" s="135">
        <f t="shared" si="40"/>
        <v>1</v>
      </c>
      <c r="H860" s="136">
        <f t="shared" si="39"/>
        <v>7</v>
      </c>
      <c r="I860" s="137" t="str">
        <f t="shared" si="41"/>
        <v>J</v>
      </c>
    </row>
    <row r="861" spans="4:9" x14ac:dyDescent="0.25">
      <c r="D861" s="133">
        <v>0</v>
      </c>
      <c r="E861" s="134">
        <v>0</v>
      </c>
      <c r="F861" s="134">
        <v>0</v>
      </c>
      <c r="G861" s="135">
        <f t="shared" si="40"/>
        <v>1</v>
      </c>
      <c r="H861" s="136">
        <f t="shared" si="39"/>
        <v>7</v>
      </c>
      <c r="I861" s="137" t="str">
        <f t="shared" si="41"/>
        <v>J</v>
      </c>
    </row>
    <row r="862" spans="4:9" x14ac:dyDescent="0.25">
      <c r="D862" s="133">
        <v>0</v>
      </c>
      <c r="E862" s="134">
        <v>0</v>
      </c>
      <c r="F862" s="134">
        <v>0</v>
      </c>
      <c r="G862" s="135">
        <f t="shared" si="40"/>
        <v>1</v>
      </c>
      <c r="H862" s="136">
        <f t="shared" si="39"/>
        <v>7</v>
      </c>
      <c r="I862" s="137" t="str">
        <f t="shared" si="41"/>
        <v>J</v>
      </c>
    </row>
    <row r="863" spans="4:9" x14ac:dyDescent="0.25">
      <c r="D863" s="133">
        <v>0</v>
      </c>
      <c r="E863" s="134">
        <v>0</v>
      </c>
      <c r="F863" s="134">
        <v>0</v>
      </c>
      <c r="G863" s="135">
        <f t="shared" si="40"/>
        <v>1</v>
      </c>
      <c r="H863" s="136">
        <f t="shared" si="39"/>
        <v>7</v>
      </c>
      <c r="I863" s="137" t="str">
        <f t="shared" si="41"/>
        <v>J</v>
      </c>
    </row>
    <row r="864" spans="4:9" x14ac:dyDescent="0.25">
      <c r="D864" s="133">
        <v>0</v>
      </c>
      <c r="E864" s="134">
        <v>0</v>
      </c>
      <c r="F864" s="134">
        <v>0</v>
      </c>
      <c r="G864" s="135">
        <f t="shared" si="40"/>
        <v>1</v>
      </c>
      <c r="H864" s="136">
        <f t="shared" si="39"/>
        <v>7</v>
      </c>
      <c r="I864" s="137" t="str">
        <f t="shared" si="41"/>
        <v>J</v>
      </c>
    </row>
    <row r="865" spans="4:9" x14ac:dyDescent="0.25">
      <c r="D865" s="133">
        <v>0</v>
      </c>
      <c r="E865" s="134">
        <v>0</v>
      </c>
      <c r="F865" s="134">
        <v>0</v>
      </c>
      <c r="G865" s="135">
        <f t="shared" si="40"/>
        <v>1</v>
      </c>
      <c r="H865" s="136">
        <f t="shared" si="39"/>
        <v>7</v>
      </c>
      <c r="I865" s="137" t="str">
        <f t="shared" si="41"/>
        <v>J</v>
      </c>
    </row>
    <row r="866" spans="4:9" x14ac:dyDescent="0.25">
      <c r="D866" s="133">
        <v>0</v>
      </c>
      <c r="E866" s="134">
        <v>0</v>
      </c>
      <c r="F866" s="134">
        <v>0</v>
      </c>
      <c r="G866" s="135">
        <f t="shared" si="40"/>
        <v>1</v>
      </c>
      <c r="H866" s="136">
        <f t="shared" si="39"/>
        <v>7</v>
      </c>
      <c r="I866" s="137" t="str">
        <f t="shared" si="41"/>
        <v>J</v>
      </c>
    </row>
    <row r="867" spans="4:9" x14ac:dyDescent="0.25">
      <c r="D867" s="133">
        <v>0</v>
      </c>
      <c r="E867" s="134">
        <v>0</v>
      </c>
      <c r="F867" s="134">
        <v>0</v>
      </c>
      <c r="G867" s="135">
        <f t="shared" si="40"/>
        <v>1</v>
      </c>
      <c r="H867" s="136">
        <f t="shared" si="39"/>
        <v>7</v>
      </c>
      <c r="I867" s="137" t="str">
        <f t="shared" si="41"/>
        <v>J</v>
      </c>
    </row>
    <row r="868" spans="4:9" x14ac:dyDescent="0.25">
      <c r="D868" s="133">
        <v>0</v>
      </c>
      <c r="E868" s="134">
        <v>0</v>
      </c>
      <c r="F868" s="134">
        <v>0</v>
      </c>
      <c r="G868" s="135">
        <f t="shared" si="40"/>
        <v>1</v>
      </c>
      <c r="H868" s="136">
        <f t="shared" si="39"/>
        <v>7</v>
      </c>
      <c r="I868" s="137" t="str">
        <f t="shared" si="41"/>
        <v>J</v>
      </c>
    </row>
    <row r="869" spans="4:9" x14ac:dyDescent="0.25">
      <c r="D869" s="133">
        <v>0</v>
      </c>
      <c r="E869" s="134">
        <v>0</v>
      </c>
      <c r="F869" s="134">
        <v>0</v>
      </c>
      <c r="G869" s="135">
        <f t="shared" si="40"/>
        <v>1</v>
      </c>
      <c r="H869" s="136">
        <f t="shared" si="39"/>
        <v>7</v>
      </c>
      <c r="I869" s="137" t="str">
        <f t="shared" si="41"/>
        <v>J</v>
      </c>
    </row>
    <row r="870" spans="4:9" x14ac:dyDescent="0.25">
      <c r="D870" s="133">
        <v>0</v>
      </c>
      <c r="E870" s="134">
        <v>0</v>
      </c>
      <c r="F870" s="134">
        <v>0</v>
      </c>
      <c r="G870" s="135">
        <f t="shared" si="40"/>
        <v>1</v>
      </c>
      <c r="H870" s="136">
        <f t="shared" si="39"/>
        <v>7</v>
      </c>
      <c r="I870" s="137" t="str">
        <f t="shared" si="41"/>
        <v>J</v>
      </c>
    </row>
    <row r="871" spans="4:9" x14ac:dyDescent="0.25">
      <c r="D871" s="133">
        <v>0</v>
      </c>
      <c r="E871" s="134">
        <v>0</v>
      </c>
      <c r="F871" s="134">
        <v>0</v>
      </c>
      <c r="G871" s="135">
        <f t="shared" si="40"/>
        <v>1</v>
      </c>
      <c r="H871" s="136">
        <f t="shared" si="39"/>
        <v>7</v>
      </c>
      <c r="I871" s="137" t="str">
        <f t="shared" si="41"/>
        <v>J</v>
      </c>
    </row>
    <row r="872" spans="4:9" x14ac:dyDescent="0.25">
      <c r="D872" s="133">
        <v>0</v>
      </c>
      <c r="E872" s="134">
        <v>0</v>
      </c>
      <c r="F872" s="134">
        <v>0</v>
      </c>
      <c r="G872" s="135">
        <f t="shared" si="40"/>
        <v>1</v>
      </c>
      <c r="H872" s="136">
        <f t="shared" si="39"/>
        <v>7</v>
      </c>
      <c r="I872" s="137" t="str">
        <f t="shared" si="41"/>
        <v>J</v>
      </c>
    </row>
    <row r="873" spans="4:9" x14ac:dyDescent="0.25">
      <c r="D873" s="133">
        <v>0</v>
      </c>
      <c r="E873" s="134">
        <v>0</v>
      </c>
      <c r="F873" s="134">
        <v>0</v>
      </c>
      <c r="G873" s="135">
        <f t="shared" si="40"/>
        <v>1</v>
      </c>
      <c r="H873" s="136">
        <f t="shared" si="39"/>
        <v>7</v>
      </c>
      <c r="I873" s="137" t="str">
        <f t="shared" si="41"/>
        <v>J</v>
      </c>
    </row>
    <row r="874" spans="4:9" x14ac:dyDescent="0.25">
      <c r="D874" s="133">
        <v>0</v>
      </c>
      <c r="E874" s="134">
        <v>0</v>
      </c>
      <c r="F874" s="134">
        <v>0</v>
      </c>
      <c r="G874" s="135">
        <f t="shared" si="40"/>
        <v>1</v>
      </c>
      <c r="H874" s="136">
        <f t="shared" si="39"/>
        <v>7</v>
      </c>
      <c r="I874" s="137" t="str">
        <f t="shared" si="41"/>
        <v>J</v>
      </c>
    </row>
    <row r="875" spans="4:9" x14ac:dyDescent="0.25">
      <c r="D875" s="133">
        <v>0</v>
      </c>
      <c r="E875" s="134">
        <v>0</v>
      </c>
      <c r="F875" s="134">
        <v>0</v>
      </c>
      <c r="G875" s="135">
        <f t="shared" si="40"/>
        <v>1</v>
      </c>
      <c r="H875" s="136">
        <f t="shared" si="39"/>
        <v>7</v>
      </c>
      <c r="I875" s="137" t="str">
        <f t="shared" si="41"/>
        <v>J</v>
      </c>
    </row>
    <row r="876" spans="4:9" x14ac:dyDescent="0.25">
      <c r="D876" s="133">
        <v>0</v>
      </c>
      <c r="E876" s="134">
        <v>0</v>
      </c>
      <c r="F876" s="134">
        <v>0</v>
      </c>
      <c r="G876" s="135">
        <f t="shared" si="40"/>
        <v>1</v>
      </c>
      <c r="H876" s="136">
        <f t="shared" si="39"/>
        <v>7</v>
      </c>
      <c r="I876" s="137" t="str">
        <f t="shared" si="41"/>
        <v>J</v>
      </c>
    </row>
    <row r="877" spans="4:9" x14ac:dyDescent="0.25">
      <c r="D877" s="133">
        <v>0</v>
      </c>
      <c r="E877" s="134">
        <v>0</v>
      </c>
      <c r="F877" s="134">
        <v>0</v>
      </c>
      <c r="G877" s="135">
        <f t="shared" si="40"/>
        <v>1</v>
      </c>
      <c r="H877" s="136">
        <f t="shared" si="39"/>
        <v>7</v>
      </c>
      <c r="I877" s="137" t="str">
        <f t="shared" si="41"/>
        <v>J</v>
      </c>
    </row>
    <row r="878" spans="4:9" x14ac:dyDescent="0.25">
      <c r="D878" s="133">
        <v>0</v>
      </c>
      <c r="E878" s="134">
        <v>0</v>
      </c>
      <c r="F878" s="134">
        <v>0</v>
      </c>
      <c r="G878" s="135">
        <f t="shared" si="40"/>
        <v>1</v>
      </c>
      <c r="H878" s="136">
        <f t="shared" si="39"/>
        <v>7</v>
      </c>
      <c r="I878" s="137" t="str">
        <f t="shared" si="41"/>
        <v>J</v>
      </c>
    </row>
    <row r="879" spans="4:9" x14ac:dyDescent="0.25">
      <c r="D879" s="133">
        <v>0</v>
      </c>
      <c r="E879" s="134">
        <v>0</v>
      </c>
      <c r="F879" s="134">
        <v>0</v>
      </c>
      <c r="G879" s="135">
        <f t="shared" si="40"/>
        <v>1</v>
      </c>
      <c r="H879" s="136">
        <f t="shared" si="39"/>
        <v>7</v>
      </c>
      <c r="I879" s="137" t="str">
        <f t="shared" si="41"/>
        <v>J</v>
      </c>
    </row>
    <row r="880" spans="4:9" x14ac:dyDescent="0.25">
      <c r="D880" s="133">
        <v>0</v>
      </c>
      <c r="E880" s="134">
        <v>0</v>
      </c>
      <c r="F880" s="134">
        <v>0</v>
      </c>
      <c r="G880" s="135">
        <f t="shared" si="40"/>
        <v>1</v>
      </c>
      <c r="H880" s="136">
        <f t="shared" si="39"/>
        <v>7</v>
      </c>
      <c r="I880" s="137" t="str">
        <f t="shared" si="41"/>
        <v>J</v>
      </c>
    </row>
    <row r="881" spans="4:9" x14ac:dyDescent="0.25">
      <c r="D881" s="133">
        <v>0</v>
      </c>
      <c r="E881" s="134">
        <v>0</v>
      </c>
      <c r="F881" s="134">
        <v>0</v>
      </c>
      <c r="G881" s="135">
        <f t="shared" si="40"/>
        <v>1</v>
      </c>
      <c r="H881" s="136">
        <f t="shared" si="39"/>
        <v>7</v>
      </c>
      <c r="I881" s="137" t="str">
        <f t="shared" si="41"/>
        <v>J</v>
      </c>
    </row>
    <row r="882" spans="4:9" x14ac:dyDescent="0.25">
      <c r="D882" s="133">
        <v>0</v>
      </c>
      <c r="E882" s="134">
        <v>0</v>
      </c>
      <c r="F882" s="134">
        <v>0</v>
      </c>
      <c r="G882" s="135">
        <f t="shared" si="40"/>
        <v>1</v>
      </c>
      <c r="H882" s="136">
        <f t="shared" si="39"/>
        <v>7</v>
      </c>
      <c r="I882" s="137" t="str">
        <f t="shared" si="41"/>
        <v>J</v>
      </c>
    </row>
    <row r="883" spans="4:9" x14ac:dyDescent="0.25">
      <c r="D883" s="133">
        <v>0</v>
      </c>
      <c r="E883" s="134">
        <v>0</v>
      </c>
      <c r="F883" s="134">
        <v>0</v>
      </c>
      <c r="G883" s="135">
        <f t="shared" si="40"/>
        <v>1</v>
      </c>
      <c r="H883" s="136">
        <f t="shared" si="39"/>
        <v>7</v>
      </c>
      <c r="I883" s="137" t="str">
        <f t="shared" si="41"/>
        <v>J</v>
      </c>
    </row>
    <row r="884" spans="4:9" x14ac:dyDescent="0.25">
      <c r="D884" s="133">
        <v>0</v>
      </c>
      <c r="E884" s="134">
        <v>0</v>
      </c>
      <c r="F884" s="134">
        <v>0</v>
      </c>
      <c r="G884" s="135">
        <f t="shared" si="40"/>
        <v>1</v>
      </c>
      <c r="H884" s="136">
        <f t="shared" si="39"/>
        <v>7</v>
      </c>
      <c r="I884" s="137" t="str">
        <f t="shared" si="41"/>
        <v>J</v>
      </c>
    </row>
    <row r="885" spans="4:9" x14ac:dyDescent="0.25">
      <c r="D885" s="133">
        <v>0</v>
      </c>
      <c r="E885" s="134">
        <v>0</v>
      </c>
      <c r="F885" s="134">
        <v>0</v>
      </c>
      <c r="G885" s="135">
        <f t="shared" si="40"/>
        <v>1</v>
      </c>
      <c r="H885" s="136">
        <f t="shared" si="39"/>
        <v>7</v>
      </c>
      <c r="I885" s="137" t="str">
        <f t="shared" si="41"/>
        <v>J</v>
      </c>
    </row>
    <row r="886" spans="4:9" x14ac:dyDescent="0.25">
      <c r="D886" s="133">
        <v>0</v>
      </c>
      <c r="E886" s="134">
        <v>0</v>
      </c>
      <c r="F886" s="134">
        <v>0</v>
      </c>
      <c r="G886" s="135">
        <f t="shared" si="40"/>
        <v>1</v>
      </c>
      <c r="H886" s="136">
        <f t="shared" si="39"/>
        <v>7</v>
      </c>
      <c r="I886" s="137" t="str">
        <f t="shared" si="41"/>
        <v>J</v>
      </c>
    </row>
    <row r="887" spans="4:9" x14ac:dyDescent="0.25">
      <c r="D887" s="133">
        <v>0</v>
      </c>
      <c r="E887" s="134">
        <v>0</v>
      </c>
      <c r="F887" s="134">
        <v>0</v>
      </c>
      <c r="G887" s="135">
        <f t="shared" si="40"/>
        <v>1</v>
      </c>
      <c r="H887" s="136">
        <f t="shared" si="39"/>
        <v>7</v>
      </c>
      <c r="I887" s="137" t="str">
        <f t="shared" si="41"/>
        <v>J</v>
      </c>
    </row>
    <row r="888" spans="4:9" x14ac:dyDescent="0.25">
      <c r="D888" s="133">
        <v>0</v>
      </c>
      <c r="E888" s="134">
        <v>0</v>
      </c>
      <c r="F888" s="134">
        <v>0</v>
      </c>
      <c r="G888" s="135">
        <f t="shared" si="40"/>
        <v>1</v>
      </c>
      <c r="H888" s="136">
        <f t="shared" si="39"/>
        <v>7</v>
      </c>
      <c r="I888" s="137" t="str">
        <f t="shared" si="41"/>
        <v>J</v>
      </c>
    </row>
    <row r="889" spans="4:9" x14ac:dyDescent="0.25">
      <c r="D889" s="133">
        <v>0</v>
      </c>
      <c r="E889" s="134">
        <v>0</v>
      </c>
      <c r="F889" s="134">
        <v>0</v>
      </c>
      <c r="G889" s="135">
        <f t="shared" si="40"/>
        <v>1</v>
      </c>
      <c r="H889" s="136">
        <f t="shared" si="39"/>
        <v>7</v>
      </c>
      <c r="I889" s="137" t="str">
        <f t="shared" si="41"/>
        <v>J</v>
      </c>
    </row>
    <row r="890" spans="4:9" x14ac:dyDescent="0.25">
      <c r="D890" s="133">
        <v>0</v>
      </c>
      <c r="E890" s="134">
        <v>0</v>
      </c>
      <c r="F890" s="134">
        <v>0</v>
      </c>
      <c r="G890" s="135">
        <f t="shared" si="40"/>
        <v>1</v>
      </c>
      <c r="H890" s="136">
        <f t="shared" si="39"/>
        <v>7</v>
      </c>
      <c r="I890" s="137" t="str">
        <f t="shared" si="41"/>
        <v>J</v>
      </c>
    </row>
    <row r="891" spans="4:9" x14ac:dyDescent="0.25">
      <c r="D891" s="133">
        <v>0</v>
      </c>
      <c r="E891" s="134">
        <v>0</v>
      </c>
      <c r="F891" s="134">
        <v>0</v>
      </c>
      <c r="G891" s="135">
        <f t="shared" si="40"/>
        <v>1</v>
      </c>
      <c r="H891" s="136">
        <f t="shared" si="39"/>
        <v>7</v>
      </c>
      <c r="I891" s="137" t="str">
        <f t="shared" si="41"/>
        <v>J</v>
      </c>
    </row>
    <row r="892" spans="4:9" x14ac:dyDescent="0.25">
      <c r="D892" s="133">
        <v>0</v>
      </c>
      <c r="E892" s="134">
        <v>0</v>
      </c>
      <c r="F892" s="134">
        <v>0</v>
      </c>
      <c r="G892" s="135">
        <f t="shared" si="40"/>
        <v>1</v>
      </c>
      <c r="H892" s="136">
        <f t="shared" si="39"/>
        <v>7</v>
      </c>
      <c r="I892" s="137" t="str">
        <f t="shared" si="41"/>
        <v>J</v>
      </c>
    </row>
    <row r="893" spans="4:9" x14ac:dyDescent="0.25">
      <c r="D893" s="133">
        <v>0</v>
      </c>
      <c r="E893" s="134">
        <v>0</v>
      </c>
      <c r="F893" s="134">
        <v>0</v>
      </c>
      <c r="G893" s="135">
        <f t="shared" si="40"/>
        <v>1</v>
      </c>
      <c r="H893" s="136">
        <f t="shared" si="39"/>
        <v>7</v>
      </c>
      <c r="I893" s="137" t="str">
        <f t="shared" si="41"/>
        <v>J</v>
      </c>
    </row>
    <row r="894" spans="4:9" x14ac:dyDescent="0.25">
      <c r="D894" s="133">
        <v>0</v>
      </c>
      <c r="E894" s="134">
        <v>0</v>
      </c>
      <c r="F894" s="134">
        <v>0</v>
      </c>
      <c r="G894" s="135">
        <f t="shared" si="40"/>
        <v>1</v>
      </c>
      <c r="H894" s="136">
        <f t="shared" si="39"/>
        <v>7</v>
      </c>
      <c r="I894" s="137" t="str">
        <f t="shared" si="41"/>
        <v>J</v>
      </c>
    </row>
    <row r="895" spans="4:9" x14ac:dyDescent="0.25">
      <c r="D895" s="133">
        <v>0</v>
      </c>
      <c r="E895" s="134">
        <v>0</v>
      </c>
      <c r="F895" s="134">
        <v>0</v>
      </c>
      <c r="G895" s="135">
        <f t="shared" si="40"/>
        <v>1</v>
      </c>
      <c r="H895" s="136">
        <f t="shared" si="39"/>
        <v>7</v>
      </c>
      <c r="I895" s="137" t="str">
        <f t="shared" si="41"/>
        <v>J</v>
      </c>
    </row>
    <row r="896" spans="4:9" x14ac:dyDescent="0.25">
      <c r="D896" s="133">
        <v>0</v>
      </c>
      <c r="E896" s="134">
        <v>0</v>
      </c>
      <c r="F896" s="134">
        <v>0</v>
      </c>
      <c r="G896" s="135">
        <f t="shared" si="40"/>
        <v>1</v>
      </c>
      <c r="H896" s="136">
        <f t="shared" si="39"/>
        <v>7</v>
      </c>
      <c r="I896" s="137" t="str">
        <f t="shared" si="41"/>
        <v>J</v>
      </c>
    </row>
    <row r="897" spans="4:9" x14ac:dyDescent="0.25">
      <c r="D897" s="133">
        <v>0</v>
      </c>
      <c r="E897" s="134">
        <v>0</v>
      </c>
      <c r="F897" s="134">
        <v>0</v>
      </c>
      <c r="G897" s="135">
        <f t="shared" si="40"/>
        <v>1</v>
      </c>
      <c r="H897" s="136">
        <f t="shared" si="39"/>
        <v>7</v>
      </c>
      <c r="I897" s="137" t="str">
        <f t="shared" si="41"/>
        <v>J</v>
      </c>
    </row>
    <row r="898" spans="4:9" x14ac:dyDescent="0.25">
      <c r="D898" s="133">
        <v>0</v>
      </c>
      <c r="E898" s="134">
        <v>0</v>
      </c>
      <c r="F898" s="134">
        <v>0</v>
      </c>
      <c r="G898" s="135">
        <f t="shared" si="40"/>
        <v>1</v>
      </c>
      <c r="H898" s="136">
        <f t="shared" ref="H898:H961" si="42">VLOOKUP($G898, $Q$3:$R$12, 2)</f>
        <v>7</v>
      </c>
      <c r="I898" s="137" t="str">
        <f t="shared" si="41"/>
        <v>J</v>
      </c>
    </row>
    <row r="899" spans="4:9" x14ac:dyDescent="0.25">
      <c r="D899" s="133">
        <v>0</v>
      </c>
      <c r="E899" s="134">
        <v>0</v>
      </c>
      <c r="F899" s="134">
        <v>0</v>
      </c>
      <c r="G899" s="135">
        <f t="shared" ref="G899:G962" si="43">(VLOOKUP($D899,$L$3:$O$15,4))+(VLOOKUP($E899,$M$3:$O$15,3))-(VLOOKUP($F899,$N$3:$O$15,2))</f>
        <v>1</v>
      </c>
      <c r="H899" s="136">
        <f t="shared" si="42"/>
        <v>7</v>
      </c>
      <c r="I899" s="137" t="str">
        <f t="shared" ref="I899:I962" si="44">IF(AND((SUM(D899:F899)=0),B899=0), "J", VLOOKUP($H899, $Q$16:$R$25, 2))</f>
        <v>J</v>
      </c>
    </row>
    <row r="900" spans="4:9" x14ac:dyDescent="0.25">
      <c r="D900" s="133">
        <v>0</v>
      </c>
      <c r="E900" s="134">
        <v>0</v>
      </c>
      <c r="F900" s="134">
        <v>0</v>
      </c>
      <c r="G900" s="135">
        <f t="shared" si="43"/>
        <v>1</v>
      </c>
      <c r="H900" s="136">
        <f t="shared" si="42"/>
        <v>7</v>
      </c>
      <c r="I900" s="137" t="str">
        <f t="shared" si="44"/>
        <v>J</v>
      </c>
    </row>
    <row r="901" spans="4:9" x14ac:dyDescent="0.25">
      <c r="D901" s="133">
        <v>0</v>
      </c>
      <c r="E901" s="134">
        <v>0</v>
      </c>
      <c r="F901" s="134">
        <v>0</v>
      </c>
      <c r="G901" s="135">
        <f t="shared" si="43"/>
        <v>1</v>
      </c>
      <c r="H901" s="136">
        <f t="shared" si="42"/>
        <v>7</v>
      </c>
      <c r="I901" s="137" t="str">
        <f t="shared" si="44"/>
        <v>J</v>
      </c>
    </row>
    <row r="902" spans="4:9" x14ac:dyDescent="0.25">
      <c r="D902" s="133">
        <v>0</v>
      </c>
      <c r="E902" s="134">
        <v>0</v>
      </c>
      <c r="F902" s="134">
        <v>0</v>
      </c>
      <c r="G902" s="135">
        <f t="shared" si="43"/>
        <v>1</v>
      </c>
      <c r="H902" s="136">
        <f t="shared" si="42"/>
        <v>7</v>
      </c>
      <c r="I902" s="137" t="str">
        <f t="shared" si="44"/>
        <v>J</v>
      </c>
    </row>
    <row r="903" spans="4:9" x14ac:dyDescent="0.25">
      <c r="D903" s="133">
        <v>0</v>
      </c>
      <c r="E903" s="134">
        <v>0</v>
      </c>
      <c r="F903" s="134">
        <v>0</v>
      </c>
      <c r="G903" s="135">
        <f t="shared" si="43"/>
        <v>1</v>
      </c>
      <c r="H903" s="136">
        <f t="shared" si="42"/>
        <v>7</v>
      </c>
      <c r="I903" s="137" t="str">
        <f t="shared" si="44"/>
        <v>J</v>
      </c>
    </row>
    <row r="904" spans="4:9" x14ac:dyDescent="0.25">
      <c r="D904" s="133">
        <v>0</v>
      </c>
      <c r="E904" s="134">
        <v>0</v>
      </c>
      <c r="F904" s="134">
        <v>0</v>
      </c>
      <c r="G904" s="135">
        <f t="shared" si="43"/>
        <v>1</v>
      </c>
      <c r="H904" s="136">
        <f t="shared" si="42"/>
        <v>7</v>
      </c>
      <c r="I904" s="137" t="str">
        <f t="shared" si="44"/>
        <v>J</v>
      </c>
    </row>
    <row r="905" spans="4:9" x14ac:dyDescent="0.25">
      <c r="D905" s="133">
        <v>0</v>
      </c>
      <c r="E905" s="134">
        <v>0</v>
      </c>
      <c r="F905" s="134">
        <v>0</v>
      </c>
      <c r="G905" s="135">
        <f t="shared" si="43"/>
        <v>1</v>
      </c>
      <c r="H905" s="136">
        <f t="shared" si="42"/>
        <v>7</v>
      </c>
      <c r="I905" s="137" t="str">
        <f t="shared" si="44"/>
        <v>J</v>
      </c>
    </row>
    <row r="906" spans="4:9" x14ac:dyDescent="0.25">
      <c r="D906" s="133">
        <v>0</v>
      </c>
      <c r="E906" s="134">
        <v>0</v>
      </c>
      <c r="F906" s="134">
        <v>0</v>
      </c>
      <c r="G906" s="135">
        <f t="shared" si="43"/>
        <v>1</v>
      </c>
      <c r="H906" s="136">
        <f t="shared" si="42"/>
        <v>7</v>
      </c>
      <c r="I906" s="137" t="str">
        <f t="shared" si="44"/>
        <v>J</v>
      </c>
    </row>
    <row r="907" spans="4:9" x14ac:dyDescent="0.25">
      <c r="D907" s="133">
        <v>0</v>
      </c>
      <c r="E907" s="134">
        <v>0</v>
      </c>
      <c r="F907" s="134">
        <v>0</v>
      </c>
      <c r="G907" s="135">
        <f t="shared" si="43"/>
        <v>1</v>
      </c>
      <c r="H907" s="136">
        <f t="shared" si="42"/>
        <v>7</v>
      </c>
      <c r="I907" s="137" t="str">
        <f t="shared" si="44"/>
        <v>J</v>
      </c>
    </row>
    <row r="908" spans="4:9" x14ac:dyDescent="0.25">
      <c r="D908" s="133">
        <v>0</v>
      </c>
      <c r="E908" s="134">
        <v>0</v>
      </c>
      <c r="F908" s="134">
        <v>0</v>
      </c>
      <c r="G908" s="135">
        <f t="shared" si="43"/>
        <v>1</v>
      </c>
      <c r="H908" s="136">
        <f t="shared" si="42"/>
        <v>7</v>
      </c>
      <c r="I908" s="137" t="str">
        <f t="shared" si="44"/>
        <v>J</v>
      </c>
    </row>
    <row r="909" spans="4:9" x14ac:dyDescent="0.25">
      <c r="D909" s="133">
        <v>0</v>
      </c>
      <c r="E909" s="134">
        <v>0</v>
      </c>
      <c r="F909" s="134">
        <v>0</v>
      </c>
      <c r="G909" s="135">
        <f t="shared" si="43"/>
        <v>1</v>
      </c>
      <c r="H909" s="136">
        <f t="shared" si="42"/>
        <v>7</v>
      </c>
      <c r="I909" s="137" t="str">
        <f t="shared" si="44"/>
        <v>J</v>
      </c>
    </row>
    <row r="910" spans="4:9" x14ac:dyDescent="0.25">
      <c r="D910" s="133">
        <v>0</v>
      </c>
      <c r="E910" s="134">
        <v>0</v>
      </c>
      <c r="F910" s="134">
        <v>0</v>
      </c>
      <c r="G910" s="135">
        <f t="shared" si="43"/>
        <v>1</v>
      </c>
      <c r="H910" s="136">
        <f t="shared" si="42"/>
        <v>7</v>
      </c>
      <c r="I910" s="137" t="str">
        <f t="shared" si="44"/>
        <v>J</v>
      </c>
    </row>
    <row r="911" spans="4:9" x14ac:dyDescent="0.25">
      <c r="D911" s="133">
        <v>0</v>
      </c>
      <c r="E911" s="134">
        <v>0</v>
      </c>
      <c r="F911" s="134">
        <v>0</v>
      </c>
      <c r="G911" s="135">
        <f t="shared" si="43"/>
        <v>1</v>
      </c>
      <c r="H911" s="136">
        <f t="shared" si="42"/>
        <v>7</v>
      </c>
      <c r="I911" s="137" t="str">
        <f t="shared" si="44"/>
        <v>J</v>
      </c>
    </row>
    <row r="912" spans="4:9" x14ac:dyDescent="0.25">
      <c r="D912" s="133">
        <v>0</v>
      </c>
      <c r="E912" s="134">
        <v>0</v>
      </c>
      <c r="F912" s="134">
        <v>0</v>
      </c>
      <c r="G912" s="135">
        <f t="shared" si="43"/>
        <v>1</v>
      </c>
      <c r="H912" s="136">
        <f t="shared" si="42"/>
        <v>7</v>
      </c>
      <c r="I912" s="137" t="str">
        <f t="shared" si="44"/>
        <v>J</v>
      </c>
    </row>
    <row r="913" spans="4:9" x14ac:dyDescent="0.25">
      <c r="D913" s="133">
        <v>0</v>
      </c>
      <c r="E913" s="134">
        <v>0</v>
      </c>
      <c r="F913" s="134">
        <v>0</v>
      </c>
      <c r="G913" s="135">
        <f t="shared" si="43"/>
        <v>1</v>
      </c>
      <c r="H913" s="136">
        <f t="shared" si="42"/>
        <v>7</v>
      </c>
      <c r="I913" s="137" t="str">
        <f t="shared" si="44"/>
        <v>J</v>
      </c>
    </row>
    <row r="914" spans="4:9" x14ac:dyDescent="0.25">
      <c r="D914" s="133">
        <v>0</v>
      </c>
      <c r="E914" s="134">
        <v>0</v>
      </c>
      <c r="F914" s="134">
        <v>0</v>
      </c>
      <c r="G914" s="135">
        <f t="shared" si="43"/>
        <v>1</v>
      </c>
      <c r="H914" s="136">
        <f t="shared" si="42"/>
        <v>7</v>
      </c>
      <c r="I914" s="137" t="str">
        <f t="shared" si="44"/>
        <v>J</v>
      </c>
    </row>
    <row r="915" spans="4:9" x14ac:dyDescent="0.25">
      <c r="D915" s="133">
        <v>0</v>
      </c>
      <c r="E915" s="134">
        <v>0</v>
      </c>
      <c r="F915" s="134">
        <v>0</v>
      </c>
      <c r="G915" s="135">
        <f t="shared" si="43"/>
        <v>1</v>
      </c>
      <c r="H915" s="136">
        <f t="shared" si="42"/>
        <v>7</v>
      </c>
      <c r="I915" s="137" t="str">
        <f t="shared" si="44"/>
        <v>J</v>
      </c>
    </row>
    <row r="916" spans="4:9" x14ac:dyDescent="0.25">
      <c r="D916" s="133">
        <v>0</v>
      </c>
      <c r="E916" s="134">
        <v>0</v>
      </c>
      <c r="F916" s="134">
        <v>0</v>
      </c>
      <c r="G916" s="135">
        <f t="shared" si="43"/>
        <v>1</v>
      </c>
      <c r="H916" s="136">
        <f t="shared" si="42"/>
        <v>7</v>
      </c>
      <c r="I916" s="137" t="str">
        <f t="shared" si="44"/>
        <v>J</v>
      </c>
    </row>
    <row r="917" spans="4:9" x14ac:dyDescent="0.25">
      <c r="D917" s="133">
        <v>0</v>
      </c>
      <c r="E917" s="134">
        <v>0</v>
      </c>
      <c r="F917" s="134">
        <v>0</v>
      </c>
      <c r="G917" s="135">
        <f t="shared" si="43"/>
        <v>1</v>
      </c>
      <c r="H917" s="136">
        <f t="shared" si="42"/>
        <v>7</v>
      </c>
      <c r="I917" s="137" t="str">
        <f t="shared" si="44"/>
        <v>J</v>
      </c>
    </row>
    <row r="918" spans="4:9" x14ac:dyDescent="0.25">
      <c r="D918" s="133">
        <v>0</v>
      </c>
      <c r="E918" s="134">
        <v>0</v>
      </c>
      <c r="F918" s="134">
        <v>0</v>
      </c>
      <c r="G918" s="135">
        <f t="shared" si="43"/>
        <v>1</v>
      </c>
      <c r="H918" s="136">
        <f t="shared" si="42"/>
        <v>7</v>
      </c>
      <c r="I918" s="137" t="str">
        <f t="shared" si="44"/>
        <v>J</v>
      </c>
    </row>
    <row r="919" spans="4:9" x14ac:dyDescent="0.25">
      <c r="D919" s="133">
        <v>0</v>
      </c>
      <c r="E919" s="134">
        <v>0</v>
      </c>
      <c r="F919" s="134">
        <v>0</v>
      </c>
      <c r="G919" s="135">
        <f t="shared" si="43"/>
        <v>1</v>
      </c>
      <c r="H919" s="136">
        <f t="shared" si="42"/>
        <v>7</v>
      </c>
      <c r="I919" s="137" t="str">
        <f t="shared" si="44"/>
        <v>J</v>
      </c>
    </row>
    <row r="920" spans="4:9" x14ac:dyDescent="0.25">
      <c r="D920" s="133">
        <v>0</v>
      </c>
      <c r="E920" s="134">
        <v>0</v>
      </c>
      <c r="F920" s="134">
        <v>0</v>
      </c>
      <c r="G920" s="135">
        <f t="shared" si="43"/>
        <v>1</v>
      </c>
      <c r="H920" s="136">
        <f t="shared" si="42"/>
        <v>7</v>
      </c>
      <c r="I920" s="137" t="str">
        <f t="shared" si="44"/>
        <v>J</v>
      </c>
    </row>
    <row r="921" spans="4:9" x14ac:dyDescent="0.25">
      <c r="D921" s="133">
        <v>0</v>
      </c>
      <c r="E921" s="134">
        <v>0</v>
      </c>
      <c r="F921" s="134">
        <v>0</v>
      </c>
      <c r="G921" s="135">
        <f t="shared" si="43"/>
        <v>1</v>
      </c>
      <c r="H921" s="136">
        <f t="shared" si="42"/>
        <v>7</v>
      </c>
      <c r="I921" s="137" t="str">
        <f t="shared" si="44"/>
        <v>J</v>
      </c>
    </row>
    <row r="922" spans="4:9" x14ac:dyDescent="0.25">
      <c r="D922" s="133">
        <v>0</v>
      </c>
      <c r="E922" s="134">
        <v>0</v>
      </c>
      <c r="F922" s="134">
        <v>0</v>
      </c>
      <c r="G922" s="135">
        <f t="shared" si="43"/>
        <v>1</v>
      </c>
      <c r="H922" s="136">
        <f t="shared" si="42"/>
        <v>7</v>
      </c>
      <c r="I922" s="137" t="str">
        <f t="shared" si="44"/>
        <v>J</v>
      </c>
    </row>
    <row r="923" spans="4:9" x14ac:dyDescent="0.25">
      <c r="D923" s="133">
        <v>0</v>
      </c>
      <c r="E923" s="134">
        <v>0</v>
      </c>
      <c r="F923" s="134">
        <v>0</v>
      </c>
      <c r="G923" s="135">
        <f t="shared" si="43"/>
        <v>1</v>
      </c>
      <c r="H923" s="136">
        <f t="shared" si="42"/>
        <v>7</v>
      </c>
      <c r="I923" s="137" t="str">
        <f t="shared" si="44"/>
        <v>J</v>
      </c>
    </row>
    <row r="924" spans="4:9" x14ac:dyDescent="0.25">
      <c r="D924" s="133">
        <v>0</v>
      </c>
      <c r="E924" s="134">
        <v>0</v>
      </c>
      <c r="F924" s="134">
        <v>0</v>
      </c>
      <c r="G924" s="135">
        <f t="shared" si="43"/>
        <v>1</v>
      </c>
      <c r="H924" s="136">
        <f t="shared" si="42"/>
        <v>7</v>
      </c>
      <c r="I924" s="137" t="str">
        <f t="shared" si="44"/>
        <v>J</v>
      </c>
    </row>
    <row r="925" spans="4:9" x14ac:dyDescent="0.25">
      <c r="D925" s="133">
        <v>0</v>
      </c>
      <c r="E925" s="134">
        <v>0</v>
      </c>
      <c r="F925" s="134">
        <v>0</v>
      </c>
      <c r="G925" s="135">
        <f t="shared" si="43"/>
        <v>1</v>
      </c>
      <c r="H925" s="136">
        <f t="shared" si="42"/>
        <v>7</v>
      </c>
      <c r="I925" s="137" t="str">
        <f t="shared" si="44"/>
        <v>J</v>
      </c>
    </row>
    <row r="926" spans="4:9" x14ac:dyDescent="0.25">
      <c r="D926" s="133">
        <v>0</v>
      </c>
      <c r="E926" s="134">
        <v>0</v>
      </c>
      <c r="F926" s="134">
        <v>0</v>
      </c>
      <c r="G926" s="135">
        <f t="shared" si="43"/>
        <v>1</v>
      </c>
      <c r="H926" s="136">
        <f t="shared" si="42"/>
        <v>7</v>
      </c>
      <c r="I926" s="137" t="str">
        <f t="shared" si="44"/>
        <v>J</v>
      </c>
    </row>
    <row r="927" spans="4:9" x14ac:dyDescent="0.25">
      <c r="D927" s="133">
        <v>0</v>
      </c>
      <c r="E927" s="134">
        <v>0</v>
      </c>
      <c r="F927" s="134">
        <v>0</v>
      </c>
      <c r="G927" s="135">
        <f t="shared" si="43"/>
        <v>1</v>
      </c>
      <c r="H927" s="136">
        <f t="shared" si="42"/>
        <v>7</v>
      </c>
      <c r="I927" s="137" t="str">
        <f t="shared" si="44"/>
        <v>J</v>
      </c>
    </row>
    <row r="928" spans="4:9" x14ac:dyDescent="0.25">
      <c r="D928" s="133">
        <v>0</v>
      </c>
      <c r="E928" s="134">
        <v>0</v>
      </c>
      <c r="F928" s="134">
        <v>0</v>
      </c>
      <c r="G928" s="135">
        <f t="shared" si="43"/>
        <v>1</v>
      </c>
      <c r="H928" s="136">
        <f t="shared" si="42"/>
        <v>7</v>
      </c>
      <c r="I928" s="137" t="str">
        <f t="shared" si="44"/>
        <v>J</v>
      </c>
    </row>
    <row r="929" spans="2:9" x14ac:dyDescent="0.25">
      <c r="B929" s="153"/>
      <c r="C929" s="154"/>
      <c r="D929" s="133">
        <v>0</v>
      </c>
      <c r="E929" s="134">
        <v>0</v>
      </c>
      <c r="F929" s="134">
        <v>0</v>
      </c>
      <c r="G929" s="135">
        <f t="shared" si="43"/>
        <v>1</v>
      </c>
      <c r="H929" s="136">
        <f t="shared" si="42"/>
        <v>7</v>
      </c>
      <c r="I929" s="137" t="str">
        <f t="shared" si="44"/>
        <v>J</v>
      </c>
    </row>
    <row r="930" spans="2:9" x14ac:dyDescent="0.25">
      <c r="D930" s="133">
        <v>0</v>
      </c>
      <c r="E930" s="134">
        <v>0</v>
      </c>
      <c r="F930" s="134">
        <v>0</v>
      </c>
      <c r="G930" s="135">
        <f t="shared" si="43"/>
        <v>1</v>
      </c>
      <c r="H930" s="136">
        <f t="shared" si="42"/>
        <v>7</v>
      </c>
      <c r="I930" s="137" t="str">
        <f t="shared" si="44"/>
        <v>J</v>
      </c>
    </row>
    <row r="931" spans="2:9" x14ac:dyDescent="0.25">
      <c r="D931" s="133">
        <v>0</v>
      </c>
      <c r="E931" s="134">
        <v>0</v>
      </c>
      <c r="F931" s="134">
        <v>0</v>
      </c>
      <c r="G931" s="135">
        <f t="shared" si="43"/>
        <v>1</v>
      </c>
      <c r="H931" s="136">
        <f t="shared" si="42"/>
        <v>7</v>
      </c>
      <c r="I931" s="137" t="str">
        <f t="shared" si="44"/>
        <v>J</v>
      </c>
    </row>
    <row r="932" spans="2:9" x14ac:dyDescent="0.25">
      <c r="D932" s="133">
        <v>0</v>
      </c>
      <c r="E932" s="134">
        <v>0</v>
      </c>
      <c r="F932" s="134">
        <v>0</v>
      </c>
      <c r="G932" s="135">
        <f t="shared" si="43"/>
        <v>1</v>
      </c>
      <c r="H932" s="136">
        <f t="shared" si="42"/>
        <v>7</v>
      </c>
      <c r="I932" s="137" t="str">
        <f t="shared" si="44"/>
        <v>J</v>
      </c>
    </row>
    <row r="933" spans="2:9" x14ac:dyDescent="0.25">
      <c r="D933" s="133">
        <v>0</v>
      </c>
      <c r="E933" s="134">
        <v>0</v>
      </c>
      <c r="F933" s="134">
        <v>0</v>
      </c>
      <c r="G933" s="135">
        <f t="shared" si="43"/>
        <v>1</v>
      </c>
      <c r="H933" s="136">
        <f t="shared" si="42"/>
        <v>7</v>
      </c>
      <c r="I933" s="137" t="str">
        <f t="shared" si="44"/>
        <v>J</v>
      </c>
    </row>
    <row r="934" spans="2:9" x14ac:dyDescent="0.25">
      <c r="D934" s="133">
        <v>0</v>
      </c>
      <c r="E934" s="134">
        <v>0</v>
      </c>
      <c r="F934" s="134">
        <v>0</v>
      </c>
      <c r="G934" s="135">
        <f t="shared" si="43"/>
        <v>1</v>
      </c>
      <c r="H934" s="136">
        <f t="shared" si="42"/>
        <v>7</v>
      </c>
      <c r="I934" s="137" t="str">
        <f t="shared" si="44"/>
        <v>J</v>
      </c>
    </row>
    <row r="935" spans="2:9" x14ac:dyDescent="0.25">
      <c r="D935" s="133">
        <v>0</v>
      </c>
      <c r="E935" s="134">
        <v>0</v>
      </c>
      <c r="F935" s="134">
        <v>0</v>
      </c>
      <c r="G935" s="135">
        <f t="shared" si="43"/>
        <v>1</v>
      </c>
      <c r="H935" s="136">
        <f t="shared" si="42"/>
        <v>7</v>
      </c>
      <c r="I935" s="137" t="str">
        <f t="shared" si="44"/>
        <v>J</v>
      </c>
    </row>
    <row r="936" spans="2:9" x14ac:dyDescent="0.25">
      <c r="D936" s="133">
        <v>0</v>
      </c>
      <c r="E936" s="134">
        <v>0</v>
      </c>
      <c r="F936" s="134">
        <v>0</v>
      </c>
      <c r="G936" s="135">
        <f t="shared" si="43"/>
        <v>1</v>
      </c>
      <c r="H936" s="136">
        <f t="shared" si="42"/>
        <v>7</v>
      </c>
      <c r="I936" s="137" t="str">
        <f t="shared" si="44"/>
        <v>J</v>
      </c>
    </row>
    <row r="937" spans="2:9" x14ac:dyDescent="0.25">
      <c r="D937" s="133">
        <v>0</v>
      </c>
      <c r="E937" s="134">
        <v>0</v>
      </c>
      <c r="F937" s="134">
        <v>0</v>
      </c>
      <c r="G937" s="135">
        <f t="shared" si="43"/>
        <v>1</v>
      </c>
      <c r="H937" s="136">
        <f t="shared" si="42"/>
        <v>7</v>
      </c>
      <c r="I937" s="137" t="str">
        <f t="shared" si="44"/>
        <v>J</v>
      </c>
    </row>
    <row r="938" spans="2:9" x14ac:dyDescent="0.25">
      <c r="D938" s="133">
        <v>0</v>
      </c>
      <c r="E938" s="134">
        <v>0</v>
      </c>
      <c r="F938" s="134">
        <v>0</v>
      </c>
      <c r="G938" s="135">
        <f t="shared" si="43"/>
        <v>1</v>
      </c>
      <c r="H938" s="136">
        <f t="shared" si="42"/>
        <v>7</v>
      </c>
      <c r="I938" s="137" t="str">
        <f t="shared" si="44"/>
        <v>J</v>
      </c>
    </row>
    <row r="939" spans="2:9" x14ac:dyDescent="0.25">
      <c r="D939" s="133">
        <v>0</v>
      </c>
      <c r="E939" s="134">
        <v>0</v>
      </c>
      <c r="F939" s="134">
        <v>0</v>
      </c>
      <c r="G939" s="135">
        <f t="shared" si="43"/>
        <v>1</v>
      </c>
      <c r="H939" s="136">
        <f t="shared" si="42"/>
        <v>7</v>
      </c>
      <c r="I939" s="137" t="str">
        <f t="shared" si="44"/>
        <v>J</v>
      </c>
    </row>
    <row r="940" spans="2:9" x14ac:dyDescent="0.25">
      <c r="D940" s="133">
        <v>0</v>
      </c>
      <c r="E940" s="134">
        <v>0</v>
      </c>
      <c r="F940" s="134">
        <v>0</v>
      </c>
      <c r="G940" s="135">
        <f t="shared" si="43"/>
        <v>1</v>
      </c>
      <c r="H940" s="136">
        <f t="shared" si="42"/>
        <v>7</v>
      </c>
      <c r="I940" s="137" t="str">
        <f t="shared" si="44"/>
        <v>J</v>
      </c>
    </row>
    <row r="941" spans="2:9" x14ac:dyDescent="0.25">
      <c r="D941" s="133">
        <v>0</v>
      </c>
      <c r="E941" s="134">
        <v>0</v>
      </c>
      <c r="F941" s="134">
        <v>0</v>
      </c>
      <c r="G941" s="135">
        <f t="shared" si="43"/>
        <v>1</v>
      </c>
      <c r="H941" s="136">
        <f t="shared" si="42"/>
        <v>7</v>
      </c>
      <c r="I941" s="137" t="str">
        <f t="shared" si="44"/>
        <v>J</v>
      </c>
    </row>
    <row r="942" spans="2:9" x14ac:dyDescent="0.25">
      <c r="D942" s="133">
        <v>0</v>
      </c>
      <c r="E942" s="134">
        <v>0</v>
      </c>
      <c r="F942" s="134">
        <v>0</v>
      </c>
      <c r="G942" s="135">
        <f t="shared" si="43"/>
        <v>1</v>
      </c>
      <c r="H942" s="136">
        <f t="shared" si="42"/>
        <v>7</v>
      </c>
      <c r="I942" s="137" t="str">
        <f t="shared" si="44"/>
        <v>J</v>
      </c>
    </row>
    <row r="943" spans="2:9" x14ac:dyDescent="0.25">
      <c r="D943" s="133">
        <v>0</v>
      </c>
      <c r="E943" s="134">
        <v>0</v>
      </c>
      <c r="F943" s="134">
        <v>0</v>
      </c>
      <c r="G943" s="135">
        <f t="shared" si="43"/>
        <v>1</v>
      </c>
      <c r="H943" s="136">
        <f t="shared" si="42"/>
        <v>7</v>
      </c>
      <c r="I943" s="137" t="str">
        <f t="shared" si="44"/>
        <v>J</v>
      </c>
    </row>
    <row r="944" spans="2:9" x14ac:dyDescent="0.25">
      <c r="D944" s="133">
        <v>0</v>
      </c>
      <c r="E944" s="134">
        <v>0</v>
      </c>
      <c r="F944" s="134">
        <v>0</v>
      </c>
      <c r="G944" s="135">
        <f t="shared" si="43"/>
        <v>1</v>
      </c>
      <c r="H944" s="136">
        <f t="shared" si="42"/>
        <v>7</v>
      </c>
      <c r="I944" s="137" t="str">
        <f t="shared" si="44"/>
        <v>J</v>
      </c>
    </row>
    <row r="945" spans="2:9" x14ac:dyDescent="0.25">
      <c r="B945" s="153"/>
      <c r="C945" s="154"/>
      <c r="D945" s="133">
        <v>0</v>
      </c>
      <c r="E945" s="134">
        <v>0</v>
      </c>
      <c r="F945" s="134">
        <v>0</v>
      </c>
      <c r="G945" s="135">
        <f t="shared" si="43"/>
        <v>1</v>
      </c>
      <c r="H945" s="136">
        <f t="shared" si="42"/>
        <v>7</v>
      </c>
      <c r="I945" s="137" t="str">
        <f t="shared" si="44"/>
        <v>J</v>
      </c>
    </row>
    <row r="946" spans="2:9" x14ac:dyDescent="0.25">
      <c r="D946" s="133">
        <v>0</v>
      </c>
      <c r="E946" s="134">
        <v>0</v>
      </c>
      <c r="F946" s="134">
        <v>0</v>
      </c>
      <c r="G946" s="135">
        <f t="shared" si="43"/>
        <v>1</v>
      </c>
      <c r="H946" s="136">
        <f t="shared" si="42"/>
        <v>7</v>
      </c>
      <c r="I946" s="137" t="str">
        <f t="shared" si="44"/>
        <v>J</v>
      </c>
    </row>
    <row r="947" spans="2:9" x14ac:dyDescent="0.25">
      <c r="D947" s="133">
        <v>0</v>
      </c>
      <c r="E947" s="134">
        <v>0</v>
      </c>
      <c r="F947" s="134">
        <v>0</v>
      </c>
      <c r="G947" s="135">
        <f t="shared" si="43"/>
        <v>1</v>
      </c>
      <c r="H947" s="136">
        <f t="shared" si="42"/>
        <v>7</v>
      </c>
      <c r="I947" s="137" t="str">
        <f t="shared" si="44"/>
        <v>J</v>
      </c>
    </row>
    <row r="948" spans="2:9" x14ac:dyDescent="0.25">
      <c r="D948" s="133">
        <v>0</v>
      </c>
      <c r="E948" s="134">
        <v>0</v>
      </c>
      <c r="F948" s="134">
        <v>0</v>
      </c>
      <c r="G948" s="135">
        <f t="shared" si="43"/>
        <v>1</v>
      </c>
      <c r="H948" s="136">
        <f t="shared" si="42"/>
        <v>7</v>
      </c>
      <c r="I948" s="137" t="str">
        <f t="shared" si="44"/>
        <v>J</v>
      </c>
    </row>
    <row r="949" spans="2:9" x14ac:dyDescent="0.25">
      <c r="D949" s="133">
        <v>0</v>
      </c>
      <c r="E949" s="134">
        <v>0</v>
      </c>
      <c r="F949" s="134">
        <v>0</v>
      </c>
      <c r="G949" s="135">
        <f t="shared" si="43"/>
        <v>1</v>
      </c>
      <c r="H949" s="136">
        <f t="shared" si="42"/>
        <v>7</v>
      </c>
      <c r="I949" s="137" t="str">
        <f t="shared" si="44"/>
        <v>J</v>
      </c>
    </row>
    <row r="950" spans="2:9" x14ac:dyDescent="0.25">
      <c r="D950" s="133">
        <v>0</v>
      </c>
      <c r="E950" s="134">
        <v>0</v>
      </c>
      <c r="F950" s="134">
        <v>0</v>
      </c>
      <c r="G950" s="135">
        <f t="shared" si="43"/>
        <v>1</v>
      </c>
      <c r="H950" s="136">
        <f t="shared" si="42"/>
        <v>7</v>
      </c>
      <c r="I950" s="137" t="str">
        <f t="shared" si="44"/>
        <v>J</v>
      </c>
    </row>
    <row r="951" spans="2:9" x14ac:dyDescent="0.25">
      <c r="D951" s="133">
        <v>0</v>
      </c>
      <c r="E951" s="134">
        <v>0</v>
      </c>
      <c r="F951" s="134">
        <v>0</v>
      </c>
      <c r="G951" s="135">
        <f t="shared" si="43"/>
        <v>1</v>
      </c>
      <c r="H951" s="136">
        <f t="shared" si="42"/>
        <v>7</v>
      </c>
      <c r="I951" s="137" t="str">
        <f t="shared" si="44"/>
        <v>J</v>
      </c>
    </row>
    <row r="952" spans="2:9" x14ac:dyDescent="0.25">
      <c r="D952" s="133">
        <v>0</v>
      </c>
      <c r="E952" s="134">
        <v>0</v>
      </c>
      <c r="F952" s="134">
        <v>0</v>
      </c>
      <c r="G952" s="135">
        <f t="shared" si="43"/>
        <v>1</v>
      </c>
      <c r="H952" s="136">
        <f t="shared" si="42"/>
        <v>7</v>
      </c>
      <c r="I952" s="137" t="str">
        <f t="shared" si="44"/>
        <v>J</v>
      </c>
    </row>
    <row r="953" spans="2:9" x14ac:dyDescent="0.25">
      <c r="D953" s="133">
        <v>0</v>
      </c>
      <c r="E953" s="134">
        <v>0</v>
      </c>
      <c r="F953" s="134">
        <v>0</v>
      </c>
      <c r="G953" s="135">
        <f t="shared" si="43"/>
        <v>1</v>
      </c>
      <c r="H953" s="136">
        <f t="shared" si="42"/>
        <v>7</v>
      </c>
      <c r="I953" s="137" t="str">
        <f t="shared" si="44"/>
        <v>J</v>
      </c>
    </row>
    <row r="954" spans="2:9" x14ac:dyDescent="0.25">
      <c r="D954" s="133">
        <v>0</v>
      </c>
      <c r="E954" s="134">
        <v>0</v>
      </c>
      <c r="F954" s="134">
        <v>0</v>
      </c>
      <c r="G954" s="135">
        <f t="shared" si="43"/>
        <v>1</v>
      </c>
      <c r="H954" s="136">
        <f t="shared" si="42"/>
        <v>7</v>
      </c>
      <c r="I954" s="137" t="str">
        <f t="shared" si="44"/>
        <v>J</v>
      </c>
    </row>
    <row r="955" spans="2:9" x14ac:dyDescent="0.25">
      <c r="D955" s="133">
        <v>0</v>
      </c>
      <c r="E955" s="134">
        <v>0</v>
      </c>
      <c r="F955" s="134">
        <v>0</v>
      </c>
      <c r="G955" s="135">
        <f t="shared" si="43"/>
        <v>1</v>
      </c>
      <c r="H955" s="136">
        <f t="shared" si="42"/>
        <v>7</v>
      </c>
      <c r="I955" s="137" t="str">
        <f t="shared" si="44"/>
        <v>J</v>
      </c>
    </row>
    <row r="956" spans="2:9" x14ac:dyDescent="0.25">
      <c r="D956" s="133">
        <v>0</v>
      </c>
      <c r="E956" s="134">
        <v>0</v>
      </c>
      <c r="F956" s="134">
        <v>0</v>
      </c>
      <c r="G956" s="135">
        <f t="shared" si="43"/>
        <v>1</v>
      </c>
      <c r="H956" s="136">
        <f t="shared" si="42"/>
        <v>7</v>
      </c>
      <c r="I956" s="137" t="str">
        <f t="shared" si="44"/>
        <v>J</v>
      </c>
    </row>
    <row r="957" spans="2:9" x14ac:dyDescent="0.25">
      <c r="D957" s="133">
        <v>0</v>
      </c>
      <c r="E957" s="134">
        <v>0</v>
      </c>
      <c r="F957" s="134">
        <v>0</v>
      </c>
      <c r="G957" s="135">
        <f t="shared" si="43"/>
        <v>1</v>
      </c>
      <c r="H957" s="136">
        <f t="shared" si="42"/>
        <v>7</v>
      </c>
      <c r="I957" s="137" t="str">
        <f t="shared" si="44"/>
        <v>J</v>
      </c>
    </row>
    <row r="958" spans="2:9" x14ac:dyDescent="0.25">
      <c r="D958" s="133">
        <v>0</v>
      </c>
      <c r="E958" s="134">
        <v>0</v>
      </c>
      <c r="F958" s="134">
        <v>0</v>
      </c>
      <c r="G958" s="135">
        <f t="shared" si="43"/>
        <v>1</v>
      </c>
      <c r="H958" s="136">
        <f t="shared" si="42"/>
        <v>7</v>
      </c>
      <c r="I958" s="137" t="str">
        <f t="shared" si="44"/>
        <v>J</v>
      </c>
    </row>
    <row r="959" spans="2:9" x14ac:dyDescent="0.25">
      <c r="D959" s="133">
        <v>0</v>
      </c>
      <c r="E959" s="134">
        <v>0</v>
      </c>
      <c r="F959" s="134">
        <v>0</v>
      </c>
      <c r="G959" s="135">
        <f t="shared" si="43"/>
        <v>1</v>
      </c>
      <c r="H959" s="136">
        <f t="shared" si="42"/>
        <v>7</v>
      </c>
      <c r="I959" s="137" t="str">
        <f t="shared" si="44"/>
        <v>J</v>
      </c>
    </row>
    <row r="960" spans="2:9" x14ac:dyDescent="0.25">
      <c r="D960" s="133">
        <v>0</v>
      </c>
      <c r="E960" s="134">
        <v>0</v>
      </c>
      <c r="F960" s="134">
        <v>0</v>
      </c>
      <c r="G960" s="135">
        <f t="shared" si="43"/>
        <v>1</v>
      </c>
      <c r="H960" s="136">
        <f t="shared" si="42"/>
        <v>7</v>
      </c>
      <c r="I960" s="137" t="str">
        <f t="shared" si="44"/>
        <v>J</v>
      </c>
    </row>
    <row r="961" spans="4:9" x14ac:dyDescent="0.25">
      <c r="D961" s="133">
        <v>0</v>
      </c>
      <c r="E961" s="134">
        <v>0</v>
      </c>
      <c r="F961" s="134">
        <v>0</v>
      </c>
      <c r="G961" s="135">
        <f t="shared" si="43"/>
        <v>1</v>
      </c>
      <c r="H961" s="136">
        <f t="shared" si="42"/>
        <v>7</v>
      </c>
      <c r="I961" s="137" t="str">
        <f t="shared" si="44"/>
        <v>J</v>
      </c>
    </row>
    <row r="962" spans="4:9" x14ac:dyDescent="0.25">
      <c r="D962" s="133">
        <v>0</v>
      </c>
      <c r="E962" s="134">
        <v>0</v>
      </c>
      <c r="F962" s="134">
        <v>0</v>
      </c>
      <c r="G962" s="135">
        <f t="shared" si="43"/>
        <v>1</v>
      </c>
      <c r="H962" s="136">
        <f t="shared" ref="H962:H1000" si="45">VLOOKUP($G962, $Q$3:$R$12, 2)</f>
        <v>7</v>
      </c>
      <c r="I962" s="137" t="str">
        <f t="shared" si="44"/>
        <v>J</v>
      </c>
    </row>
    <row r="963" spans="4:9" x14ac:dyDescent="0.25">
      <c r="D963" s="133">
        <v>0</v>
      </c>
      <c r="E963" s="134">
        <v>0</v>
      </c>
      <c r="F963" s="134">
        <v>0</v>
      </c>
      <c r="G963" s="135">
        <f t="shared" ref="G963:G1000" si="46">(VLOOKUP($D963,$L$3:$O$15,4))+(VLOOKUP($E963,$M$3:$O$15,3))-(VLOOKUP($F963,$N$3:$O$15,2))</f>
        <v>1</v>
      </c>
      <c r="H963" s="136">
        <f t="shared" si="45"/>
        <v>7</v>
      </c>
      <c r="I963" s="137" t="str">
        <f t="shared" ref="I963:I1001" si="47">IF(AND((SUM(D963:F963)=0),B963=0), "J", VLOOKUP($H963, $Q$16:$R$25, 2))</f>
        <v>J</v>
      </c>
    </row>
    <row r="964" spans="4:9" x14ac:dyDescent="0.25">
      <c r="D964" s="133">
        <v>0</v>
      </c>
      <c r="E964" s="134">
        <v>0</v>
      </c>
      <c r="F964" s="134">
        <v>0</v>
      </c>
      <c r="G964" s="135">
        <f t="shared" si="46"/>
        <v>1</v>
      </c>
      <c r="H964" s="136">
        <f t="shared" si="45"/>
        <v>7</v>
      </c>
      <c r="I964" s="137" t="str">
        <f t="shared" si="47"/>
        <v>J</v>
      </c>
    </row>
    <row r="965" spans="4:9" x14ac:dyDescent="0.25">
      <c r="D965" s="133">
        <v>0</v>
      </c>
      <c r="E965" s="134">
        <v>0</v>
      </c>
      <c r="F965" s="134">
        <v>0</v>
      </c>
      <c r="G965" s="135">
        <f t="shared" si="46"/>
        <v>1</v>
      </c>
      <c r="H965" s="136">
        <f t="shared" si="45"/>
        <v>7</v>
      </c>
      <c r="I965" s="137" t="str">
        <f t="shared" si="47"/>
        <v>J</v>
      </c>
    </row>
    <row r="966" spans="4:9" x14ac:dyDescent="0.25">
      <c r="D966" s="133">
        <v>0</v>
      </c>
      <c r="E966" s="134">
        <v>0</v>
      </c>
      <c r="F966" s="134">
        <v>0</v>
      </c>
      <c r="G966" s="135">
        <f t="shared" si="46"/>
        <v>1</v>
      </c>
      <c r="H966" s="136">
        <f t="shared" si="45"/>
        <v>7</v>
      </c>
      <c r="I966" s="137" t="str">
        <f t="shared" si="47"/>
        <v>J</v>
      </c>
    </row>
    <row r="967" spans="4:9" x14ac:dyDescent="0.25">
      <c r="D967" s="133">
        <v>0</v>
      </c>
      <c r="E967" s="134">
        <v>0</v>
      </c>
      <c r="F967" s="134">
        <v>0</v>
      </c>
      <c r="G967" s="135">
        <f t="shared" si="46"/>
        <v>1</v>
      </c>
      <c r="H967" s="136">
        <f t="shared" si="45"/>
        <v>7</v>
      </c>
      <c r="I967" s="137" t="str">
        <f t="shared" si="47"/>
        <v>J</v>
      </c>
    </row>
    <row r="968" spans="4:9" x14ac:dyDescent="0.25">
      <c r="D968" s="133">
        <v>0</v>
      </c>
      <c r="E968" s="134">
        <v>0</v>
      </c>
      <c r="F968" s="134">
        <v>0</v>
      </c>
      <c r="G968" s="135">
        <f t="shared" si="46"/>
        <v>1</v>
      </c>
      <c r="H968" s="136">
        <f t="shared" si="45"/>
        <v>7</v>
      </c>
      <c r="I968" s="137" t="str">
        <f t="shared" si="47"/>
        <v>J</v>
      </c>
    </row>
    <row r="969" spans="4:9" x14ac:dyDescent="0.25">
      <c r="D969" s="133">
        <v>0</v>
      </c>
      <c r="E969" s="134">
        <v>0</v>
      </c>
      <c r="F969" s="134">
        <v>0</v>
      </c>
      <c r="G969" s="135">
        <f t="shared" si="46"/>
        <v>1</v>
      </c>
      <c r="H969" s="136">
        <f t="shared" si="45"/>
        <v>7</v>
      </c>
      <c r="I969" s="137" t="str">
        <f t="shared" si="47"/>
        <v>J</v>
      </c>
    </row>
    <row r="970" spans="4:9" x14ac:dyDescent="0.25">
      <c r="D970" s="133">
        <v>0</v>
      </c>
      <c r="E970" s="134">
        <v>0</v>
      </c>
      <c r="F970" s="134">
        <v>0</v>
      </c>
      <c r="G970" s="135">
        <f t="shared" si="46"/>
        <v>1</v>
      </c>
      <c r="H970" s="136">
        <f t="shared" si="45"/>
        <v>7</v>
      </c>
      <c r="I970" s="137" t="str">
        <f t="shared" si="47"/>
        <v>J</v>
      </c>
    </row>
    <row r="971" spans="4:9" x14ac:dyDescent="0.25">
      <c r="D971" s="133">
        <v>0</v>
      </c>
      <c r="E971" s="134">
        <v>0</v>
      </c>
      <c r="F971" s="134">
        <v>0</v>
      </c>
      <c r="G971" s="135">
        <f t="shared" si="46"/>
        <v>1</v>
      </c>
      <c r="H971" s="136">
        <f t="shared" si="45"/>
        <v>7</v>
      </c>
      <c r="I971" s="137" t="str">
        <f t="shared" si="47"/>
        <v>J</v>
      </c>
    </row>
    <row r="972" spans="4:9" x14ac:dyDescent="0.25">
      <c r="D972" s="133">
        <v>0</v>
      </c>
      <c r="E972" s="134">
        <v>0</v>
      </c>
      <c r="F972" s="134">
        <v>0</v>
      </c>
      <c r="G972" s="135">
        <f t="shared" si="46"/>
        <v>1</v>
      </c>
      <c r="H972" s="136">
        <f t="shared" si="45"/>
        <v>7</v>
      </c>
      <c r="I972" s="137" t="str">
        <f t="shared" si="47"/>
        <v>J</v>
      </c>
    </row>
    <row r="973" spans="4:9" x14ac:dyDescent="0.25">
      <c r="D973" s="133">
        <v>0</v>
      </c>
      <c r="E973" s="134">
        <v>0</v>
      </c>
      <c r="F973" s="134">
        <v>0</v>
      </c>
      <c r="G973" s="135">
        <f t="shared" si="46"/>
        <v>1</v>
      </c>
      <c r="H973" s="136">
        <f t="shared" si="45"/>
        <v>7</v>
      </c>
      <c r="I973" s="137" t="str">
        <f t="shared" si="47"/>
        <v>J</v>
      </c>
    </row>
    <row r="974" spans="4:9" x14ac:dyDescent="0.25">
      <c r="D974" s="133">
        <v>0</v>
      </c>
      <c r="E974" s="134">
        <v>0</v>
      </c>
      <c r="F974" s="134">
        <v>0</v>
      </c>
      <c r="G974" s="135">
        <f t="shared" si="46"/>
        <v>1</v>
      </c>
      <c r="H974" s="136">
        <f t="shared" si="45"/>
        <v>7</v>
      </c>
      <c r="I974" s="137" t="str">
        <f t="shared" si="47"/>
        <v>J</v>
      </c>
    </row>
    <row r="975" spans="4:9" x14ac:dyDescent="0.25">
      <c r="D975" s="133">
        <v>0</v>
      </c>
      <c r="E975" s="134">
        <v>0</v>
      </c>
      <c r="F975" s="134">
        <v>0</v>
      </c>
      <c r="G975" s="135">
        <f t="shared" si="46"/>
        <v>1</v>
      </c>
      <c r="H975" s="136">
        <f t="shared" si="45"/>
        <v>7</v>
      </c>
      <c r="I975" s="137" t="str">
        <f t="shared" si="47"/>
        <v>J</v>
      </c>
    </row>
    <row r="976" spans="4:9" x14ac:dyDescent="0.25">
      <c r="D976" s="133">
        <v>0</v>
      </c>
      <c r="E976" s="134">
        <v>0</v>
      </c>
      <c r="F976" s="134">
        <v>0</v>
      </c>
      <c r="G976" s="135">
        <f t="shared" si="46"/>
        <v>1</v>
      </c>
      <c r="H976" s="136">
        <f t="shared" si="45"/>
        <v>7</v>
      </c>
      <c r="I976" s="137" t="str">
        <f t="shared" si="47"/>
        <v>J</v>
      </c>
    </row>
    <row r="977" spans="4:9" x14ac:dyDescent="0.25">
      <c r="D977" s="133">
        <v>0</v>
      </c>
      <c r="E977" s="134">
        <v>0</v>
      </c>
      <c r="F977" s="134">
        <v>0</v>
      </c>
      <c r="G977" s="135">
        <f t="shared" si="46"/>
        <v>1</v>
      </c>
      <c r="H977" s="136">
        <f t="shared" si="45"/>
        <v>7</v>
      </c>
      <c r="I977" s="137" t="str">
        <f t="shared" si="47"/>
        <v>J</v>
      </c>
    </row>
    <row r="978" spans="4:9" x14ac:dyDescent="0.25">
      <c r="D978" s="133">
        <v>0</v>
      </c>
      <c r="E978" s="134">
        <v>0</v>
      </c>
      <c r="F978" s="134">
        <v>0</v>
      </c>
      <c r="G978" s="135">
        <f t="shared" si="46"/>
        <v>1</v>
      </c>
      <c r="H978" s="136">
        <f t="shared" si="45"/>
        <v>7</v>
      </c>
      <c r="I978" s="137" t="str">
        <f t="shared" si="47"/>
        <v>J</v>
      </c>
    </row>
    <row r="979" spans="4:9" x14ac:dyDescent="0.25">
      <c r="D979" s="133">
        <v>0</v>
      </c>
      <c r="E979" s="134">
        <v>0</v>
      </c>
      <c r="F979" s="134">
        <v>0</v>
      </c>
      <c r="G979" s="135">
        <f t="shared" si="46"/>
        <v>1</v>
      </c>
      <c r="H979" s="136">
        <f t="shared" si="45"/>
        <v>7</v>
      </c>
      <c r="I979" s="137" t="str">
        <f t="shared" si="47"/>
        <v>J</v>
      </c>
    </row>
    <row r="980" spans="4:9" x14ac:dyDescent="0.25">
      <c r="D980" s="133">
        <v>0</v>
      </c>
      <c r="E980" s="134">
        <v>0</v>
      </c>
      <c r="F980" s="134">
        <v>0</v>
      </c>
      <c r="G980" s="135">
        <f t="shared" si="46"/>
        <v>1</v>
      </c>
      <c r="H980" s="136">
        <f t="shared" si="45"/>
        <v>7</v>
      </c>
      <c r="I980" s="137" t="str">
        <f t="shared" si="47"/>
        <v>J</v>
      </c>
    </row>
    <row r="981" spans="4:9" x14ac:dyDescent="0.25">
      <c r="D981" s="133">
        <v>0</v>
      </c>
      <c r="E981" s="134">
        <v>0</v>
      </c>
      <c r="F981" s="134">
        <v>0</v>
      </c>
      <c r="G981" s="135">
        <f t="shared" si="46"/>
        <v>1</v>
      </c>
      <c r="H981" s="136">
        <f t="shared" si="45"/>
        <v>7</v>
      </c>
      <c r="I981" s="137" t="str">
        <f t="shared" si="47"/>
        <v>J</v>
      </c>
    </row>
    <row r="982" spans="4:9" x14ac:dyDescent="0.25">
      <c r="D982" s="133">
        <v>0</v>
      </c>
      <c r="E982" s="134">
        <v>0</v>
      </c>
      <c r="F982" s="134">
        <v>0</v>
      </c>
      <c r="G982" s="135">
        <f t="shared" si="46"/>
        <v>1</v>
      </c>
      <c r="H982" s="136">
        <f t="shared" si="45"/>
        <v>7</v>
      </c>
      <c r="I982" s="137" t="str">
        <f t="shared" si="47"/>
        <v>J</v>
      </c>
    </row>
    <row r="983" spans="4:9" x14ac:dyDescent="0.25">
      <c r="D983" s="133">
        <v>0</v>
      </c>
      <c r="E983" s="134">
        <v>0</v>
      </c>
      <c r="F983" s="134">
        <v>0</v>
      </c>
      <c r="G983" s="135">
        <f t="shared" si="46"/>
        <v>1</v>
      </c>
      <c r="H983" s="136">
        <f t="shared" si="45"/>
        <v>7</v>
      </c>
      <c r="I983" s="137" t="str">
        <f t="shared" si="47"/>
        <v>J</v>
      </c>
    </row>
    <row r="984" spans="4:9" x14ac:dyDescent="0.25">
      <c r="D984" s="133">
        <v>0</v>
      </c>
      <c r="E984" s="134">
        <v>0</v>
      </c>
      <c r="F984" s="134">
        <v>0</v>
      </c>
      <c r="G984" s="135">
        <f t="shared" si="46"/>
        <v>1</v>
      </c>
      <c r="H984" s="136">
        <f t="shared" si="45"/>
        <v>7</v>
      </c>
      <c r="I984" s="137" t="str">
        <f t="shared" si="47"/>
        <v>J</v>
      </c>
    </row>
    <row r="985" spans="4:9" x14ac:dyDescent="0.25">
      <c r="D985" s="133">
        <v>0</v>
      </c>
      <c r="E985" s="134">
        <v>0</v>
      </c>
      <c r="F985" s="134">
        <v>0</v>
      </c>
      <c r="G985" s="135">
        <f t="shared" si="46"/>
        <v>1</v>
      </c>
      <c r="H985" s="136">
        <f t="shared" si="45"/>
        <v>7</v>
      </c>
      <c r="I985" s="137" t="str">
        <f t="shared" si="47"/>
        <v>J</v>
      </c>
    </row>
    <row r="986" spans="4:9" x14ac:dyDescent="0.25">
      <c r="D986" s="133">
        <v>0</v>
      </c>
      <c r="E986" s="134">
        <v>0</v>
      </c>
      <c r="F986" s="134">
        <v>0</v>
      </c>
      <c r="G986" s="135">
        <f t="shared" si="46"/>
        <v>1</v>
      </c>
      <c r="H986" s="136">
        <f t="shared" si="45"/>
        <v>7</v>
      </c>
      <c r="I986" s="137" t="str">
        <f t="shared" si="47"/>
        <v>J</v>
      </c>
    </row>
    <row r="987" spans="4:9" x14ac:dyDescent="0.25">
      <c r="D987" s="133">
        <v>0</v>
      </c>
      <c r="E987" s="134">
        <v>0</v>
      </c>
      <c r="F987" s="134">
        <v>0</v>
      </c>
      <c r="G987" s="135">
        <f t="shared" si="46"/>
        <v>1</v>
      </c>
      <c r="H987" s="136">
        <f t="shared" si="45"/>
        <v>7</v>
      </c>
      <c r="I987" s="137" t="str">
        <f t="shared" si="47"/>
        <v>J</v>
      </c>
    </row>
    <row r="988" spans="4:9" x14ac:dyDescent="0.25">
      <c r="D988" s="133">
        <v>0</v>
      </c>
      <c r="E988" s="134">
        <v>0</v>
      </c>
      <c r="F988" s="134">
        <v>0</v>
      </c>
      <c r="G988" s="135">
        <f t="shared" si="46"/>
        <v>1</v>
      </c>
      <c r="H988" s="136">
        <f t="shared" si="45"/>
        <v>7</v>
      </c>
      <c r="I988" s="137" t="str">
        <f t="shared" si="47"/>
        <v>J</v>
      </c>
    </row>
    <row r="989" spans="4:9" x14ac:dyDescent="0.25">
      <c r="D989" s="133">
        <v>0</v>
      </c>
      <c r="E989" s="134">
        <v>0</v>
      </c>
      <c r="F989" s="134">
        <v>0</v>
      </c>
      <c r="G989" s="135">
        <f t="shared" si="46"/>
        <v>1</v>
      </c>
      <c r="H989" s="136">
        <f t="shared" si="45"/>
        <v>7</v>
      </c>
      <c r="I989" s="137" t="str">
        <f t="shared" si="47"/>
        <v>J</v>
      </c>
    </row>
    <row r="990" spans="4:9" x14ac:dyDescent="0.25">
      <c r="D990" s="133">
        <v>0</v>
      </c>
      <c r="E990" s="134">
        <v>0</v>
      </c>
      <c r="F990" s="134">
        <v>0</v>
      </c>
      <c r="G990" s="135">
        <f t="shared" si="46"/>
        <v>1</v>
      </c>
      <c r="H990" s="136">
        <f t="shared" si="45"/>
        <v>7</v>
      </c>
      <c r="I990" s="137" t="str">
        <f t="shared" si="47"/>
        <v>J</v>
      </c>
    </row>
    <row r="991" spans="4:9" x14ac:dyDescent="0.25">
      <c r="D991" s="133">
        <v>0</v>
      </c>
      <c r="E991" s="134">
        <v>0</v>
      </c>
      <c r="F991" s="134">
        <v>0</v>
      </c>
      <c r="G991" s="135">
        <f t="shared" si="46"/>
        <v>1</v>
      </c>
      <c r="H991" s="136">
        <f t="shared" si="45"/>
        <v>7</v>
      </c>
      <c r="I991" s="137" t="str">
        <f t="shared" si="47"/>
        <v>J</v>
      </c>
    </row>
    <row r="992" spans="4:9" x14ac:dyDescent="0.25">
      <c r="D992" s="133">
        <v>0</v>
      </c>
      <c r="E992" s="134">
        <v>0</v>
      </c>
      <c r="F992" s="134">
        <v>0</v>
      </c>
      <c r="G992" s="135">
        <f t="shared" si="46"/>
        <v>1</v>
      </c>
      <c r="H992" s="136">
        <f t="shared" si="45"/>
        <v>7</v>
      </c>
      <c r="I992" s="137" t="str">
        <f t="shared" si="47"/>
        <v>J</v>
      </c>
    </row>
    <row r="993" spans="4:9" x14ac:dyDescent="0.25">
      <c r="D993" s="133">
        <v>0</v>
      </c>
      <c r="E993" s="134">
        <v>0</v>
      </c>
      <c r="F993" s="134">
        <v>0</v>
      </c>
      <c r="G993" s="135">
        <f t="shared" si="46"/>
        <v>1</v>
      </c>
      <c r="H993" s="136">
        <f t="shared" si="45"/>
        <v>7</v>
      </c>
      <c r="I993" s="137" t="str">
        <f t="shared" si="47"/>
        <v>J</v>
      </c>
    </row>
    <row r="994" spans="4:9" x14ac:dyDescent="0.25">
      <c r="D994" s="133">
        <v>0</v>
      </c>
      <c r="E994" s="134">
        <v>0</v>
      </c>
      <c r="F994" s="134">
        <v>0</v>
      </c>
      <c r="G994" s="135">
        <f t="shared" si="46"/>
        <v>1</v>
      </c>
      <c r="H994" s="136">
        <f t="shared" si="45"/>
        <v>7</v>
      </c>
      <c r="I994" s="137" t="str">
        <f t="shared" si="47"/>
        <v>J</v>
      </c>
    </row>
    <row r="995" spans="4:9" x14ac:dyDescent="0.25">
      <c r="D995" s="133">
        <v>0</v>
      </c>
      <c r="E995" s="134">
        <v>0</v>
      </c>
      <c r="F995" s="134">
        <v>0</v>
      </c>
      <c r="G995" s="135">
        <f t="shared" si="46"/>
        <v>1</v>
      </c>
      <c r="H995" s="136">
        <f t="shared" si="45"/>
        <v>7</v>
      </c>
      <c r="I995" s="137" t="str">
        <f t="shared" si="47"/>
        <v>J</v>
      </c>
    </row>
    <row r="996" spans="4:9" x14ac:dyDescent="0.25">
      <c r="D996" s="133">
        <v>0</v>
      </c>
      <c r="E996" s="134">
        <v>0</v>
      </c>
      <c r="F996" s="134">
        <v>0</v>
      </c>
      <c r="G996" s="135">
        <f t="shared" si="46"/>
        <v>1</v>
      </c>
      <c r="H996" s="136">
        <f t="shared" si="45"/>
        <v>7</v>
      </c>
      <c r="I996" s="137" t="str">
        <f t="shared" si="47"/>
        <v>J</v>
      </c>
    </row>
    <row r="997" spans="4:9" x14ac:dyDescent="0.25">
      <c r="D997" s="133">
        <v>0</v>
      </c>
      <c r="E997" s="134">
        <v>0</v>
      </c>
      <c r="F997" s="134">
        <v>0</v>
      </c>
      <c r="G997" s="135">
        <f t="shared" si="46"/>
        <v>1</v>
      </c>
      <c r="H997" s="136">
        <f t="shared" si="45"/>
        <v>7</v>
      </c>
      <c r="I997" s="137" t="str">
        <f t="shared" si="47"/>
        <v>J</v>
      </c>
    </row>
    <row r="998" spans="4:9" x14ac:dyDescent="0.25">
      <c r="D998" s="133">
        <v>0</v>
      </c>
      <c r="E998" s="134">
        <v>0</v>
      </c>
      <c r="F998" s="134">
        <v>0</v>
      </c>
      <c r="G998" s="135">
        <f t="shared" si="46"/>
        <v>1</v>
      </c>
      <c r="H998" s="136">
        <f t="shared" si="45"/>
        <v>7</v>
      </c>
      <c r="I998" s="137" t="str">
        <f t="shared" si="47"/>
        <v>J</v>
      </c>
    </row>
    <row r="999" spans="4:9" x14ac:dyDescent="0.25">
      <c r="D999" s="133">
        <v>0</v>
      </c>
      <c r="E999" s="134">
        <v>0</v>
      </c>
      <c r="F999" s="134">
        <v>0</v>
      </c>
      <c r="G999" s="135">
        <f t="shared" si="46"/>
        <v>1</v>
      </c>
      <c r="H999" s="136">
        <f t="shared" si="45"/>
        <v>7</v>
      </c>
      <c r="I999" s="137" t="str">
        <f t="shared" si="47"/>
        <v>J</v>
      </c>
    </row>
    <row r="1000" spans="4:9" x14ac:dyDescent="0.25">
      <c r="D1000" s="133">
        <v>0</v>
      </c>
      <c r="E1000" s="134">
        <v>0</v>
      </c>
      <c r="F1000" s="134">
        <v>0</v>
      </c>
      <c r="G1000" s="135">
        <f t="shared" si="46"/>
        <v>1</v>
      </c>
      <c r="H1000" s="136">
        <f t="shared" si="45"/>
        <v>7</v>
      </c>
      <c r="I1000" s="137" t="str">
        <f t="shared" si="47"/>
        <v>J</v>
      </c>
    </row>
    <row r="1001" spans="4:9" x14ac:dyDescent="0.25">
      <c r="D1001" s="133">
        <v>0</v>
      </c>
      <c r="E1001" s="134">
        <v>0</v>
      </c>
      <c r="F1001" s="134">
        <v>0</v>
      </c>
      <c r="G1001" s="135">
        <f t="shared" ref="G1001" si="48">(VLOOKUP($D1001,$L$3:$O$15,4))+(VLOOKUP($E1001,$M$3:$O$15,3))-(VLOOKUP($F1001,$N$3:$O$15,2))</f>
        <v>1</v>
      </c>
      <c r="H1001" s="136">
        <f t="shared" ref="H1001" si="49">VLOOKUP($G1001, $Q$3:$R$12, 2)</f>
        <v>7</v>
      </c>
      <c r="I1001" s="137" t="str">
        <f t="shared" si="47"/>
        <v>J</v>
      </c>
    </row>
  </sheetData>
  <protectedRanges>
    <protectedRange sqref="B8 B25:B28 B16 B22 B13:B14 B10:B11 C926 C943:C946 C934 C940 C931:C932 C928:C929" name="Range1_1"/>
    <protectedRange sqref="A2:A4" name="Range1_1_28"/>
    <protectedRange sqref="A5" name="Range1_1_29"/>
    <protectedRange sqref="A6:A9" name="Range1_1_30"/>
    <protectedRange sqref="A10:A12" name="Range1_1_31"/>
    <protectedRange sqref="A13" name="Range1_1_32"/>
    <protectedRange sqref="A14" name="Range1_1_33"/>
    <protectedRange sqref="A15" name="Range1_1_34"/>
    <protectedRange sqref="A16:A19" name="Range1_1_35"/>
    <protectedRange sqref="A20:A25" name="Range1_1_36"/>
    <protectedRange sqref="A26:A35" name="Range1_1_37"/>
    <protectedRange sqref="A36:A37" name="Range1_1_38"/>
    <protectedRange sqref="A38:A39" name="Range1_1_39"/>
    <protectedRange sqref="A40:A41" name="Range1_1_40"/>
    <protectedRange sqref="A42:A52" name="Range1_1_41"/>
    <protectedRange sqref="A53" name="Range1_1_42"/>
    <protectedRange sqref="A54" name="Range1_1_43"/>
    <protectedRange sqref="A55" name="Range1_1_44"/>
    <protectedRange sqref="A56:A61" name="Range1_1_45"/>
    <protectedRange sqref="A62:A67" name="Range1_1_46"/>
    <protectedRange sqref="A68:A79" name="Range1_1_47"/>
    <protectedRange sqref="A80:A95" name="Range1_1_48"/>
    <protectedRange sqref="A96:A103" name="Range1_1_49"/>
    <protectedRange sqref="A104:A108" name="Range1_1_50"/>
    <protectedRange sqref="A109:A114" name="Range1_1_51"/>
    <protectedRange sqref="A115:A119" name="Range1_1_52"/>
    <protectedRange sqref="A120:A121" name="Range1_1_53"/>
    <protectedRange sqref="A122:A123" name="Range1_1_54"/>
    <protectedRange sqref="A124:A144" name="Range1_1_55"/>
    <protectedRange sqref="A145:A151" name="Range1_1_56"/>
    <protectedRange sqref="A152:A160" name="Range1_1_57"/>
    <protectedRange sqref="A161:A166" name="Range1_1_58"/>
    <protectedRange sqref="A167:A195" name="Range1_1_59"/>
    <protectedRange sqref="A196 A378:A430" name="Range1_1_3"/>
    <protectedRange sqref="A197" name="Range1_1_3_1"/>
    <protectedRange sqref="A198:A200" name="Range1_1_3_2"/>
    <protectedRange sqref="A201:A205" name="Range1_1_3_3"/>
    <protectedRange sqref="A206" name="Range1_1_3_4"/>
    <protectedRange sqref="A207" name="Range1_1_3_5"/>
    <protectedRange sqref="A208" name="Range1_1_3_6"/>
    <protectedRange sqref="A209:A211" name="Range1_1_3_7"/>
    <protectedRange sqref="A212:A216" name="Range1_1_3_8"/>
    <protectedRange sqref="A217" name="Range1_1_3_9"/>
    <protectedRange sqref="A218" name="Range1_1_3_10"/>
    <protectedRange sqref="A219" name="Range1_1_3_11"/>
    <protectedRange sqref="A220" name="Range1_1_3_12"/>
    <protectedRange sqref="A221:A222" name="Range1_1_3_13"/>
    <protectedRange sqref="A223" name="Range1_1_3_14"/>
    <protectedRange sqref="A224" name="Range1_1_3_15"/>
    <protectedRange sqref="A225:A226" name="Range1_1_3_16"/>
    <protectedRange sqref="A227:A228" name="Range1_1_3_17"/>
    <protectedRange sqref="A229:A235" name="Range1_1_3_18"/>
    <protectedRange sqref="A236" name="Range1_1_3_19"/>
    <protectedRange sqref="A237:A239" name="Range1_1_3_20"/>
    <protectedRange sqref="A240:A242" name="Range1_1_3_21"/>
    <protectedRange sqref="A243" name="Range1_1_3_22"/>
    <protectedRange sqref="A244" name="Range1_1_3_23"/>
    <protectedRange sqref="A245" name="Range1_1_3_24"/>
    <protectedRange sqref="A246" name="Range1_1_3_25"/>
    <protectedRange sqref="A247:A256" name="Range1_1_3_26"/>
    <protectedRange sqref="A257" name="Range1_1_3_27"/>
    <protectedRange sqref="A258:A262" name="Range1_1_3_28"/>
    <protectedRange sqref="A263:A271" name="Range1_1_3_29"/>
    <protectedRange sqref="A272" name="Range1_1_3_30"/>
    <protectedRange sqref="A273" name="Range1_1_3_31"/>
    <protectedRange sqref="A274:A275" name="Range1_1_3_32"/>
    <protectedRange sqref="A276:A277" name="Range1_1_3_33"/>
    <protectedRange sqref="A278" name="Range1_1_3_34"/>
    <protectedRange sqref="A279:A280" name="Range1_1_3_35"/>
    <protectedRange sqref="A281" name="Range1_1_3_36"/>
    <protectedRange sqref="A282:A285" name="Range1_1_3_37"/>
    <protectedRange sqref="A286" name="Range1_1_3_38"/>
    <protectedRange sqref="A287" name="Range1_1_3_39"/>
    <protectedRange sqref="A288" name="Range1_1_3_40"/>
    <protectedRange sqref="A289" name="Range1_1_3_41"/>
    <protectedRange sqref="A290" name="Range1_1_3_42"/>
    <protectedRange sqref="A291:A292" name="Range1_1_3_43"/>
    <protectedRange sqref="A293" name="Range1_1_3_44"/>
    <protectedRange sqref="A294:A297" name="Range1_1_3_45"/>
    <protectedRange sqref="A298" name="Range1_1_3_46"/>
    <protectedRange sqref="A299" name="Range1_1_3_47"/>
    <protectedRange sqref="A300:A301" name="Range1_1_3_48"/>
    <protectedRange sqref="A302:A304" name="Range1_1_3_49"/>
    <protectedRange sqref="A305:A306" name="Range1_1_3_50"/>
    <protectedRange sqref="A307" name="Range1_1_3_51"/>
    <protectedRange sqref="A308:A309" name="Range1_1_3_52"/>
    <protectedRange sqref="A310" name="Range1_1_3_53"/>
    <protectedRange sqref="A311" name="Range1_1_3_54"/>
    <protectedRange sqref="A312:A313" name="Range1_1_3_55"/>
    <protectedRange sqref="A314" name="Range1_1_3_56"/>
    <protectedRange sqref="A315:A316" name="Range1_1_3_57"/>
    <protectedRange sqref="A317:A318" name="Range1_1_3_58"/>
    <protectedRange sqref="A319" name="Range1_1_3_59"/>
    <protectedRange sqref="A320" name="Range1_1_3_60"/>
    <protectedRange sqref="A321" name="Range1_1_3_61"/>
    <protectedRange sqref="A322:A323" name="Range1_1_3_62"/>
    <protectedRange sqref="A324" name="Range1_1_3_63"/>
    <protectedRange sqref="A325" name="Range1_1_3_64"/>
    <protectedRange sqref="A326:A329" name="Range1_1_3_65"/>
    <protectedRange sqref="A330" name="Range1_1_3_66"/>
    <protectedRange sqref="A331" name="Range1_1_3_67"/>
    <protectedRange sqref="A332:A333" name="Range1_1_3_68"/>
    <protectedRange sqref="A334" name="Range1_1_3_69"/>
    <protectedRange sqref="A335" name="Range1_1_3_70"/>
    <protectedRange sqref="A336" name="Range1_1_3_71"/>
    <protectedRange sqref="A337" name="Range1_1_3_72"/>
    <protectedRange sqref="A338" name="Range1_1_3_73"/>
    <protectedRange sqref="A339:A340" name="Range1_1_3_74"/>
    <protectedRange sqref="A341" name="Range1_1_3_75"/>
    <protectedRange sqref="A342:A343" name="Range1_1_3_76"/>
    <protectedRange sqref="A344" name="Range1_1_3_77"/>
    <protectedRange sqref="A345" name="Range1_1_3_78"/>
    <protectedRange sqref="A346:A347" name="Range1_1_3_79"/>
    <protectedRange sqref="A348" name="Range1_1_3_80"/>
    <protectedRange sqref="A349:A350" name="Range1_1_3_81"/>
    <protectedRange sqref="A351" name="Range1_1_3_82"/>
    <protectedRange sqref="A352" name="Range1_1_3_83"/>
    <protectedRange sqref="A353:A355" name="Range1_1_3_84"/>
    <protectedRange sqref="A356:A357" name="Range1_1_3_85"/>
    <protectedRange sqref="A358" name="Range1_1_3_86"/>
    <protectedRange sqref="A359" name="Range1_1_3_87"/>
    <protectedRange sqref="A360" name="Range1_1_3_88"/>
    <protectedRange sqref="A361" name="Range1_1_3_89"/>
    <protectedRange sqref="A362:A363" name="Range1_1_3_90"/>
    <protectedRange sqref="A364:A366" name="Range1_1_3_91"/>
    <protectedRange sqref="A367" name="Range1_1_3_92"/>
    <protectedRange sqref="A368" name="Range1_1_3_93"/>
    <protectedRange sqref="A369" name="Range1_1_3_94"/>
    <protectedRange sqref="A370" name="Range1_1_3_95"/>
    <protectedRange sqref="A371:A372" name="Range1_1_3_96"/>
    <protectedRange sqref="A373:A374" name="Range1_1_3_97"/>
    <protectedRange sqref="A375:A376" name="Range1_1_3_98"/>
    <protectedRange sqref="A377" name="Range1_1_3_99"/>
  </protectedRanges>
  <conditionalFormatting sqref="G1002:G1048576 G1">
    <cfRule type="dataBar" priority="33">
      <dataBar>
        <cfvo type="min"/>
        <cfvo type="max"/>
        <color rgb="FF638EC6"/>
      </dataBar>
      <extLst>
        <ext xmlns:x14="http://schemas.microsoft.com/office/spreadsheetml/2009/9/main" uri="{B025F937-C7B1-47D3-B67F-A62EFF666E3E}">
          <x14:id>{1ECF1BEF-812A-4CC9-A42C-57623CF0B14A}</x14:id>
        </ext>
      </extLst>
    </cfRule>
  </conditionalFormatting>
  <conditionalFormatting sqref="G1002:G1048576 G1">
    <cfRule type="dataBar" priority="34">
      <dataBar>
        <cfvo type="min"/>
        <cfvo type="max"/>
        <color rgb="FF63C384"/>
      </dataBar>
      <extLst>
        <ext xmlns:x14="http://schemas.microsoft.com/office/spreadsheetml/2009/9/main" uri="{B025F937-C7B1-47D3-B67F-A62EFF666E3E}">
          <x14:id>{210660DA-ABDE-43D4-9B82-911E3066D4C1}</x14:id>
        </ext>
      </extLst>
    </cfRule>
  </conditionalFormatting>
  <conditionalFormatting sqref="R19">
    <cfRule type="cellIs" dxfId="23" priority="23" stopIfTrue="1" operator="equal">
      <formula>"Yes"</formula>
    </cfRule>
    <cfRule type="cellIs" dxfId="22" priority="24" stopIfTrue="1" operator="equal">
      <formula>"No"</formula>
    </cfRule>
  </conditionalFormatting>
  <conditionalFormatting sqref="R18">
    <cfRule type="cellIs" dxfId="21" priority="25" stopIfTrue="1" operator="equal">
      <formula>"Yes"</formula>
    </cfRule>
    <cfRule type="cellIs" dxfId="20" priority="26" stopIfTrue="1" operator="equal">
      <formula>"No"</formula>
    </cfRule>
  </conditionalFormatting>
  <conditionalFormatting sqref="R21">
    <cfRule type="cellIs" dxfId="19" priority="19" stopIfTrue="1" operator="equal">
      <formula>"Yes"</formula>
    </cfRule>
    <cfRule type="cellIs" dxfId="18" priority="20" stopIfTrue="1" operator="equal">
      <formula>"No"</formula>
    </cfRule>
  </conditionalFormatting>
  <conditionalFormatting sqref="R20">
    <cfRule type="cellIs" dxfId="17" priority="21" stopIfTrue="1" operator="equal">
      <formula>"Yes"</formula>
    </cfRule>
    <cfRule type="cellIs" dxfId="16" priority="22" stopIfTrue="1" operator="equal">
      <formula>"No"</formula>
    </cfRule>
  </conditionalFormatting>
  <conditionalFormatting sqref="R17">
    <cfRule type="cellIs" dxfId="15" priority="27" stopIfTrue="1" operator="equal">
      <formula>"Yes"</formula>
    </cfRule>
    <cfRule type="cellIs" dxfId="14" priority="28" stopIfTrue="1" operator="equal">
      <formula>"No"</formula>
    </cfRule>
  </conditionalFormatting>
  <conditionalFormatting sqref="R23">
    <cfRule type="cellIs" dxfId="13" priority="15" stopIfTrue="1" operator="equal">
      <formula>"Yes"</formula>
    </cfRule>
    <cfRule type="cellIs" dxfId="12" priority="16" stopIfTrue="1" operator="equal">
      <formula>"No"</formula>
    </cfRule>
  </conditionalFormatting>
  <conditionalFormatting sqref="R16">
    <cfRule type="cellIs" dxfId="11" priority="31" stopIfTrue="1" operator="equal">
      <formula>"Yes"</formula>
    </cfRule>
    <cfRule type="cellIs" dxfId="10" priority="32" stopIfTrue="1" operator="equal">
      <formula>"No"</formula>
    </cfRule>
  </conditionalFormatting>
  <conditionalFormatting sqref="R17">
    <cfRule type="dataBar" priority="29">
      <dataBar>
        <cfvo type="min"/>
        <cfvo type="max"/>
        <color rgb="FF638EC6"/>
      </dataBar>
      <extLst>
        <ext xmlns:x14="http://schemas.microsoft.com/office/spreadsheetml/2009/9/main" uri="{B025F937-C7B1-47D3-B67F-A62EFF666E3E}">
          <x14:id>{514C21B4-8872-4474-9BE1-738D18A3EB07}</x14:id>
        </ext>
      </extLst>
    </cfRule>
  </conditionalFormatting>
  <conditionalFormatting sqref="R17">
    <cfRule type="dataBar" priority="30">
      <dataBar>
        <cfvo type="min"/>
        <cfvo type="max"/>
        <color rgb="FF63C384"/>
      </dataBar>
      <extLst>
        <ext xmlns:x14="http://schemas.microsoft.com/office/spreadsheetml/2009/9/main" uri="{B025F937-C7B1-47D3-B67F-A62EFF666E3E}">
          <x14:id>{B886C50A-3CC8-4FFD-A144-E16E945BBD96}</x14:id>
        </ext>
      </extLst>
    </cfRule>
  </conditionalFormatting>
  <conditionalFormatting sqref="R22">
    <cfRule type="cellIs" dxfId="9" priority="17" stopIfTrue="1" operator="equal">
      <formula>"Yes"</formula>
    </cfRule>
    <cfRule type="cellIs" dxfId="8" priority="18" stopIfTrue="1" operator="equal">
      <formula>"No"</formula>
    </cfRule>
  </conditionalFormatting>
  <conditionalFormatting sqref="R24">
    <cfRule type="cellIs" dxfId="7" priority="13" stopIfTrue="1" operator="equal">
      <formula>"Yes"</formula>
    </cfRule>
    <cfRule type="cellIs" dxfId="6" priority="14" stopIfTrue="1" operator="equal">
      <formula>"No"</formula>
    </cfRule>
  </conditionalFormatting>
  <conditionalFormatting sqref="R25">
    <cfRule type="cellIs" dxfId="5" priority="11" stopIfTrue="1" operator="equal">
      <formula>"Yes"</formula>
    </cfRule>
    <cfRule type="cellIs" dxfId="4" priority="12" stopIfTrue="1" operator="equal">
      <formula>"No"</formula>
    </cfRule>
  </conditionalFormatting>
  <conditionalFormatting sqref="H1002:H1048576 H1">
    <cfRule type="dataBar" priority="35">
      <dataBar>
        <cfvo type="min"/>
        <cfvo type="max"/>
        <color rgb="FFD6007B"/>
      </dataBar>
      <extLst>
        <ext xmlns:x14="http://schemas.microsoft.com/office/spreadsheetml/2009/9/main" uri="{B025F937-C7B1-47D3-B67F-A62EFF666E3E}">
          <x14:id>{C8B37C14-8510-4CD6-A470-AB2885EEA3A4}</x14:id>
        </ext>
      </extLst>
    </cfRule>
  </conditionalFormatting>
  <conditionalFormatting sqref="H1002:H1048576 H1">
    <cfRule type="dataBar" priority="36">
      <dataBar>
        <cfvo type="min"/>
        <cfvo type="max"/>
        <color rgb="FF638EC6"/>
      </dataBar>
      <extLst>
        <ext xmlns:x14="http://schemas.microsoft.com/office/spreadsheetml/2009/9/main" uri="{B025F937-C7B1-47D3-B67F-A62EFF666E3E}">
          <x14:id>{0F574BE5-DE65-47A1-95DA-914BBDA73941}</x14:id>
        </ext>
      </extLst>
    </cfRule>
  </conditionalFormatting>
  <conditionalFormatting sqref="H1002:H1048576 H1">
    <cfRule type="dataBar" priority="37">
      <dataBar>
        <cfvo type="min"/>
        <cfvo type="max"/>
        <color rgb="FF63C384"/>
      </dataBar>
      <extLst>
        <ext xmlns:x14="http://schemas.microsoft.com/office/spreadsheetml/2009/9/main" uri="{B025F937-C7B1-47D3-B67F-A62EFF666E3E}">
          <x14:id>{D590AA3A-AB95-435E-9C17-6E3E903BF3B5}</x14:id>
        </ext>
      </extLst>
    </cfRule>
  </conditionalFormatting>
  <conditionalFormatting sqref="I1002:I1048576 I1">
    <cfRule type="dataBar" priority="38">
      <dataBar>
        <cfvo type="min"/>
        <cfvo type="max"/>
        <color rgb="FF638EC6"/>
      </dataBar>
      <extLst>
        <ext xmlns:x14="http://schemas.microsoft.com/office/spreadsheetml/2009/9/main" uri="{B025F937-C7B1-47D3-B67F-A62EFF666E3E}">
          <x14:id>{5A6AB69B-34D3-40DF-8DD1-CF11B3BE27C9}</x14:id>
        </ext>
      </extLst>
    </cfRule>
  </conditionalFormatting>
  <conditionalFormatting sqref="I1002:I1048576 I1">
    <cfRule type="dataBar" priority="39">
      <dataBar>
        <cfvo type="min"/>
        <cfvo type="max"/>
        <color rgb="FF63C384"/>
      </dataBar>
      <extLst>
        <ext xmlns:x14="http://schemas.microsoft.com/office/spreadsheetml/2009/9/main" uri="{B025F937-C7B1-47D3-B67F-A62EFF666E3E}">
          <x14:id>{ED3648E9-8CC2-4563-88F4-8DDA0DF5E7A0}</x14:id>
        </ext>
      </extLst>
    </cfRule>
  </conditionalFormatting>
  <conditionalFormatting sqref="H2 H1001">
    <cfRule type="cellIs" dxfId="3" priority="7" stopIfTrue="1" operator="equal">
      <formula>"Yes"</formula>
    </cfRule>
    <cfRule type="cellIs" dxfId="2" priority="8" stopIfTrue="1" operator="equal">
      <formula>"No"</formula>
    </cfRule>
  </conditionalFormatting>
  <conditionalFormatting sqref="H2 H1001">
    <cfRule type="dataBar" priority="6">
      <dataBar>
        <cfvo type="min"/>
        <cfvo type="max"/>
        <color rgb="FFD6007B"/>
      </dataBar>
      <extLst>
        <ext xmlns:x14="http://schemas.microsoft.com/office/spreadsheetml/2009/9/main" uri="{B025F937-C7B1-47D3-B67F-A62EFF666E3E}">
          <x14:id>{C09F6E39-417A-4E1E-AFA0-2FC42BDB14EA}</x14:id>
        </ext>
      </extLst>
    </cfRule>
  </conditionalFormatting>
  <conditionalFormatting sqref="H2 H1001">
    <cfRule type="dataBar" priority="9">
      <dataBar>
        <cfvo type="min"/>
        <cfvo type="max"/>
        <color rgb="FF638EC6"/>
      </dataBar>
      <extLst>
        <ext xmlns:x14="http://schemas.microsoft.com/office/spreadsheetml/2009/9/main" uri="{B025F937-C7B1-47D3-B67F-A62EFF666E3E}">
          <x14:id>{F1E0AA03-6E9B-4E3B-A862-E8CF6D05ADAF}</x14:id>
        </ext>
      </extLst>
    </cfRule>
  </conditionalFormatting>
  <conditionalFormatting sqref="H2 H1001">
    <cfRule type="dataBar" priority="10">
      <dataBar>
        <cfvo type="min"/>
        <cfvo type="max"/>
        <color rgb="FF63C384"/>
      </dataBar>
      <extLst>
        <ext xmlns:x14="http://schemas.microsoft.com/office/spreadsheetml/2009/9/main" uri="{B025F937-C7B1-47D3-B67F-A62EFF666E3E}">
          <x14:id>{35DCCDC5-4E81-4C84-BCA6-D2CC787855D9}</x14:id>
        </ext>
      </extLst>
    </cfRule>
  </conditionalFormatting>
  <conditionalFormatting sqref="H3:H1000">
    <cfRule type="cellIs" dxfId="1" priority="2" stopIfTrue="1" operator="equal">
      <formula>"Yes"</formula>
    </cfRule>
    <cfRule type="cellIs" dxfId="0" priority="3" stopIfTrue="1" operator="equal">
      <formula>"No"</formula>
    </cfRule>
  </conditionalFormatting>
  <conditionalFormatting sqref="H3:H1000">
    <cfRule type="dataBar" priority="1">
      <dataBar>
        <cfvo type="min"/>
        <cfvo type="max"/>
        <color rgb="FFD6007B"/>
      </dataBar>
      <extLst>
        <ext xmlns:x14="http://schemas.microsoft.com/office/spreadsheetml/2009/9/main" uri="{B025F937-C7B1-47D3-B67F-A62EFF666E3E}">
          <x14:id>{33FD487D-7007-400C-913B-37291EDE27C2}</x14:id>
        </ext>
      </extLst>
    </cfRule>
  </conditionalFormatting>
  <conditionalFormatting sqref="H3:H1000">
    <cfRule type="dataBar" priority="4">
      <dataBar>
        <cfvo type="min"/>
        <cfvo type="max"/>
        <color rgb="FF638EC6"/>
      </dataBar>
      <extLst>
        <ext xmlns:x14="http://schemas.microsoft.com/office/spreadsheetml/2009/9/main" uri="{B025F937-C7B1-47D3-B67F-A62EFF666E3E}">
          <x14:id>{F3891F1B-47C7-4B87-8A19-3C3F38E49DB4}</x14:id>
        </ext>
      </extLst>
    </cfRule>
  </conditionalFormatting>
  <conditionalFormatting sqref="H3:H1000">
    <cfRule type="dataBar" priority="5">
      <dataBar>
        <cfvo type="min"/>
        <cfvo type="max"/>
        <color rgb="FF63C384"/>
      </dataBar>
      <extLst>
        <ext xmlns:x14="http://schemas.microsoft.com/office/spreadsheetml/2009/9/main" uri="{B025F937-C7B1-47D3-B67F-A62EFF666E3E}">
          <x14:id>{3D67DDDC-AA8D-4256-A359-61A20D094C54}</x14:id>
        </ext>
      </extLst>
    </cfRule>
  </conditionalFormatting>
  <pageMargins left="0.7" right="0.7" top="0.75" bottom="0.75" header="0.3" footer="0.3"/>
  <pageSetup paperSize="9" orientation="portrait" horizontalDpi="1200" verticalDpi="1200" r:id="rId1"/>
  <headerFooter>
    <oddHeader xml:space="preserve">&amp;C&amp;"Calibri,Regular"&amp;12&amp;B&amp;KF00000OFFICIAL
 </oddHeader>
    <oddFooter xml:space="preserve">&amp;C&amp;"Calibri,Regular"&amp;12&amp;B&amp;KF00000OFFICIAL
 </oddFooter>
    <evenHeader xml:space="preserve">&amp;C&amp;"Calibri,Regular"&amp;12&amp;B&amp;KF00000OFFICIAL
 </evenHeader>
    <evenFooter xml:space="preserve">&amp;C&amp;"Calibri,Regular"&amp;12&amp;B&amp;KF00000OFFICIAL
 </evenFooter>
    <firstHeader xml:space="preserve">&amp;C&amp;"Calibri,Regular"&amp;12&amp;B&amp;KF00000OFFICIAL
 </firstHeader>
    <firstFooter xml:space="preserve">&amp;C&amp;"Calibri,Regular"&amp;12&amp;B&amp;KF00000OFFICIAL
 </firstFooter>
  </headerFooter>
  <drawing r:id="rId2"/>
  <extLst>
    <ext xmlns:x14="http://schemas.microsoft.com/office/spreadsheetml/2009/9/main" uri="{78C0D931-6437-407d-A8EE-F0AAD7539E65}">
      <x14:conditionalFormattings>
        <x14:conditionalFormatting xmlns:xm="http://schemas.microsoft.com/office/excel/2006/main">
          <x14:cfRule type="dataBar" id="{1ECF1BEF-812A-4CC9-A42C-57623CF0B14A}">
            <x14:dataBar minLength="0" maxLength="100" gradient="0">
              <x14:cfvo type="autoMin"/>
              <x14:cfvo type="autoMax"/>
              <x14:negativeFillColor rgb="FFFF0000"/>
              <x14:axisColor rgb="FF000000"/>
            </x14:dataBar>
          </x14:cfRule>
          <xm:sqref>G1002:G1048576 G1</xm:sqref>
        </x14:conditionalFormatting>
        <x14:conditionalFormatting xmlns:xm="http://schemas.microsoft.com/office/excel/2006/main">
          <x14:cfRule type="dataBar" id="{210660DA-ABDE-43D4-9B82-911E3066D4C1}">
            <x14:dataBar minLength="0" maxLength="100" border="1" negativeBarBorderColorSameAsPositive="0">
              <x14:cfvo type="autoMin"/>
              <x14:cfvo type="autoMax"/>
              <x14:borderColor rgb="FF63C384"/>
              <x14:negativeFillColor rgb="FFFF0000"/>
              <x14:negativeBorderColor rgb="FFFF0000"/>
              <x14:axisColor rgb="FF000000"/>
            </x14:dataBar>
          </x14:cfRule>
          <xm:sqref>G1002:G1048576 G1</xm:sqref>
        </x14:conditionalFormatting>
        <x14:conditionalFormatting xmlns:xm="http://schemas.microsoft.com/office/excel/2006/main">
          <x14:cfRule type="dataBar" id="{514C21B4-8872-4474-9BE1-738D18A3EB07}">
            <x14:dataBar minLength="0" maxLength="100" gradient="0">
              <x14:cfvo type="autoMin"/>
              <x14:cfvo type="autoMax"/>
              <x14:negativeFillColor rgb="FFFF0000"/>
              <x14:axisColor rgb="FF000000"/>
            </x14:dataBar>
          </x14:cfRule>
          <xm:sqref>R17</xm:sqref>
        </x14:conditionalFormatting>
        <x14:conditionalFormatting xmlns:xm="http://schemas.microsoft.com/office/excel/2006/main">
          <x14:cfRule type="dataBar" id="{B886C50A-3CC8-4FFD-A144-E16E945BBD96}">
            <x14:dataBar minLength="0" maxLength="100" border="1" negativeBarBorderColorSameAsPositive="0">
              <x14:cfvo type="autoMin"/>
              <x14:cfvo type="autoMax"/>
              <x14:borderColor rgb="FF63C384"/>
              <x14:negativeFillColor rgb="FFFF0000"/>
              <x14:negativeBorderColor rgb="FFFF0000"/>
              <x14:axisColor rgb="FF000000"/>
            </x14:dataBar>
          </x14:cfRule>
          <xm:sqref>R17</xm:sqref>
        </x14:conditionalFormatting>
        <x14:conditionalFormatting xmlns:xm="http://schemas.microsoft.com/office/excel/2006/main">
          <x14:cfRule type="dataBar" id="{C8B37C14-8510-4CD6-A470-AB2885EEA3A4}">
            <x14:dataBar minLength="0" maxLength="100" border="1" negativeBarBorderColorSameAsPositive="0">
              <x14:cfvo type="autoMin"/>
              <x14:cfvo type="autoMax"/>
              <x14:borderColor rgb="FFD6007B"/>
              <x14:negativeFillColor rgb="FFFF0000"/>
              <x14:negativeBorderColor rgb="FFFF0000"/>
              <x14:axisColor rgb="FF000000"/>
            </x14:dataBar>
          </x14:cfRule>
          <xm:sqref>H1002:H1048576 H1</xm:sqref>
        </x14:conditionalFormatting>
        <x14:conditionalFormatting xmlns:xm="http://schemas.microsoft.com/office/excel/2006/main">
          <x14:cfRule type="dataBar" id="{0F574BE5-DE65-47A1-95DA-914BBDA73941}">
            <x14:dataBar minLength="0" maxLength="100" gradient="0">
              <x14:cfvo type="autoMin"/>
              <x14:cfvo type="autoMax"/>
              <x14:negativeFillColor rgb="FFFF0000"/>
              <x14:axisColor rgb="FF000000"/>
            </x14:dataBar>
          </x14:cfRule>
          <xm:sqref>H1002:H1048576 H1</xm:sqref>
        </x14:conditionalFormatting>
        <x14:conditionalFormatting xmlns:xm="http://schemas.microsoft.com/office/excel/2006/main">
          <x14:cfRule type="dataBar" id="{D590AA3A-AB95-435E-9C17-6E3E903BF3B5}">
            <x14:dataBar minLength="0" maxLength="100" border="1" negativeBarBorderColorSameAsPositive="0">
              <x14:cfvo type="autoMin"/>
              <x14:cfvo type="autoMax"/>
              <x14:borderColor rgb="FF63C384"/>
              <x14:negativeFillColor rgb="FFFF0000"/>
              <x14:negativeBorderColor rgb="FFFF0000"/>
              <x14:axisColor rgb="FF000000"/>
            </x14:dataBar>
          </x14:cfRule>
          <xm:sqref>H1002:H1048576 H1</xm:sqref>
        </x14:conditionalFormatting>
        <x14:conditionalFormatting xmlns:xm="http://schemas.microsoft.com/office/excel/2006/main">
          <x14:cfRule type="dataBar" id="{5A6AB69B-34D3-40DF-8DD1-CF11B3BE27C9}">
            <x14:dataBar minLength="0" maxLength="100" gradient="0">
              <x14:cfvo type="autoMin"/>
              <x14:cfvo type="autoMax"/>
              <x14:negativeFillColor rgb="FFFF0000"/>
              <x14:axisColor rgb="FF000000"/>
            </x14:dataBar>
          </x14:cfRule>
          <xm:sqref>I1002:I1048576 I1</xm:sqref>
        </x14:conditionalFormatting>
        <x14:conditionalFormatting xmlns:xm="http://schemas.microsoft.com/office/excel/2006/main">
          <x14:cfRule type="dataBar" id="{ED3648E9-8CC2-4563-88F4-8DDA0DF5E7A0}">
            <x14:dataBar minLength="0" maxLength="100" border="1" negativeBarBorderColorSameAsPositive="0">
              <x14:cfvo type="autoMin"/>
              <x14:cfvo type="autoMax"/>
              <x14:borderColor rgb="FF63C384"/>
              <x14:negativeFillColor rgb="FFFF0000"/>
              <x14:negativeBorderColor rgb="FFFF0000"/>
              <x14:axisColor rgb="FF000000"/>
            </x14:dataBar>
          </x14:cfRule>
          <xm:sqref>I1002:I1048576 I1</xm:sqref>
        </x14:conditionalFormatting>
        <x14:conditionalFormatting xmlns:xm="http://schemas.microsoft.com/office/excel/2006/main">
          <x14:cfRule type="dataBar" id="{C09F6E39-417A-4E1E-AFA0-2FC42BDB14EA}">
            <x14:dataBar minLength="0" maxLength="100" border="1" negativeBarBorderColorSameAsPositive="0">
              <x14:cfvo type="autoMin"/>
              <x14:cfvo type="autoMax"/>
              <x14:borderColor rgb="FFD6007B"/>
              <x14:negativeFillColor rgb="FFFF0000"/>
              <x14:negativeBorderColor rgb="FFFF0000"/>
              <x14:axisColor rgb="FF000000"/>
            </x14:dataBar>
          </x14:cfRule>
          <xm:sqref>H2 H1001</xm:sqref>
        </x14:conditionalFormatting>
        <x14:conditionalFormatting xmlns:xm="http://schemas.microsoft.com/office/excel/2006/main">
          <x14:cfRule type="dataBar" id="{F1E0AA03-6E9B-4E3B-A862-E8CF6D05ADAF}">
            <x14:dataBar minLength="0" maxLength="100" gradient="0">
              <x14:cfvo type="autoMin"/>
              <x14:cfvo type="autoMax"/>
              <x14:negativeFillColor rgb="FFFF0000"/>
              <x14:axisColor rgb="FF000000"/>
            </x14:dataBar>
          </x14:cfRule>
          <xm:sqref>H2 H1001</xm:sqref>
        </x14:conditionalFormatting>
        <x14:conditionalFormatting xmlns:xm="http://schemas.microsoft.com/office/excel/2006/main">
          <x14:cfRule type="dataBar" id="{35DCCDC5-4E81-4C84-BCA6-D2CC787855D9}">
            <x14:dataBar minLength="0" maxLength="100" border="1" negativeBarBorderColorSameAsPositive="0">
              <x14:cfvo type="autoMin"/>
              <x14:cfvo type="autoMax"/>
              <x14:borderColor rgb="FF63C384"/>
              <x14:negativeFillColor rgb="FFFF0000"/>
              <x14:negativeBorderColor rgb="FFFF0000"/>
              <x14:axisColor rgb="FF000000"/>
            </x14:dataBar>
          </x14:cfRule>
          <xm:sqref>H2 H1001</xm:sqref>
        </x14:conditionalFormatting>
        <x14:conditionalFormatting xmlns:xm="http://schemas.microsoft.com/office/excel/2006/main">
          <x14:cfRule type="dataBar" id="{33FD487D-7007-400C-913B-37291EDE27C2}">
            <x14:dataBar minLength="0" maxLength="100" border="1" negativeBarBorderColorSameAsPositive="0">
              <x14:cfvo type="autoMin"/>
              <x14:cfvo type="autoMax"/>
              <x14:borderColor rgb="FFD6007B"/>
              <x14:negativeFillColor rgb="FFFF0000"/>
              <x14:negativeBorderColor rgb="FFFF0000"/>
              <x14:axisColor rgb="FF000000"/>
            </x14:dataBar>
          </x14:cfRule>
          <xm:sqref>H3:H1000</xm:sqref>
        </x14:conditionalFormatting>
        <x14:conditionalFormatting xmlns:xm="http://schemas.microsoft.com/office/excel/2006/main">
          <x14:cfRule type="dataBar" id="{F3891F1B-47C7-4B87-8A19-3C3F38E49DB4}">
            <x14:dataBar minLength="0" maxLength="100" gradient="0">
              <x14:cfvo type="autoMin"/>
              <x14:cfvo type="autoMax"/>
              <x14:negativeFillColor rgb="FFFF0000"/>
              <x14:axisColor rgb="FF000000"/>
            </x14:dataBar>
          </x14:cfRule>
          <xm:sqref>H3:H1000</xm:sqref>
        </x14:conditionalFormatting>
        <x14:conditionalFormatting xmlns:xm="http://schemas.microsoft.com/office/excel/2006/main">
          <x14:cfRule type="dataBar" id="{3D67DDDC-AA8D-4256-A359-61A20D094C54}">
            <x14:dataBar minLength="0" maxLength="100" border="1" negativeBarBorderColorSameAsPositive="0">
              <x14:cfvo type="autoMin"/>
              <x14:cfvo type="autoMax"/>
              <x14:borderColor rgb="FF63C384"/>
              <x14:negativeFillColor rgb="FFFF0000"/>
              <x14:negativeBorderColor rgb="FFFF0000"/>
              <x14:axisColor rgb="FF000000"/>
            </x14:dataBar>
          </x14:cfRule>
          <xm:sqref>H3:H1000</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sisl xmlns:xsd="http://www.w3.org/2001/XMLSchema" xmlns:xsi="http://www.w3.org/2001/XMLSchema-instance" xmlns="http://www.boldonjames.com/2008/01/sie/internal/label" sislVersion="0" policy="1865c0a7-d648-4a74-80fe-fa9dc7fe13cc" origin="userSelected">
  <element uid="66ddac19-06c4-4e63-b4dd-d8240d87a23f" value=""/>
</sisl>
</file>

<file path=customXml/item2.xml><?xml version="1.0" encoding="utf-8"?>
<?mso-contentType ?>
<customXsn xmlns="http://schemas.microsoft.com/office/2006/metadata/customXsn">
  <xsnLocation/>
  <cached>True</cached>
  <openByDefault>True</openByDefault>
  <xsnScope/>
</customXsn>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haredContentType xmlns="Microsoft.SharePoint.Taxonomy.ContentTypeSync" SourceId="8959f586-1386-49a0-8f25-29490ba8c513" ContentTypeId="0x01010004C4C934AD08B647A78FCADD498BE319" PreviousValue="false"/>
</file>

<file path=customXml/item6.xml><?xml version="1.0" encoding="utf-8"?>
<p:properties xmlns:p="http://schemas.microsoft.com/office/2006/metadata/properties" xmlns:xsi="http://www.w3.org/2001/XMLSchema-instance" xmlns:pc="http://schemas.microsoft.com/office/infopath/2007/PartnerControls">
  <documentManagement>
    <Related_x0020_project xmlns="ec50576e-4a27-4780-a1e1-e59563bc70b8" xsi:nil="true"/>
    <TaxCatchAll xmlns="ec50576e-4a27-4780-a1e1-e59563bc70b8"/>
    <bd06d2da0152468b9236b575a71e0e7c xmlns="ec50576e-4a27-4780-a1e1-e59563bc70b8">
      <Terms xmlns="http://schemas.microsoft.com/office/infopath/2007/PartnerControls"/>
    </bd06d2da0152468b9236b575a71e0e7c>
    <_dlc_DocId xmlns="5759555f-5bed-45a4-a4c2-4e28e2623455">MMF7YEMDTSDN-759-635</_dlc_DocId>
    <_dlc_DocIdUrl xmlns="5759555f-5bed-45a4-a4c2-4e28e2623455">
      <Url>http://fsintranet/Sections/FDA/_layouts/15/DocIdRedir.aspx?ID=MMF7YEMDTSDN-759-635</Url>
      <Description>MMF7YEMDTSDN-759-635</Description>
    </_dlc_DocIdUrl>
  </documentManagement>
</p:properties>
</file>

<file path=customXml/item7.xml><?xml version="1.0" encoding="utf-8"?>
<ct:contentTypeSchema xmlns:ct="http://schemas.microsoft.com/office/2006/metadata/contentType" xmlns:ma="http://schemas.microsoft.com/office/2006/metadata/properties/metaAttributes" ct:_="" ma:_="" ma:contentTypeName="Other Document" ma:contentTypeID="0x01010004C4C934AD08B647A78FCADD498BE319006DBB472A3F006E40835F142918FA3490" ma:contentTypeVersion="38" ma:contentTypeDescription="Documents not created or owned by FSANZ. Such as: Personal resume, Journals or Restaurant menu. DO NOT use this for: drafts, free ideas or documents created or owned by FSANZ." ma:contentTypeScope="" ma:versionID="688bf00b267a557a104e210160c5c362">
  <xsd:schema xmlns:xsd="http://www.w3.org/2001/XMLSchema" xmlns:xs="http://www.w3.org/2001/XMLSchema" xmlns:p="http://schemas.microsoft.com/office/2006/metadata/properties" xmlns:ns3="ec50576e-4a27-4780-a1e1-e59563bc70b8" xmlns:ns4="5759555f-5bed-45a4-a4c2-4e28e2623455" targetNamespace="http://schemas.microsoft.com/office/2006/metadata/properties" ma:root="true" ma:fieldsID="92b4ddf458d96820b38b32872c3b573e" ns3:_="" ns4:_="">
    <xsd:import namespace="ec50576e-4a27-4780-a1e1-e59563bc70b8"/>
    <xsd:import namespace="5759555f-5bed-45a4-a4c2-4e28e2623455"/>
    <xsd:element name="properties">
      <xsd:complexType>
        <xsd:sequence>
          <xsd:element name="documentManagement">
            <xsd:complexType>
              <xsd:all>
                <xsd:element ref="ns3:bd06d2da0152468b9236b575a71e0e7c" minOccurs="0"/>
                <xsd:element ref="ns3:TaxCatchAll" minOccurs="0"/>
                <xsd:element ref="ns3:TaxCatchAllLabel" minOccurs="0"/>
                <xsd:element ref="ns3:Related_x0020_project" minOccurs="0"/>
                <xsd:element ref="ns4:_dlc_DocId" minOccurs="0"/>
                <xsd:element ref="ns4:_dlc_DocIdUrl" minOccurs="0"/>
                <xsd:element ref="ns4: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50576e-4a27-4780-a1e1-e59563bc70b8" elementFormDefault="qualified">
    <xsd:import namespace="http://schemas.microsoft.com/office/2006/documentManagement/types"/>
    <xsd:import namespace="http://schemas.microsoft.com/office/infopath/2007/PartnerControls"/>
    <xsd:element name="bd06d2da0152468b9236b575a71e0e7c" ma:index="9" nillable="true" ma:taxonomy="true" ma:internalName="bd06d2da0152468b9236b575a71e0e7c" ma:taxonomyFieldName="BCS_" ma:displayName="BCS" ma:indexed="true" ma:readOnly="false" ma:default="" ma:fieldId="{bd06d2da-0152-468b-9236-b575a71e0e7c}" ma:sspId="8959f586-1386-49a0-8f25-29490ba8c513" ma:termSetId="fc8f01d6-1aad-49dd-91fa-931823794f85" ma:anchorId="00000000-0000-0000-0000-000000000000" ma:open="false" ma:isKeyword="false">
      <xsd:complexType>
        <xsd:sequence>
          <xsd:element ref="pc:Terms" minOccurs="0" maxOccurs="1"/>
        </xsd:sequence>
      </xsd:complexType>
    </xsd:element>
    <xsd:element name="TaxCatchAll" ma:index="10" nillable="true" ma:displayName="Taxonomy Catch All Column" ma:hidden="true" ma:list="{cb99702b-f02c-439b-bf93-e301643b6a94}" ma:internalName="TaxCatchAll" ma:showField="CatchAllData" ma:web="5759555f-5bed-45a4-a4c2-4e28e2623455">
      <xsd:complexType>
        <xsd:complexContent>
          <xsd:extension base="dms:MultiChoiceLookup">
            <xsd:sequence>
              <xsd:element name="Value" type="dms:Lookup" maxOccurs="unbounded" minOccurs="0" nillable="true"/>
            </xsd:sequence>
          </xsd:extension>
        </xsd:complexContent>
      </xsd:complexType>
    </xsd:element>
    <xsd:element name="TaxCatchAllLabel" ma:index="11" nillable="true" ma:displayName="Taxonomy Catch All Column1" ma:hidden="true" ma:list="{cb99702b-f02c-439b-bf93-e301643b6a94}" ma:internalName="TaxCatchAllLabel" ma:readOnly="true" ma:showField="CatchAllDataLabel" ma:web="5759555f-5bed-45a4-a4c2-4e28e2623455">
      <xsd:complexType>
        <xsd:complexContent>
          <xsd:extension base="dms:MultiChoiceLookup">
            <xsd:sequence>
              <xsd:element name="Value" type="dms:Lookup" maxOccurs="unbounded" minOccurs="0" nillable="true"/>
            </xsd:sequence>
          </xsd:extension>
        </xsd:complexContent>
      </xsd:complexType>
    </xsd:element>
    <xsd:element name="Related_x0020_project" ma:index="13" nillable="true" ma:displayName="Related project" ma:description="Project ID this item relates to. eg: W1234" ma:internalName="Related_x0020_project">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759555f-5bed-45a4-a4c2-4e28e2623455" elementFormDefault="qualified">
    <xsd:import namespace="http://schemas.microsoft.com/office/2006/documentManagement/types"/>
    <xsd:import namespace="http://schemas.microsoft.com/office/infopath/2007/PartnerControls"/>
    <xsd:element name="_dlc_DocId" ma:index="14" nillable="true" ma:displayName="Document ID Value" ma:description="The value of the document ID assigned to this item." ma:internalName="_dlc_DocId" ma:readOnly="true">
      <xsd:simpleType>
        <xsd:restriction base="dms:Text"/>
      </xsd:simpleType>
    </xsd:element>
    <xsd:element name="_dlc_DocIdUrl" ma:index="15"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6"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ma:index="8" ma:displayName="Keywords"/>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B9C28E5-78AB-40DB-819B-F376FA73A97D}">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721DA357-7F9B-4F55-A310-C5A3196E6EC8}">
  <ds:schemaRefs>
    <ds:schemaRef ds:uri="http://schemas.microsoft.com/office/2006/metadata/customXsn"/>
  </ds:schemaRefs>
</ds:datastoreItem>
</file>

<file path=customXml/itemProps3.xml><?xml version="1.0" encoding="utf-8"?>
<ds:datastoreItem xmlns:ds="http://schemas.openxmlformats.org/officeDocument/2006/customXml" ds:itemID="{AC956FD4-3558-407C-A0AA-30D3C0ECB5BC}">
  <ds:schemaRefs>
    <ds:schemaRef ds:uri="http://schemas.microsoft.com/sharepoint/events"/>
  </ds:schemaRefs>
</ds:datastoreItem>
</file>

<file path=customXml/itemProps4.xml><?xml version="1.0" encoding="utf-8"?>
<ds:datastoreItem xmlns:ds="http://schemas.openxmlformats.org/officeDocument/2006/customXml" ds:itemID="{46462EF4-D04A-46C0-80F5-4BD68EBC261F}">
  <ds:schemaRefs>
    <ds:schemaRef ds:uri="http://schemas.microsoft.com/sharepoint/v3/contenttype/forms"/>
  </ds:schemaRefs>
</ds:datastoreItem>
</file>

<file path=customXml/itemProps5.xml><?xml version="1.0" encoding="utf-8"?>
<ds:datastoreItem xmlns:ds="http://schemas.openxmlformats.org/officeDocument/2006/customXml" ds:itemID="{58290982-9CC8-4272-B814-E0D27D4F9051}">
  <ds:schemaRefs>
    <ds:schemaRef ds:uri="Microsoft.SharePoint.Taxonomy.ContentTypeSync"/>
  </ds:schemaRefs>
</ds:datastoreItem>
</file>

<file path=customXml/itemProps6.xml><?xml version="1.0" encoding="utf-8"?>
<ds:datastoreItem xmlns:ds="http://schemas.openxmlformats.org/officeDocument/2006/customXml" ds:itemID="{69129928-3AC3-4488-BDFD-1FD61286964B}">
  <ds:schemaRefs>
    <ds:schemaRef ds:uri="http://www.w3.org/XML/1998/namespace"/>
    <ds:schemaRef ds:uri="http://schemas.microsoft.com/office/2006/metadata/properties"/>
    <ds:schemaRef ds:uri="http://purl.org/dc/elements/1.1/"/>
    <ds:schemaRef ds:uri="5759555f-5bed-45a4-a4c2-4e28e2623455"/>
    <ds:schemaRef ds:uri="http://schemas.microsoft.com/office/2006/documentManagement/types"/>
    <ds:schemaRef ds:uri="ec50576e-4a27-4780-a1e1-e59563bc70b8"/>
    <ds:schemaRef ds:uri="http://purl.org/dc/terms/"/>
    <ds:schemaRef ds:uri="http://schemas.microsoft.com/office/infopath/2007/PartnerControls"/>
    <ds:schemaRef ds:uri="http://schemas.openxmlformats.org/package/2006/metadata/core-properties"/>
    <ds:schemaRef ds:uri="http://purl.org/dc/dcmitype/"/>
  </ds:schemaRefs>
</ds:datastoreItem>
</file>

<file path=customXml/itemProps7.xml><?xml version="1.0" encoding="utf-8"?>
<ds:datastoreItem xmlns:ds="http://schemas.openxmlformats.org/officeDocument/2006/customXml" ds:itemID="{6A93B984-C0B2-45E7-BC46-18E52162CEB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50576e-4a27-4780-a1e1-e59563bc70b8"/>
    <ds:schemaRef ds:uri="5759555f-5bed-45a4-a4c2-4e28e26234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Details and Instructions</vt:lpstr>
      <vt:lpstr>Amendments history</vt:lpstr>
      <vt:lpstr>Points Table A</vt:lpstr>
      <vt:lpstr>Points Table C</vt:lpstr>
      <vt:lpstr>Lookups</vt:lpstr>
      <vt:lpstr>HSR Calculator</vt:lpstr>
      <vt:lpstr>Non-Dairy Beverages ONLY Calc.</vt:lpstr>
      <vt:lpstr>cfv</vt:lpstr>
      <vt:lpstr>Drop_down_list_Food_type_for_profiling</vt:lpstr>
      <vt:lpstr>energy</vt:lpstr>
      <vt:lpstr>Food_type_for_profiling</vt:lpstr>
      <vt:lpstr>Food_type_for_Star_conversion</vt:lpstr>
      <vt:lpstr>fvnl</vt:lpstr>
      <vt:lpstr>NPSC_food_types</vt:lpstr>
      <vt:lpstr>'HSR Calculator'!Print_Titles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cp:lastModifiedBy/>
  <dcterms:created xsi:type="dcterms:W3CDTF">2014-01-31T01:52:54Z</dcterms:created>
  <dcterms:modified xsi:type="dcterms:W3CDTF">2025-12-09T22:58:02Z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0x01010004C4C934AD08B647A78FCADD498BE319006DBB472A3F006E40835F142918FA3490</vt:lpwstr>
  </property>
  <property fmtid="{D5CDD505-2E9C-101B-9397-08002B2CF9AE}" pid="3" name="BCS_">
    <vt:lpwstr/>
  </property>
  <property fmtid="{D5CDD505-2E9C-101B-9397-08002B2CF9AE}" pid="4" name="_dlc_DocIdItemGuid">
    <vt:lpwstr>e521de3d-f5e1-4dc8-a962-fa559cdc1138</vt:lpwstr>
  </property>
  <property fmtid="{D5CDD505-2E9C-101B-9397-08002B2CF9AE}" pid="5" name="docIndexRef">
    <vt:lpwstr>eceae755-69a1-4c68-98e6-a68336412fe9</vt:lpwstr>
  </property>
  <property fmtid="{D5CDD505-2E9C-101B-9397-08002B2CF9AE}" pid="6" name="bjSaver">
    <vt:lpwstr>edFCQDBMNiiGA5BpxCLpG8T9abNx7Fe0</vt:lpwstr>
  </property>
  <property fmtid="{D5CDD505-2E9C-101B-9397-08002B2CF9AE}" pid="7" name="bjDocumentLabelXML">
    <vt:lpwstr>&lt;?xml version="1.0" encoding="us-ascii"?&gt;&lt;sisl xmlns:xsd="http://www.w3.org/2001/XMLSchema" xmlns:xsi="http://www.w3.org/2001/XMLSchema-instance" sislVersion="0" policy="1865c0a7-d648-4a74-80fe-fa9dc7fe13cc" origin="userSelected" xmlns="http://www.boldonj</vt:lpwstr>
  </property>
  <property fmtid="{D5CDD505-2E9C-101B-9397-08002B2CF9AE}" pid="8" name="bjDocumentLabelXML-0">
    <vt:lpwstr>ames.com/2008/01/sie/internal/label"&gt;&lt;element uid="66ddac19-06c4-4e63-b4dd-d8240d87a23f" value="" /&gt;&lt;/sisl&gt;</vt:lpwstr>
  </property>
  <property fmtid="{D5CDD505-2E9C-101B-9397-08002B2CF9AE}" pid="9" name="bjDocumentSecurityLabel">
    <vt:lpwstr>NO SECURITY CLASSIFICATION REQUIRED</vt:lpwstr>
  </property>
</Properties>
</file>